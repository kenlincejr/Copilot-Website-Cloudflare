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pilot Website Cloudflare\"/>
    </mc:Choice>
  </mc:AlternateContent>
  <xr:revisionPtr revIDLastSave="0" documentId="13_ncr:1_{063CF4F4-3E00-4843-A5B3-C394D571BED7}" xr6:coauthVersionLast="47" xr6:coauthVersionMax="47" xr10:uidLastSave="{00000000-0000-0000-0000-000000000000}"/>
  <bookViews>
    <workbookView xWindow="-120" yWindow="-120" windowWidth="77040" windowHeight="21120" xr2:uid="{00000000-000D-0000-FFFF-FFFF00000000}"/>
  </bookViews>
  <sheets>
    <sheet name="Start Here" sheetId="1" r:id="rId1"/>
    <sheet name="Paste Export" sheetId="2" r:id="rId2"/>
    <sheet name="Setup" sheetId="3" r:id="rId3"/>
    <sheet name="Analysis" sheetId="4" r:id="rId4"/>
    <sheet name="Calc" sheetId="5" state="hidden" r:id="rId5"/>
    <sheet name="Segments" sheetId="6" r:id="rId6"/>
    <sheet name="Chart" sheetId="7" r:id="rId7"/>
    <sheet name="Book Ranking" sheetId="8" r:id="rId8"/>
    <sheet name="Reference" sheetId="9" r:id="rId9"/>
  </sheets>
  <definedNames>
    <definedName name="col_days">Setup!$F$22</definedName>
    <definedName name="col_last">Setup!$F$23</definedName>
    <definedName name="col_prompts">Setup!$F$20</definedName>
    <definedName name="col_s1">Setup!$F$24</definedName>
    <definedName name="col_s2">Setup!$F$25</definedName>
    <definedName name="col_s3">Setup!$F$26</definedName>
    <definedName name="col_s4">Setup!$F$27</definedName>
    <definedName name="col_s5">Setup!$F$28</definedName>
    <definedName name="col_s6">Setup!$F$29</definedName>
    <definedName name="col_s7">Setup!$F$30</definedName>
    <definedName name="col_s8">Setup!$F$31</definedName>
    <definedName name="col_user">Setup!$F$19</definedName>
    <definedName name="col_web">Setup!$F$21</definedName>
    <definedName name="cust_name">Setup!$C$6</definedName>
    <definedName name="depth_line">Setup!$C$37</definedName>
    <definedName name="freq_line">Setup!$C$36</definedName>
    <definedName name="nrows">Setup!$C$12</definedName>
    <definedName name="period_days">Setup!$C$7</definedName>
    <definedName name="refresh_date">Setup!$C$8</definedName>
    <definedName name="run_mode">Setup!$C$14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8" l="1"/>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G229" i="4" s="1"/>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F31" i="3"/>
  <c r="G31" i="3" s="1"/>
  <c r="F30" i="3"/>
  <c r="G30" i="3" s="1"/>
  <c r="F29" i="3"/>
  <c r="G29" i="3" s="1"/>
  <c r="F28" i="3"/>
  <c r="G28" i="3" s="1"/>
  <c r="F27" i="3"/>
  <c r="G27" i="3" s="1"/>
  <c r="F26" i="3"/>
  <c r="G26" i="3" s="1"/>
  <c r="F25" i="3"/>
  <c r="G25" i="3" s="1"/>
  <c r="F24" i="3"/>
  <c r="G24" i="3" s="1"/>
  <c r="F23" i="3"/>
  <c r="G23" i="3" s="1"/>
  <c r="F22" i="3"/>
  <c r="G22" i="3" s="1"/>
  <c r="F21" i="3"/>
  <c r="G21" i="3" s="1"/>
  <c r="F20" i="3"/>
  <c r="G20" i="3" s="1"/>
  <c r="F19" i="3"/>
  <c r="C12" i="3"/>
  <c r="B584" i="4" l="1"/>
  <c r="B389" i="4"/>
  <c r="D1001" i="4"/>
  <c r="B1001" i="4"/>
  <c r="C1001" i="4"/>
  <c r="E1001" i="4"/>
  <c r="K1001" i="4"/>
  <c r="J1001" i="4"/>
  <c r="I1001" i="4"/>
  <c r="H1001" i="4"/>
  <c r="L1001" i="4"/>
  <c r="G1001" i="4"/>
  <c r="F1001" i="4"/>
  <c r="K1000" i="4"/>
  <c r="G1000" i="4"/>
  <c r="H1000" i="4"/>
  <c r="I1000" i="4"/>
  <c r="J1000" i="4"/>
  <c r="C1000" i="4"/>
  <c r="L1000" i="4"/>
  <c r="F1000" i="4"/>
  <c r="E1000" i="4"/>
  <c r="B1000" i="4"/>
  <c r="D1000" i="4"/>
  <c r="C999" i="4"/>
  <c r="F999" i="4"/>
  <c r="L999" i="4"/>
  <c r="K999" i="4"/>
  <c r="B999" i="4"/>
  <c r="D999" i="4"/>
  <c r="J999" i="4"/>
  <c r="G999" i="4"/>
  <c r="I999" i="4"/>
  <c r="H999" i="4"/>
  <c r="E999" i="4"/>
  <c r="F998" i="4"/>
  <c r="B998" i="4"/>
  <c r="J998" i="4"/>
  <c r="E998" i="4"/>
  <c r="G998" i="4"/>
  <c r="H998" i="4"/>
  <c r="L998" i="4"/>
  <c r="D998" i="4"/>
  <c r="I998" i="4"/>
  <c r="K998" i="4"/>
  <c r="C998" i="4"/>
  <c r="G997" i="4"/>
  <c r="C997" i="4"/>
  <c r="I997" i="4"/>
  <c r="B997" i="4"/>
  <c r="E997" i="4"/>
  <c r="L997" i="4"/>
  <c r="K997" i="4"/>
  <c r="F997" i="4"/>
  <c r="D997" i="4"/>
  <c r="H997" i="4"/>
  <c r="J997" i="4"/>
  <c r="L996" i="4"/>
  <c r="C996" i="4"/>
  <c r="F996" i="4"/>
  <c r="B996" i="4"/>
  <c r="D996" i="4"/>
  <c r="G996" i="4"/>
  <c r="H996" i="4"/>
  <c r="I996" i="4"/>
  <c r="J996" i="4"/>
  <c r="E996" i="4"/>
  <c r="K996" i="4"/>
  <c r="G995" i="4"/>
  <c r="L995" i="4"/>
  <c r="C995" i="4"/>
  <c r="B995" i="4"/>
  <c r="K995" i="4"/>
  <c r="J995" i="4"/>
  <c r="I995" i="4"/>
  <c r="H995" i="4"/>
  <c r="D995" i="4"/>
  <c r="E995" i="4"/>
  <c r="F995" i="4"/>
  <c r="J994" i="4"/>
  <c r="I994" i="4"/>
  <c r="C994" i="4"/>
  <c r="K994" i="4"/>
  <c r="H994" i="4"/>
  <c r="L994" i="4"/>
  <c r="D994" i="4"/>
  <c r="F994" i="4"/>
  <c r="B994" i="4"/>
  <c r="G994" i="4"/>
  <c r="E994" i="4"/>
  <c r="I993" i="4"/>
  <c r="L993" i="4"/>
  <c r="E993" i="4"/>
  <c r="F993" i="4"/>
  <c r="J993" i="4"/>
  <c r="D993" i="4"/>
  <c r="G993" i="4"/>
  <c r="K993" i="4"/>
  <c r="H993" i="4"/>
  <c r="C993" i="4"/>
  <c r="B993" i="4"/>
  <c r="H992" i="4"/>
  <c r="B992" i="4"/>
  <c r="I992" i="4"/>
  <c r="E992" i="4"/>
  <c r="C992" i="4"/>
  <c r="G992" i="4"/>
  <c r="K992" i="4"/>
  <c r="D992" i="4"/>
  <c r="J992" i="4"/>
  <c r="L992" i="4"/>
  <c r="F992" i="4"/>
  <c r="H991" i="4"/>
  <c r="E991" i="4"/>
  <c r="B991" i="4"/>
  <c r="J991" i="4"/>
  <c r="C991" i="4"/>
  <c r="I991" i="4"/>
  <c r="F991" i="4"/>
  <c r="G991" i="4"/>
  <c r="K991" i="4"/>
  <c r="D991" i="4"/>
  <c r="L991" i="4"/>
  <c r="L990" i="4"/>
  <c r="F990" i="4"/>
  <c r="C990" i="4"/>
  <c r="B990" i="4"/>
  <c r="G990" i="4"/>
  <c r="E990" i="4"/>
  <c r="J990" i="4"/>
  <c r="K990" i="4"/>
  <c r="H990" i="4"/>
  <c r="D990" i="4"/>
  <c r="I990" i="4"/>
  <c r="L989" i="4"/>
  <c r="J989" i="4"/>
  <c r="E989" i="4"/>
  <c r="D989" i="4"/>
  <c r="C989" i="4"/>
  <c r="I989" i="4"/>
  <c r="F989" i="4"/>
  <c r="K989" i="4"/>
  <c r="G989" i="4"/>
  <c r="H989" i="4"/>
  <c r="B989" i="4"/>
  <c r="D988" i="4"/>
  <c r="J988" i="4"/>
  <c r="L988" i="4"/>
  <c r="I988" i="4"/>
  <c r="G988" i="4"/>
  <c r="F988" i="4"/>
  <c r="K988" i="4"/>
  <c r="B988" i="4"/>
  <c r="E988" i="4"/>
  <c r="C988" i="4"/>
  <c r="H988" i="4"/>
  <c r="H987" i="4"/>
  <c r="D987" i="4"/>
  <c r="C987" i="4"/>
  <c r="E987" i="4"/>
  <c r="K987" i="4"/>
  <c r="F987" i="4"/>
  <c r="B987" i="4"/>
  <c r="J987" i="4"/>
  <c r="G987" i="4"/>
  <c r="I987" i="4"/>
  <c r="L987" i="4"/>
  <c r="F986" i="4"/>
  <c r="K986" i="4"/>
  <c r="H986" i="4"/>
  <c r="E986" i="4"/>
  <c r="D986" i="4"/>
  <c r="J986" i="4"/>
  <c r="I986" i="4"/>
  <c r="B986" i="4"/>
  <c r="G986" i="4"/>
  <c r="C986" i="4"/>
  <c r="L986" i="4"/>
  <c r="C985" i="4"/>
  <c r="G985" i="4"/>
  <c r="K985" i="4"/>
  <c r="F985" i="4"/>
  <c r="B985" i="4"/>
  <c r="H985" i="4"/>
  <c r="L985" i="4"/>
  <c r="D985" i="4"/>
  <c r="J985" i="4"/>
  <c r="I985" i="4"/>
  <c r="E985" i="4"/>
  <c r="L984" i="4"/>
  <c r="H984" i="4"/>
  <c r="C984" i="4"/>
  <c r="B984" i="4"/>
  <c r="I984" i="4"/>
  <c r="J984" i="4"/>
  <c r="K984" i="4"/>
  <c r="D984" i="4"/>
  <c r="F984" i="4"/>
  <c r="G984" i="4"/>
  <c r="E984" i="4"/>
  <c r="I983" i="4"/>
  <c r="C983" i="4"/>
  <c r="F983" i="4"/>
  <c r="D983" i="4"/>
  <c r="G983" i="4"/>
  <c r="K983" i="4"/>
  <c r="E983" i="4"/>
  <c r="L983" i="4"/>
  <c r="H983" i="4"/>
  <c r="J983" i="4"/>
  <c r="L982" i="4"/>
  <c r="J982" i="4"/>
  <c r="F982" i="4"/>
  <c r="C982" i="4"/>
  <c r="G982" i="4"/>
  <c r="E982" i="4"/>
  <c r="B982" i="4"/>
  <c r="I982" i="4"/>
  <c r="D982" i="4"/>
  <c r="K982" i="4"/>
  <c r="H982" i="4"/>
  <c r="I981" i="4"/>
  <c r="D981" i="4"/>
  <c r="K981" i="4"/>
  <c r="F981" i="4"/>
  <c r="C981" i="4"/>
  <c r="H981" i="4"/>
  <c r="J981" i="4"/>
  <c r="L981" i="4"/>
  <c r="G981" i="4"/>
  <c r="B981" i="4"/>
  <c r="E981" i="4"/>
  <c r="J980" i="4"/>
  <c r="C980" i="4"/>
  <c r="L980" i="4"/>
  <c r="F980" i="4"/>
  <c r="I980" i="4"/>
  <c r="D980" i="4"/>
  <c r="E980" i="4"/>
  <c r="H980" i="4"/>
  <c r="B980" i="4"/>
  <c r="K980" i="4"/>
  <c r="G980" i="4"/>
  <c r="F979" i="4"/>
  <c r="L979" i="4"/>
  <c r="H979" i="4"/>
  <c r="B979" i="4"/>
  <c r="K979" i="4"/>
  <c r="J979" i="4"/>
  <c r="G979" i="4"/>
  <c r="D979" i="4"/>
  <c r="E979" i="4"/>
  <c r="I979" i="4"/>
  <c r="C979" i="4"/>
  <c r="K978" i="4"/>
  <c r="C978" i="4"/>
  <c r="E978" i="4"/>
  <c r="G978" i="4"/>
  <c r="J978" i="4"/>
  <c r="B978" i="4"/>
  <c r="F978" i="4"/>
  <c r="H978" i="4"/>
  <c r="D978" i="4"/>
  <c r="L978" i="4"/>
  <c r="I978" i="4"/>
  <c r="K977" i="4"/>
  <c r="I977" i="4"/>
  <c r="E977" i="4"/>
  <c r="C977" i="4"/>
  <c r="B977" i="4"/>
  <c r="L977" i="4"/>
  <c r="F977" i="4"/>
  <c r="J977" i="4"/>
  <c r="D977" i="4"/>
  <c r="G977" i="4"/>
  <c r="H977" i="4"/>
  <c r="D976" i="4"/>
  <c r="J976" i="4"/>
  <c r="G976" i="4"/>
  <c r="L976" i="4"/>
  <c r="H976" i="4"/>
  <c r="C976" i="4"/>
  <c r="E976" i="4"/>
  <c r="I976" i="4"/>
  <c r="K976" i="4"/>
  <c r="F976" i="4"/>
  <c r="G975" i="4"/>
  <c r="I975" i="4"/>
  <c r="J975" i="4"/>
  <c r="E975" i="4"/>
  <c r="H975" i="4"/>
  <c r="C975" i="4"/>
  <c r="K975" i="4"/>
  <c r="B975" i="4"/>
  <c r="D975" i="4"/>
  <c r="L975" i="4"/>
  <c r="F975" i="4"/>
  <c r="D974" i="4"/>
  <c r="C974" i="4"/>
  <c r="B974" i="4"/>
  <c r="J973" i="4"/>
  <c r="L973" i="4"/>
  <c r="K973" i="4"/>
  <c r="C973" i="4"/>
  <c r="B973" i="4"/>
  <c r="E973" i="4"/>
  <c r="F973" i="4"/>
  <c r="H973" i="4"/>
  <c r="D973" i="4"/>
  <c r="I973" i="4"/>
  <c r="G973" i="4"/>
  <c r="J972" i="4"/>
  <c r="K972" i="4"/>
  <c r="L972" i="4"/>
  <c r="I972" i="4"/>
  <c r="B972" i="4"/>
  <c r="D972" i="4"/>
  <c r="E972" i="4"/>
  <c r="F972" i="4"/>
  <c r="G972" i="4"/>
  <c r="H972" i="4"/>
  <c r="C972" i="4"/>
  <c r="F971" i="4"/>
  <c r="K971" i="4"/>
  <c r="J971" i="4"/>
  <c r="I971" i="4"/>
  <c r="H971" i="4"/>
  <c r="G971" i="4"/>
  <c r="L971" i="4"/>
  <c r="D971" i="4"/>
  <c r="C971" i="4"/>
  <c r="B971" i="4"/>
  <c r="E971" i="4"/>
  <c r="L970" i="4"/>
  <c r="K970" i="4"/>
  <c r="J970" i="4"/>
  <c r="H970" i="4"/>
  <c r="G970" i="4"/>
  <c r="F970" i="4"/>
  <c r="C970" i="4"/>
  <c r="B970" i="4"/>
  <c r="I970" i="4"/>
  <c r="D970" i="4"/>
  <c r="E970" i="4"/>
  <c r="B969" i="4"/>
  <c r="C969" i="4"/>
  <c r="D969" i="4"/>
  <c r="E969" i="4"/>
  <c r="F969" i="4"/>
  <c r="I969" i="4"/>
  <c r="J969" i="4"/>
  <c r="H969" i="4"/>
  <c r="G969" i="4"/>
  <c r="L969" i="4"/>
  <c r="K969" i="4"/>
  <c r="L968" i="4"/>
  <c r="D968" i="4"/>
  <c r="E968" i="4"/>
  <c r="B968" i="4"/>
  <c r="C968" i="4"/>
  <c r="H968" i="4"/>
  <c r="F968" i="4"/>
  <c r="G968" i="4"/>
  <c r="I968" i="4"/>
  <c r="J968" i="4"/>
  <c r="K968" i="4"/>
  <c r="C967" i="4"/>
  <c r="E967" i="4"/>
  <c r="F967" i="4"/>
  <c r="G967" i="4"/>
  <c r="H967" i="4"/>
  <c r="I967" i="4"/>
  <c r="J967" i="4"/>
  <c r="K967" i="4"/>
  <c r="B967" i="4"/>
  <c r="L967" i="4"/>
  <c r="D967" i="4"/>
  <c r="H966" i="4"/>
  <c r="C966" i="4"/>
  <c r="D966" i="4"/>
  <c r="E966" i="4"/>
  <c r="F966" i="4"/>
  <c r="I966" i="4"/>
  <c r="L966" i="4"/>
  <c r="G966" i="4"/>
  <c r="J966" i="4"/>
  <c r="K966" i="4"/>
  <c r="B966" i="4"/>
  <c r="G965" i="4"/>
  <c r="H965" i="4"/>
  <c r="B965" i="4"/>
  <c r="C965" i="4"/>
  <c r="L965" i="4"/>
  <c r="K965" i="4"/>
  <c r="J965" i="4"/>
  <c r="I965" i="4"/>
  <c r="E965" i="4"/>
  <c r="D965" i="4"/>
  <c r="F965" i="4"/>
  <c r="G964" i="4"/>
  <c r="F964" i="4"/>
  <c r="E964" i="4"/>
  <c r="D964" i="4"/>
  <c r="C964" i="4"/>
  <c r="B964" i="4"/>
  <c r="H964" i="4"/>
  <c r="I964" i="4"/>
  <c r="J964" i="4"/>
  <c r="K964" i="4"/>
  <c r="L964" i="4"/>
  <c r="I963" i="4"/>
  <c r="J963" i="4"/>
  <c r="K963" i="4"/>
  <c r="L963" i="4"/>
  <c r="B963" i="4"/>
  <c r="C963" i="4"/>
  <c r="D963" i="4"/>
  <c r="E963" i="4"/>
  <c r="F963" i="4"/>
  <c r="G963" i="4"/>
  <c r="H963" i="4"/>
  <c r="L962" i="4"/>
  <c r="I962" i="4"/>
  <c r="H962" i="4"/>
  <c r="G962" i="4"/>
  <c r="F962" i="4"/>
  <c r="E962" i="4"/>
  <c r="D962" i="4"/>
  <c r="J962" i="4"/>
  <c r="C962" i="4"/>
  <c r="B962" i="4"/>
  <c r="K962" i="4"/>
  <c r="B961" i="4"/>
  <c r="C961" i="4"/>
  <c r="E961" i="4"/>
  <c r="F961" i="4"/>
  <c r="I961" i="4"/>
  <c r="D961" i="4"/>
  <c r="L961" i="4"/>
  <c r="K961" i="4"/>
  <c r="J961" i="4"/>
  <c r="H961" i="4"/>
  <c r="G961" i="4"/>
  <c r="G960" i="4"/>
  <c r="E960" i="4"/>
  <c r="D960" i="4"/>
  <c r="C960" i="4"/>
  <c r="B960" i="4"/>
  <c r="F960" i="4"/>
  <c r="L960" i="4"/>
  <c r="K960" i="4"/>
  <c r="J960" i="4"/>
  <c r="I960" i="4"/>
  <c r="H960" i="4"/>
  <c r="E959" i="4"/>
  <c r="K959" i="4"/>
  <c r="I959" i="4"/>
  <c r="B959" i="4"/>
  <c r="C959" i="4"/>
  <c r="D959" i="4"/>
  <c r="J959" i="4"/>
  <c r="F959" i="4"/>
  <c r="G959" i="4"/>
  <c r="H959" i="4"/>
  <c r="L959" i="4"/>
  <c r="D958" i="4"/>
  <c r="C958" i="4"/>
  <c r="B958" i="4"/>
  <c r="I958" i="4"/>
  <c r="E958" i="4"/>
  <c r="F958" i="4"/>
  <c r="G958" i="4"/>
  <c r="H958" i="4"/>
  <c r="J958" i="4"/>
  <c r="K958" i="4"/>
  <c r="L958" i="4"/>
  <c r="I957" i="4"/>
  <c r="L957" i="4"/>
  <c r="K957" i="4"/>
  <c r="J957" i="4"/>
  <c r="H957" i="4"/>
  <c r="G957" i="4"/>
  <c r="B957" i="4"/>
  <c r="F957" i="4"/>
  <c r="E957" i="4"/>
  <c r="D957" i="4"/>
  <c r="C957" i="4"/>
  <c r="D956" i="4"/>
  <c r="I956" i="4"/>
  <c r="E956" i="4"/>
  <c r="F956" i="4"/>
  <c r="B956" i="4"/>
  <c r="C956" i="4"/>
  <c r="L956" i="4"/>
  <c r="H956" i="4"/>
  <c r="G956" i="4"/>
  <c r="K956" i="4"/>
  <c r="J956" i="4"/>
  <c r="H955" i="4"/>
  <c r="G955" i="4"/>
  <c r="F955" i="4"/>
  <c r="E955" i="4"/>
  <c r="D955" i="4"/>
  <c r="C955" i="4"/>
  <c r="L955" i="4"/>
  <c r="K955" i="4"/>
  <c r="B955" i="4"/>
  <c r="J955" i="4"/>
  <c r="I955" i="4"/>
  <c r="K954" i="4"/>
  <c r="L954" i="4"/>
  <c r="J954" i="4"/>
  <c r="I954" i="4"/>
  <c r="H954" i="4"/>
  <c r="B954" i="4"/>
  <c r="C954" i="4"/>
  <c r="D954" i="4"/>
  <c r="E954" i="4"/>
  <c r="F954" i="4"/>
  <c r="G954" i="4"/>
  <c r="K953" i="4"/>
  <c r="C953" i="4"/>
  <c r="B953" i="4"/>
  <c r="F953" i="4"/>
  <c r="I953" i="4"/>
  <c r="G953" i="4"/>
  <c r="H953" i="4"/>
  <c r="L953" i="4"/>
  <c r="J953" i="4"/>
  <c r="E953" i="4"/>
  <c r="D953" i="4"/>
  <c r="H952" i="4"/>
  <c r="I952" i="4"/>
  <c r="J952" i="4"/>
  <c r="L952" i="4"/>
  <c r="K952" i="4"/>
  <c r="E952" i="4"/>
  <c r="F952" i="4"/>
  <c r="G952" i="4"/>
  <c r="B952" i="4"/>
  <c r="C952" i="4"/>
  <c r="D952" i="4"/>
  <c r="E951" i="4"/>
  <c r="F951" i="4"/>
  <c r="L951" i="4"/>
  <c r="H951" i="4"/>
  <c r="K951" i="4"/>
  <c r="B951" i="4"/>
  <c r="I951" i="4"/>
  <c r="G951" i="4"/>
  <c r="J951" i="4"/>
  <c r="C951" i="4"/>
  <c r="D951" i="4"/>
  <c r="F950" i="4"/>
  <c r="L950" i="4"/>
  <c r="K950" i="4"/>
  <c r="J950" i="4"/>
  <c r="I950" i="4"/>
  <c r="H950" i="4"/>
  <c r="G950" i="4"/>
  <c r="E950" i="4"/>
  <c r="D950" i="4"/>
  <c r="C950" i="4"/>
  <c r="B950" i="4"/>
  <c r="G949" i="4"/>
  <c r="F949" i="4"/>
  <c r="E949" i="4"/>
  <c r="D949" i="4"/>
  <c r="J949" i="4"/>
  <c r="K949" i="4"/>
  <c r="C949" i="4"/>
  <c r="B949" i="4"/>
  <c r="I949" i="4"/>
  <c r="H949" i="4"/>
  <c r="L949" i="4"/>
  <c r="I948" i="4"/>
  <c r="J948" i="4"/>
  <c r="K948" i="4"/>
  <c r="L948" i="4"/>
  <c r="B948" i="4"/>
  <c r="C948" i="4"/>
  <c r="D948" i="4"/>
  <c r="E948" i="4"/>
  <c r="F948" i="4"/>
  <c r="G948" i="4"/>
  <c r="H948" i="4"/>
  <c r="H947" i="4"/>
  <c r="G947" i="4"/>
  <c r="F947" i="4"/>
  <c r="I947" i="4"/>
  <c r="J947" i="4"/>
  <c r="K947" i="4"/>
  <c r="E947" i="4"/>
  <c r="D947" i="4"/>
  <c r="C947" i="4"/>
  <c r="B947" i="4"/>
  <c r="L947" i="4"/>
  <c r="G946" i="4"/>
  <c r="L946" i="4"/>
  <c r="K946" i="4"/>
  <c r="J946" i="4"/>
  <c r="I946" i="4"/>
  <c r="H946" i="4"/>
  <c r="F946" i="4"/>
  <c r="E946" i="4"/>
  <c r="D946" i="4"/>
  <c r="C946" i="4"/>
  <c r="B946" i="4"/>
  <c r="B945" i="4"/>
  <c r="D945" i="4"/>
  <c r="E945" i="4"/>
  <c r="F945" i="4"/>
  <c r="G945" i="4"/>
  <c r="H945" i="4"/>
  <c r="I945" i="4"/>
  <c r="J945" i="4"/>
  <c r="K945" i="4"/>
  <c r="L945" i="4"/>
  <c r="C945" i="4"/>
  <c r="H944" i="4"/>
  <c r="I944" i="4"/>
  <c r="J944" i="4"/>
  <c r="L944" i="4"/>
  <c r="D944" i="4"/>
  <c r="K944" i="4"/>
  <c r="B944" i="4"/>
  <c r="C944" i="4"/>
  <c r="E944" i="4"/>
  <c r="F944" i="4"/>
  <c r="G944" i="4"/>
  <c r="J943" i="4"/>
  <c r="L943" i="4"/>
  <c r="K943" i="4"/>
  <c r="I943" i="4"/>
  <c r="H943" i="4"/>
  <c r="G943" i="4"/>
  <c r="F943" i="4"/>
  <c r="C943" i="4"/>
  <c r="B943" i="4"/>
  <c r="E943" i="4"/>
  <c r="D943" i="4"/>
  <c r="G942" i="4"/>
  <c r="B942" i="4"/>
  <c r="C942" i="4"/>
  <c r="J942" i="4"/>
  <c r="D942" i="4"/>
  <c r="H942" i="4"/>
  <c r="E942" i="4"/>
  <c r="F942" i="4"/>
  <c r="L942" i="4"/>
  <c r="I942" i="4"/>
  <c r="K942" i="4"/>
  <c r="L941" i="4"/>
  <c r="J941" i="4"/>
  <c r="I941" i="4"/>
  <c r="H941" i="4"/>
  <c r="G941" i="4"/>
  <c r="F941" i="4"/>
  <c r="E941" i="4"/>
  <c r="D941" i="4"/>
  <c r="C941" i="4"/>
  <c r="B941" i="4"/>
  <c r="K941" i="4"/>
  <c r="L940" i="4"/>
  <c r="D940" i="4"/>
  <c r="E940" i="4"/>
  <c r="F940" i="4"/>
  <c r="G940" i="4"/>
  <c r="H940" i="4"/>
  <c r="K940" i="4"/>
  <c r="I940" i="4"/>
  <c r="J940" i="4"/>
  <c r="B940" i="4"/>
  <c r="C940" i="4"/>
  <c r="B939" i="4"/>
  <c r="I939" i="4"/>
  <c r="J939" i="4"/>
  <c r="K939" i="4"/>
  <c r="L939" i="4"/>
  <c r="D939" i="4"/>
  <c r="H939" i="4"/>
  <c r="E939" i="4"/>
  <c r="F939" i="4"/>
  <c r="G939" i="4"/>
  <c r="C939" i="4"/>
  <c r="D938" i="4"/>
  <c r="K938" i="4"/>
  <c r="J938" i="4"/>
  <c r="I938" i="4"/>
  <c r="H938" i="4"/>
  <c r="G938" i="4"/>
  <c r="F938" i="4"/>
  <c r="E938" i="4"/>
  <c r="L938" i="4"/>
  <c r="C938" i="4"/>
  <c r="B938" i="4"/>
  <c r="L937" i="4"/>
  <c r="K937" i="4"/>
  <c r="J937" i="4"/>
  <c r="I937" i="4"/>
  <c r="H937" i="4"/>
  <c r="G937" i="4"/>
  <c r="F937" i="4"/>
  <c r="E937" i="4"/>
  <c r="D937" i="4"/>
  <c r="C937" i="4"/>
  <c r="B937" i="4"/>
  <c r="H936" i="4"/>
  <c r="F936" i="4"/>
  <c r="E936" i="4"/>
  <c r="D936" i="4"/>
  <c r="C936" i="4"/>
  <c r="B936" i="4"/>
  <c r="G936" i="4"/>
  <c r="I936" i="4"/>
  <c r="L936" i="4"/>
  <c r="K936" i="4"/>
  <c r="J936" i="4"/>
  <c r="L935" i="4"/>
  <c r="K935" i="4"/>
  <c r="J935" i="4"/>
  <c r="I935" i="4"/>
  <c r="H935" i="4"/>
  <c r="G935" i="4"/>
  <c r="F935" i="4"/>
  <c r="E935" i="4"/>
  <c r="D935" i="4"/>
  <c r="C935" i="4"/>
  <c r="B935" i="4"/>
  <c r="L934" i="4"/>
  <c r="B934" i="4"/>
  <c r="I934" i="4"/>
  <c r="H934" i="4"/>
  <c r="F934" i="4"/>
  <c r="G934" i="4"/>
  <c r="J934" i="4"/>
  <c r="D934" i="4"/>
  <c r="E934" i="4"/>
  <c r="C934" i="4"/>
  <c r="K934" i="4"/>
  <c r="K933" i="4"/>
  <c r="H933" i="4"/>
  <c r="G933" i="4"/>
  <c r="I933" i="4"/>
  <c r="L933" i="4"/>
  <c r="F933" i="4"/>
  <c r="J933" i="4"/>
  <c r="B933" i="4"/>
  <c r="C933" i="4"/>
  <c r="D933" i="4"/>
  <c r="E933" i="4"/>
  <c r="E932" i="4"/>
  <c r="D932" i="4"/>
  <c r="L932" i="4"/>
  <c r="B932" i="4"/>
  <c r="C932" i="4"/>
  <c r="J932" i="4"/>
  <c r="I932" i="4"/>
  <c r="H932" i="4"/>
  <c r="F932" i="4"/>
  <c r="K932" i="4"/>
  <c r="G932" i="4"/>
  <c r="D931" i="4"/>
  <c r="I931" i="4"/>
  <c r="J931" i="4"/>
  <c r="G931" i="4"/>
  <c r="K931" i="4"/>
  <c r="F931" i="4"/>
  <c r="E931" i="4"/>
  <c r="L931" i="4"/>
  <c r="H931" i="4"/>
  <c r="C931" i="4"/>
  <c r="B931" i="4"/>
  <c r="J930" i="4"/>
  <c r="H930" i="4"/>
  <c r="G930" i="4"/>
  <c r="F930" i="4"/>
  <c r="E930" i="4"/>
  <c r="D930" i="4"/>
  <c r="K930" i="4"/>
  <c r="L930" i="4"/>
  <c r="C930" i="4"/>
  <c r="B930" i="4"/>
  <c r="I930" i="4"/>
  <c r="K929" i="4"/>
  <c r="J929" i="4"/>
  <c r="E929" i="4"/>
  <c r="I929" i="4"/>
  <c r="C929" i="4"/>
  <c r="L929" i="4"/>
  <c r="F929" i="4"/>
  <c r="D929" i="4"/>
  <c r="B929" i="4"/>
  <c r="G929" i="4"/>
  <c r="H929" i="4"/>
  <c r="C928" i="4"/>
  <c r="B928" i="4"/>
  <c r="L928" i="4"/>
  <c r="I928" i="4"/>
  <c r="J928" i="4"/>
  <c r="K928" i="4"/>
  <c r="H928" i="4"/>
  <c r="F928" i="4"/>
  <c r="E928" i="4"/>
  <c r="D928" i="4"/>
  <c r="G928" i="4"/>
  <c r="G927" i="4"/>
  <c r="F927" i="4"/>
  <c r="E927" i="4"/>
  <c r="B927" i="4"/>
  <c r="L927" i="4"/>
  <c r="C927" i="4"/>
  <c r="K927" i="4"/>
  <c r="J927" i="4"/>
  <c r="I927" i="4"/>
  <c r="H927" i="4"/>
  <c r="D927" i="4"/>
  <c r="C926" i="4"/>
  <c r="D926" i="4"/>
  <c r="F926" i="4"/>
  <c r="G926" i="4"/>
  <c r="H926" i="4"/>
  <c r="I926" i="4"/>
  <c r="J926" i="4"/>
  <c r="K926" i="4"/>
  <c r="L926" i="4"/>
  <c r="E926" i="4"/>
  <c r="B926" i="4"/>
  <c r="B925" i="4"/>
  <c r="C925" i="4"/>
  <c r="D925" i="4"/>
  <c r="E925" i="4"/>
  <c r="F925" i="4"/>
  <c r="G925" i="4"/>
  <c r="H925" i="4"/>
  <c r="I925" i="4"/>
  <c r="J925" i="4"/>
  <c r="K925" i="4"/>
  <c r="L925" i="4"/>
  <c r="H924" i="4"/>
  <c r="I924" i="4"/>
  <c r="J924" i="4"/>
  <c r="K924" i="4"/>
  <c r="L924" i="4"/>
  <c r="B924" i="4"/>
  <c r="C924" i="4"/>
  <c r="D924" i="4"/>
  <c r="E924" i="4"/>
  <c r="F924" i="4"/>
  <c r="G924" i="4"/>
  <c r="B923" i="4"/>
  <c r="C923" i="4"/>
  <c r="D923" i="4"/>
  <c r="F923" i="4"/>
  <c r="E923" i="4"/>
  <c r="L923" i="4"/>
  <c r="K923" i="4"/>
  <c r="J923" i="4"/>
  <c r="I923" i="4"/>
  <c r="H923" i="4"/>
  <c r="G923" i="4"/>
  <c r="L922" i="4"/>
  <c r="J922" i="4"/>
  <c r="B922" i="4"/>
  <c r="C922" i="4"/>
  <c r="D922" i="4"/>
  <c r="E922" i="4"/>
  <c r="F922" i="4"/>
  <c r="G922" i="4"/>
  <c r="H922" i="4"/>
  <c r="I922" i="4"/>
  <c r="K922" i="4"/>
  <c r="E921" i="4"/>
  <c r="F921" i="4"/>
  <c r="L921" i="4"/>
  <c r="K921" i="4"/>
  <c r="J921" i="4"/>
  <c r="I921" i="4"/>
  <c r="H921" i="4"/>
  <c r="G921" i="4"/>
  <c r="D921" i="4"/>
  <c r="C921" i="4"/>
  <c r="B921" i="4"/>
  <c r="H920" i="4"/>
  <c r="G920" i="4"/>
  <c r="F920" i="4"/>
  <c r="C920" i="4"/>
  <c r="L920" i="4"/>
  <c r="K920" i="4"/>
  <c r="B920" i="4"/>
  <c r="D920" i="4"/>
  <c r="E920" i="4"/>
  <c r="J920" i="4"/>
  <c r="I920" i="4"/>
  <c r="H919" i="4"/>
  <c r="I919" i="4"/>
  <c r="K919" i="4"/>
  <c r="L919" i="4"/>
  <c r="F919" i="4"/>
  <c r="D919" i="4"/>
  <c r="E919" i="4"/>
  <c r="J919" i="4"/>
  <c r="C919" i="4"/>
  <c r="B919" i="4"/>
  <c r="G919" i="4"/>
  <c r="B918" i="4"/>
  <c r="C918" i="4"/>
  <c r="J918" i="4"/>
  <c r="I918" i="4"/>
  <c r="G918" i="4"/>
  <c r="D918" i="4"/>
  <c r="F918" i="4"/>
  <c r="L918" i="4"/>
  <c r="K918" i="4"/>
  <c r="H918" i="4"/>
  <c r="E918" i="4"/>
  <c r="B917" i="4"/>
  <c r="K917" i="4"/>
  <c r="J917" i="4"/>
  <c r="I917" i="4"/>
  <c r="H917" i="4"/>
  <c r="G917" i="4"/>
  <c r="F917" i="4"/>
  <c r="E917" i="4"/>
  <c r="D917" i="4"/>
  <c r="C917" i="4"/>
  <c r="L917" i="4"/>
  <c r="F916" i="4"/>
  <c r="C916" i="4"/>
  <c r="B916" i="4"/>
  <c r="D916" i="4"/>
  <c r="E916" i="4"/>
  <c r="J916" i="4"/>
  <c r="I916" i="4"/>
  <c r="H916" i="4"/>
  <c r="G916" i="4"/>
  <c r="K916" i="4"/>
  <c r="L916" i="4"/>
  <c r="C915" i="4"/>
  <c r="B915" i="4"/>
  <c r="J915" i="4"/>
  <c r="K915" i="4"/>
  <c r="L915" i="4"/>
  <c r="E915" i="4"/>
  <c r="I915" i="4"/>
  <c r="D915" i="4"/>
  <c r="G915" i="4"/>
  <c r="H915" i="4"/>
  <c r="F915" i="4"/>
  <c r="I914" i="4"/>
  <c r="G914" i="4"/>
  <c r="J914" i="4"/>
  <c r="B914" i="4"/>
  <c r="C914" i="4"/>
  <c r="D914" i="4"/>
  <c r="K914" i="4"/>
  <c r="F914" i="4"/>
  <c r="L914" i="4"/>
  <c r="H914" i="4"/>
  <c r="E914" i="4"/>
  <c r="D913" i="4"/>
  <c r="E913" i="4"/>
  <c r="F913" i="4"/>
  <c r="G913" i="4"/>
  <c r="H913" i="4"/>
  <c r="J913" i="4"/>
  <c r="L913" i="4"/>
  <c r="K913" i="4"/>
  <c r="I913" i="4"/>
  <c r="B913" i="4"/>
  <c r="C913" i="4"/>
  <c r="J912" i="4"/>
  <c r="D912" i="4"/>
  <c r="H912" i="4"/>
  <c r="I912" i="4"/>
  <c r="G912" i="4"/>
  <c r="C912" i="4"/>
  <c r="B912" i="4"/>
  <c r="L912" i="4"/>
  <c r="K912" i="4"/>
  <c r="F912" i="4"/>
  <c r="E912" i="4"/>
  <c r="D911" i="4"/>
  <c r="E911" i="4"/>
  <c r="F911" i="4"/>
  <c r="G911" i="4"/>
  <c r="I911" i="4"/>
  <c r="H911" i="4"/>
  <c r="L911" i="4"/>
  <c r="K911" i="4"/>
  <c r="J911" i="4"/>
  <c r="B911" i="4"/>
  <c r="C911" i="4"/>
  <c r="H910" i="4"/>
  <c r="B910" i="4"/>
  <c r="I910" i="4"/>
  <c r="K910" i="4"/>
  <c r="D910" i="4"/>
  <c r="E910" i="4"/>
  <c r="J910" i="4"/>
  <c r="L910" i="4"/>
  <c r="F910" i="4"/>
  <c r="G910" i="4"/>
  <c r="C910" i="4"/>
  <c r="F909" i="4"/>
  <c r="L909" i="4"/>
  <c r="K909" i="4"/>
  <c r="J909" i="4"/>
  <c r="I909" i="4"/>
  <c r="H909" i="4"/>
  <c r="G909" i="4"/>
  <c r="E909" i="4"/>
  <c r="D909" i="4"/>
  <c r="C909" i="4"/>
  <c r="B909" i="4"/>
  <c r="G908" i="4"/>
  <c r="E908" i="4"/>
  <c r="B908" i="4"/>
  <c r="C908" i="4"/>
  <c r="J908" i="4"/>
  <c r="D908" i="4"/>
  <c r="L908" i="4"/>
  <c r="K908" i="4"/>
  <c r="I908" i="4"/>
  <c r="H908" i="4"/>
  <c r="F908" i="4"/>
  <c r="K907" i="4"/>
  <c r="H907" i="4"/>
  <c r="I907" i="4"/>
  <c r="L907" i="4"/>
  <c r="F907" i="4"/>
  <c r="C907" i="4"/>
  <c r="J907" i="4"/>
  <c r="B907" i="4"/>
  <c r="G907" i="4"/>
  <c r="E907" i="4"/>
  <c r="D907" i="4"/>
  <c r="G906" i="4"/>
  <c r="H906" i="4"/>
  <c r="I906" i="4"/>
  <c r="J906" i="4"/>
  <c r="K906" i="4"/>
  <c r="F906" i="4"/>
  <c r="L906" i="4"/>
  <c r="C906" i="4"/>
  <c r="B906" i="4"/>
  <c r="E906" i="4"/>
  <c r="D906" i="4"/>
  <c r="I905" i="4"/>
  <c r="H905" i="4"/>
  <c r="D905" i="4"/>
  <c r="F905" i="4"/>
  <c r="E905" i="4"/>
  <c r="C905" i="4"/>
  <c r="B905" i="4"/>
  <c r="J905" i="4"/>
  <c r="G905" i="4"/>
  <c r="L905" i="4"/>
  <c r="K905" i="4"/>
  <c r="G904" i="4"/>
  <c r="L904" i="4"/>
  <c r="C904" i="4"/>
  <c r="H904" i="4"/>
  <c r="K904" i="4"/>
  <c r="J904" i="4"/>
  <c r="I904" i="4"/>
  <c r="F904" i="4"/>
  <c r="E904" i="4"/>
  <c r="D904" i="4"/>
  <c r="B904" i="4"/>
  <c r="I903" i="4"/>
  <c r="L903" i="4"/>
  <c r="K903" i="4"/>
  <c r="J903" i="4"/>
  <c r="H903" i="4"/>
  <c r="G903" i="4"/>
  <c r="F903" i="4"/>
  <c r="E903" i="4"/>
  <c r="D903" i="4"/>
  <c r="C903" i="4"/>
  <c r="B903" i="4"/>
  <c r="F902" i="4"/>
  <c r="I902" i="4"/>
  <c r="H902" i="4"/>
  <c r="E902" i="4"/>
  <c r="D902" i="4"/>
  <c r="C902" i="4"/>
  <c r="B902" i="4"/>
  <c r="J902" i="4"/>
  <c r="G902" i="4"/>
  <c r="L902" i="4"/>
  <c r="K902" i="4"/>
  <c r="G901" i="4"/>
  <c r="I901" i="4"/>
  <c r="J901" i="4"/>
  <c r="K901" i="4"/>
  <c r="L901" i="4"/>
  <c r="H901" i="4"/>
  <c r="B901" i="4"/>
  <c r="C901" i="4"/>
  <c r="D901" i="4"/>
  <c r="E901" i="4"/>
  <c r="F901" i="4"/>
  <c r="J900" i="4"/>
  <c r="K900" i="4"/>
  <c r="B900" i="4"/>
  <c r="I900" i="4"/>
  <c r="H900" i="4"/>
  <c r="G900" i="4"/>
  <c r="F900" i="4"/>
  <c r="C900" i="4"/>
  <c r="D900" i="4"/>
  <c r="E900" i="4"/>
  <c r="L900" i="4"/>
  <c r="J899" i="4"/>
  <c r="K899" i="4"/>
  <c r="L899" i="4"/>
  <c r="B899" i="4"/>
  <c r="D899" i="4"/>
  <c r="E899" i="4"/>
  <c r="F899" i="4"/>
  <c r="G899" i="4"/>
  <c r="H899" i="4"/>
  <c r="I899" i="4"/>
  <c r="C899" i="4"/>
  <c r="C898" i="4"/>
  <c r="D898" i="4"/>
  <c r="E898" i="4"/>
  <c r="B898" i="4"/>
  <c r="F898" i="4"/>
  <c r="K898" i="4"/>
  <c r="J898" i="4"/>
  <c r="L898" i="4"/>
  <c r="I898" i="4"/>
  <c r="H898" i="4"/>
  <c r="G898" i="4"/>
  <c r="G897" i="4"/>
  <c r="H897" i="4"/>
  <c r="B897" i="4"/>
  <c r="C897" i="4"/>
  <c r="D897" i="4"/>
  <c r="E897" i="4"/>
  <c r="F897" i="4"/>
  <c r="I897" i="4"/>
  <c r="J897" i="4"/>
  <c r="K897" i="4"/>
  <c r="L897" i="4"/>
  <c r="K896" i="4"/>
  <c r="L896" i="4"/>
  <c r="F896" i="4"/>
  <c r="G896" i="4"/>
  <c r="H896" i="4"/>
  <c r="J896" i="4"/>
  <c r="I896" i="4"/>
  <c r="E896" i="4"/>
  <c r="D896" i="4"/>
  <c r="C896" i="4"/>
  <c r="B896" i="4"/>
  <c r="F895" i="4"/>
  <c r="E895" i="4"/>
  <c r="D895" i="4"/>
  <c r="C895" i="4"/>
  <c r="B895" i="4"/>
  <c r="J895" i="4"/>
  <c r="I895" i="4"/>
  <c r="H895" i="4"/>
  <c r="L895" i="4"/>
  <c r="G895" i="4"/>
  <c r="K895" i="4"/>
  <c r="H894" i="4"/>
  <c r="I894" i="4"/>
  <c r="J894" i="4"/>
  <c r="K894" i="4"/>
  <c r="L894" i="4"/>
  <c r="E894" i="4"/>
  <c r="D894" i="4"/>
  <c r="C894" i="4"/>
  <c r="B894" i="4"/>
  <c r="G894" i="4"/>
  <c r="F894" i="4"/>
  <c r="K893" i="4"/>
  <c r="B893" i="4"/>
  <c r="C893" i="4"/>
  <c r="D893" i="4"/>
  <c r="E893" i="4"/>
  <c r="F893" i="4"/>
  <c r="G893" i="4"/>
  <c r="H893" i="4"/>
  <c r="I893" i="4"/>
  <c r="J893" i="4"/>
  <c r="L893" i="4"/>
  <c r="F892" i="4"/>
  <c r="G892" i="4"/>
  <c r="H892" i="4"/>
  <c r="I892" i="4"/>
  <c r="J892" i="4"/>
  <c r="K892" i="4"/>
  <c r="L892" i="4"/>
  <c r="B892" i="4"/>
  <c r="C892" i="4"/>
  <c r="D892" i="4"/>
  <c r="E892" i="4"/>
  <c r="K891" i="4"/>
  <c r="D891" i="4"/>
  <c r="C891" i="4"/>
  <c r="B891" i="4"/>
  <c r="E891" i="4"/>
  <c r="G891" i="4"/>
  <c r="H891" i="4"/>
  <c r="I891" i="4"/>
  <c r="J891" i="4"/>
  <c r="L891" i="4"/>
  <c r="F891" i="4"/>
  <c r="I890" i="4"/>
  <c r="B890" i="4"/>
  <c r="G890" i="4"/>
  <c r="H890" i="4"/>
  <c r="F890" i="4"/>
  <c r="L890" i="4"/>
  <c r="K890" i="4"/>
  <c r="J890" i="4"/>
  <c r="C890" i="4"/>
  <c r="D890" i="4"/>
  <c r="E890" i="4"/>
  <c r="F889" i="4"/>
  <c r="J889" i="4"/>
  <c r="K889" i="4"/>
  <c r="I889" i="4"/>
  <c r="H889" i="4"/>
  <c r="G889" i="4"/>
  <c r="E889" i="4"/>
  <c r="D889" i="4"/>
  <c r="C889" i="4"/>
  <c r="B889" i="4"/>
  <c r="L889" i="4"/>
  <c r="K888" i="4"/>
  <c r="C888" i="4"/>
  <c r="D888" i="4"/>
  <c r="E888" i="4"/>
  <c r="F888" i="4"/>
  <c r="B888" i="4"/>
  <c r="H888" i="4"/>
  <c r="J888" i="4"/>
  <c r="I888" i="4"/>
  <c r="G888" i="4"/>
  <c r="L888" i="4"/>
  <c r="L887" i="4"/>
  <c r="K887" i="4"/>
  <c r="J887" i="4"/>
  <c r="H887" i="4"/>
  <c r="G887" i="4"/>
  <c r="E887" i="4"/>
  <c r="D887" i="4"/>
  <c r="C887" i="4"/>
  <c r="B887" i="4"/>
  <c r="F887" i="4"/>
  <c r="I887" i="4"/>
  <c r="L886" i="4"/>
  <c r="K886" i="4"/>
  <c r="B886" i="4"/>
  <c r="F886" i="4"/>
  <c r="C886" i="4"/>
  <c r="E886" i="4"/>
  <c r="D886" i="4"/>
  <c r="G886" i="4"/>
  <c r="H886" i="4"/>
  <c r="I886" i="4"/>
  <c r="J886" i="4"/>
  <c r="G885" i="4"/>
  <c r="F885" i="4"/>
  <c r="E885" i="4"/>
  <c r="J885" i="4"/>
  <c r="K885" i="4"/>
  <c r="H885" i="4"/>
  <c r="D885" i="4"/>
  <c r="I885" i="4"/>
  <c r="L885" i="4"/>
  <c r="B885" i="4"/>
  <c r="C885" i="4"/>
  <c r="D884" i="4"/>
  <c r="L884" i="4"/>
  <c r="B884" i="4"/>
  <c r="C884" i="4"/>
  <c r="E884" i="4"/>
  <c r="F884" i="4"/>
  <c r="G884" i="4"/>
  <c r="H884" i="4"/>
  <c r="I884" i="4"/>
  <c r="J884" i="4"/>
  <c r="K884" i="4"/>
  <c r="I883" i="4"/>
  <c r="J883" i="4"/>
  <c r="K883" i="4"/>
  <c r="L883" i="4"/>
  <c r="H883" i="4"/>
  <c r="G883" i="4"/>
  <c r="F883" i="4"/>
  <c r="E883" i="4"/>
  <c r="D883" i="4"/>
  <c r="C883" i="4"/>
  <c r="B883" i="4"/>
  <c r="J882" i="4"/>
  <c r="I882" i="4"/>
  <c r="H882" i="4"/>
  <c r="G882" i="4"/>
  <c r="F882" i="4"/>
  <c r="E882" i="4"/>
  <c r="B882" i="4"/>
  <c r="D882" i="4"/>
  <c r="K882" i="4"/>
  <c r="C882" i="4"/>
  <c r="L882" i="4"/>
  <c r="L881" i="4"/>
  <c r="E881" i="4"/>
  <c r="B881" i="4"/>
  <c r="I881" i="4"/>
  <c r="D881" i="4"/>
  <c r="C881" i="4"/>
  <c r="K881" i="4"/>
  <c r="J881" i="4"/>
  <c r="G881" i="4"/>
  <c r="H881" i="4"/>
  <c r="F881" i="4"/>
  <c r="E880" i="4"/>
  <c r="L880" i="4"/>
  <c r="D880" i="4"/>
  <c r="B880" i="4"/>
  <c r="H880" i="4"/>
  <c r="K880" i="4"/>
  <c r="G880" i="4"/>
  <c r="J880" i="4"/>
  <c r="F880" i="4"/>
  <c r="C880" i="4"/>
  <c r="I880" i="4"/>
  <c r="J879" i="4"/>
  <c r="F879" i="4"/>
  <c r="D879" i="4"/>
  <c r="G879" i="4"/>
  <c r="H879" i="4"/>
  <c r="E879" i="4"/>
  <c r="I879" i="4"/>
  <c r="B879" i="4"/>
  <c r="L879" i="4"/>
  <c r="K879" i="4"/>
  <c r="C879" i="4"/>
  <c r="L878" i="4"/>
  <c r="G878" i="4"/>
  <c r="C878" i="4"/>
  <c r="J878" i="4"/>
  <c r="D878" i="4"/>
  <c r="B878" i="4"/>
  <c r="I878" i="4"/>
  <c r="E878" i="4"/>
  <c r="K878" i="4"/>
  <c r="F878" i="4"/>
  <c r="H878" i="4"/>
  <c r="H877" i="4"/>
  <c r="B877" i="4"/>
  <c r="D877" i="4"/>
  <c r="J877" i="4"/>
  <c r="K877" i="4"/>
  <c r="C877" i="4"/>
  <c r="L877" i="4"/>
  <c r="I877" i="4"/>
  <c r="G877" i="4"/>
  <c r="F877" i="4"/>
  <c r="E877" i="4"/>
  <c r="B876" i="4"/>
  <c r="C876" i="4"/>
  <c r="D876" i="4"/>
  <c r="E876" i="4"/>
  <c r="G876" i="4"/>
  <c r="I876" i="4"/>
  <c r="H876" i="4"/>
  <c r="F876" i="4"/>
  <c r="H875" i="4"/>
  <c r="L875" i="4"/>
  <c r="C875" i="4"/>
  <c r="D875" i="4"/>
  <c r="J875" i="4"/>
  <c r="E875" i="4"/>
  <c r="I875" i="4"/>
  <c r="F875" i="4"/>
  <c r="K875" i="4"/>
  <c r="G875" i="4"/>
  <c r="B875" i="4"/>
  <c r="D874" i="4"/>
  <c r="E874" i="4"/>
  <c r="F874" i="4"/>
  <c r="H874" i="4"/>
  <c r="G874" i="4"/>
  <c r="I874" i="4"/>
  <c r="K874" i="4"/>
  <c r="J874" i="4"/>
  <c r="B874" i="4"/>
  <c r="C874" i="4"/>
  <c r="L874" i="4"/>
  <c r="I873" i="4"/>
  <c r="H873" i="4"/>
  <c r="G873" i="4"/>
  <c r="L873" i="4"/>
  <c r="F873" i="4"/>
  <c r="E873" i="4"/>
  <c r="K873" i="4"/>
  <c r="D873" i="4"/>
  <c r="C873" i="4"/>
  <c r="B873" i="4"/>
  <c r="J873" i="4"/>
  <c r="G872" i="4"/>
  <c r="I872" i="4"/>
  <c r="K872" i="4"/>
  <c r="H872" i="4"/>
  <c r="B872" i="4"/>
  <c r="C872" i="4"/>
  <c r="D872" i="4"/>
  <c r="L872" i="4"/>
  <c r="E872" i="4"/>
  <c r="J872" i="4"/>
  <c r="F872" i="4"/>
  <c r="H871" i="4"/>
  <c r="G871" i="4"/>
  <c r="L871" i="4"/>
  <c r="K871" i="4"/>
  <c r="F871" i="4"/>
  <c r="J871" i="4"/>
  <c r="I871" i="4"/>
  <c r="E871" i="4"/>
  <c r="D871" i="4"/>
  <c r="C871" i="4"/>
  <c r="B871" i="4"/>
  <c r="K870" i="4"/>
  <c r="L870" i="4"/>
  <c r="J870" i="4"/>
  <c r="I870" i="4"/>
  <c r="H870" i="4"/>
  <c r="G870" i="4"/>
  <c r="F870" i="4"/>
  <c r="E870" i="4"/>
  <c r="D870" i="4"/>
  <c r="C870" i="4"/>
  <c r="B870" i="4"/>
  <c r="B869" i="4"/>
  <c r="C869" i="4"/>
  <c r="I869" i="4"/>
  <c r="H869" i="4"/>
  <c r="L869" i="4"/>
  <c r="K869" i="4"/>
  <c r="J869" i="4"/>
  <c r="G869" i="4"/>
  <c r="F869" i="4"/>
  <c r="E869" i="4"/>
  <c r="D869" i="4"/>
  <c r="I868" i="4"/>
  <c r="G868" i="4"/>
  <c r="F868" i="4"/>
  <c r="E868" i="4"/>
  <c r="C868" i="4"/>
  <c r="B868" i="4"/>
  <c r="K868" i="4"/>
  <c r="L868" i="4"/>
  <c r="H868" i="4"/>
  <c r="D868" i="4"/>
  <c r="J868" i="4"/>
  <c r="H867" i="4"/>
  <c r="E867" i="4"/>
  <c r="D867" i="4"/>
  <c r="F867" i="4"/>
  <c r="G867" i="4"/>
  <c r="I867" i="4"/>
  <c r="J867" i="4"/>
  <c r="K867" i="4"/>
  <c r="L867" i="4"/>
  <c r="C867" i="4"/>
  <c r="B867" i="4"/>
  <c r="D866" i="4"/>
  <c r="J866" i="4"/>
  <c r="K866" i="4"/>
  <c r="L866" i="4"/>
  <c r="H866" i="4"/>
  <c r="C866" i="4"/>
  <c r="G866" i="4"/>
  <c r="F866" i="4"/>
  <c r="E866" i="4"/>
  <c r="B866" i="4"/>
  <c r="I866" i="4"/>
  <c r="H865" i="4"/>
  <c r="I865" i="4"/>
  <c r="J865" i="4"/>
  <c r="K865" i="4"/>
  <c r="L865" i="4"/>
  <c r="F865" i="4"/>
  <c r="B865" i="4"/>
  <c r="C865" i="4"/>
  <c r="D865" i="4"/>
  <c r="E865" i="4"/>
  <c r="G865" i="4"/>
  <c r="B864" i="4"/>
  <c r="J864" i="4"/>
  <c r="D864" i="4"/>
  <c r="E864" i="4"/>
  <c r="F864" i="4"/>
  <c r="G864" i="4"/>
  <c r="I864" i="4"/>
  <c r="H864" i="4"/>
  <c r="K864" i="4"/>
  <c r="C864" i="4"/>
  <c r="L864" i="4"/>
  <c r="K863" i="4"/>
  <c r="L863" i="4"/>
  <c r="F863" i="4"/>
  <c r="G863" i="4"/>
  <c r="H863" i="4"/>
  <c r="I863" i="4"/>
  <c r="J863" i="4"/>
  <c r="E863" i="4"/>
  <c r="D863" i="4"/>
  <c r="C863" i="4"/>
  <c r="B863" i="4"/>
  <c r="L862" i="4"/>
  <c r="K862" i="4"/>
  <c r="J862" i="4"/>
  <c r="I862" i="4"/>
  <c r="H862" i="4"/>
  <c r="G862" i="4"/>
  <c r="F862" i="4"/>
  <c r="E862" i="4"/>
  <c r="D862" i="4"/>
  <c r="C862" i="4"/>
  <c r="B862" i="4"/>
  <c r="L861" i="4"/>
  <c r="K861" i="4"/>
  <c r="J861" i="4"/>
  <c r="I861" i="4"/>
  <c r="H861" i="4"/>
  <c r="G861" i="4"/>
  <c r="F861" i="4"/>
  <c r="E861" i="4"/>
  <c r="D861" i="4"/>
  <c r="C861" i="4"/>
  <c r="B861" i="4"/>
  <c r="L860" i="4"/>
  <c r="K860" i="4"/>
  <c r="J860" i="4"/>
  <c r="I860" i="4"/>
  <c r="H860" i="4"/>
  <c r="G860" i="4"/>
  <c r="F860" i="4"/>
  <c r="E860" i="4"/>
  <c r="D860" i="4"/>
  <c r="C860" i="4"/>
  <c r="B860" i="4"/>
  <c r="L859" i="4"/>
  <c r="K859" i="4"/>
  <c r="J859" i="4"/>
  <c r="I859" i="4"/>
  <c r="H859" i="4"/>
  <c r="G859" i="4"/>
  <c r="F859" i="4"/>
  <c r="E859" i="4"/>
  <c r="D859" i="4"/>
  <c r="C859" i="4"/>
  <c r="B859" i="4"/>
  <c r="L858" i="4"/>
  <c r="K858" i="4"/>
  <c r="J858" i="4"/>
  <c r="I858" i="4"/>
  <c r="H858" i="4"/>
  <c r="G858" i="4"/>
  <c r="F858" i="4"/>
  <c r="E858" i="4"/>
  <c r="D858" i="4"/>
  <c r="C858" i="4"/>
  <c r="B858" i="4"/>
  <c r="L857" i="4"/>
  <c r="K857" i="4"/>
  <c r="J857" i="4"/>
  <c r="I857" i="4"/>
  <c r="H857" i="4"/>
  <c r="G857" i="4"/>
  <c r="F857" i="4"/>
  <c r="E857" i="4"/>
  <c r="D857" i="4"/>
  <c r="C857" i="4"/>
  <c r="B857" i="4"/>
  <c r="L856" i="4"/>
  <c r="K856" i="4"/>
  <c r="J856" i="4"/>
  <c r="I856" i="4"/>
  <c r="H856" i="4"/>
  <c r="G856" i="4"/>
  <c r="F856" i="4"/>
  <c r="E856" i="4"/>
  <c r="D856" i="4"/>
  <c r="C856" i="4"/>
  <c r="B856" i="4"/>
  <c r="L855" i="4"/>
  <c r="K855" i="4"/>
  <c r="J855" i="4"/>
  <c r="I855" i="4"/>
  <c r="H855" i="4"/>
  <c r="G855" i="4"/>
  <c r="F855" i="4"/>
  <c r="E855" i="4"/>
  <c r="D855" i="4"/>
  <c r="C855" i="4"/>
  <c r="B855" i="4"/>
  <c r="L854" i="4"/>
  <c r="K854" i="4"/>
  <c r="J854" i="4"/>
  <c r="I854" i="4"/>
  <c r="H854" i="4"/>
  <c r="G854" i="4"/>
  <c r="F854" i="4"/>
  <c r="E854" i="4"/>
  <c r="D854" i="4"/>
  <c r="C854" i="4"/>
  <c r="B854" i="4"/>
  <c r="L853" i="4"/>
  <c r="K853" i="4"/>
  <c r="J853" i="4"/>
  <c r="I853" i="4"/>
  <c r="H853" i="4"/>
  <c r="G853" i="4"/>
  <c r="F853" i="4"/>
  <c r="E853" i="4"/>
  <c r="D853" i="4"/>
  <c r="C853" i="4"/>
  <c r="B853" i="4"/>
  <c r="L852" i="4"/>
  <c r="K852" i="4"/>
  <c r="J852" i="4"/>
  <c r="I852" i="4"/>
  <c r="H852" i="4"/>
  <c r="G852" i="4"/>
  <c r="F852" i="4"/>
  <c r="E852" i="4"/>
  <c r="D852" i="4"/>
  <c r="C852" i="4"/>
  <c r="B852" i="4"/>
  <c r="L851" i="4"/>
  <c r="K851" i="4"/>
  <c r="J851" i="4"/>
  <c r="I851" i="4"/>
  <c r="H851" i="4"/>
  <c r="G851" i="4"/>
  <c r="F851" i="4"/>
  <c r="E851" i="4"/>
  <c r="D851" i="4"/>
  <c r="C851" i="4"/>
  <c r="B851" i="4"/>
  <c r="L850" i="4"/>
  <c r="K850" i="4"/>
  <c r="J850" i="4"/>
  <c r="I850" i="4"/>
  <c r="H850" i="4"/>
  <c r="G850" i="4"/>
  <c r="F850" i="4"/>
  <c r="E850" i="4"/>
  <c r="D850" i="4"/>
  <c r="C850" i="4"/>
  <c r="B850" i="4"/>
  <c r="L849" i="4"/>
  <c r="K849" i="4"/>
  <c r="J849" i="4"/>
  <c r="I849" i="4"/>
  <c r="H849" i="4"/>
  <c r="G849" i="4"/>
  <c r="F849" i="4"/>
  <c r="E849" i="4"/>
  <c r="D849" i="4"/>
  <c r="C849" i="4"/>
  <c r="B849" i="4"/>
  <c r="L848" i="4"/>
  <c r="K848" i="4"/>
  <c r="J848" i="4"/>
  <c r="I848" i="4"/>
  <c r="H848" i="4"/>
  <c r="G848" i="4"/>
  <c r="F848" i="4"/>
  <c r="E848" i="4"/>
  <c r="D848" i="4"/>
  <c r="C848" i="4"/>
  <c r="B848" i="4"/>
  <c r="L847" i="4"/>
  <c r="K847" i="4"/>
  <c r="J847" i="4"/>
  <c r="I847" i="4"/>
  <c r="H847" i="4"/>
  <c r="G847" i="4"/>
  <c r="F847" i="4"/>
  <c r="E847" i="4"/>
  <c r="D847" i="4"/>
  <c r="C847" i="4"/>
  <c r="B847" i="4"/>
  <c r="L846" i="4"/>
  <c r="K846" i="4"/>
  <c r="J846" i="4"/>
  <c r="I846" i="4"/>
  <c r="H846" i="4"/>
  <c r="G846" i="4"/>
  <c r="F846" i="4"/>
  <c r="E846" i="4"/>
  <c r="D846" i="4"/>
  <c r="C846" i="4"/>
  <c r="B846" i="4"/>
  <c r="L845" i="4"/>
  <c r="K845" i="4"/>
  <c r="J845" i="4"/>
  <c r="I845" i="4"/>
  <c r="H845" i="4"/>
  <c r="G845" i="4"/>
  <c r="F845" i="4"/>
  <c r="E845" i="4"/>
  <c r="D845" i="4"/>
  <c r="C845" i="4"/>
  <c r="B845" i="4"/>
  <c r="B844" i="4"/>
  <c r="L844" i="4"/>
  <c r="K844" i="4"/>
  <c r="J844" i="4"/>
  <c r="I844" i="4"/>
  <c r="H844" i="4"/>
  <c r="G844" i="4"/>
  <c r="F844" i="4"/>
  <c r="E844" i="4"/>
  <c r="D844" i="4"/>
  <c r="C844" i="4"/>
  <c r="K843" i="4"/>
  <c r="E843" i="4"/>
  <c r="F843" i="4"/>
  <c r="G843" i="4"/>
  <c r="H843" i="4"/>
  <c r="I843" i="4"/>
  <c r="J843" i="4"/>
  <c r="L843" i="4"/>
  <c r="B843" i="4"/>
  <c r="C843" i="4"/>
  <c r="D843" i="4"/>
  <c r="C842" i="4"/>
  <c r="B842" i="4"/>
  <c r="E842" i="4"/>
  <c r="D842" i="4"/>
  <c r="L842" i="4"/>
  <c r="F842" i="4"/>
  <c r="G842" i="4"/>
  <c r="H842" i="4"/>
  <c r="I842" i="4"/>
  <c r="J842" i="4"/>
  <c r="K842" i="4"/>
  <c r="F841" i="4"/>
  <c r="E841" i="4"/>
  <c r="D841" i="4"/>
  <c r="C841" i="4"/>
  <c r="B841" i="4"/>
  <c r="I841" i="4"/>
  <c r="L841" i="4"/>
  <c r="K841" i="4"/>
  <c r="J841" i="4"/>
  <c r="H841" i="4"/>
  <c r="G841" i="4"/>
  <c r="B840" i="4"/>
  <c r="C840" i="4"/>
  <c r="E840" i="4"/>
  <c r="F840" i="4"/>
  <c r="G840" i="4"/>
  <c r="H840" i="4"/>
  <c r="J840" i="4"/>
  <c r="I840" i="4"/>
  <c r="K840" i="4"/>
  <c r="D840" i="4"/>
  <c r="L840" i="4"/>
  <c r="I839" i="4"/>
  <c r="J839" i="4"/>
  <c r="K839" i="4"/>
  <c r="C839" i="4"/>
  <c r="L839" i="4"/>
  <c r="B839" i="4"/>
  <c r="H839" i="4"/>
  <c r="G839" i="4"/>
  <c r="F839" i="4"/>
  <c r="E839" i="4"/>
  <c r="D839" i="4"/>
  <c r="I838" i="4"/>
  <c r="J838" i="4"/>
  <c r="K838" i="4"/>
  <c r="L838" i="4"/>
  <c r="B838" i="4"/>
  <c r="C838" i="4"/>
  <c r="D838" i="4"/>
  <c r="E838" i="4"/>
  <c r="F838" i="4"/>
  <c r="G838" i="4"/>
  <c r="H838" i="4"/>
  <c r="E837" i="4"/>
  <c r="D837" i="4"/>
  <c r="C837" i="4"/>
  <c r="B837" i="4"/>
  <c r="H837" i="4"/>
  <c r="I837" i="4"/>
  <c r="L837" i="4"/>
  <c r="K837" i="4"/>
  <c r="J837" i="4"/>
  <c r="G837" i="4"/>
  <c r="F837" i="4"/>
  <c r="K836" i="4"/>
  <c r="H836" i="4"/>
  <c r="G836" i="4"/>
  <c r="F836" i="4"/>
  <c r="D836" i="4"/>
  <c r="C836" i="4"/>
  <c r="B836" i="4"/>
  <c r="J836" i="4"/>
  <c r="E836" i="4"/>
  <c r="I836" i="4"/>
  <c r="L836" i="4"/>
  <c r="C835" i="4"/>
  <c r="B835" i="4"/>
  <c r="K835" i="4"/>
  <c r="J835" i="4"/>
  <c r="I835" i="4"/>
  <c r="H835" i="4"/>
  <c r="G835" i="4"/>
  <c r="F835" i="4"/>
  <c r="L835" i="4"/>
  <c r="D835" i="4"/>
  <c r="E835" i="4"/>
  <c r="B834" i="4"/>
  <c r="D834" i="4"/>
  <c r="L834" i="4"/>
  <c r="K834" i="4"/>
  <c r="J834" i="4"/>
  <c r="I834" i="4"/>
  <c r="H834" i="4"/>
  <c r="G834" i="4"/>
  <c r="E834" i="4"/>
  <c r="C834" i="4"/>
  <c r="F834" i="4"/>
  <c r="F833" i="4"/>
  <c r="B833" i="4"/>
  <c r="C833" i="4"/>
  <c r="D833" i="4"/>
  <c r="E833" i="4"/>
  <c r="G833" i="4"/>
  <c r="H833" i="4"/>
  <c r="L833" i="4"/>
  <c r="K833" i="4"/>
  <c r="J833" i="4"/>
  <c r="I833" i="4"/>
  <c r="K832" i="4"/>
  <c r="L832" i="4"/>
  <c r="I832" i="4"/>
  <c r="J832" i="4"/>
  <c r="H832" i="4"/>
  <c r="G832" i="4"/>
  <c r="F832" i="4"/>
  <c r="E832" i="4"/>
  <c r="D832" i="4"/>
  <c r="C832" i="4"/>
  <c r="B832" i="4"/>
  <c r="L831" i="4"/>
  <c r="B831" i="4"/>
  <c r="H831" i="4"/>
  <c r="G831" i="4"/>
  <c r="F831" i="4"/>
  <c r="E831" i="4"/>
  <c r="D831" i="4"/>
  <c r="C831" i="4"/>
  <c r="K831" i="4"/>
  <c r="J831" i="4"/>
  <c r="I831" i="4"/>
  <c r="D830" i="4"/>
  <c r="B830" i="4"/>
  <c r="C830" i="4"/>
  <c r="E830" i="4"/>
  <c r="F830" i="4"/>
  <c r="G830" i="4"/>
  <c r="H830" i="4"/>
  <c r="I830" i="4"/>
  <c r="J830" i="4"/>
  <c r="K830" i="4"/>
  <c r="L830" i="4"/>
  <c r="I829" i="4"/>
  <c r="E829" i="4"/>
  <c r="F829" i="4"/>
  <c r="C829" i="4"/>
  <c r="D829" i="4"/>
  <c r="G829" i="4"/>
  <c r="H829" i="4"/>
  <c r="J829" i="4"/>
  <c r="K829" i="4"/>
  <c r="L829" i="4"/>
  <c r="B829" i="4"/>
  <c r="D828" i="4"/>
  <c r="L828" i="4"/>
  <c r="K828" i="4"/>
  <c r="J828" i="4"/>
  <c r="I828" i="4"/>
  <c r="H828" i="4"/>
  <c r="G828" i="4"/>
  <c r="F828" i="4"/>
  <c r="E828" i="4"/>
  <c r="C828" i="4"/>
  <c r="B828" i="4"/>
  <c r="E827" i="4"/>
  <c r="C827" i="4"/>
  <c r="K827" i="4"/>
  <c r="D827" i="4"/>
  <c r="J827" i="4"/>
  <c r="I827" i="4"/>
  <c r="H827" i="4"/>
  <c r="G827" i="4"/>
  <c r="F827" i="4"/>
  <c r="L827" i="4"/>
  <c r="B827" i="4"/>
  <c r="D826" i="4"/>
  <c r="C826" i="4"/>
  <c r="B826" i="4"/>
  <c r="L826" i="4"/>
  <c r="K826" i="4"/>
  <c r="J826" i="4"/>
  <c r="I826" i="4"/>
  <c r="H826" i="4"/>
  <c r="G826" i="4"/>
  <c r="F826" i="4"/>
  <c r="E826" i="4"/>
  <c r="F825" i="4"/>
  <c r="L825" i="4"/>
  <c r="K825" i="4"/>
  <c r="J825" i="4"/>
  <c r="I825" i="4"/>
  <c r="H825" i="4"/>
  <c r="G825" i="4"/>
  <c r="B825" i="4"/>
  <c r="D825" i="4"/>
  <c r="C825" i="4"/>
  <c r="E825" i="4"/>
  <c r="B824" i="4"/>
  <c r="C824" i="4"/>
  <c r="F824" i="4"/>
  <c r="D824" i="4"/>
  <c r="G824" i="4"/>
  <c r="H824" i="4"/>
  <c r="I824" i="4"/>
  <c r="K824" i="4"/>
  <c r="L824" i="4"/>
  <c r="E824" i="4"/>
  <c r="J824" i="4"/>
  <c r="H823" i="4"/>
  <c r="L823" i="4"/>
  <c r="K823" i="4"/>
  <c r="J823" i="4"/>
  <c r="I823" i="4"/>
  <c r="G823" i="4"/>
  <c r="F823" i="4"/>
  <c r="E823" i="4"/>
  <c r="D823" i="4"/>
  <c r="C823" i="4"/>
  <c r="B823" i="4"/>
  <c r="L822" i="4"/>
  <c r="C822" i="4"/>
  <c r="B822" i="4"/>
  <c r="D822" i="4"/>
  <c r="E822" i="4"/>
  <c r="F822" i="4"/>
  <c r="G822" i="4"/>
  <c r="H822" i="4"/>
  <c r="I822" i="4"/>
  <c r="J822" i="4"/>
  <c r="K822" i="4"/>
  <c r="E821" i="4"/>
  <c r="F821" i="4"/>
  <c r="G821" i="4"/>
  <c r="I821" i="4"/>
  <c r="H821" i="4"/>
  <c r="B821" i="4"/>
  <c r="C821" i="4"/>
  <c r="J821" i="4"/>
  <c r="K821" i="4"/>
  <c r="L821" i="4"/>
  <c r="D821" i="4"/>
  <c r="C820" i="4"/>
  <c r="D820" i="4"/>
  <c r="E820" i="4"/>
  <c r="B820" i="4"/>
  <c r="G820" i="4"/>
  <c r="H820" i="4"/>
  <c r="I820" i="4"/>
  <c r="J820" i="4"/>
  <c r="K820" i="4"/>
  <c r="L820" i="4"/>
  <c r="F820" i="4"/>
  <c r="H819" i="4"/>
  <c r="I819" i="4"/>
  <c r="J819" i="4"/>
  <c r="K819" i="4"/>
  <c r="L819" i="4"/>
  <c r="G819" i="4"/>
  <c r="C819" i="4"/>
  <c r="D819" i="4"/>
  <c r="E819" i="4"/>
  <c r="F819" i="4"/>
  <c r="B819" i="4"/>
  <c r="B818" i="4"/>
  <c r="L818" i="4"/>
  <c r="K818" i="4"/>
  <c r="J818" i="4"/>
  <c r="I818" i="4"/>
  <c r="H818" i="4"/>
  <c r="G818" i="4"/>
  <c r="F818" i="4"/>
  <c r="E818" i="4"/>
  <c r="D818" i="4"/>
  <c r="C818" i="4"/>
  <c r="K817" i="4"/>
  <c r="B817" i="4"/>
  <c r="C817" i="4"/>
  <c r="D817" i="4"/>
  <c r="E817" i="4"/>
  <c r="F817" i="4"/>
  <c r="G817" i="4"/>
  <c r="H817" i="4"/>
  <c r="I817" i="4"/>
  <c r="J817" i="4"/>
  <c r="L817" i="4"/>
  <c r="B816" i="4"/>
  <c r="D816" i="4"/>
  <c r="C816" i="4"/>
  <c r="E816" i="4"/>
  <c r="F816" i="4"/>
  <c r="G816" i="4"/>
  <c r="H816" i="4"/>
  <c r="I816" i="4"/>
  <c r="J816" i="4"/>
  <c r="K816" i="4"/>
  <c r="L816" i="4"/>
  <c r="L815" i="4"/>
  <c r="K815" i="4"/>
  <c r="H815" i="4"/>
  <c r="I815" i="4"/>
  <c r="E815" i="4"/>
  <c r="B815" i="4"/>
  <c r="C815" i="4"/>
  <c r="D815" i="4"/>
  <c r="F815" i="4"/>
  <c r="G815" i="4"/>
  <c r="J815" i="4"/>
  <c r="D814" i="4"/>
  <c r="B814" i="4"/>
  <c r="C814" i="4"/>
  <c r="E814" i="4"/>
  <c r="F814" i="4"/>
  <c r="G814" i="4"/>
  <c r="H814" i="4"/>
  <c r="I814" i="4"/>
  <c r="J814" i="4"/>
  <c r="K814" i="4"/>
  <c r="L814" i="4"/>
  <c r="E813" i="4"/>
  <c r="I813" i="4"/>
  <c r="D813" i="4"/>
  <c r="K813" i="4"/>
  <c r="L813" i="4"/>
  <c r="C813" i="4"/>
  <c r="B813" i="4"/>
  <c r="J813" i="4"/>
  <c r="H813" i="4"/>
  <c r="G813" i="4"/>
  <c r="F813" i="4"/>
  <c r="H812" i="4"/>
  <c r="L812" i="4"/>
  <c r="I812" i="4"/>
  <c r="J812" i="4"/>
  <c r="K812" i="4"/>
  <c r="G812" i="4"/>
  <c r="B812" i="4"/>
  <c r="C812" i="4"/>
  <c r="D812" i="4"/>
  <c r="E812" i="4"/>
  <c r="F812" i="4"/>
  <c r="J811" i="4"/>
  <c r="E811" i="4"/>
  <c r="K811" i="4"/>
  <c r="G811" i="4"/>
  <c r="F811" i="4"/>
  <c r="I811" i="4"/>
  <c r="L811" i="4"/>
  <c r="H811" i="4"/>
  <c r="B811" i="4"/>
  <c r="C811" i="4"/>
  <c r="D811" i="4"/>
  <c r="K810" i="4"/>
  <c r="I810" i="4"/>
  <c r="C810" i="4"/>
  <c r="D810" i="4"/>
  <c r="E810" i="4"/>
  <c r="F810" i="4"/>
  <c r="G810" i="4"/>
  <c r="H810" i="4"/>
  <c r="J810" i="4"/>
  <c r="B810" i="4"/>
  <c r="L810" i="4"/>
  <c r="B809" i="4"/>
  <c r="C809" i="4"/>
  <c r="D809" i="4"/>
  <c r="E809" i="4"/>
  <c r="F809" i="4"/>
  <c r="G809" i="4"/>
  <c r="H809" i="4"/>
  <c r="L809" i="4"/>
  <c r="J809" i="4"/>
  <c r="K809" i="4"/>
  <c r="I809" i="4"/>
  <c r="B808" i="4"/>
  <c r="C808" i="4"/>
  <c r="D808" i="4"/>
  <c r="L808" i="4"/>
  <c r="K808" i="4"/>
  <c r="J808" i="4"/>
  <c r="H808" i="4"/>
  <c r="G808" i="4"/>
  <c r="F808" i="4"/>
  <c r="E808" i="4"/>
  <c r="I808" i="4"/>
  <c r="J807" i="4"/>
  <c r="K807" i="4"/>
  <c r="L807" i="4"/>
  <c r="I807" i="4"/>
  <c r="B807" i="4"/>
  <c r="C807" i="4"/>
  <c r="D807" i="4"/>
  <c r="E807" i="4"/>
  <c r="F807" i="4"/>
  <c r="G807" i="4"/>
  <c r="H807" i="4"/>
  <c r="G806" i="4"/>
  <c r="I806" i="4"/>
  <c r="J806" i="4"/>
  <c r="K806" i="4"/>
  <c r="B806" i="4"/>
  <c r="C806" i="4"/>
  <c r="D806" i="4"/>
  <c r="E806" i="4"/>
  <c r="F806" i="4"/>
  <c r="L806" i="4"/>
  <c r="H806" i="4"/>
  <c r="B805" i="4"/>
  <c r="C805" i="4"/>
  <c r="D805" i="4"/>
  <c r="E805" i="4"/>
  <c r="F805" i="4"/>
  <c r="G805" i="4"/>
  <c r="H805" i="4"/>
  <c r="I805" i="4"/>
  <c r="J805" i="4"/>
  <c r="K805" i="4"/>
  <c r="L805" i="4"/>
  <c r="J804" i="4"/>
  <c r="K804" i="4"/>
  <c r="L804" i="4"/>
  <c r="I804" i="4"/>
  <c r="E804" i="4"/>
  <c r="H804" i="4"/>
  <c r="D804" i="4"/>
  <c r="C804" i="4"/>
  <c r="B804" i="4"/>
  <c r="F804" i="4"/>
  <c r="G804" i="4"/>
  <c r="J803" i="4"/>
  <c r="I803" i="4"/>
  <c r="G803" i="4"/>
  <c r="F803" i="4"/>
  <c r="E803" i="4"/>
  <c r="D803" i="4"/>
  <c r="C803" i="4"/>
  <c r="B803" i="4"/>
  <c r="L803" i="4"/>
  <c r="K803" i="4"/>
  <c r="H803" i="4"/>
  <c r="L802" i="4"/>
  <c r="J802" i="4"/>
  <c r="I802" i="4"/>
  <c r="H802" i="4"/>
  <c r="G802" i="4"/>
  <c r="F802" i="4"/>
  <c r="K802" i="4"/>
  <c r="D802" i="4"/>
  <c r="C802" i="4"/>
  <c r="B802" i="4"/>
  <c r="E802" i="4"/>
  <c r="H801" i="4"/>
  <c r="I801" i="4"/>
  <c r="J801" i="4"/>
  <c r="K801" i="4"/>
  <c r="L801" i="4"/>
  <c r="E801" i="4"/>
  <c r="B801" i="4"/>
  <c r="C801" i="4"/>
  <c r="D801" i="4"/>
  <c r="F801" i="4"/>
  <c r="G801" i="4"/>
  <c r="B800" i="4"/>
  <c r="H800" i="4"/>
  <c r="G800" i="4"/>
  <c r="C800" i="4"/>
  <c r="D800" i="4"/>
  <c r="E800" i="4"/>
  <c r="F800" i="4"/>
  <c r="L800" i="4"/>
  <c r="K800" i="4"/>
  <c r="J800" i="4"/>
  <c r="I800" i="4"/>
  <c r="J799" i="4"/>
  <c r="K799" i="4"/>
  <c r="L799" i="4"/>
  <c r="B799" i="4"/>
  <c r="C799" i="4"/>
  <c r="D799" i="4"/>
  <c r="G799" i="4"/>
  <c r="H799" i="4"/>
  <c r="I799" i="4"/>
  <c r="F799" i="4"/>
  <c r="E799" i="4"/>
  <c r="G798" i="4"/>
  <c r="E798" i="4"/>
  <c r="C798" i="4"/>
  <c r="B798" i="4"/>
  <c r="F798" i="4"/>
  <c r="D798" i="4"/>
  <c r="H798" i="4"/>
  <c r="I798" i="4"/>
  <c r="J798" i="4"/>
  <c r="K798" i="4"/>
  <c r="L798" i="4"/>
  <c r="L797" i="4"/>
  <c r="K797" i="4"/>
  <c r="J797" i="4"/>
  <c r="I797" i="4"/>
  <c r="H797" i="4"/>
  <c r="G797" i="4"/>
  <c r="F797" i="4"/>
  <c r="E797" i="4"/>
  <c r="C797" i="4"/>
  <c r="B797" i="4"/>
  <c r="D797" i="4"/>
  <c r="L796" i="4"/>
  <c r="K796" i="4"/>
  <c r="J796" i="4"/>
  <c r="I796" i="4"/>
  <c r="H796" i="4"/>
  <c r="G796" i="4"/>
  <c r="F796" i="4"/>
  <c r="E796" i="4"/>
  <c r="D796" i="4"/>
  <c r="B796" i="4"/>
  <c r="C796" i="4"/>
  <c r="E795" i="4"/>
  <c r="C795" i="4"/>
  <c r="L795" i="4"/>
  <c r="F795" i="4"/>
  <c r="B795" i="4"/>
  <c r="D795" i="4"/>
  <c r="G795" i="4"/>
  <c r="H795" i="4"/>
  <c r="I795" i="4"/>
  <c r="J795" i="4"/>
  <c r="K795" i="4"/>
  <c r="B794" i="4"/>
  <c r="J794" i="4"/>
  <c r="K794" i="4"/>
  <c r="L794" i="4"/>
  <c r="C794" i="4"/>
  <c r="D794" i="4"/>
  <c r="E794" i="4"/>
  <c r="F794" i="4"/>
  <c r="G794" i="4"/>
  <c r="H794" i="4"/>
  <c r="I794" i="4"/>
  <c r="E793" i="4"/>
  <c r="F793" i="4"/>
  <c r="D793" i="4"/>
  <c r="C793" i="4"/>
  <c r="B793" i="4"/>
  <c r="G793" i="4"/>
  <c r="H793" i="4"/>
  <c r="J793" i="4"/>
  <c r="K793" i="4"/>
  <c r="L793" i="4"/>
  <c r="I793" i="4"/>
  <c r="H792" i="4"/>
  <c r="G792" i="4"/>
  <c r="L792" i="4"/>
  <c r="K792" i="4"/>
  <c r="B792" i="4"/>
  <c r="J792" i="4"/>
  <c r="C792" i="4"/>
  <c r="D792" i="4"/>
  <c r="E792" i="4"/>
  <c r="I792" i="4"/>
  <c r="F792" i="4"/>
  <c r="C791" i="4"/>
  <c r="B791" i="4"/>
  <c r="L791" i="4"/>
  <c r="K791" i="4"/>
  <c r="J791" i="4"/>
  <c r="I791" i="4"/>
  <c r="H791" i="4"/>
  <c r="G791" i="4"/>
  <c r="F791" i="4"/>
  <c r="E791" i="4"/>
  <c r="D791" i="4"/>
  <c r="I790" i="4"/>
  <c r="B790" i="4"/>
  <c r="C790" i="4"/>
  <c r="D790" i="4"/>
  <c r="E790" i="4"/>
  <c r="F790" i="4"/>
  <c r="G790" i="4"/>
  <c r="H790" i="4"/>
  <c r="L790" i="4"/>
  <c r="J790" i="4"/>
  <c r="K790" i="4"/>
  <c r="K789" i="4"/>
  <c r="J789" i="4"/>
  <c r="C789" i="4"/>
  <c r="I789" i="4"/>
  <c r="F789" i="4"/>
  <c r="E789" i="4"/>
  <c r="D789" i="4"/>
  <c r="B789" i="4"/>
  <c r="L789" i="4"/>
  <c r="G789" i="4"/>
  <c r="H789" i="4"/>
  <c r="L788" i="4"/>
  <c r="K788" i="4"/>
  <c r="G788" i="4"/>
  <c r="H788" i="4"/>
  <c r="F788" i="4"/>
  <c r="E788" i="4"/>
  <c r="D788" i="4"/>
  <c r="B788" i="4"/>
  <c r="I788" i="4"/>
  <c r="J788" i="4"/>
  <c r="C788" i="4"/>
  <c r="J787" i="4"/>
  <c r="L787" i="4"/>
  <c r="I787" i="4"/>
  <c r="H787" i="4"/>
  <c r="G787" i="4"/>
  <c r="F787" i="4"/>
  <c r="B787" i="4"/>
  <c r="K787" i="4"/>
  <c r="C787" i="4"/>
  <c r="D787" i="4"/>
  <c r="E787" i="4"/>
  <c r="G786" i="4"/>
  <c r="K786" i="4"/>
  <c r="L786" i="4"/>
  <c r="B786" i="4"/>
  <c r="C786" i="4"/>
  <c r="D786" i="4"/>
  <c r="E786" i="4"/>
  <c r="F786" i="4"/>
  <c r="H786" i="4"/>
  <c r="I786" i="4"/>
  <c r="J786" i="4"/>
  <c r="J785" i="4"/>
  <c r="G785" i="4"/>
  <c r="B785" i="4"/>
  <c r="E785" i="4"/>
  <c r="L785" i="4"/>
  <c r="K785" i="4"/>
  <c r="F785" i="4"/>
  <c r="I785" i="4"/>
  <c r="H785" i="4"/>
  <c r="D785" i="4"/>
  <c r="C785" i="4"/>
  <c r="D784" i="4"/>
  <c r="F784" i="4"/>
  <c r="E784" i="4"/>
  <c r="H784" i="4"/>
  <c r="C784" i="4"/>
  <c r="L784" i="4"/>
  <c r="K784" i="4"/>
  <c r="J784" i="4"/>
  <c r="I784" i="4"/>
  <c r="B784" i="4"/>
  <c r="G784" i="4"/>
  <c r="C783" i="4"/>
  <c r="B783" i="4"/>
  <c r="D783" i="4"/>
  <c r="G783" i="4"/>
  <c r="E783" i="4"/>
  <c r="F783" i="4"/>
  <c r="H783" i="4"/>
  <c r="I783" i="4"/>
  <c r="J783" i="4"/>
  <c r="K783" i="4"/>
  <c r="L783" i="4"/>
  <c r="H782" i="4"/>
  <c r="I782" i="4"/>
  <c r="J782" i="4"/>
  <c r="K782" i="4"/>
  <c r="C782" i="4"/>
  <c r="L782" i="4"/>
  <c r="B782" i="4"/>
  <c r="D782" i="4"/>
  <c r="E782" i="4"/>
  <c r="F782" i="4"/>
  <c r="G782" i="4"/>
  <c r="D781" i="4"/>
  <c r="B781" i="4"/>
  <c r="G781" i="4"/>
  <c r="H781" i="4"/>
  <c r="C781" i="4"/>
  <c r="J781" i="4"/>
  <c r="K781" i="4"/>
  <c r="L781" i="4"/>
  <c r="F781" i="4"/>
  <c r="E781" i="4"/>
  <c r="I781" i="4"/>
  <c r="F780" i="4"/>
  <c r="G780" i="4"/>
  <c r="H780" i="4"/>
  <c r="I780" i="4"/>
  <c r="J780" i="4"/>
  <c r="K780" i="4"/>
  <c r="L780" i="4"/>
  <c r="B780" i="4"/>
  <c r="C780" i="4"/>
  <c r="D780" i="4"/>
  <c r="E780" i="4"/>
  <c r="C779" i="4"/>
  <c r="B779" i="4"/>
  <c r="D778" i="4"/>
  <c r="B778" i="4"/>
  <c r="C778" i="4"/>
  <c r="E778" i="4"/>
  <c r="F778" i="4"/>
  <c r="G778" i="4"/>
  <c r="H778" i="4"/>
  <c r="L778" i="4"/>
  <c r="K778" i="4"/>
  <c r="J778" i="4"/>
  <c r="I778" i="4"/>
  <c r="G777" i="4"/>
  <c r="H777" i="4"/>
  <c r="I777" i="4"/>
  <c r="J777" i="4"/>
  <c r="K777" i="4"/>
  <c r="L777" i="4"/>
  <c r="F777" i="4"/>
  <c r="E777" i="4"/>
  <c r="D777" i="4"/>
  <c r="C777" i="4"/>
  <c r="B777" i="4"/>
  <c r="C776" i="4"/>
  <c r="B776" i="4"/>
  <c r="E776" i="4"/>
  <c r="L776" i="4"/>
  <c r="K776" i="4"/>
  <c r="D776" i="4"/>
  <c r="J776" i="4"/>
  <c r="I776" i="4"/>
  <c r="H776" i="4"/>
  <c r="G776" i="4"/>
  <c r="F776" i="4"/>
  <c r="D775" i="4"/>
  <c r="C775" i="4"/>
  <c r="B775" i="4"/>
  <c r="E775" i="4"/>
  <c r="L775" i="4"/>
  <c r="K775" i="4"/>
  <c r="J775" i="4"/>
  <c r="I775" i="4"/>
  <c r="H775" i="4"/>
  <c r="G775" i="4"/>
  <c r="F775" i="4"/>
  <c r="B774" i="4"/>
  <c r="K774" i="4"/>
  <c r="J774" i="4"/>
  <c r="I774" i="4"/>
  <c r="H774" i="4"/>
  <c r="G774" i="4"/>
  <c r="F774" i="4"/>
  <c r="E774" i="4"/>
  <c r="D774" i="4"/>
  <c r="C774" i="4"/>
  <c r="L774" i="4"/>
  <c r="J773" i="4"/>
  <c r="L773" i="4"/>
  <c r="K773" i="4"/>
  <c r="E773" i="4"/>
  <c r="I773" i="4"/>
  <c r="H773" i="4"/>
  <c r="G773" i="4"/>
  <c r="F773" i="4"/>
  <c r="D773" i="4"/>
  <c r="C773" i="4"/>
  <c r="B773" i="4"/>
  <c r="F772" i="4"/>
  <c r="H772" i="4"/>
  <c r="G772" i="4"/>
  <c r="J772" i="4"/>
  <c r="B772" i="4"/>
  <c r="I772" i="4"/>
  <c r="C772" i="4"/>
  <c r="D772" i="4"/>
  <c r="E772" i="4"/>
  <c r="L772" i="4"/>
  <c r="K772" i="4"/>
  <c r="C771" i="4"/>
  <c r="D771" i="4"/>
  <c r="F771" i="4"/>
  <c r="G771" i="4"/>
  <c r="H771" i="4"/>
  <c r="I771" i="4"/>
  <c r="J771" i="4"/>
  <c r="K771" i="4"/>
  <c r="L771" i="4"/>
  <c r="E771" i="4"/>
  <c r="B771" i="4"/>
  <c r="D770" i="4"/>
  <c r="F770" i="4"/>
  <c r="G770" i="4"/>
  <c r="I770" i="4"/>
  <c r="J770" i="4"/>
  <c r="K770" i="4"/>
  <c r="B770" i="4"/>
  <c r="L770" i="4"/>
  <c r="E770" i="4"/>
  <c r="C770" i="4"/>
  <c r="H770" i="4"/>
  <c r="D769" i="4"/>
  <c r="C769" i="4"/>
  <c r="B769" i="4"/>
  <c r="L769" i="4"/>
  <c r="E769" i="4"/>
  <c r="G769" i="4"/>
  <c r="I769" i="4"/>
  <c r="K769" i="4"/>
  <c r="J769" i="4"/>
  <c r="H769" i="4"/>
  <c r="F769" i="4"/>
  <c r="K768" i="4"/>
  <c r="H768" i="4"/>
  <c r="D768" i="4"/>
  <c r="F768" i="4"/>
  <c r="E768" i="4"/>
  <c r="C768" i="4"/>
  <c r="G768" i="4"/>
  <c r="I768" i="4"/>
  <c r="J768" i="4"/>
  <c r="L768" i="4"/>
  <c r="B768" i="4"/>
  <c r="D767" i="4"/>
  <c r="C767" i="4"/>
  <c r="E767" i="4"/>
  <c r="F767" i="4"/>
  <c r="G767" i="4"/>
  <c r="I767" i="4"/>
  <c r="J767" i="4"/>
  <c r="L767" i="4"/>
  <c r="H767" i="4"/>
  <c r="K767" i="4"/>
  <c r="K766" i="4"/>
  <c r="H766" i="4"/>
  <c r="L766" i="4"/>
  <c r="J766" i="4"/>
  <c r="C766" i="4"/>
  <c r="I766" i="4"/>
  <c r="B766" i="4"/>
  <c r="D766" i="4"/>
  <c r="E766" i="4"/>
  <c r="G766" i="4"/>
  <c r="F766" i="4"/>
  <c r="F765" i="4"/>
  <c r="B765" i="4"/>
  <c r="D765" i="4"/>
  <c r="L765" i="4"/>
  <c r="I765" i="4"/>
  <c r="H765" i="4"/>
  <c r="G765" i="4"/>
  <c r="E765" i="4"/>
  <c r="C765" i="4"/>
  <c r="J765" i="4"/>
  <c r="K765" i="4"/>
  <c r="C764" i="4"/>
  <c r="H764" i="4"/>
  <c r="D764" i="4"/>
  <c r="B764" i="4"/>
  <c r="L764" i="4"/>
  <c r="G764" i="4"/>
  <c r="F764" i="4"/>
  <c r="K764" i="4"/>
  <c r="J764" i="4"/>
  <c r="I764" i="4"/>
  <c r="E764" i="4"/>
  <c r="D763" i="4"/>
  <c r="E763" i="4"/>
  <c r="G763" i="4"/>
  <c r="H763" i="4"/>
  <c r="I763" i="4"/>
  <c r="L763" i="4"/>
  <c r="C763" i="4"/>
  <c r="B763" i="4"/>
  <c r="F763" i="4"/>
  <c r="J763" i="4"/>
  <c r="K763" i="4"/>
  <c r="G762" i="4"/>
  <c r="E762" i="4"/>
  <c r="C762" i="4"/>
  <c r="B762" i="4"/>
  <c r="D762" i="4"/>
  <c r="F762" i="4"/>
  <c r="I762" i="4"/>
  <c r="J762" i="4"/>
  <c r="L762" i="4"/>
  <c r="K762" i="4"/>
  <c r="H762" i="4"/>
  <c r="L761" i="4"/>
  <c r="B761" i="4"/>
  <c r="G761" i="4"/>
  <c r="I761" i="4"/>
  <c r="J761" i="4"/>
  <c r="K761" i="4"/>
  <c r="E761" i="4"/>
  <c r="F761" i="4"/>
  <c r="H761" i="4"/>
  <c r="D761" i="4"/>
  <c r="C761" i="4"/>
  <c r="L760" i="4"/>
  <c r="E760" i="4"/>
  <c r="J760" i="4"/>
  <c r="D760" i="4"/>
  <c r="B760" i="4"/>
  <c r="K760" i="4"/>
  <c r="I760" i="4"/>
  <c r="G760" i="4"/>
  <c r="F760" i="4"/>
  <c r="C760" i="4"/>
  <c r="H760" i="4"/>
  <c r="D759" i="4"/>
  <c r="F759" i="4"/>
  <c r="G759" i="4"/>
  <c r="H759" i="4"/>
  <c r="J759" i="4"/>
  <c r="K759" i="4"/>
  <c r="L759" i="4"/>
  <c r="B759" i="4"/>
  <c r="C759" i="4"/>
  <c r="E759" i="4"/>
  <c r="I759" i="4"/>
  <c r="L758" i="4"/>
  <c r="F758" i="4"/>
  <c r="E758" i="4"/>
  <c r="J758" i="4"/>
  <c r="B758" i="4"/>
  <c r="D758" i="4"/>
  <c r="G758" i="4"/>
  <c r="K758" i="4"/>
  <c r="C758" i="4"/>
  <c r="I758" i="4"/>
  <c r="H758" i="4"/>
  <c r="L757" i="4"/>
  <c r="K757" i="4"/>
  <c r="J757" i="4"/>
  <c r="C757" i="4"/>
  <c r="H757" i="4"/>
  <c r="G757" i="4"/>
  <c r="I757" i="4"/>
  <c r="F757" i="4"/>
  <c r="E757" i="4"/>
  <c r="B757" i="4"/>
  <c r="D757" i="4"/>
  <c r="F756" i="4"/>
  <c r="G756" i="4"/>
  <c r="H756" i="4"/>
  <c r="I756" i="4"/>
  <c r="K756" i="4"/>
  <c r="J756" i="4"/>
  <c r="L756" i="4"/>
  <c r="E756" i="4"/>
  <c r="C756" i="4"/>
  <c r="B756" i="4"/>
  <c r="D756" i="4"/>
  <c r="F755" i="4"/>
  <c r="G755" i="4"/>
  <c r="L755" i="4"/>
  <c r="D755" i="4"/>
  <c r="I755" i="4"/>
  <c r="H755" i="4"/>
  <c r="E755" i="4"/>
  <c r="J755" i="4"/>
  <c r="K755" i="4"/>
  <c r="B755" i="4"/>
  <c r="C755" i="4"/>
  <c r="F754" i="4"/>
  <c r="D754" i="4"/>
  <c r="B754" i="4"/>
  <c r="G754" i="4"/>
  <c r="J754" i="4"/>
  <c r="L754" i="4"/>
  <c r="I754" i="4"/>
  <c r="C754" i="4"/>
  <c r="E754" i="4"/>
  <c r="H754" i="4"/>
  <c r="K754" i="4"/>
  <c r="K753" i="4"/>
  <c r="F753" i="4"/>
  <c r="E753" i="4"/>
  <c r="C753" i="4"/>
  <c r="D753" i="4"/>
  <c r="H753" i="4"/>
  <c r="L753" i="4"/>
  <c r="J753" i="4"/>
  <c r="I753" i="4"/>
  <c r="G753" i="4"/>
  <c r="C752" i="4"/>
  <c r="I752" i="4"/>
  <c r="J752" i="4"/>
  <c r="G752" i="4"/>
  <c r="F752" i="4"/>
  <c r="H752" i="4"/>
  <c r="D752" i="4"/>
  <c r="B752" i="4"/>
  <c r="E752" i="4"/>
  <c r="K752" i="4"/>
  <c r="L752" i="4"/>
  <c r="F751" i="4"/>
  <c r="H751" i="4"/>
  <c r="J751" i="4"/>
  <c r="K751" i="4"/>
  <c r="L751" i="4"/>
  <c r="I751" i="4"/>
  <c r="G751" i="4"/>
  <c r="B751" i="4"/>
  <c r="E751" i="4"/>
  <c r="C751" i="4"/>
  <c r="D751" i="4"/>
  <c r="J750" i="4"/>
  <c r="H750" i="4"/>
  <c r="E750" i="4"/>
  <c r="B750" i="4"/>
  <c r="G750" i="4"/>
  <c r="F750" i="4"/>
  <c r="D750" i="4"/>
  <c r="C750" i="4"/>
  <c r="L750" i="4"/>
  <c r="K750" i="4"/>
  <c r="I750" i="4"/>
  <c r="L749" i="4"/>
  <c r="J749" i="4"/>
  <c r="H749" i="4"/>
  <c r="E749" i="4"/>
  <c r="D749" i="4"/>
  <c r="K749" i="4"/>
  <c r="I749" i="4"/>
  <c r="G749" i="4"/>
  <c r="F749" i="4"/>
  <c r="C749" i="4"/>
  <c r="B749" i="4"/>
  <c r="L748" i="4"/>
  <c r="J748" i="4"/>
  <c r="H748" i="4"/>
  <c r="F748" i="4"/>
  <c r="C748" i="4"/>
  <c r="B748" i="4"/>
  <c r="D748" i="4"/>
  <c r="E748" i="4"/>
  <c r="K748" i="4"/>
  <c r="I748" i="4"/>
  <c r="G748" i="4"/>
  <c r="I747" i="4"/>
  <c r="G747" i="4"/>
  <c r="F747" i="4"/>
  <c r="E747" i="4"/>
  <c r="D747" i="4"/>
  <c r="C747" i="4"/>
  <c r="B747" i="4"/>
  <c r="J747" i="4"/>
  <c r="L747" i="4"/>
  <c r="K747" i="4"/>
  <c r="H747" i="4"/>
  <c r="J746" i="4"/>
  <c r="H746" i="4"/>
  <c r="E746" i="4"/>
  <c r="C746" i="4"/>
  <c r="F746" i="4"/>
  <c r="L746" i="4"/>
  <c r="I746" i="4"/>
  <c r="G746" i="4"/>
  <c r="D746" i="4"/>
  <c r="B746" i="4"/>
  <c r="K746" i="4"/>
  <c r="J745" i="4"/>
  <c r="B745" i="4"/>
  <c r="I745" i="4"/>
  <c r="L745" i="4"/>
  <c r="K745" i="4"/>
  <c r="H745" i="4"/>
  <c r="F745" i="4"/>
  <c r="D745" i="4"/>
  <c r="C745" i="4"/>
  <c r="E745" i="4"/>
  <c r="G745" i="4"/>
  <c r="E744" i="4"/>
  <c r="B744" i="4"/>
  <c r="G744" i="4"/>
  <c r="H744" i="4"/>
  <c r="J744" i="4"/>
  <c r="L744" i="4"/>
  <c r="C744" i="4"/>
  <c r="K744" i="4"/>
  <c r="D744" i="4"/>
  <c r="I744" i="4"/>
  <c r="F744" i="4"/>
  <c r="K743" i="4"/>
  <c r="J743" i="4"/>
  <c r="I743" i="4"/>
  <c r="F743" i="4"/>
  <c r="D743" i="4"/>
  <c r="C743" i="4"/>
  <c r="G743" i="4"/>
  <c r="H743" i="4"/>
  <c r="E743" i="4"/>
  <c r="L743" i="4"/>
  <c r="F742" i="4"/>
  <c r="G742" i="4"/>
  <c r="I742" i="4"/>
  <c r="B742" i="4"/>
  <c r="C742" i="4"/>
  <c r="D742" i="4"/>
  <c r="E742" i="4"/>
  <c r="H742" i="4"/>
  <c r="J742" i="4"/>
  <c r="K742" i="4"/>
  <c r="L742" i="4"/>
  <c r="L741" i="4"/>
  <c r="C741" i="4"/>
  <c r="H741" i="4"/>
  <c r="I741" i="4"/>
  <c r="J741" i="4"/>
  <c r="K741" i="4"/>
  <c r="B741" i="4"/>
  <c r="E741" i="4"/>
  <c r="D741" i="4"/>
  <c r="F741" i="4"/>
  <c r="G741" i="4"/>
  <c r="G740" i="4"/>
  <c r="I740" i="4"/>
  <c r="L740" i="4"/>
  <c r="K740" i="4"/>
  <c r="J740" i="4"/>
  <c r="H740" i="4"/>
  <c r="E740" i="4"/>
  <c r="C740" i="4"/>
  <c r="B740" i="4"/>
  <c r="D740" i="4"/>
  <c r="F740" i="4"/>
  <c r="D739" i="4"/>
  <c r="J739" i="4"/>
  <c r="H739" i="4"/>
  <c r="F739" i="4"/>
  <c r="C739" i="4"/>
  <c r="E739" i="4"/>
  <c r="G739" i="4"/>
  <c r="I739" i="4"/>
  <c r="K739" i="4"/>
  <c r="L739" i="4"/>
  <c r="H738" i="4"/>
  <c r="I738" i="4"/>
  <c r="J738" i="4"/>
  <c r="K738" i="4"/>
  <c r="C738" i="4"/>
  <c r="L738" i="4"/>
  <c r="G738" i="4"/>
  <c r="D738" i="4"/>
  <c r="B738" i="4"/>
  <c r="E738" i="4"/>
  <c r="F738" i="4"/>
  <c r="L737" i="4"/>
  <c r="K737" i="4"/>
  <c r="H737" i="4"/>
  <c r="D737" i="4"/>
  <c r="E737" i="4"/>
  <c r="C737" i="4"/>
  <c r="J737" i="4"/>
  <c r="I737" i="4"/>
  <c r="G737" i="4"/>
  <c r="F737" i="4"/>
  <c r="B737" i="4"/>
  <c r="J736" i="4"/>
  <c r="D736" i="4"/>
  <c r="E736" i="4"/>
  <c r="G736" i="4"/>
  <c r="F736" i="4"/>
  <c r="L736" i="4"/>
  <c r="K736" i="4"/>
  <c r="H736" i="4"/>
  <c r="B736" i="4"/>
  <c r="C736" i="4"/>
  <c r="I736" i="4"/>
  <c r="I735" i="4"/>
  <c r="C735" i="4"/>
  <c r="F735" i="4"/>
  <c r="G735" i="4"/>
  <c r="B735" i="4"/>
  <c r="E735" i="4"/>
  <c r="H735" i="4"/>
  <c r="D735" i="4"/>
  <c r="L735" i="4"/>
  <c r="K735" i="4"/>
  <c r="J735" i="4"/>
  <c r="E734" i="4"/>
  <c r="J734" i="4"/>
  <c r="H734" i="4"/>
  <c r="B734" i="4"/>
  <c r="L734" i="4"/>
  <c r="C734" i="4"/>
  <c r="D734" i="4"/>
  <c r="F734" i="4"/>
  <c r="G734" i="4"/>
  <c r="I734" i="4"/>
  <c r="K734" i="4"/>
  <c r="L733" i="4"/>
  <c r="F733" i="4"/>
  <c r="D733" i="4"/>
  <c r="J733" i="4"/>
  <c r="K733" i="4"/>
  <c r="I733" i="4"/>
  <c r="H733" i="4"/>
  <c r="E733" i="4"/>
  <c r="B733" i="4"/>
  <c r="C733" i="4"/>
  <c r="G733" i="4"/>
  <c r="G732" i="4"/>
  <c r="E732" i="4"/>
  <c r="D732" i="4"/>
  <c r="K732" i="4"/>
  <c r="J732" i="4"/>
  <c r="L732" i="4"/>
  <c r="F732" i="4"/>
  <c r="B732" i="4"/>
  <c r="H732" i="4"/>
  <c r="C732" i="4"/>
  <c r="I732" i="4"/>
  <c r="I731" i="4"/>
  <c r="G731" i="4"/>
  <c r="F731" i="4"/>
  <c r="E731" i="4"/>
  <c r="C731" i="4"/>
  <c r="K731" i="4"/>
  <c r="D731" i="4"/>
  <c r="B731" i="4"/>
  <c r="H731" i="4"/>
  <c r="L731" i="4"/>
  <c r="J731" i="4"/>
  <c r="H730" i="4"/>
  <c r="E730" i="4"/>
  <c r="J730" i="4"/>
  <c r="F730" i="4"/>
  <c r="L730" i="4"/>
  <c r="K730" i="4"/>
  <c r="I730" i="4"/>
  <c r="G730" i="4"/>
  <c r="D730" i="4"/>
  <c r="C730" i="4"/>
  <c r="B730" i="4"/>
  <c r="F729" i="4"/>
  <c r="D729" i="4"/>
  <c r="L729" i="4"/>
  <c r="J729" i="4"/>
  <c r="K729" i="4"/>
  <c r="I729" i="4"/>
  <c r="H729" i="4"/>
  <c r="G729" i="4"/>
  <c r="C729" i="4"/>
  <c r="B729" i="4"/>
  <c r="E729" i="4"/>
  <c r="E728" i="4"/>
  <c r="J728" i="4"/>
  <c r="I728" i="4"/>
  <c r="L728" i="4"/>
  <c r="G728" i="4"/>
  <c r="K728" i="4"/>
  <c r="H728" i="4"/>
  <c r="F728" i="4"/>
  <c r="C728" i="4"/>
  <c r="D728" i="4"/>
  <c r="B728" i="4"/>
  <c r="I727" i="4"/>
  <c r="J727" i="4"/>
  <c r="K727" i="4"/>
  <c r="F727" i="4"/>
  <c r="B727" i="4"/>
  <c r="C727" i="4"/>
  <c r="D727" i="4"/>
  <c r="E727" i="4"/>
  <c r="H727" i="4"/>
  <c r="L727" i="4"/>
  <c r="G727" i="4"/>
  <c r="C726" i="4"/>
  <c r="E726" i="4"/>
  <c r="G726" i="4"/>
  <c r="J726" i="4"/>
  <c r="L726" i="4"/>
  <c r="K726" i="4"/>
  <c r="I726" i="4"/>
  <c r="H726" i="4"/>
  <c r="F726" i="4"/>
  <c r="B726" i="4"/>
  <c r="D726" i="4"/>
  <c r="F725" i="4"/>
  <c r="E725" i="4"/>
  <c r="D725" i="4"/>
  <c r="L725" i="4"/>
  <c r="C725" i="4"/>
  <c r="B725" i="4"/>
  <c r="H725" i="4"/>
  <c r="J725" i="4"/>
  <c r="K725" i="4"/>
  <c r="I725" i="4"/>
  <c r="G725" i="4"/>
  <c r="F724" i="4"/>
  <c r="B724" i="4"/>
  <c r="C724" i="4"/>
  <c r="E724" i="4"/>
  <c r="H724" i="4"/>
  <c r="K724" i="4"/>
  <c r="L724" i="4"/>
  <c r="J724" i="4"/>
  <c r="I724" i="4"/>
  <c r="G724" i="4"/>
  <c r="H723" i="4"/>
  <c r="L723" i="4"/>
  <c r="I723" i="4"/>
  <c r="J723" i="4"/>
  <c r="K723" i="4"/>
  <c r="G723" i="4"/>
  <c r="F723" i="4"/>
  <c r="E723" i="4"/>
  <c r="D723" i="4"/>
  <c r="C723" i="4"/>
  <c r="B723" i="4"/>
  <c r="G722" i="4"/>
  <c r="F722" i="4"/>
  <c r="E722" i="4"/>
  <c r="J722" i="4"/>
  <c r="D722" i="4"/>
  <c r="C722" i="4"/>
  <c r="H722" i="4"/>
  <c r="B722" i="4"/>
  <c r="L722" i="4"/>
  <c r="K722" i="4"/>
  <c r="I722" i="4"/>
  <c r="B721" i="4"/>
  <c r="L721" i="4"/>
  <c r="K721" i="4"/>
  <c r="J721" i="4"/>
  <c r="I721" i="4"/>
  <c r="H721" i="4"/>
  <c r="G721" i="4"/>
  <c r="F721" i="4"/>
  <c r="E721" i="4"/>
  <c r="D721" i="4"/>
  <c r="C721" i="4"/>
  <c r="L720" i="4"/>
  <c r="E720" i="4"/>
  <c r="C720" i="4"/>
  <c r="B720" i="4"/>
  <c r="K720" i="4"/>
  <c r="D720" i="4"/>
  <c r="J720" i="4"/>
  <c r="I720" i="4"/>
  <c r="H720" i="4"/>
  <c r="G720" i="4"/>
  <c r="F720" i="4"/>
  <c r="L719" i="4"/>
  <c r="K719" i="4"/>
  <c r="I719" i="4"/>
  <c r="E719" i="4"/>
  <c r="J719" i="4"/>
  <c r="C719" i="4"/>
  <c r="G719" i="4"/>
  <c r="H719" i="4"/>
  <c r="F719" i="4"/>
  <c r="D719" i="4"/>
  <c r="B719" i="4"/>
  <c r="E718" i="4"/>
  <c r="H718" i="4"/>
  <c r="K718" i="4"/>
  <c r="D718" i="4"/>
  <c r="L718" i="4"/>
  <c r="C718" i="4"/>
  <c r="J718" i="4"/>
  <c r="I718" i="4"/>
  <c r="G718" i="4"/>
  <c r="F718" i="4"/>
  <c r="B718" i="4"/>
  <c r="K717" i="4"/>
  <c r="I717" i="4"/>
  <c r="B717" i="4"/>
  <c r="H717" i="4"/>
  <c r="D717" i="4"/>
  <c r="J717" i="4"/>
  <c r="G717" i="4"/>
  <c r="E717" i="4"/>
  <c r="F717" i="4"/>
  <c r="C717" i="4"/>
  <c r="L717" i="4"/>
  <c r="G716" i="4"/>
  <c r="J716" i="4"/>
  <c r="B716" i="4"/>
  <c r="L716" i="4"/>
  <c r="D716" i="4"/>
  <c r="K716" i="4"/>
  <c r="H716" i="4"/>
  <c r="E716" i="4"/>
  <c r="C716" i="4"/>
  <c r="F716" i="4"/>
  <c r="I716" i="4"/>
  <c r="G715" i="4"/>
  <c r="D715" i="4"/>
  <c r="L715" i="4"/>
  <c r="H715" i="4"/>
  <c r="F715" i="4"/>
  <c r="E715" i="4"/>
  <c r="C715" i="4"/>
  <c r="B715" i="4"/>
  <c r="J715" i="4"/>
  <c r="K715" i="4"/>
  <c r="I715" i="4"/>
  <c r="F714" i="4"/>
  <c r="L714" i="4"/>
  <c r="D714" i="4"/>
  <c r="C714" i="4"/>
  <c r="K714" i="4"/>
  <c r="B714" i="4"/>
  <c r="I714" i="4"/>
  <c r="H714" i="4"/>
  <c r="J714" i="4"/>
  <c r="G714" i="4"/>
  <c r="E714" i="4"/>
  <c r="L713" i="4"/>
  <c r="K713" i="4"/>
  <c r="H713" i="4"/>
  <c r="J713" i="4"/>
  <c r="I713" i="4"/>
  <c r="G713" i="4"/>
  <c r="F713" i="4"/>
  <c r="D713" i="4"/>
  <c r="C713" i="4"/>
  <c r="E713" i="4"/>
  <c r="B713" i="4"/>
  <c r="B712" i="4"/>
  <c r="F712" i="4"/>
  <c r="G712" i="4"/>
  <c r="D712" i="4"/>
  <c r="E712" i="4"/>
  <c r="H712" i="4"/>
  <c r="K712" i="4"/>
  <c r="I712" i="4"/>
  <c r="J712" i="4"/>
  <c r="L712" i="4"/>
  <c r="C712" i="4"/>
  <c r="L711" i="4"/>
  <c r="K711" i="4"/>
  <c r="C711" i="4"/>
  <c r="J711" i="4"/>
  <c r="B711" i="4"/>
  <c r="G711" i="4"/>
  <c r="D711" i="4"/>
  <c r="E711" i="4"/>
  <c r="F711" i="4"/>
  <c r="H711" i="4"/>
  <c r="I711" i="4"/>
  <c r="C710" i="4"/>
  <c r="D710" i="4"/>
  <c r="L710" i="4"/>
  <c r="F710" i="4"/>
  <c r="H710" i="4"/>
  <c r="K710" i="4"/>
  <c r="J710" i="4"/>
  <c r="B710" i="4"/>
  <c r="E710" i="4"/>
  <c r="G710" i="4"/>
  <c r="I710" i="4"/>
  <c r="K709" i="4"/>
  <c r="C709" i="4"/>
  <c r="F709" i="4"/>
  <c r="I709" i="4"/>
  <c r="D709" i="4"/>
  <c r="G709" i="4"/>
  <c r="J709" i="4"/>
  <c r="H709" i="4"/>
  <c r="L709" i="4"/>
  <c r="E709" i="4"/>
  <c r="B709" i="4"/>
  <c r="F708" i="4"/>
  <c r="H708" i="4"/>
  <c r="J708" i="4"/>
  <c r="E708" i="4"/>
  <c r="D708" i="4"/>
  <c r="B708" i="4"/>
  <c r="I708" i="4"/>
  <c r="L708" i="4"/>
  <c r="K708" i="4"/>
  <c r="G708" i="4"/>
  <c r="C708" i="4"/>
  <c r="E707" i="4"/>
  <c r="G707" i="4"/>
  <c r="J707" i="4"/>
  <c r="C707" i="4"/>
  <c r="F707" i="4"/>
  <c r="L707" i="4"/>
  <c r="I707" i="4"/>
  <c r="K707" i="4"/>
  <c r="D707" i="4"/>
  <c r="H707" i="4"/>
  <c r="B707" i="4"/>
  <c r="G706" i="4"/>
  <c r="K706" i="4"/>
  <c r="L706" i="4"/>
  <c r="B706" i="4"/>
  <c r="H706" i="4"/>
  <c r="D706" i="4"/>
  <c r="J706" i="4"/>
  <c r="E706" i="4"/>
  <c r="I706" i="4"/>
  <c r="F706" i="4"/>
  <c r="C706" i="4"/>
  <c r="L705" i="4"/>
  <c r="I705" i="4"/>
  <c r="J705" i="4"/>
  <c r="K705" i="4"/>
  <c r="D705" i="4"/>
  <c r="H705" i="4"/>
  <c r="B705" i="4"/>
  <c r="G705" i="4"/>
  <c r="E705" i="4"/>
  <c r="C705" i="4"/>
  <c r="F705" i="4"/>
  <c r="I704" i="4"/>
  <c r="L704" i="4"/>
  <c r="E704" i="4"/>
  <c r="G704" i="4"/>
  <c r="C704" i="4"/>
  <c r="K704" i="4"/>
  <c r="D704" i="4"/>
  <c r="J704" i="4"/>
  <c r="H704" i="4"/>
  <c r="F704" i="4"/>
  <c r="B704" i="4"/>
  <c r="D703" i="4"/>
  <c r="K703" i="4"/>
  <c r="F703" i="4"/>
  <c r="B703" i="4"/>
  <c r="E703" i="4"/>
  <c r="G703" i="4"/>
  <c r="C703" i="4"/>
  <c r="J703" i="4"/>
  <c r="L703" i="4"/>
  <c r="I703" i="4"/>
  <c r="H703" i="4"/>
  <c r="K702" i="4"/>
  <c r="L702" i="4"/>
  <c r="G702" i="4"/>
  <c r="B702" i="4"/>
  <c r="I702" i="4"/>
  <c r="E702" i="4"/>
  <c r="J702" i="4"/>
  <c r="C702" i="4"/>
  <c r="F702" i="4"/>
  <c r="H702" i="4"/>
  <c r="L701" i="4"/>
  <c r="F701" i="4"/>
  <c r="D701" i="4"/>
  <c r="C701" i="4"/>
  <c r="H701" i="4"/>
  <c r="J701" i="4"/>
  <c r="I701" i="4"/>
  <c r="B701" i="4"/>
  <c r="E701" i="4"/>
  <c r="G701" i="4"/>
  <c r="K701" i="4"/>
  <c r="E700" i="4"/>
  <c r="K700" i="4"/>
  <c r="B700" i="4"/>
  <c r="C700" i="4"/>
  <c r="F700" i="4"/>
  <c r="H700" i="4"/>
  <c r="J700" i="4"/>
  <c r="D700" i="4"/>
  <c r="I700" i="4"/>
  <c r="L700" i="4"/>
  <c r="G700" i="4"/>
  <c r="E699" i="4"/>
  <c r="D699" i="4"/>
  <c r="H699" i="4"/>
  <c r="J699" i="4"/>
  <c r="K699" i="4"/>
  <c r="F699" i="4"/>
  <c r="C699" i="4"/>
  <c r="G699" i="4"/>
  <c r="I699" i="4"/>
  <c r="B699" i="4"/>
  <c r="L699" i="4"/>
  <c r="G698" i="4"/>
  <c r="E698" i="4"/>
  <c r="B698" i="4"/>
  <c r="J698" i="4"/>
  <c r="C698" i="4"/>
  <c r="L698" i="4"/>
  <c r="F698" i="4"/>
  <c r="D698" i="4"/>
  <c r="K698" i="4"/>
  <c r="H698" i="4"/>
  <c r="I698" i="4"/>
  <c r="C697" i="4"/>
  <c r="E697" i="4"/>
  <c r="F697" i="4"/>
  <c r="K697" i="4"/>
  <c r="L697" i="4"/>
  <c r="J697" i="4"/>
  <c r="I697" i="4"/>
  <c r="B697" i="4"/>
  <c r="D697" i="4"/>
  <c r="H697" i="4"/>
  <c r="G697" i="4"/>
  <c r="H696" i="4"/>
  <c r="G696" i="4"/>
  <c r="F696" i="4"/>
  <c r="J696" i="4"/>
  <c r="E696" i="4"/>
  <c r="B696" i="4"/>
  <c r="K696" i="4"/>
  <c r="L696" i="4"/>
  <c r="D696" i="4"/>
  <c r="C696" i="4"/>
  <c r="I696" i="4"/>
  <c r="B695" i="4"/>
  <c r="J695" i="4"/>
  <c r="F695" i="4"/>
  <c r="G695" i="4"/>
  <c r="E695" i="4"/>
  <c r="K695" i="4"/>
  <c r="D695" i="4"/>
  <c r="I695" i="4"/>
  <c r="L695" i="4"/>
  <c r="H695" i="4"/>
  <c r="K694" i="4"/>
  <c r="I694" i="4"/>
  <c r="C694" i="4"/>
  <c r="L694" i="4"/>
  <c r="G694" i="4"/>
  <c r="H694" i="4"/>
  <c r="E694" i="4"/>
  <c r="B694" i="4"/>
  <c r="F694" i="4"/>
  <c r="J694" i="4"/>
  <c r="D694" i="4"/>
  <c r="C693" i="4"/>
  <c r="B693" i="4"/>
  <c r="K693" i="4"/>
  <c r="I693" i="4"/>
  <c r="D693" i="4"/>
  <c r="G693" i="4"/>
  <c r="L693" i="4"/>
  <c r="E693" i="4"/>
  <c r="F693" i="4"/>
  <c r="J693" i="4"/>
  <c r="H693" i="4"/>
  <c r="H692" i="4"/>
  <c r="E692" i="4"/>
  <c r="B692" i="4"/>
  <c r="I692" i="4"/>
  <c r="G692" i="4"/>
  <c r="D692" i="4"/>
  <c r="F692" i="4"/>
  <c r="K692" i="4"/>
  <c r="L692" i="4"/>
  <c r="J692" i="4"/>
  <c r="C692" i="4"/>
  <c r="F691" i="4"/>
  <c r="I691" i="4"/>
  <c r="D691" i="4"/>
  <c r="G691" i="4"/>
  <c r="L691" i="4"/>
  <c r="K691" i="4"/>
  <c r="J691" i="4"/>
  <c r="E691" i="4"/>
  <c r="B691" i="4"/>
  <c r="H691" i="4"/>
  <c r="C691" i="4"/>
  <c r="L690" i="4"/>
  <c r="E690" i="4"/>
  <c r="F690" i="4"/>
  <c r="H690" i="4"/>
  <c r="J690" i="4"/>
  <c r="B690" i="4"/>
  <c r="D690" i="4"/>
  <c r="C690" i="4"/>
  <c r="G690" i="4"/>
  <c r="I690" i="4"/>
  <c r="K690" i="4"/>
  <c r="L689" i="4"/>
  <c r="D689" i="4"/>
  <c r="I689" i="4"/>
  <c r="B689" i="4"/>
  <c r="E689" i="4"/>
  <c r="H689" i="4"/>
  <c r="F689" i="4"/>
  <c r="G689" i="4"/>
  <c r="J689" i="4"/>
  <c r="C689" i="4"/>
  <c r="K689" i="4"/>
  <c r="C688" i="4"/>
  <c r="B688" i="4"/>
  <c r="L688" i="4"/>
  <c r="K688" i="4"/>
  <c r="D688" i="4"/>
  <c r="I688" i="4"/>
  <c r="G688" i="4"/>
  <c r="J688" i="4"/>
  <c r="F688" i="4"/>
  <c r="E688" i="4"/>
  <c r="H688" i="4"/>
  <c r="H687" i="4"/>
  <c r="C687" i="4"/>
  <c r="G687" i="4"/>
  <c r="L687" i="4"/>
  <c r="D687" i="4"/>
  <c r="B687" i="4"/>
  <c r="E687" i="4"/>
  <c r="J687" i="4"/>
  <c r="I687" i="4"/>
  <c r="F687" i="4"/>
  <c r="K687" i="4"/>
  <c r="H686" i="4"/>
  <c r="E686" i="4"/>
  <c r="D686" i="4"/>
  <c r="B686" i="4"/>
  <c r="I686" i="4"/>
  <c r="J686" i="4"/>
  <c r="L686" i="4"/>
  <c r="G686" i="4"/>
  <c r="F686" i="4"/>
  <c r="K686" i="4"/>
  <c r="C686" i="4"/>
  <c r="G685" i="4"/>
  <c r="F685" i="4"/>
  <c r="E685" i="4"/>
  <c r="B685" i="4"/>
  <c r="H685" i="4"/>
  <c r="K685" i="4"/>
  <c r="J685" i="4"/>
  <c r="I685" i="4"/>
  <c r="D685" i="4"/>
  <c r="L685" i="4"/>
  <c r="C685" i="4"/>
  <c r="G684" i="4"/>
  <c r="K684" i="4"/>
  <c r="B684" i="4"/>
  <c r="F684" i="4"/>
  <c r="L684" i="4"/>
  <c r="J684" i="4"/>
  <c r="D684" i="4"/>
  <c r="C684" i="4"/>
  <c r="E684" i="4"/>
  <c r="H684" i="4"/>
  <c r="I684" i="4"/>
  <c r="E683" i="4"/>
  <c r="J683" i="4"/>
  <c r="H683" i="4"/>
  <c r="K683" i="4"/>
  <c r="G683" i="4"/>
  <c r="D683" i="4"/>
  <c r="B683" i="4"/>
  <c r="F683" i="4"/>
  <c r="I683" i="4"/>
  <c r="L683" i="4"/>
  <c r="B682" i="4"/>
  <c r="D682" i="4"/>
  <c r="L682" i="4"/>
  <c r="H682" i="4"/>
  <c r="C682" i="4"/>
  <c r="J682" i="4"/>
  <c r="K682" i="4"/>
  <c r="F682" i="4"/>
  <c r="I682" i="4"/>
  <c r="G682" i="4"/>
  <c r="E682" i="4"/>
  <c r="I681" i="4"/>
  <c r="H681" i="4"/>
  <c r="G681" i="4"/>
  <c r="F681" i="4"/>
  <c r="E681" i="4"/>
  <c r="D681" i="4"/>
  <c r="C681" i="4"/>
  <c r="B681" i="4"/>
  <c r="B680" i="4"/>
  <c r="L680" i="4"/>
  <c r="K680" i="4"/>
  <c r="J680" i="4"/>
  <c r="I680" i="4"/>
  <c r="H680" i="4"/>
  <c r="G680" i="4"/>
  <c r="F680" i="4"/>
  <c r="E680" i="4"/>
  <c r="D680" i="4"/>
  <c r="C680" i="4"/>
  <c r="C679" i="4"/>
  <c r="B679" i="4"/>
  <c r="H679" i="4"/>
  <c r="G679" i="4"/>
  <c r="L679" i="4"/>
  <c r="F679" i="4"/>
  <c r="E679" i="4"/>
  <c r="D679" i="4"/>
  <c r="K679" i="4"/>
  <c r="I679" i="4"/>
  <c r="J679" i="4"/>
  <c r="D678" i="4"/>
  <c r="B678" i="4"/>
  <c r="L678" i="4"/>
  <c r="K678" i="4"/>
  <c r="J678" i="4"/>
  <c r="H678" i="4"/>
  <c r="G678" i="4"/>
  <c r="F678" i="4"/>
  <c r="E678" i="4"/>
  <c r="C678" i="4"/>
  <c r="I678" i="4"/>
  <c r="F677" i="4"/>
  <c r="G677" i="4"/>
  <c r="K677" i="4"/>
  <c r="H677" i="4"/>
  <c r="I677" i="4"/>
  <c r="J677" i="4"/>
  <c r="L677" i="4"/>
  <c r="D677" i="4"/>
  <c r="E677" i="4"/>
  <c r="C677" i="4"/>
  <c r="B677" i="4"/>
  <c r="B676" i="4"/>
  <c r="E676" i="4"/>
  <c r="C676" i="4"/>
  <c r="D676" i="4"/>
  <c r="F676" i="4"/>
  <c r="G676" i="4"/>
  <c r="J676" i="4"/>
  <c r="K676" i="4"/>
  <c r="L676" i="4"/>
  <c r="H676" i="4"/>
  <c r="I676" i="4"/>
  <c r="B675" i="4"/>
  <c r="D675" i="4"/>
  <c r="C675" i="4"/>
  <c r="E675" i="4"/>
  <c r="F675" i="4"/>
  <c r="G675" i="4"/>
  <c r="H675" i="4"/>
  <c r="I675" i="4"/>
  <c r="J675" i="4"/>
  <c r="K675" i="4"/>
  <c r="L675" i="4"/>
  <c r="D674" i="4"/>
  <c r="B674" i="4"/>
  <c r="C674" i="4"/>
  <c r="K674" i="4"/>
  <c r="J674" i="4"/>
  <c r="I674" i="4"/>
  <c r="H674" i="4"/>
  <c r="G674" i="4"/>
  <c r="F674" i="4"/>
  <c r="E674" i="4"/>
  <c r="L674" i="4"/>
  <c r="L673" i="4"/>
  <c r="D673" i="4"/>
  <c r="C673" i="4"/>
  <c r="G673" i="4"/>
  <c r="B673" i="4"/>
  <c r="K673" i="4"/>
  <c r="H673" i="4"/>
  <c r="I673" i="4"/>
  <c r="J673" i="4"/>
  <c r="E673" i="4"/>
  <c r="F673" i="4"/>
  <c r="H672" i="4"/>
  <c r="I672" i="4"/>
  <c r="J672" i="4"/>
  <c r="K672" i="4"/>
  <c r="B672" i="4"/>
  <c r="C672" i="4"/>
  <c r="D672" i="4"/>
  <c r="E672" i="4"/>
  <c r="L672" i="4"/>
  <c r="F672" i="4"/>
  <c r="G672" i="4"/>
  <c r="D671" i="4"/>
  <c r="L671" i="4"/>
  <c r="K671" i="4"/>
  <c r="J671" i="4"/>
  <c r="I671" i="4"/>
  <c r="H671" i="4"/>
  <c r="G671" i="4"/>
  <c r="F671" i="4"/>
  <c r="E671" i="4"/>
  <c r="C671" i="4"/>
  <c r="B671" i="4"/>
  <c r="J670" i="4"/>
  <c r="L670" i="4"/>
  <c r="F670" i="4"/>
  <c r="D670" i="4"/>
  <c r="H670" i="4"/>
  <c r="I670" i="4"/>
  <c r="G670" i="4"/>
  <c r="K670" i="4"/>
  <c r="B670" i="4"/>
  <c r="C670" i="4"/>
  <c r="E670" i="4"/>
  <c r="B669" i="4"/>
  <c r="D669" i="4"/>
  <c r="E669" i="4"/>
  <c r="F669" i="4"/>
  <c r="H669" i="4"/>
  <c r="G669" i="4"/>
  <c r="I669" i="4"/>
  <c r="J669" i="4"/>
  <c r="K669" i="4"/>
  <c r="L669" i="4"/>
  <c r="C669" i="4"/>
  <c r="B668" i="4"/>
  <c r="C668" i="4"/>
  <c r="E668" i="4"/>
  <c r="D668" i="4"/>
  <c r="J668" i="4"/>
  <c r="K668" i="4"/>
  <c r="L668" i="4"/>
  <c r="G668" i="4"/>
  <c r="H668" i="4"/>
  <c r="I668" i="4"/>
  <c r="F668" i="4"/>
  <c r="D667" i="4"/>
  <c r="C667" i="4"/>
  <c r="B667" i="4"/>
  <c r="H667" i="4"/>
  <c r="L667" i="4"/>
  <c r="I667" i="4"/>
  <c r="G667" i="4"/>
  <c r="F667" i="4"/>
  <c r="E667" i="4"/>
  <c r="J667" i="4"/>
  <c r="K667" i="4"/>
  <c r="I666" i="4"/>
  <c r="H666" i="4"/>
  <c r="G666" i="4"/>
  <c r="D666" i="4"/>
  <c r="K666" i="4"/>
  <c r="C666" i="4"/>
  <c r="E666" i="4"/>
  <c r="F666" i="4"/>
  <c r="L666" i="4"/>
  <c r="J666" i="4"/>
  <c r="B666" i="4"/>
  <c r="L665" i="4"/>
  <c r="K665" i="4"/>
  <c r="J665" i="4"/>
  <c r="I665" i="4"/>
  <c r="H665" i="4"/>
  <c r="G665" i="4"/>
  <c r="F665" i="4"/>
  <c r="E665" i="4"/>
  <c r="D665" i="4"/>
  <c r="C665" i="4"/>
  <c r="B665" i="4"/>
  <c r="H664" i="4"/>
  <c r="G664" i="4"/>
  <c r="F664" i="4"/>
  <c r="E664" i="4"/>
  <c r="D664" i="4"/>
  <c r="B664" i="4"/>
  <c r="C664" i="4"/>
  <c r="L664" i="4"/>
  <c r="K664" i="4"/>
  <c r="J664" i="4"/>
  <c r="I664" i="4"/>
  <c r="G663" i="4"/>
  <c r="K663" i="4"/>
  <c r="L663" i="4"/>
  <c r="H663" i="4"/>
  <c r="J663" i="4"/>
  <c r="I663" i="4"/>
  <c r="B663" i="4"/>
  <c r="C663" i="4"/>
  <c r="D663" i="4"/>
  <c r="E663" i="4"/>
  <c r="F663" i="4"/>
  <c r="L662" i="4"/>
  <c r="B662" i="4"/>
  <c r="K662" i="4"/>
  <c r="J662" i="4"/>
  <c r="H662" i="4"/>
  <c r="G662" i="4"/>
  <c r="F662" i="4"/>
  <c r="E662" i="4"/>
  <c r="D662" i="4"/>
  <c r="C662" i="4"/>
  <c r="I662" i="4"/>
  <c r="G661" i="4"/>
  <c r="F661" i="4"/>
  <c r="E661" i="4"/>
  <c r="C661" i="4"/>
  <c r="B661" i="4"/>
  <c r="D661" i="4"/>
  <c r="L661" i="4"/>
  <c r="K661" i="4"/>
  <c r="J661" i="4"/>
  <c r="I661" i="4"/>
  <c r="H661" i="4"/>
  <c r="B660" i="4"/>
  <c r="C660" i="4"/>
  <c r="D660" i="4"/>
  <c r="E660" i="4"/>
  <c r="F660" i="4"/>
  <c r="G660" i="4"/>
  <c r="H660" i="4"/>
  <c r="I660" i="4"/>
  <c r="J660" i="4"/>
  <c r="K660" i="4"/>
  <c r="L660" i="4"/>
  <c r="G659" i="4"/>
  <c r="H659" i="4"/>
  <c r="I659" i="4"/>
  <c r="J659" i="4"/>
  <c r="K659" i="4"/>
  <c r="B659" i="4"/>
  <c r="C659" i="4"/>
  <c r="D659" i="4"/>
  <c r="L659" i="4"/>
  <c r="E659" i="4"/>
  <c r="F659" i="4"/>
  <c r="B658" i="4"/>
  <c r="I658" i="4"/>
  <c r="J658" i="4"/>
  <c r="H658" i="4"/>
  <c r="K658" i="4"/>
  <c r="L658" i="4"/>
  <c r="G658" i="4"/>
  <c r="F658" i="4"/>
  <c r="E658" i="4"/>
  <c r="D658" i="4"/>
  <c r="C658" i="4"/>
  <c r="L657" i="4"/>
  <c r="K657" i="4"/>
  <c r="J657" i="4"/>
  <c r="I657" i="4"/>
  <c r="H657" i="4"/>
  <c r="G657" i="4"/>
  <c r="F657" i="4"/>
  <c r="E657" i="4"/>
  <c r="D657" i="4"/>
  <c r="C657" i="4"/>
  <c r="B657" i="4"/>
  <c r="L656" i="4"/>
  <c r="K656" i="4"/>
  <c r="J656" i="4"/>
  <c r="I656" i="4"/>
  <c r="H656" i="4"/>
  <c r="G656" i="4"/>
  <c r="B656" i="4"/>
  <c r="C656" i="4"/>
  <c r="D656" i="4"/>
  <c r="E656" i="4"/>
  <c r="F656" i="4"/>
  <c r="L655" i="4"/>
  <c r="E655" i="4"/>
  <c r="G655" i="4"/>
  <c r="B655" i="4"/>
  <c r="D655" i="4"/>
  <c r="C655" i="4"/>
  <c r="F655" i="4"/>
  <c r="H655" i="4"/>
  <c r="I655" i="4"/>
  <c r="J655" i="4"/>
  <c r="K655" i="4"/>
  <c r="D654" i="4"/>
  <c r="E654" i="4"/>
  <c r="L654" i="4"/>
  <c r="G654" i="4"/>
  <c r="H654" i="4"/>
  <c r="J654" i="4"/>
  <c r="K654" i="4"/>
  <c r="B654" i="4"/>
  <c r="C654" i="4"/>
  <c r="F654" i="4"/>
  <c r="I654" i="4"/>
  <c r="E653" i="4"/>
  <c r="D653" i="4"/>
  <c r="C653" i="4"/>
  <c r="H653" i="4"/>
  <c r="K653" i="4"/>
  <c r="B653" i="4"/>
  <c r="L653" i="4"/>
  <c r="J653" i="4"/>
  <c r="I653" i="4"/>
  <c r="G653" i="4"/>
  <c r="F653" i="4"/>
  <c r="D652" i="4"/>
  <c r="C652" i="4"/>
  <c r="G652" i="4"/>
  <c r="H652" i="4"/>
  <c r="I652" i="4"/>
  <c r="E652" i="4"/>
  <c r="J652" i="4"/>
  <c r="K652" i="4"/>
  <c r="L652" i="4"/>
  <c r="F652" i="4"/>
  <c r="B652" i="4"/>
  <c r="F651" i="4"/>
  <c r="E651" i="4"/>
  <c r="D651" i="4"/>
  <c r="C651" i="4"/>
  <c r="B651" i="4"/>
  <c r="L651" i="4"/>
  <c r="K651" i="4"/>
  <c r="J651" i="4"/>
  <c r="I651" i="4"/>
  <c r="H651" i="4"/>
  <c r="G651" i="4"/>
  <c r="K650" i="4"/>
  <c r="L650" i="4"/>
  <c r="B650" i="4"/>
  <c r="C650" i="4"/>
  <c r="D650" i="4"/>
  <c r="E650" i="4"/>
  <c r="F650" i="4"/>
  <c r="G650" i="4"/>
  <c r="H650" i="4"/>
  <c r="I650" i="4"/>
  <c r="J650" i="4"/>
  <c r="K649" i="4"/>
  <c r="L649" i="4"/>
  <c r="B649" i="4"/>
  <c r="H649" i="4"/>
  <c r="G649" i="4"/>
  <c r="F649" i="4"/>
  <c r="J649" i="4"/>
  <c r="E649" i="4"/>
  <c r="D649" i="4"/>
  <c r="I649" i="4"/>
  <c r="C649" i="4"/>
  <c r="B648" i="4"/>
  <c r="L648" i="4"/>
  <c r="K648" i="4"/>
  <c r="J648" i="4"/>
  <c r="I648" i="4"/>
  <c r="H648" i="4"/>
  <c r="G648" i="4"/>
  <c r="F648" i="4"/>
  <c r="E648" i="4"/>
  <c r="D648" i="4"/>
  <c r="C648" i="4"/>
  <c r="L647" i="4"/>
  <c r="K647" i="4"/>
  <c r="J647" i="4"/>
  <c r="I647" i="4"/>
  <c r="H647" i="4"/>
  <c r="G647" i="4"/>
  <c r="F647" i="4"/>
  <c r="E647" i="4"/>
  <c r="D647" i="4"/>
  <c r="C647" i="4"/>
  <c r="B647" i="4"/>
  <c r="H646" i="4"/>
  <c r="L646" i="4"/>
  <c r="B646" i="4"/>
  <c r="K646" i="4"/>
  <c r="J646" i="4"/>
  <c r="C646" i="4"/>
  <c r="G646" i="4"/>
  <c r="F646" i="4"/>
  <c r="E646" i="4"/>
  <c r="D646" i="4"/>
  <c r="I646" i="4"/>
  <c r="L645" i="4"/>
  <c r="B645" i="4"/>
  <c r="K645" i="4"/>
  <c r="F645" i="4"/>
  <c r="J645" i="4"/>
  <c r="I645" i="4"/>
  <c r="H645" i="4"/>
  <c r="G645" i="4"/>
  <c r="E645" i="4"/>
  <c r="D645" i="4"/>
  <c r="C645" i="4"/>
  <c r="L644" i="4"/>
  <c r="K644" i="4"/>
  <c r="J644" i="4"/>
  <c r="I644" i="4"/>
  <c r="H644" i="4"/>
  <c r="G644" i="4"/>
  <c r="F644" i="4"/>
  <c r="E644" i="4"/>
  <c r="D644" i="4"/>
  <c r="C644" i="4"/>
  <c r="B644" i="4"/>
  <c r="B643" i="4"/>
  <c r="L643" i="4"/>
  <c r="K643" i="4"/>
  <c r="J643" i="4"/>
  <c r="I643" i="4"/>
  <c r="H643" i="4"/>
  <c r="G643" i="4"/>
  <c r="F643" i="4"/>
  <c r="E643" i="4"/>
  <c r="D643" i="4"/>
  <c r="C643" i="4"/>
  <c r="L642" i="4"/>
  <c r="B642" i="4"/>
  <c r="C642" i="4"/>
  <c r="D642" i="4"/>
  <c r="E642" i="4"/>
  <c r="F642" i="4"/>
  <c r="G642" i="4"/>
  <c r="H642" i="4"/>
  <c r="I642" i="4"/>
  <c r="J642" i="4"/>
  <c r="K642" i="4"/>
  <c r="G641" i="4"/>
  <c r="L641" i="4"/>
  <c r="K641" i="4"/>
  <c r="I641" i="4"/>
  <c r="H641" i="4"/>
  <c r="F641" i="4"/>
  <c r="E641" i="4"/>
  <c r="D641" i="4"/>
  <c r="C641" i="4"/>
  <c r="B641" i="4"/>
  <c r="J641" i="4"/>
  <c r="D640" i="4"/>
  <c r="F640" i="4"/>
  <c r="B640" i="4"/>
  <c r="C640" i="4"/>
  <c r="K640" i="4"/>
  <c r="J640" i="4"/>
  <c r="I640" i="4"/>
  <c r="H640" i="4"/>
  <c r="G640" i="4"/>
  <c r="L640" i="4"/>
  <c r="E640" i="4"/>
  <c r="B639" i="4"/>
  <c r="C639" i="4"/>
  <c r="L639" i="4"/>
  <c r="K639" i="4"/>
  <c r="J639" i="4"/>
  <c r="I639" i="4"/>
  <c r="H639" i="4"/>
  <c r="G639" i="4"/>
  <c r="F639" i="4"/>
  <c r="E639" i="4"/>
  <c r="D639" i="4"/>
  <c r="L638" i="4"/>
  <c r="K638" i="4"/>
  <c r="I638" i="4"/>
  <c r="B638" i="4"/>
  <c r="J638" i="4"/>
  <c r="C638" i="4"/>
  <c r="H638" i="4"/>
  <c r="G638" i="4"/>
  <c r="F638" i="4"/>
  <c r="E638" i="4"/>
  <c r="D638" i="4"/>
  <c r="C637" i="4"/>
  <c r="D637" i="4"/>
  <c r="E637" i="4"/>
  <c r="F637" i="4"/>
  <c r="G637" i="4"/>
  <c r="H637" i="4"/>
  <c r="B637" i="4"/>
  <c r="J637" i="4"/>
  <c r="K637" i="4"/>
  <c r="L637" i="4"/>
  <c r="I637" i="4"/>
  <c r="L636" i="4"/>
  <c r="B636" i="4"/>
  <c r="C636" i="4"/>
  <c r="D636" i="4"/>
  <c r="E636" i="4"/>
  <c r="F636" i="4"/>
  <c r="G636" i="4"/>
  <c r="H636" i="4"/>
  <c r="I636" i="4"/>
  <c r="J636" i="4"/>
  <c r="K636" i="4"/>
  <c r="G635" i="4"/>
  <c r="D635" i="4"/>
  <c r="C635" i="4"/>
  <c r="K635" i="4"/>
  <c r="J635" i="4"/>
  <c r="I635" i="4"/>
  <c r="L635" i="4"/>
  <c r="H635" i="4"/>
  <c r="B635" i="4"/>
  <c r="F635" i="4"/>
  <c r="E635" i="4"/>
  <c r="B634" i="4"/>
  <c r="L634" i="4"/>
  <c r="K634" i="4"/>
  <c r="J634" i="4"/>
  <c r="I634" i="4"/>
  <c r="H634" i="4"/>
  <c r="G634" i="4"/>
  <c r="F634" i="4"/>
  <c r="E634" i="4"/>
  <c r="D634" i="4"/>
  <c r="C634" i="4"/>
  <c r="G633" i="4"/>
  <c r="K633" i="4"/>
  <c r="F633" i="4"/>
  <c r="J633" i="4"/>
  <c r="I633" i="4"/>
  <c r="H633" i="4"/>
  <c r="L633" i="4"/>
  <c r="B633" i="4"/>
  <c r="C633" i="4"/>
  <c r="D633" i="4"/>
  <c r="E633" i="4"/>
  <c r="G632" i="4"/>
  <c r="F632" i="4"/>
  <c r="E632" i="4"/>
  <c r="D632" i="4"/>
  <c r="C632" i="4"/>
  <c r="B632" i="4"/>
  <c r="L632" i="4"/>
  <c r="K632" i="4"/>
  <c r="J632" i="4"/>
  <c r="I632" i="4"/>
  <c r="H632" i="4"/>
  <c r="L631" i="4"/>
  <c r="K631" i="4"/>
  <c r="J631" i="4"/>
  <c r="I631" i="4"/>
  <c r="G631" i="4"/>
  <c r="E631" i="4"/>
  <c r="F631" i="4"/>
  <c r="B631" i="4"/>
  <c r="H631" i="4"/>
  <c r="C631" i="4"/>
  <c r="D631" i="4"/>
  <c r="L630" i="4"/>
  <c r="B630" i="4"/>
  <c r="K630" i="4"/>
  <c r="J630" i="4"/>
  <c r="I630" i="4"/>
  <c r="H630" i="4"/>
  <c r="G630" i="4"/>
  <c r="F630" i="4"/>
  <c r="E630" i="4"/>
  <c r="D630" i="4"/>
  <c r="C630" i="4"/>
  <c r="F629" i="4"/>
  <c r="D629" i="4"/>
  <c r="L629" i="4"/>
  <c r="K629" i="4"/>
  <c r="J629" i="4"/>
  <c r="B629" i="4"/>
  <c r="I629" i="4"/>
  <c r="H629" i="4"/>
  <c r="G629" i="4"/>
  <c r="C629" i="4"/>
  <c r="E629" i="4"/>
  <c r="G628" i="4"/>
  <c r="F628" i="4"/>
  <c r="E628" i="4"/>
  <c r="D628" i="4"/>
  <c r="C628" i="4"/>
  <c r="L628" i="4"/>
  <c r="K628" i="4"/>
  <c r="J628" i="4"/>
  <c r="I628" i="4"/>
  <c r="H628" i="4"/>
  <c r="B628" i="4"/>
  <c r="L627" i="4"/>
  <c r="K627" i="4"/>
  <c r="J627" i="4"/>
  <c r="G627" i="4"/>
  <c r="I627" i="4"/>
  <c r="H627" i="4"/>
  <c r="E627" i="4"/>
  <c r="D627" i="4"/>
  <c r="C627" i="4"/>
  <c r="F627" i="4"/>
  <c r="B627" i="4"/>
  <c r="B626" i="4"/>
  <c r="L626" i="4"/>
  <c r="K626" i="4"/>
  <c r="J626" i="4"/>
  <c r="I626" i="4"/>
  <c r="H626" i="4"/>
  <c r="G626" i="4"/>
  <c r="F626" i="4"/>
  <c r="E626" i="4"/>
  <c r="D626" i="4"/>
  <c r="C626" i="4"/>
  <c r="I625" i="4"/>
  <c r="J625" i="4"/>
  <c r="K625" i="4"/>
  <c r="B625" i="4"/>
  <c r="L625" i="4"/>
  <c r="C625" i="4"/>
  <c r="D625" i="4"/>
  <c r="E625" i="4"/>
  <c r="F625" i="4"/>
  <c r="G625" i="4"/>
  <c r="H625" i="4"/>
  <c r="L624" i="4"/>
  <c r="K624" i="4"/>
  <c r="J624" i="4"/>
  <c r="I624" i="4"/>
  <c r="H624" i="4"/>
  <c r="G624" i="4"/>
  <c r="F624" i="4"/>
  <c r="E624" i="4"/>
  <c r="D624" i="4"/>
  <c r="C624" i="4"/>
  <c r="B624" i="4"/>
  <c r="L623" i="4"/>
  <c r="K623" i="4"/>
  <c r="J623" i="4"/>
  <c r="I623" i="4"/>
  <c r="H623" i="4"/>
  <c r="G623" i="4"/>
  <c r="F623" i="4"/>
  <c r="E623" i="4"/>
  <c r="D623" i="4"/>
  <c r="C623" i="4"/>
  <c r="B623" i="4"/>
  <c r="G622" i="4"/>
  <c r="L622" i="4"/>
  <c r="K622" i="4"/>
  <c r="J622" i="4"/>
  <c r="I622" i="4"/>
  <c r="H622" i="4"/>
  <c r="F622" i="4"/>
  <c r="E622" i="4"/>
  <c r="D622" i="4"/>
  <c r="C622" i="4"/>
  <c r="B622" i="4"/>
  <c r="B621" i="4"/>
  <c r="L621" i="4"/>
  <c r="E621" i="4"/>
  <c r="D621" i="4"/>
  <c r="C621" i="4"/>
  <c r="G621" i="4"/>
  <c r="F621" i="4"/>
  <c r="H621" i="4"/>
  <c r="I621" i="4"/>
  <c r="J621" i="4"/>
  <c r="K621" i="4"/>
  <c r="I620" i="4"/>
  <c r="L620" i="4"/>
  <c r="K620" i="4"/>
  <c r="J620" i="4"/>
  <c r="G620" i="4"/>
  <c r="B620" i="4"/>
  <c r="C620" i="4"/>
  <c r="D620" i="4"/>
  <c r="E620" i="4"/>
  <c r="F620" i="4"/>
  <c r="H620" i="4"/>
  <c r="L619" i="4"/>
  <c r="F619" i="4"/>
  <c r="B619" i="4"/>
  <c r="C619" i="4"/>
  <c r="D619" i="4"/>
  <c r="E619" i="4"/>
  <c r="H619" i="4"/>
  <c r="I619" i="4"/>
  <c r="J619" i="4"/>
  <c r="K619" i="4"/>
  <c r="G619" i="4"/>
  <c r="F618" i="4"/>
  <c r="E618" i="4"/>
  <c r="D618" i="4"/>
  <c r="C618" i="4"/>
  <c r="G618" i="4"/>
  <c r="B618" i="4"/>
  <c r="L618" i="4"/>
  <c r="I618" i="4"/>
  <c r="J618" i="4"/>
  <c r="H618" i="4"/>
  <c r="K618" i="4"/>
  <c r="G617" i="4"/>
  <c r="B617" i="4"/>
  <c r="C617" i="4"/>
  <c r="D617" i="4"/>
  <c r="E617" i="4"/>
  <c r="F617" i="4"/>
  <c r="H617" i="4"/>
  <c r="I617" i="4"/>
  <c r="J617" i="4"/>
  <c r="K617" i="4"/>
  <c r="L617" i="4"/>
  <c r="B616" i="4"/>
  <c r="G616" i="4"/>
  <c r="F616" i="4"/>
  <c r="E616" i="4"/>
  <c r="D616" i="4"/>
  <c r="C616" i="4"/>
  <c r="L616" i="4"/>
  <c r="K616" i="4"/>
  <c r="J616" i="4"/>
  <c r="I616" i="4"/>
  <c r="H616" i="4"/>
  <c r="G615" i="4"/>
  <c r="B615" i="4"/>
  <c r="C615" i="4"/>
  <c r="D615" i="4"/>
  <c r="E615" i="4"/>
  <c r="F615" i="4"/>
  <c r="L615" i="4"/>
  <c r="K615" i="4"/>
  <c r="J615" i="4"/>
  <c r="I615" i="4"/>
  <c r="H615" i="4"/>
  <c r="C614" i="4"/>
  <c r="B614" i="4"/>
  <c r="G614" i="4"/>
  <c r="F614" i="4"/>
  <c r="E614" i="4"/>
  <c r="L614" i="4"/>
  <c r="H614" i="4"/>
  <c r="I614" i="4"/>
  <c r="J614" i="4"/>
  <c r="K614" i="4"/>
  <c r="D614" i="4"/>
  <c r="H613" i="4"/>
  <c r="I613" i="4"/>
  <c r="J613" i="4"/>
  <c r="K613" i="4"/>
  <c r="L613" i="4"/>
  <c r="C613" i="4"/>
  <c r="B613" i="4"/>
  <c r="D613" i="4"/>
  <c r="E613" i="4"/>
  <c r="F613" i="4"/>
  <c r="G613" i="4"/>
  <c r="E612" i="4"/>
  <c r="L612" i="4"/>
  <c r="K612" i="4"/>
  <c r="J612" i="4"/>
  <c r="I612" i="4"/>
  <c r="H612" i="4"/>
  <c r="G612" i="4"/>
  <c r="F612" i="4"/>
  <c r="D612" i="4"/>
  <c r="C612" i="4"/>
  <c r="B612" i="4"/>
  <c r="B611" i="4"/>
  <c r="C611" i="4"/>
  <c r="F611" i="4"/>
  <c r="D611" i="4"/>
  <c r="G611" i="4"/>
  <c r="E611" i="4"/>
  <c r="L611" i="4"/>
  <c r="K611" i="4"/>
  <c r="J611" i="4"/>
  <c r="I611" i="4"/>
  <c r="H611" i="4"/>
  <c r="C610" i="4"/>
  <c r="B610" i="4"/>
  <c r="D610" i="4"/>
  <c r="L610" i="4"/>
  <c r="K610" i="4"/>
  <c r="I610" i="4"/>
  <c r="J610" i="4"/>
  <c r="H610" i="4"/>
  <c r="G610" i="4"/>
  <c r="F610" i="4"/>
  <c r="E610" i="4"/>
  <c r="E609" i="4"/>
  <c r="L609" i="4"/>
  <c r="B609" i="4"/>
  <c r="C609" i="4"/>
  <c r="D609" i="4"/>
  <c r="F609" i="4"/>
  <c r="G609" i="4"/>
  <c r="H609" i="4"/>
  <c r="I609" i="4"/>
  <c r="J609" i="4"/>
  <c r="K609" i="4"/>
  <c r="G608" i="4"/>
  <c r="H608" i="4"/>
  <c r="I608" i="4"/>
  <c r="J608" i="4"/>
  <c r="D608" i="4"/>
  <c r="K608" i="4"/>
  <c r="L608" i="4"/>
  <c r="B608" i="4"/>
  <c r="C608" i="4"/>
  <c r="E608" i="4"/>
  <c r="F608" i="4"/>
  <c r="G607" i="4"/>
  <c r="F607" i="4"/>
  <c r="E607" i="4"/>
  <c r="C607" i="4"/>
  <c r="B607" i="4"/>
  <c r="D607" i="4"/>
  <c r="L607" i="4"/>
  <c r="K607" i="4"/>
  <c r="J607" i="4"/>
  <c r="I607" i="4"/>
  <c r="H607" i="4"/>
  <c r="B606" i="4"/>
  <c r="C606" i="4"/>
  <c r="D606" i="4"/>
  <c r="E606" i="4"/>
  <c r="F606" i="4"/>
  <c r="L606" i="4"/>
  <c r="K606" i="4"/>
  <c r="J606" i="4"/>
  <c r="I606" i="4"/>
  <c r="H606" i="4"/>
  <c r="G606" i="4"/>
  <c r="L605" i="4"/>
  <c r="C605" i="4"/>
  <c r="D605" i="4"/>
  <c r="F605" i="4"/>
  <c r="J605" i="4"/>
  <c r="I605" i="4"/>
  <c r="H605" i="4"/>
  <c r="G605" i="4"/>
  <c r="K605" i="4"/>
  <c r="B605" i="4"/>
  <c r="E605" i="4"/>
  <c r="L604" i="4"/>
  <c r="E604" i="4"/>
  <c r="D604" i="4"/>
  <c r="F604" i="4"/>
  <c r="J604" i="4"/>
  <c r="C604" i="4"/>
  <c r="B604" i="4"/>
  <c r="K604" i="4"/>
  <c r="I604" i="4"/>
  <c r="H604" i="4"/>
  <c r="G604" i="4"/>
  <c r="G603" i="4"/>
  <c r="E603" i="4"/>
  <c r="F603" i="4"/>
  <c r="D603" i="4"/>
  <c r="C603" i="4"/>
  <c r="B603" i="4"/>
  <c r="L603" i="4"/>
  <c r="K603" i="4"/>
  <c r="J603" i="4"/>
  <c r="I603" i="4"/>
  <c r="H603" i="4"/>
  <c r="L602" i="4"/>
  <c r="K602" i="4"/>
  <c r="J602" i="4"/>
  <c r="I602" i="4"/>
  <c r="H602" i="4"/>
  <c r="G602" i="4"/>
  <c r="F602" i="4"/>
  <c r="E602" i="4"/>
  <c r="D602" i="4"/>
  <c r="C602" i="4"/>
  <c r="B602" i="4"/>
  <c r="G601" i="4"/>
  <c r="L601" i="4"/>
  <c r="H601" i="4"/>
  <c r="I601" i="4"/>
  <c r="J601" i="4"/>
  <c r="E601" i="4"/>
  <c r="D601" i="4"/>
  <c r="C601" i="4"/>
  <c r="F601" i="4"/>
  <c r="B601" i="4"/>
  <c r="K601" i="4"/>
  <c r="E600" i="4"/>
  <c r="C600" i="4"/>
  <c r="J600" i="4"/>
  <c r="L600" i="4"/>
  <c r="K600" i="4"/>
  <c r="I600" i="4"/>
  <c r="H600" i="4"/>
  <c r="G600" i="4"/>
  <c r="F600" i="4"/>
  <c r="D600" i="4"/>
  <c r="B600" i="4"/>
  <c r="H599" i="4"/>
  <c r="I599" i="4"/>
  <c r="J599" i="4"/>
  <c r="K599" i="4"/>
  <c r="L599" i="4"/>
  <c r="E599" i="4"/>
  <c r="B599" i="4"/>
  <c r="C599" i="4"/>
  <c r="D599" i="4"/>
  <c r="F599" i="4"/>
  <c r="G599" i="4"/>
  <c r="K598" i="4"/>
  <c r="J598" i="4"/>
  <c r="I598" i="4"/>
  <c r="H598" i="4"/>
  <c r="G598" i="4"/>
  <c r="L598" i="4"/>
  <c r="F598" i="4"/>
  <c r="B598" i="4"/>
  <c r="C598" i="4"/>
  <c r="D598" i="4"/>
  <c r="E598" i="4"/>
  <c r="B597" i="4"/>
  <c r="C597" i="4"/>
  <c r="D597" i="4"/>
  <c r="E597" i="4"/>
  <c r="F597" i="4"/>
  <c r="G597" i="4"/>
  <c r="H597" i="4"/>
  <c r="I597" i="4"/>
  <c r="J597" i="4"/>
  <c r="K597" i="4"/>
  <c r="L597" i="4"/>
  <c r="L596" i="4"/>
  <c r="J596" i="4"/>
  <c r="I596" i="4"/>
  <c r="H596" i="4"/>
  <c r="G596" i="4"/>
  <c r="F596" i="4"/>
  <c r="E596" i="4"/>
  <c r="D596" i="4"/>
  <c r="C596" i="4"/>
  <c r="B596" i="4"/>
  <c r="K596" i="4"/>
  <c r="L595" i="4"/>
  <c r="K595" i="4"/>
  <c r="J595" i="4"/>
  <c r="I595" i="4"/>
  <c r="H595" i="4"/>
  <c r="G595" i="4"/>
  <c r="F595" i="4"/>
  <c r="E595" i="4"/>
  <c r="D595" i="4"/>
  <c r="C595" i="4"/>
  <c r="B595" i="4"/>
  <c r="L594" i="4"/>
  <c r="K594" i="4"/>
  <c r="J594" i="4"/>
  <c r="I594" i="4"/>
  <c r="H594" i="4"/>
  <c r="G594" i="4"/>
  <c r="F594" i="4"/>
  <c r="E594" i="4"/>
  <c r="D594" i="4"/>
  <c r="C594" i="4"/>
  <c r="B594" i="4"/>
  <c r="L593" i="4"/>
  <c r="K593" i="4"/>
  <c r="J593" i="4"/>
  <c r="I593" i="4"/>
  <c r="H593" i="4"/>
  <c r="G593" i="4"/>
  <c r="F593" i="4"/>
  <c r="D593" i="4"/>
  <c r="C593" i="4"/>
  <c r="B593" i="4"/>
  <c r="E593" i="4"/>
  <c r="E592" i="4"/>
  <c r="B592" i="4"/>
  <c r="C592" i="4"/>
  <c r="D592" i="4"/>
  <c r="F592" i="4"/>
  <c r="G592" i="4"/>
  <c r="H592" i="4"/>
  <c r="I592" i="4"/>
  <c r="J592" i="4"/>
  <c r="K592" i="4"/>
  <c r="L592" i="4"/>
  <c r="I591" i="4"/>
  <c r="H591" i="4"/>
  <c r="D591" i="4"/>
  <c r="E591" i="4"/>
  <c r="G591" i="4"/>
  <c r="K591" i="4"/>
  <c r="B591" i="4"/>
  <c r="C591" i="4"/>
  <c r="F591" i="4"/>
  <c r="L591" i="4"/>
  <c r="J591" i="4"/>
  <c r="H590" i="4"/>
  <c r="F590" i="4"/>
  <c r="E590" i="4"/>
  <c r="D590" i="4"/>
  <c r="C590" i="4"/>
  <c r="B590" i="4"/>
  <c r="G590" i="4"/>
  <c r="I590" i="4"/>
  <c r="J590" i="4"/>
  <c r="K590" i="4"/>
  <c r="L590" i="4"/>
  <c r="L589" i="4"/>
  <c r="K589" i="4"/>
  <c r="C589" i="4"/>
  <c r="H589" i="4"/>
  <c r="D589" i="4"/>
  <c r="I589" i="4"/>
  <c r="B589" i="4"/>
  <c r="J589" i="4"/>
  <c r="E589" i="4"/>
  <c r="F589" i="4"/>
  <c r="G589" i="4"/>
  <c r="B588" i="4"/>
  <c r="L588" i="4"/>
  <c r="K588" i="4"/>
  <c r="J588" i="4"/>
  <c r="H588" i="4"/>
  <c r="G588" i="4"/>
  <c r="F588" i="4"/>
  <c r="E588" i="4"/>
  <c r="I588" i="4"/>
  <c r="C588" i="4"/>
  <c r="D588" i="4"/>
  <c r="B587" i="4"/>
  <c r="L587" i="4"/>
  <c r="K587" i="4"/>
  <c r="J587" i="4"/>
  <c r="I587" i="4"/>
  <c r="H587" i="4"/>
  <c r="G587" i="4"/>
  <c r="F587" i="4"/>
  <c r="E587" i="4"/>
  <c r="D587" i="4"/>
  <c r="C587" i="4"/>
  <c r="D586" i="4"/>
  <c r="L586" i="4"/>
  <c r="K586" i="4"/>
  <c r="J586" i="4"/>
  <c r="I586" i="4"/>
  <c r="H586" i="4"/>
  <c r="G586" i="4"/>
  <c r="F586" i="4"/>
  <c r="E586" i="4"/>
  <c r="C586" i="4"/>
  <c r="B586" i="4"/>
  <c r="L585" i="4"/>
  <c r="K585" i="4"/>
  <c r="J585" i="4"/>
  <c r="I585" i="4"/>
  <c r="H585" i="4"/>
  <c r="G585" i="4"/>
  <c r="F585" i="4"/>
  <c r="E585" i="4"/>
  <c r="D585" i="4"/>
  <c r="C585" i="4"/>
  <c r="B585" i="4"/>
  <c r="D583" i="4"/>
  <c r="C583" i="4"/>
  <c r="B583" i="4"/>
  <c r="L583" i="4"/>
  <c r="K583" i="4"/>
  <c r="J583" i="4"/>
  <c r="I583" i="4"/>
  <c r="H583" i="4"/>
  <c r="G583" i="4"/>
  <c r="F583" i="4"/>
  <c r="E583" i="4"/>
  <c r="E582" i="4"/>
  <c r="B582" i="4"/>
  <c r="C582" i="4"/>
  <c r="L582" i="4"/>
  <c r="K582" i="4"/>
  <c r="J582" i="4"/>
  <c r="I582" i="4"/>
  <c r="H582" i="4"/>
  <c r="G582" i="4"/>
  <c r="D582" i="4"/>
  <c r="F582" i="4"/>
  <c r="K581" i="4"/>
  <c r="F581" i="4"/>
  <c r="B581" i="4"/>
  <c r="C581" i="4"/>
  <c r="D581" i="4"/>
  <c r="J581" i="4"/>
  <c r="I581" i="4"/>
  <c r="E581" i="4"/>
  <c r="H581" i="4"/>
  <c r="G581" i="4"/>
  <c r="L581" i="4"/>
  <c r="J580" i="4"/>
  <c r="I580" i="4"/>
  <c r="H580" i="4"/>
  <c r="G580" i="4"/>
  <c r="F580" i="4"/>
  <c r="L580" i="4"/>
  <c r="E580" i="4"/>
  <c r="D580" i="4"/>
  <c r="C580" i="4"/>
  <c r="B580" i="4"/>
  <c r="K580" i="4"/>
  <c r="I579" i="4"/>
  <c r="H579" i="4"/>
  <c r="G579" i="4"/>
  <c r="E579" i="4"/>
  <c r="J579" i="4"/>
  <c r="D579" i="4"/>
  <c r="L579" i="4"/>
  <c r="F579" i="4"/>
  <c r="K579" i="4"/>
  <c r="C579" i="4"/>
  <c r="B579" i="4"/>
  <c r="K578" i="4"/>
  <c r="L578" i="4"/>
  <c r="G578" i="4"/>
  <c r="B578" i="4"/>
  <c r="C578" i="4"/>
  <c r="D578" i="4"/>
  <c r="E578" i="4"/>
  <c r="F578" i="4"/>
  <c r="H578" i="4"/>
  <c r="J578" i="4"/>
  <c r="I578" i="4"/>
  <c r="G577" i="4"/>
  <c r="F577" i="4"/>
  <c r="B577" i="4"/>
  <c r="C577" i="4"/>
  <c r="D577" i="4"/>
  <c r="E577" i="4"/>
  <c r="L577" i="4"/>
  <c r="K577" i="4"/>
  <c r="J577" i="4"/>
  <c r="I577" i="4"/>
  <c r="H577" i="4"/>
  <c r="G576" i="4"/>
  <c r="F576" i="4"/>
  <c r="H576" i="4"/>
  <c r="D576" i="4"/>
  <c r="C576" i="4"/>
  <c r="B576" i="4"/>
  <c r="L576" i="4"/>
  <c r="K576" i="4"/>
  <c r="J576" i="4"/>
  <c r="I576" i="4"/>
  <c r="E576" i="4"/>
  <c r="C575" i="4"/>
  <c r="B575" i="4"/>
  <c r="L575" i="4"/>
  <c r="K575" i="4"/>
  <c r="J575" i="4"/>
  <c r="I575" i="4"/>
  <c r="H575" i="4"/>
  <c r="G575" i="4"/>
  <c r="F575" i="4"/>
  <c r="E575" i="4"/>
  <c r="D575" i="4"/>
  <c r="G574" i="4"/>
  <c r="I574" i="4"/>
  <c r="J574" i="4"/>
  <c r="L574" i="4"/>
  <c r="K574" i="4"/>
  <c r="H574" i="4"/>
  <c r="B574" i="4"/>
  <c r="D574" i="4"/>
  <c r="E574" i="4"/>
  <c r="F574" i="4"/>
  <c r="C574" i="4"/>
  <c r="H573" i="4"/>
  <c r="G573" i="4"/>
  <c r="F573" i="4"/>
  <c r="D573" i="4"/>
  <c r="C573" i="4"/>
  <c r="B573" i="4"/>
  <c r="E573" i="4"/>
  <c r="L573" i="4"/>
  <c r="K573" i="4"/>
  <c r="J573" i="4"/>
  <c r="I573" i="4"/>
  <c r="K572" i="4"/>
  <c r="J572" i="4"/>
  <c r="I572" i="4"/>
  <c r="H572" i="4"/>
  <c r="G572" i="4"/>
  <c r="F572" i="4"/>
  <c r="C572" i="4"/>
  <c r="D572" i="4"/>
  <c r="B572" i="4"/>
  <c r="E572" i="4"/>
  <c r="L572" i="4"/>
  <c r="I571" i="4"/>
  <c r="B571" i="4"/>
  <c r="C571" i="4"/>
  <c r="D571" i="4"/>
  <c r="E571" i="4"/>
  <c r="F571" i="4"/>
  <c r="G571" i="4"/>
  <c r="H571" i="4"/>
  <c r="J571" i="4"/>
  <c r="K571" i="4"/>
  <c r="L571" i="4"/>
  <c r="G570" i="4"/>
  <c r="J570" i="4"/>
  <c r="F570" i="4"/>
  <c r="K570" i="4"/>
  <c r="H570" i="4"/>
  <c r="I570" i="4"/>
  <c r="B570" i="4"/>
  <c r="C570" i="4"/>
  <c r="D570" i="4"/>
  <c r="E570" i="4"/>
  <c r="L570" i="4"/>
  <c r="J569" i="4"/>
  <c r="K569" i="4"/>
  <c r="L569" i="4"/>
  <c r="B569" i="4"/>
  <c r="H569" i="4"/>
  <c r="C569" i="4"/>
  <c r="D569" i="4"/>
  <c r="E569" i="4"/>
  <c r="F569" i="4"/>
  <c r="G569" i="4"/>
  <c r="I569" i="4"/>
  <c r="I568" i="4"/>
  <c r="J568" i="4"/>
  <c r="K568" i="4"/>
  <c r="L568" i="4"/>
  <c r="B568" i="4"/>
  <c r="H568" i="4"/>
  <c r="G568" i="4"/>
  <c r="F568" i="4"/>
  <c r="E568" i="4"/>
  <c r="D568" i="4"/>
  <c r="C568" i="4"/>
  <c r="L567" i="4"/>
  <c r="K567" i="4"/>
  <c r="C567" i="4"/>
  <c r="H567" i="4"/>
  <c r="G567" i="4"/>
  <c r="F567" i="4"/>
  <c r="E567" i="4"/>
  <c r="D567" i="4"/>
  <c r="B567" i="4"/>
  <c r="I567" i="4"/>
  <c r="J567" i="4"/>
  <c r="F566" i="4"/>
  <c r="I566" i="4"/>
  <c r="G566" i="4"/>
  <c r="E566" i="4"/>
  <c r="D566" i="4"/>
  <c r="C566" i="4"/>
  <c r="B566" i="4"/>
  <c r="J566" i="4"/>
  <c r="K566" i="4"/>
  <c r="L566" i="4"/>
  <c r="H566" i="4"/>
  <c r="H565" i="4"/>
  <c r="B565" i="4"/>
  <c r="L565" i="4"/>
  <c r="K565" i="4"/>
  <c r="J565" i="4"/>
  <c r="I565" i="4"/>
  <c r="E565" i="4"/>
  <c r="D565" i="4"/>
  <c r="G565" i="4"/>
  <c r="F565" i="4"/>
  <c r="C565" i="4"/>
  <c r="E564" i="4"/>
  <c r="G564" i="4"/>
  <c r="H564" i="4"/>
  <c r="K564" i="4"/>
  <c r="L564" i="4"/>
  <c r="C564" i="4"/>
  <c r="B564" i="4"/>
  <c r="I564" i="4"/>
  <c r="D564" i="4"/>
  <c r="F564" i="4"/>
  <c r="J564" i="4"/>
  <c r="D563" i="4"/>
  <c r="C563" i="4"/>
  <c r="I563" i="4"/>
  <c r="H563" i="4"/>
  <c r="K563" i="4"/>
  <c r="E563" i="4"/>
  <c r="F563" i="4"/>
  <c r="G563" i="4"/>
  <c r="J563" i="4"/>
  <c r="B563" i="4"/>
  <c r="L563" i="4"/>
  <c r="H562" i="4"/>
  <c r="I562" i="4"/>
  <c r="J562" i="4"/>
  <c r="K562" i="4"/>
  <c r="L562" i="4"/>
  <c r="C562" i="4"/>
  <c r="B562" i="4"/>
  <c r="D562" i="4"/>
  <c r="E562" i="4"/>
  <c r="F562" i="4"/>
  <c r="G562" i="4"/>
  <c r="H561" i="4"/>
  <c r="G561" i="4"/>
  <c r="F561" i="4"/>
  <c r="E561" i="4"/>
  <c r="D561" i="4"/>
  <c r="C561" i="4"/>
  <c r="B561" i="4"/>
  <c r="L561" i="4"/>
  <c r="K561" i="4"/>
  <c r="J561" i="4"/>
  <c r="I561" i="4"/>
  <c r="H560" i="4"/>
  <c r="I560" i="4"/>
  <c r="L560" i="4"/>
  <c r="K560" i="4"/>
  <c r="J560" i="4"/>
  <c r="G560" i="4"/>
  <c r="B560" i="4"/>
  <c r="C560" i="4"/>
  <c r="D560" i="4"/>
  <c r="E560" i="4"/>
  <c r="F560" i="4"/>
  <c r="K559" i="4"/>
  <c r="L559" i="4"/>
  <c r="J559" i="4"/>
  <c r="I559" i="4"/>
  <c r="H559" i="4"/>
  <c r="G559" i="4"/>
  <c r="F559" i="4"/>
  <c r="E559" i="4"/>
  <c r="D559" i="4"/>
  <c r="C559" i="4"/>
  <c r="B559" i="4"/>
  <c r="C558" i="4"/>
  <c r="B558" i="4"/>
  <c r="L558" i="4"/>
  <c r="K558" i="4"/>
  <c r="J558" i="4"/>
  <c r="I558" i="4"/>
  <c r="H558" i="4"/>
  <c r="G558" i="4"/>
  <c r="F558" i="4"/>
  <c r="E558" i="4"/>
  <c r="D558" i="4"/>
  <c r="L557" i="4"/>
  <c r="K557" i="4"/>
  <c r="B557" i="4"/>
  <c r="C557" i="4"/>
  <c r="D557" i="4"/>
  <c r="E557" i="4"/>
  <c r="G557" i="4"/>
  <c r="H557" i="4"/>
  <c r="I557" i="4"/>
  <c r="J557" i="4"/>
  <c r="F557" i="4"/>
  <c r="J556" i="4"/>
  <c r="K556" i="4"/>
  <c r="L556" i="4"/>
  <c r="I556" i="4"/>
  <c r="H556" i="4"/>
  <c r="G556" i="4"/>
  <c r="F556" i="4"/>
  <c r="E556" i="4"/>
  <c r="D556" i="4"/>
  <c r="C556" i="4"/>
  <c r="B556" i="4"/>
  <c r="L555" i="4"/>
  <c r="K555" i="4"/>
  <c r="J555" i="4"/>
  <c r="I555" i="4"/>
  <c r="H555" i="4"/>
  <c r="G555" i="4"/>
  <c r="F555" i="4"/>
  <c r="E555" i="4"/>
  <c r="D555" i="4"/>
  <c r="C555" i="4"/>
  <c r="B555" i="4"/>
  <c r="L554" i="4"/>
  <c r="K554" i="4"/>
  <c r="J554" i="4"/>
  <c r="I554" i="4"/>
  <c r="H554" i="4"/>
  <c r="G554" i="4"/>
  <c r="F554" i="4"/>
  <c r="E554" i="4"/>
  <c r="D554" i="4"/>
  <c r="C554" i="4"/>
  <c r="B554" i="4"/>
  <c r="L553" i="4"/>
  <c r="K553" i="4"/>
  <c r="J553" i="4"/>
  <c r="I553" i="4"/>
  <c r="H553" i="4"/>
  <c r="G553" i="4"/>
  <c r="F553" i="4"/>
  <c r="E553" i="4"/>
  <c r="D553" i="4"/>
  <c r="C553" i="4"/>
  <c r="B553" i="4"/>
  <c r="L552" i="4"/>
  <c r="K552" i="4"/>
  <c r="J552" i="4"/>
  <c r="I552" i="4"/>
  <c r="H552" i="4"/>
  <c r="G552" i="4"/>
  <c r="F552" i="4"/>
  <c r="E552" i="4"/>
  <c r="D552" i="4"/>
  <c r="C552" i="4"/>
  <c r="B552" i="4"/>
  <c r="L551" i="4"/>
  <c r="K551" i="4"/>
  <c r="J551" i="4"/>
  <c r="I551" i="4"/>
  <c r="H551" i="4"/>
  <c r="G551" i="4"/>
  <c r="F551" i="4"/>
  <c r="E551" i="4"/>
  <c r="D551" i="4"/>
  <c r="C551" i="4"/>
  <c r="B551" i="4"/>
  <c r="L550" i="4"/>
  <c r="K550" i="4"/>
  <c r="J550" i="4"/>
  <c r="I550" i="4"/>
  <c r="H550" i="4"/>
  <c r="G550" i="4"/>
  <c r="F550" i="4"/>
  <c r="E550" i="4"/>
  <c r="D550" i="4"/>
  <c r="C550" i="4"/>
  <c r="B550" i="4"/>
  <c r="L549" i="4"/>
  <c r="K549" i="4"/>
  <c r="J549" i="4"/>
  <c r="I549" i="4"/>
  <c r="H549" i="4"/>
  <c r="G549" i="4"/>
  <c r="F549" i="4"/>
  <c r="E549" i="4"/>
  <c r="D549" i="4"/>
  <c r="C549" i="4"/>
  <c r="B549" i="4"/>
  <c r="L548" i="4"/>
  <c r="K548" i="4"/>
  <c r="J548" i="4"/>
  <c r="I548" i="4"/>
  <c r="H548" i="4"/>
  <c r="G548" i="4"/>
  <c r="F548" i="4"/>
  <c r="E548" i="4"/>
  <c r="D548" i="4"/>
  <c r="C548" i="4"/>
  <c r="B548" i="4"/>
  <c r="L547" i="4"/>
  <c r="K547" i="4"/>
  <c r="J547" i="4"/>
  <c r="I547" i="4"/>
  <c r="H547" i="4"/>
  <c r="G547" i="4"/>
  <c r="F547" i="4"/>
  <c r="E547" i="4"/>
  <c r="D547" i="4"/>
  <c r="C547" i="4"/>
  <c r="B547" i="4"/>
  <c r="L546" i="4"/>
  <c r="K546" i="4"/>
  <c r="J546" i="4"/>
  <c r="I546" i="4"/>
  <c r="H546" i="4"/>
  <c r="G546" i="4"/>
  <c r="F546" i="4"/>
  <c r="E546" i="4"/>
  <c r="D546" i="4"/>
  <c r="C546" i="4"/>
  <c r="B546" i="4"/>
  <c r="L545" i="4"/>
  <c r="K545" i="4"/>
  <c r="J545" i="4"/>
  <c r="I545" i="4"/>
  <c r="H545" i="4"/>
  <c r="G545" i="4"/>
  <c r="F545" i="4"/>
  <c r="E545" i="4"/>
  <c r="D545" i="4"/>
  <c r="C545" i="4"/>
  <c r="B545" i="4"/>
  <c r="L544" i="4"/>
  <c r="K544" i="4"/>
  <c r="J544" i="4"/>
  <c r="I544" i="4"/>
  <c r="H544" i="4"/>
  <c r="G544" i="4"/>
  <c r="F544" i="4"/>
  <c r="E544" i="4"/>
  <c r="D544" i="4"/>
  <c r="C544" i="4"/>
  <c r="B544" i="4"/>
  <c r="L543" i="4"/>
  <c r="K543" i="4"/>
  <c r="J543" i="4"/>
  <c r="I543" i="4"/>
  <c r="H543" i="4"/>
  <c r="G543" i="4"/>
  <c r="F543" i="4"/>
  <c r="E543" i="4"/>
  <c r="D543" i="4"/>
  <c r="C543" i="4"/>
  <c r="B543" i="4"/>
  <c r="L542" i="4"/>
  <c r="K542" i="4"/>
  <c r="J542" i="4"/>
  <c r="I542" i="4"/>
  <c r="H542" i="4"/>
  <c r="G542" i="4"/>
  <c r="F542" i="4"/>
  <c r="E542" i="4"/>
  <c r="D542" i="4"/>
  <c r="C542" i="4"/>
  <c r="B542" i="4"/>
  <c r="L541" i="4"/>
  <c r="K541" i="4"/>
  <c r="J541" i="4"/>
  <c r="I541" i="4"/>
  <c r="H541" i="4"/>
  <c r="G541" i="4"/>
  <c r="F541" i="4"/>
  <c r="E541" i="4"/>
  <c r="D541" i="4"/>
  <c r="C541" i="4"/>
  <c r="B541" i="4"/>
  <c r="L540" i="4"/>
  <c r="K540" i="4"/>
  <c r="J540" i="4"/>
  <c r="I540" i="4"/>
  <c r="H540" i="4"/>
  <c r="G540" i="4"/>
  <c r="F540" i="4"/>
  <c r="E540" i="4"/>
  <c r="D540" i="4"/>
  <c r="C540" i="4"/>
  <c r="B540" i="4"/>
  <c r="L539" i="4"/>
  <c r="K539" i="4"/>
  <c r="J539" i="4"/>
  <c r="I539" i="4"/>
  <c r="H539" i="4"/>
  <c r="G539" i="4"/>
  <c r="F539" i="4"/>
  <c r="E539" i="4"/>
  <c r="D539" i="4"/>
  <c r="C539" i="4"/>
  <c r="B539" i="4"/>
  <c r="L538" i="4"/>
  <c r="K538" i="4"/>
  <c r="J538" i="4"/>
  <c r="I538" i="4"/>
  <c r="H538" i="4"/>
  <c r="G538" i="4"/>
  <c r="F538" i="4"/>
  <c r="E538" i="4"/>
  <c r="D538" i="4"/>
  <c r="C538" i="4"/>
  <c r="B538" i="4"/>
  <c r="F537" i="4"/>
  <c r="L537" i="4"/>
  <c r="K537" i="4"/>
  <c r="J537" i="4"/>
  <c r="I537" i="4"/>
  <c r="H537" i="4"/>
  <c r="G537" i="4"/>
  <c r="E537" i="4"/>
  <c r="D537" i="4"/>
  <c r="C537" i="4"/>
  <c r="B537" i="4"/>
  <c r="I536" i="4"/>
  <c r="E536" i="4"/>
  <c r="D536" i="4"/>
  <c r="B536" i="4"/>
  <c r="C536" i="4"/>
  <c r="F536" i="4"/>
  <c r="G536" i="4"/>
  <c r="H536" i="4"/>
  <c r="J536" i="4"/>
  <c r="K536" i="4"/>
  <c r="L536" i="4"/>
  <c r="C535" i="4"/>
  <c r="E535" i="4"/>
  <c r="K535" i="4"/>
  <c r="J535" i="4"/>
  <c r="B535" i="4"/>
  <c r="D535" i="4"/>
  <c r="L535" i="4"/>
  <c r="I535" i="4"/>
  <c r="F535" i="4"/>
  <c r="G535" i="4"/>
  <c r="H535" i="4"/>
  <c r="B534" i="4"/>
  <c r="F534" i="4"/>
  <c r="K534" i="4"/>
  <c r="L534" i="4"/>
  <c r="C534" i="4"/>
  <c r="E534" i="4"/>
  <c r="D534" i="4"/>
  <c r="H534" i="4"/>
  <c r="I534" i="4"/>
  <c r="G534" i="4"/>
  <c r="J534" i="4"/>
  <c r="J533" i="4"/>
  <c r="I533" i="4"/>
  <c r="G533" i="4"/>
  <c r="B533" i="4"/>
  <c r="C533" i="4"/>
  <c r="D533" i="4"/>
  <c r="E533" i="4"/>
  <c r="F533" i="4"/>
  <c r="L533" i="4"/>
  <c r="H533" i="4"/>
  <c r="K533" i="4"/>
  <c r="H532" i="4"/>
  <c r="I532" i="4"/>
  <c r="K532" i="4"/>
  <c r="L532" i="4"/>
  <c r="C532" i="4"/>
  <c r="J532" i="4"/>
  <c r="B532" i="4"/>
  <c r="D532" i="4"/>
  <c r="E532" i="4"/>
  <c r="F532" i="4"/>
  <c r="G532" i="4"/>
  <c r="B531" i="4"/>
  <c r="C531" i="4"/>
  <c r="D531" i="4"/>
  <c r="E531" i="4"/>
  <c r="H531" i="4"/>
  <c r="G531" i="4"/>
  <c r="L531" i="4"/>
  <c r="K531" i="4"/>
  <c r="J531" i="4"/>
  <c r="F531" i="4"/>
  <c r="I531" i="4"/>
  <c r="K530" i="4"/>
  <c r="L530" i="4"/>
  <c r="J530" i="4"/>
  <c r="I530" i="4"/>
  <c r="H530" i="4"/>
  <c r="G530" i="4"/>
  <c r="F530" i="4"/>
  <c r="E530" i="4"/>
  <c r="D530" i="4"/>
  <c r="C530" i="4"/>
  <c r="B530" i="4"/>
  <c r="E529" i="4"/>
  <c r="L529" i="4"/>
  <c r="K529" i="4"/>
  <c r="I529" i="4"/>
  <c r="H529" i="4"/>
  <c r="J529" i="4"/>
  <c r="D529" i="4"/>
  <c r="F529" i="4"/>
  <c r="C529" i="4"/>
  <c r="B529" i="4"/>
  <c r="G529" i="4"/>
  <c r="E528" i="4"/>
  <c r="L528" i="4"/>
  <c r="K528" i="4"/>
  <c r="J528" i="4"/>
  <c r="I528" i="4"/>
  <c r="H528" i="4"/>
  <c r="G528" i="4"/>
  <c r="F528" i="4"/>
  <c r="D528" i="4"/>
  <c r="C528" i="4"/>
  <c r="B528" i="4"/>
  <c r="J527" i="4"/>
  <c r="L527" i="4"/>
  <c r="K527" i="4"/>
  <c r="I527" i="4"/>
  <c r="H527" i="4"/>
  <c r="G527" i="4"/>
  <c r="F527" i="4"/>
  <c r="E527" i="4"/>
  <c r="D527" i="4"/>
  <c r="C527" i="4"/>
  <c r="B527" i="4"/>
  <c r="D526" i="4"/>
  <c r="B526" i="4"/>
  <c r="C526" i="4"/>
  <c r="L526" i="4"/>
  <c r="K526" i="4"/>
  <c r="J526" i="4"/>
  <c r="I526" i="4"/>
  <c r="H526" i="4"/>
  <c r="G526" i="4"/>
  <c r="F526" i="4"/>
  <c r="E526" i="4"/>
  <c r="C525" i="4"/>
  <c r="D525" i="4"/>
  <c r="E525" i="4"/>
  <c r="F525" i="4"/>
  <c r="G525" i="4"/>
  <c r="H525" i="4"/>
  <c r="I525" i="4"/>
  <c r="J525" i="4"/>
  <c r="K525" i="4"/>
  <c r="L525" i="4"/>
  <c r="B525" i="4"/>
  <c r="K524" i="4"/>
  <c r="L524" i="4"/>
  <c r="J524" i="4"/>
  <c r="I524" i="4"/>
  <c r="H524" i="4"/>
  <c r="G524" i="4"/>
  <c r="F524" i="4"/>
  <c r="E524" i="4"/>
  <c r="D524" i="4"/>
  <c r="C524" i="4"/>
  <c r="B524" i="4"/>
  <c r="B523" i="4"/>
  <c r="D523" i="4"/>
  <c r="F523" i="4"/>
  <c r="G523" i="4"/>
  <c r="C523" i="4"/>
  <c r="H523" i="4"/>
  <c r="I523" i="4"/>
  <c r="J523" i="4"/>
  <c r="K523" i="4"/>
  <c r="L523" i="4"/>
  <c r="E523" i="4"/>
  <c r="E522" i="4"/>
  <c r="L522" i="4"/>
  <c r="K522" i="4"/>
  <c r="J522" i="4"/>
  <c r="I522" i="4"/>
  <c r="H522" i="4"/>
  <c r="G522" i="4"/>
  <c r="F522" i="4"/>
  <c r="D522" i="4"/>
  <c r="C522" i="4"/>
  <c r="B522" i="4"/>
  <c r="C521" i="4"/>
  <c r="D521" i="4"/>
  <c r="F521" i="4"/>
  <c r="G521" i="4"/>
  <c r="H521" i="4"/>
  <c r="J521" i="4"/>
  <c r="I521" i="4"/>
  <c r="E521" i="4"/>
  <c r="B521" i="4"/>
  <c r="L521" i="4"/>
  <c r="K521" i="4"/>
  <c r="H520" i="4"/>
  <c r="I520" i="4"/>
  <c r="J520" i="4"/>
  <c r="K520" i="4"/>
  <c r="L520" i="4"/>
  <c r="D520" i="4"/>
  <c r="B520" i="4"/>
  <c r="C520" i="4"/>
  <c r="E520" i="4"/>
  <c r="F520" i="4"/>
  <c r="G520" i="4"/>
  <c r="H519" i="4"/>
  <c r="B519" i="4"/>
  <c r="G519" i="4"/>
  <c r="F519" i="4"/>
  <c r="E519" i="4"/>
  <c r="D519" i="4"/>
  <c r="C519" i="4"/>
  <c r="L519" i="4"/>
  <c r="K519" i="4"/>
  <c r="J519" i="4"/>
  <c r="I519" i="4"/>
  <c r="H518" i="4"/>
  <c r="L518" i="4"/>
  <c r="K518" i="4"/>
  <c r="J518" i="4"/>
  <c r="I518" i="4"/>
  <c r="G518" i="4"/>
  <c r="F518" i="4"/>
  <c r="E518" i="4"/>
  <c r="D518" i="4"/>
  <c r="C518" i="4"/>
  <c r="B518" i="4"/>
  <c r="H517" i="4"/>
  <c r="G517" i="4"/>
  <c r="F517" i="4"/>
  <c r="E517" i="4"/>
  <c r="D517" i="4"/>
  <c r="C517" i="4"/>
  <c r="B517" i="4"/>
  <c r="L517" i="4"/>
  <c r="K517" i="4"/>
  <c r="J517" i="4"/>
  <c r="I517" i="4"/>
  <c r="B516" i="4"/>
  <c r="C516" i="4"/>
  <c r="D516" i="4"/>
  <c r="E516" i="4"/>
  <c r="F516" i="4"/>
  <c r="G516" i="4"/>
  <c r="H516" i="4"/>
  <c r="I516" i="4"/>
  <c r="J516" i="4"/>
  <c r="K516" i="4"/>
  <c r="L516" i="4"/>
  <c r="K515" i="4"/>
  <c r="G515" i="4"/>
  <c r="H515" i="4"/>
  <c r="I515" i="4"/>
  <c r="J515" i="4"/>
  <c r="F515" i="4"/>
  <c r="E515" i="4"/>
  <c r="L515" i="4"/>
  <c r="D515" i="4"/>
  <c r="C515" i="4"/>
  <c r="B515" i="4"/>
  <c r="L514" i="4"/>
  <c r="B514" i="4"/>
  <c r="C514" i="4"/>
  <c r="D514" i="4"/>
  <c r="F514" i="4"/>
  <c r="E514" i="4"/>
  <c r="K514" i="4"/>
  <c r="J514" i="4"/>
  <c r="I514" i="4"/>
  <c r="H514" i="4"/>
  <c r="G514" i="4"/>
  <c r="B513" i="4"/>
  <c r="L513" i="4"/>
  <c r="K513" i="4"/>
  <c r="J513" i="4"/>
  <c r="I513" i="4"/>
  <c r="H513" i="4"/>
  <c r="G513" i="4"/>
  <c r="F513" i="4"/>
  <c r="E513" i="4"/>
  <c r="D513" i="4"/>
  <c r="C513" i="4"/>
  <c r="E512" i="4"/>
  <c r="B512" i="4"/>
  <c r="C512" i="4"/>
  <c r="D512" i="4"/>
  <c r="G512" i="4"/>
  <c r="F512" i="4"/>
  <c r="L512" i="4"/>
  <c r="K512" i="4"/>
  <c r="J512" i="4"/>
  <c r="I512" i="4"/>
  <c r="H512" i="4"/>
  <c r="D511" i="4"/>
  <c r="C511" i="4"/>
  <c r="B511" i="4"/>
  <c r="L511" i="4"/>
  <c r="K511" i="4"/>
  <c r="J511" i="4"/>
  <c r="I511" i="4"/>
  <c r="H511" i="4"/>
  <c r="G511" i="4"/>
  <c r="F511" i="4"/>
  <c r="E511" i="4"/>
  <c r="G510" i="4"/>
  <c r="F510" i="4"/>
  <c r="E510" i="4"/>
  <c r="D510" i="4"/>
  <c r="C510" i="4"/>
  <c r="L510" i="4"/>
  <c r="B510" i="4"/>
  <c r="H510" i="4"/>
  <c r="I510" i="4"/>
  <c r="J510" i="4"/>
  <c r="K510" i="4"/>
  <c r="K509" i="4"/>
  <c r="F509" i="4"/>
  <c r="J509" i="4"/>
  <c r="L509" i="4"/>
  <c r="I509" i="4"/>
  <c r="H509" i="4"/>
  <c r="G509" i="4"/>
  <c r="E509" i="4"/>
  <c r="D509" i="4"/>
  <c r="C509" i="4"/>
  <c r="B509" i="4"/>
  <c r="H508" i="4"/>
  <c r="G508" i="4"/>
  <c r="F508" i="4"/>
  <c r="E508" i="4"/>
  <c r="D508" i="4"/>
  <c r="C508" i="4"/>
  <c r="B508" i="4"/>
  <c r="I508" i="4"/>
  <c r="L508" i="4"/>
  <c r="K508" i="4"/>
  <c r="J508" i="4"/>
  <c r="H507" i="4"/>
  <c r="G507" i="4"/>
  <c r="F507" i="4"/>
  <c r="D507" i="4"/>
  <c r="C507" i="4"/>
  <c r="B507" i="4"/>
  <c r="E507" i="4"/>
  <c r="L507" i="4"/>
  <c r="K507" i="4"/>
  <c r="J507" i="4"/>
  <c r="I507" i="4"/>
  <c r="L506" i="4"/>
  <c r="G506" i="4"/>
  <c r="B506" i="4"/>
  <c r="E506" i="4"/>
  <c r="D506" i="4"/>
  <c r="F506" i="4"/>
  <c r="K506" i="4"/>
  <c r="J506" i="4"/>
  <c r="C506" i="4"/>
  <c r="H506" i="4"/>
  <c r="I506" i="4"/>
  <c r="H505" i="4"/>
  <c r="I505" i="4"/>
  <c r="J505" i="4"/>
  <c r="K505" i="4"/>
  <c r="L505" i="4"/>
  <c r="G505" i="4"/>
  <c r="B505" i="4"/>
  <c r="C505" i="4"/>
  <c r="D505" i="4"/>
  <c r="E505" i="4"/>
  <c r="F505" i="4"/>
  <c r="K504" i="4"/>
  <c r="G504" i="4"/>
  <c r="B504" i="4"/>
  <c r="F504" i="4"/>
  <c r="E504" i="4"/>
  <c r="L504" i="4"/>
  <c r="D504" i="4"/>
  <c r="J504" i="4"/>
  <c r="I504" i="4"/>
  <c r="C504" i="4"/>
  <c r="H504" i="4"/>
  <c r="G503" i="4"/>
  <c r="F503" i="4"/>
  <c r="E503" i="4"/>
  <c r="D503" i="4"/>
  <c r="I503" i="4"/>
  <c r="C503" i="4"/>
  <c r="B503" i="4"/>
  <c r="L503" i="4"/>
  <c r="K503" i="4"/>
  <c r="J503" i="4"/>
  <c r="H503" i="4"/>
  <c r="B502" i="4"/>
  <c r="C502" i="4"/>
  <c r="D502" i="4"/>
  <c r="E502" i="4"/>
  <c r="L502" i="4"/>
  <c r="K502" i="4"/>
  <c r="I502" i="4"/>
  <c r="H502" i="4"/>
  <c r="G502" i="4"/>
  <c r="F502" i="4"/>
  <c r="J502" i="4"/>
  <c r="K501" i="4"/>
  <c r="L501" i="4"/>
  <c r="G501" i="4"/>
  <c r="J501" i="4"/>
  <c r="I501" i="4"/>
  <c r="H501" i="4"/>
  <c r="F501" i="4"/>
  <c r="E501" i="4"/>
  <c r="D501" i="4"/>
  <c r="C501" i="4"/>
  <c r="B501" i="4"/>
  <c r="K500" i="4"/>
  <c r="D500" i="4"/>
  <c r="E500" i="4"/>
  <c r="F500" i="4"/>
  <c r="I500" i="4"/>
  <c r="B500" i="4"/>
  <c r="G500" i="4"/>
  <c r="H500" i="4"/>
  <c r="C500" i="4"/>
  <c r="J500" i="4"/>
  <c r="L500" i="4"/>
  <c r="C499" i="4"/>
  <c r="D499" i="4"/>
  <c r="E499" i="4"/>
  <c r="F499" i="4"/>
  <c r="G499" i="4"/>
  <c r="H499" i="4"/>
  <c r="I499" i="4"/>
  <c r="J499" i="4"/>
  <c r="K499" i="4"/>
  <c r="L499" i="4"/>
  <c r="B499" i="4"/>
  <c r="E498" i="4"/>
  <c r="K498" i="4"/>
  <c r="C498" i="4"/>
  <c r="I498" i="4"/>
  <c r="H498" i="4"/>
  <c r="G498" i="4"/>
  <c r="J498" i="4"/>
  <c r="F498" i="4"/>
  <c r="B498" i="4"/>
  <c r="D498" i="4"/>
  <c r="L498" i="4"/>
  <c r="K497" i="4"/>
  <c r="J497" i="4"/>
  <c r="I497" i="4"/>
  <c r="H497" i="4"/>
  <c r="G497" i="4"/>
  <c r="F497" i="4"/>
  <c r="E497" i="4"/>
  <c r="D497" i="4"/>
  <c r="C497" i="4"/>
  <c r="B497" i="4"/>
  <c r="L497" i="4"/>
  <c r="G496" i="4"/>
  <c r="I496" i="4"/>
  <c r="F496" i="4"/>
  <c r="J496" i="4"/>
  <c r="L496" i="4"/>
  <c r="K496" i="4"/>
  <c r="H496" i="4"/>
  <c r="E496" i="4"/>
  <c r="D496" i="4"/>
  <c r="C496" i="4"/>
  <c r="B496" i="4"/>
  <c r="L495" i="4"/>
  <c r="K495" i="4"/>
  <c r="J495" i="4"/>
  <c r="I495" i="4"/>
  <c r="H495" i="4"/>
  <c r="G495" i="4"/>
  <c r="F495" i="4"/>
  <c r="E495" i="4"/>
  <c r="D495" i="4"/>
  <c r="C495" i="4"/>
  <c r="B495" i="4"/>
  <c r="D494" i="4"/>
  <c r="C494" i="4"/>
  <c r="F494" i="4"/>
  <c r="B494" i="4"/>
  <c r="K494" i="4"/>
  <c r="J494" i="4"/>
  <c r="I494" i="4"/>
  <c r="H494" i="4"/>
  <c r="G494" i="4"/>
  <c r="E494" i="4"/>
  <c r="L494" i="4"/>
  <c r="K493" i="4"/>
  <c r="J493" i="4"/>
  <c r="I493" i="4"/>
  <c r="H493" i="4"/>
  <c r="G493" i="4"/>
  <c r="E493" i="4"/>
  <c r="D493" i="4"/>
  <c r="C493" i="4"/>
  <c r="F493" i="4"/>
  <c r="B493" i="4"/>
  <c r="L493" i="4"/>
  <c r="K492" i="4"/>
  <c r="B492" i="4"/>
  <c r="C492" i="4"/>
  <c r="D492" i="4"/>
  <c r="E492" i="4"/>
  <c r="G492" i="4"/>
  <c r="F492" i="4"/>
  <c r="I492" i="4"/>
  <c r="L492" i="4"/>
  <c r="H492" i="4"/>
  <c r="J492" i="4"/>
  <c r="E491" i="4"/>
  <c r="I491" i="4"/>
  <c r="L491" i="4"/>
  <c r="K491" i="4"/>
  <c r="J491" i="4"/>
  <c r="H491" i="4"/>
  <c r="G491" i="4"/>
  <c r="C491" i="4"/>
  <c r="F491" i="4"/>
  <c r="B491" i="4"/>
  <c r="D491" i="4"/>
  <c r="K490" i="4"/>
  <c r="J490" i="4"/>
  <c r="I490" i="4"/>
  <c r="H490" i="4"/>
  <c r="L490" i="4"/>
  <c r="G490" i="4"/>
  <c r="F490" i="4"/>
  <c r="E490" i="4"/>
  <c r="D490" i="4"/>
  <c r="C490" i="4"/>
  <c r="B490" i="4"/>
  <c r="B489" i="4"/>
  <c r="C489" i="4"/>
  <c r="D489" i="4"/>
  <c r="F489" i="4"/>
  <c r="G489" i="4"/>
  <c r="H489" i="4"/>
  <c r="E489" i="4"/>
  <c r="L489" i="4"/>
  <c r="K489" i="4"/>
  <c r="J489" i="4"/>
  <c r="I489" i="4"/>
  <c r="J488" i="4"/>
  <c r="K488" i="4"/>
  <c r="L488" i="4"/>
  <c r="I488" i="4"/>
  <c r="H488" i="4"/>
  <c r="G488" i="4"/>
  <c r="F488" i="4"/>
  <c r="E488" i="4"/>
  <c r="D488" i="4"/>
  <c r="C488" i="4"/>
  <c r="B488" i="4"/>
  <c r="L487" i="4"/>
  <c r="K487" i="4"/>
  <c r="J487" i="4"/>
  <c r="I487" i="4"/>
  <c r="H487" i="4"/>
  <c r="G487" i="4"/>
  <c r="F487" i="4"/>
  <c r="E487" i="4"/>
  <c r="D487" i="4"/>
  <c r="C487" i="4"/>
  <c r="B487" i="4"/>
  <c r="E486" i="4"/>
  <c r="D486" i="4"/>
  <c r="C486" i="4"/>
  <c r="H486" i="4"/>
  <c r="G486" i="4"/>
  <c r="B486" i="4"/>
  <c r="F486" i="4"/>
  <c r="D485" i="4"/>
  <c r="C485" i="4"/>
  <c r="B485" i="4"/>
  <c r="L485" i="4"/>
  <c r="K485" i="4"/>
  <c r="J485" i="4"/>
  <c r="I485" i="4"/>
  <c r="H485" i="4"/>
  <c r="G485" i="4"/>
  <c r="F485" i="4"/>
  <c r="E485" i="4"/>
  <c r="C484" i="4"/>
  <c r="G484" i="4"/>
  <c r="F484" i="4"/>
  <c r="E484" i="4"/>
  <c r="D484" i="4"/>
  <c r="L484" i="4"/>
  <c r="B484" i="4"/>
  <c r="H484" i="4"/>
  <c r="I484" i="4"/>
  <c r="J484" i="4"/>
  <c r="K484" i="4"/>
  <c r="L483" i="4"/>
  <c r="B483" i="4"/>
  <c r="K483" i="4"/>
  <c r="J483" i="4"/>
  <c r="I483" i="4"/>
  <c r="H483" i="4"/>
  <c r="G483" i="4"/>
  <c r="C483" i="4"/>
  <c r="F483" i="4"/>
  <c r="E483" i="4"/>
  <c r="D483" i="4"/>
  <c r="G482" i="4"/>
  <c r="H482" i="4"/>
  <c r="I482" i="4"/>
  <c r="J482" i="4"/>
  <c r="K482" i="4"/>
  <c r="L482" i="4"/>
  <c r="B482" i="4"/>
  <c r="C482" i="4"/>
  <c r="D482" i="4"/>
  <c r="E482" i="4"/>
  <c r="F482" i="4"/>
  <c r="K481" i="4"/>
  <c r="H481" i="4"/>
  <c r="I481" i="4"/>
  <c r="J481" i="4"/>
  <c r="B481" i="4"/>
  <c r="G481" i="4"/>
  <c r="C481" i="4"/>
  <c r="D481" i="4"/>
  <c r="E481" i="4"/>
  <c r="F481" i="4"/>
  <c r="L481" i="4"/>
  <c r="G480" i="4"/>
  <c r="H480" i="4"/>
  <c r="J480" i="4"/>
  <c r="K480" i="4"/>
  <c r="L480" i="4"/>
  <c r="I480" i="4"/>
  <c r="B480" i="4"/>
  <c r="C480" i="4"/>
  <c r="D480" i="4"/>
  <c r="E480" i="4"/>
  <c r="F480" i="4"/>
  <c r="G479" i="4"/>
  <c r="F479" i="4"/>
  <c r="E479" i="4"/>
  <c r="D479" i="4"/>
  <c r="C479" i="4"/>
  <c r="J479" i="4"/>
  <c r="B479" i="4"/>
  <c r="H479" i="4"/>
  <c r="I479" i="4"/>
  <c r="L479" i="4"/>
  <c r="K479" i="4"/>
  <c r="G478" i="4"/>
  <c r="L478" i="4"/>
  <c r="K478" i="4"/>
  <c r="J478" i="4"/>
  <c r="I478" i="4"/>
  <c r="H478" i="4"/>
  <c r="E478" i="4"/>
  <c r="D478" i="4"/>
  <c r="C478" i="4"/>
  <c r="B478" i="4"/>
  <c r="F478" i="4"/>
  <c r="G477" i="4"/>
  <c r="L477" i="4"/>
  <c r="K477" i="4"/>
  <c r="J477" i="4"/>
  <c r="I477" i="4"/>
  <c r="H477" i="4"/>
  <c r="F477" i="4"/>
  <c r="E477" i="4"/>
  <c r="D477" i="4"/>
  <c r="C477" i="4"/>
  <c r="B477" i="4"/>
  <c r="F476" i="4"/>
  <c r="G476" i="4"/>
  <c r="I476" i="4"/>
  <c r="H476" i="4"/>
  <c r="K476" i="4"/>
  <c r="L476" i="4"/>
  <c r="J476" i="4"/>
  <c r="B476" i="4"/>
  <c r="C476" i="4"/>
  <c r="D476" i="4"/>
  <c r="E476" i="4"/>
  <c r="H475" i="4"/>
  <c r="L475" i="4"/>
  <c r="K475" i="4"/>
  <c r="J475" i="4"/>
  <c r="I475" i="4"/>
  <c r="G475" i="4"/>
  <c r="F475" i="4"/>
  <c r="E475" i="4"/>
  <c r="D475" i="4"/>
  <c r="C475" i="4"/>
  <c r="B475" i="4"/>
  <c r="D474" i="4"/>
  <c r="I474" i="4"/>
  <c r="J474" i="4"/>
  <c r="K474" i="4"/>
  <c r="L474" i="4"/>
  <c r="B474" i="4"/>
  <c r="E474" i="4"/>
  <c r="F474" i="4"/>
  <c r="C474" i="4"/>
  <c r="G474" i="4"/>
  <c r="H474" i="4"/>
  <c r="E473" i="4"/>
  <c r="B473" i="4"/>
  <c r="C473" i="4"/>
  <c r="D473" i="4"/>
  <c r="L473" i="4"/>
  <c r="K473" i="4"/>
  <c r="J473" i="4"/>
  <c r="I473" i="4"/>
  <c r="H473" i="4"/>
  <c r="G473" i="4"/>
  <c r="F473" i="4"/>
  <c r="L472" i="4"/>
  <c r="J472" i="4"/>
  <c r="I472" i="4"/>
  <c r="G472" i="4"/>
  <c r="F472" i="4"/>
  <c r="E472" i="4"/>
  <c r="D472" i="4"/>
  <c r="K472" i="4"/>
  <c r="C472" i="4"/>
  <c r="H472" i="4"/>
  <c r="B472" i="4"/>
  <c r="I471" i="4"/>
  <c r="L471" i="4"/>
  <c r="J471" i="4"/>
  <c r="H471" i="4"/>
  <c r="G471" i="4"/>
  <c r="F471" i="4"/>
  <c r="E471" i="4"/>
  <c r="D471" i="4"/>
  <c r="C471" i="4"/>
  <c r="B471" i="4"/>
  <c r="K471" i="4"/>
  <c r="B470" i="4"/>
  <c r="C470" i="4"/>
  <c r="J470" i="4"/>
  <c r="I470" i="4"/>
  <c r="H470" i="4"/>
  <c r="K470" i="4"/>
  <c r="G470" i="4"/>
  <c r="F470" i="4"/>
  <c r="L470" i="4"/>
  <c r="E470" i="4"/>
  <c r="D470" i="4"/>
  <c r="C469" i="4"/>
  <c r="D469" i="4"/>
  <c r="E469" i="4"/>
  <c r="F469" i="4"/>
  <c r="H469" i="4"/>
  <c r="J469" i="4"/>
  <c r="K469" i="4"/>
  <c r="L469" i="4"/>
  <c r="G469" i="4"/>
  <c r="B469" i="4"/>
  <c r="I469" i="4"/>
  <c r="K468" i="4"/>
  <c r="L468" i="4"/>
  <c r="J468" i="4"/>
  <c r="I468" i="4"/>
  <c r="H468" i="4"/>
  <c r="G468" i="4"/>
  <c r="F468" i="4"/>
  <c r="E468" i="4"/>
  <c r="D468" i="4"/>
  <c r="C468" i="4"/>
  <c r="B468" i="4"/>
  <c r="D467" i="4"/>
  <c r="E467" i="4"/>
  <c r="G467" i="4"/>
  <c r="H467" i="4"/>
  <c r="I467" i="4"/>
  <c r="J467" i="4"/>
  <c r="F467" i="4"/>
  <c r="K467" i="4"/>
  <c r="C467" i="4"/>
  <c r="B467" i="4"/>
  <c r="L467" i="4"/>
  <c r="D466" i="4"/>
  <c r="E466" i="4"/>
  <c r="F466" i="4"/>
  <c r="L466" i="4"/>
  <c r="J466" i="4"/>
  <c r="B466" i="4"/>
  <c r="G466" i="4"/>
  <c r="H466" i="4"/>
  <c r="I466" i="4"/>
  <c r="K466" i="4"/>
  <c r="C466" i="4"/>
  <c r="C465" i="4"/>
  <c r="D465" i="4"/>
  <c r="E465" i="4"/>
  <c r="F465" i="4"/>
  <c r="H465" i="4"/>
  <c r="I465" i="4"/>
  <c r="J465" i="4"/>
  <c r="K465" i="4"/>
  <c r="L465" i="4"/>
  <c r="G465" i="4"/>
  <c r="B465" i="4"/>
  <c r="G464" i="4"/>
  <c r="L464" i="4"/>
  <c r="B464" i="4"/>
  <c r="J464" i="4"/>
  <c r="C464" i="4"/>
  <c r="D464" i="4"/>
  <c r="E464" i="4"/>
  <c r="F464" i="4"/>
  <c r="H464" i="4"/>
  <c r="I464" i="4"/>
  <c r="K464" i="4"/>
  <c r="E463" i="4"/>
  <c r="D463" i="4"/>
  <c r="C463" i="4"/>
  <c r="B463" i="4"/>
  <c r="K463" i="4"/>
  <c r="J463" i="4"/>
  <c r="I463" i="4"/>
  <c r="H463" i="4"/>
  <c r="G463" i="4"/>
  <c r="L463" i="4"/>
  <c r="F463" i="4"/>
  <c r="K462" i="4"/>
  <c r="J462" i="4"/>
  <c r="I462" i="4"/>
  <c r="H462" i="4"/>
  <c r="G462" i="4"/>
  <c r="F462" i="4"/>
  <c r="E462" i="4"/>
  <c r="D462" i="4"/>
  <c r="C462" i="4"/>
  <c r="B462" i="4"/>
  <c r="L462" i="4"/>
  <c r="B461" i="4"/>
  <c r="H461" i="4"/>
  <c r="K461" i="4"/>
  <c r="I461" i="4"/>
  <c r="D461" i="4"/>
  <c r="E461" i="4"/>
  <c r="L461" i="4"/>
  <c r="C461" i="4"/>
  <c r="F461" i="4"/>
  <c r="G461" i="4"/>
  <c r="J461" i="4"/>
  <c r="E460" i="4"/>
  <c r="C460" i="4"/>
  <c r="B460" i="4"/>
  <c r="D460" i="4"/>
  <c r="L460" i="4"/>
  <c r="K460" i="4"/>
  <c r="J460" i="4"/>
  <c r="I460" i="4"/>
  <c r="F460" i="4"/>
  <c r="G460" i="4"/>
  <c r="H460" i="4"/>
  <c r="J459" i="4"/>
  <c r="C459" i="4"/>
  <c r="H459" i="4"/>
  <c r="G459" i="4"/>
  <c r="E459" i="4"/>
  <c r="L459" i="4"/>
  <c r="B459" i="4"/>
  <c r="D459" i="4"/>
  <c r="F459" i="4"/>
  <c r="K459" i="4"/>
  <c r="I459" i="4"/>
  <c r="J458" i="4"/>
  <c r="G458" i="4"/>
  <c r="H458" i="4"/>
  <c r="I458" i="4"/>
  <c r="K458" i="4"/>
  <c r="F458" i="4"/>
  <c r="E458" i="4"/>
  <c r="D458" i="4"/>
  <c r="C458" i="4"/>
  <c r="L458" i="4"/>
  <c r="B458" i="4"/>
  <c r="D457" i="4"/>
  <c r="C457" i="4"/>
  <c r="B457" i="4"/>
  <c r="G457" i="4"/>
  <c r="K457" i="4"/>
  <c r="F457" i="4"/>
  <c r="E457" i="4"/>
  <c r="L457" i="4"/>
  <c r="H457" i="4"/>
  <c r="I457" i="4"/>
  <c r="J457" i="4"/>
  <c r="K456" i="4"/>
  <c r="J456" i="4"/>
  <c r="L456" i="4"/>
  <c r="B456" i="4"/>
  <c r="E456" i="4"/>
  <c r="C456" i="4"/>
  <c r="D456" i="4"/>
  <c r="G456" i="4"/>
  <c r="H456" i="4"/>
  <c r="I456" i="4"/>
  <c r="F456" i="4"/>
  <c r="I455" i="4"/>
  <c r="H455" i="4"/>
  <c r="G455" i="4"/>
  <c r="F455" i="4"/>
  <c r="E455" i="4"/>
  <c r="L455" i="4"/>
  <c r="D455" i="4"/>
  <c r="C455" i="4"/>
  <c r="B455" i="4"/>
  <c r="K455" i="4"/>
  <c r="J455" i="4"/>
  <c r="H454" i="4"/>
  <c r="L454" i="4"/>
  <c r="K454" i="4"/>
  <c r="J454" i="4"/>
  <c r="I454" i="4"/>
  <c r="F454" i="4"/>
  <c r="B454" i="4"/>
  <c r="C454" i="4"/>
  <c r="D454" i="4"/>
  <c r="E454" i="4"/>
  <c r="G454" i="4"/>
  <c r="J453" i="4"/>
  <c r="K453" i="4"/>
  <c r="L453" i="4"/>
  <c r="I453" i="4"/>
  <c r="B453" i="4"/>
  <c r="C453" i="4"/>
  <c r="D453" i="4"/>
  <c r="E453" i="4"/>
  <c r="F453" i="4"/>
  <c r="G453" i="4"/>
  <c r="H453" i="4"/>
  <c r="H452" i="4"/>
  <c r="L452" i="4"/>
  <c r="J452" i="4"/>
  <c r="I452" i="4"/>
  <c r="E452" i="4"/>
  <c r="F452" i="4"/>
  <c r="G452" i="4"/>
  <c r="C452" i="4"/>
  <c r="D452" i="4"/>
  <c r="K452" i="4"/>
  <c r="B452" i="4"/>
  <c r="H451" i="4"/>
  <c r="G451" i="4"/>
  <c r="J451" i="4"/>
  <c r="I451" i="4"/>
  <c r="K451" i="4"/>
  <c r="F451" i="4"/>
  <c r="L451" i="4"/>
  <c r="C451" i="4"/>
  <c r="B451" i="4"/>
  <c r="D451" i="4"/>
  <c r="E451" i="4"/>
  <c r="C450" i="4"/>
  <c r="B450" i="4"/>
  <c r="E450" i="4"/>
  <c r="J450" i="4"/>
  <c r="L450" i="4"/>
  <c r="H450" i="4"/>
  <c r="F450" i="4"/>
  <c r="G450" i="4"/>
  <c r="I450" i="4"/>
  <c r="K450" i="4"/>
  <c r="D450" i="4"/>
  <c r="B449" i="4"/>
  <c r="C449" i="4"/>
  <c r="K449" i="4"/>
  <c r="L449" i="4"/>
  <c r="J449" i="4"/>
  <c r="I449" i="4"/>
  <c r="G449" i="4"/>
  <c r="F449" i="4"/>
  <c r="E449" i="4"/>
  <c r="D449" i="4"/>
  <c r="H449" i="4"/>
  <c r="E448" i="4"/>
  <c r="J448" i="4"/>
  <c r="B448" i="4"/>
  <c r="C448" i="4"/>
  <c r="D448" i="4"/>
  <c r="F448" i="4"/>
  <c r="G448" i="4"/>
  <c r="H448" i="4"/>
  <c r="I448" i="4"/>
  <c r="K448" i="4"/>
  <c r="L448" i="4"/>
  <c r="D447" i="4"/>
  <c r="K447" i="4"/>
  <c r="J447" i="4"/>
  <c r="I447" i="4"/>
  <c r="H447" i="4"/>
  <c r="G447" i="4"/>
  <c r="F447" i="4"/>
  <c r="E447" i="4"/>
  <c r="L447" i="4"/>
  <c r="C447" i="4"/>
  <c r="B447" i="4"/>
  <c r="L446" i="4"/>
  <c r="K446" i="4"/>
  <c r="J446" i="4"/>
  <c r="I446" i="4"/>
  <c r="H446" i="4"/>
  <c r="G446" i="4"/>
  <c r="F446" i="4"/>
  <c r="E446" i="4"/>
  <c r="D446" i="4"/>
  <c r="C446" i="4"/>
  <c r="B446" i="4"/>
  <c r="I445" i="4"/>
  <c r="H445" i="4"/>
  <c r="F445" i="4"/>
  <c r="G445" i="4"/>
  <c r="D445" i="4"/>
  <c r="C445" i="4"/>
  <c r="B445" i="4"/>
  <c r="K445" i="4"/>
  <c r="J445" i="4"/>
  <c r="L445" i="4"/>
  <c r="E445" i="4"/>
  <c r="E444" i="4"/>
  <c r="B444" i="4"/>
  <c r="D444" i="4"/>
  <c r="L444" i="4"/>
  <c r="K444" i="4"/>
  <c r="J444" i="4"/>
  <c r="I444" i="4"/>
  <c r="C444" i="4"/>
  <c r="H444" i="4"/>
  <c r="G444" i="4"/>
  <c r="F444" i="4"/>
  <c r="D443" i="4"/>
  <c r="E443" i="4"/>
  <c r="F443" i="4"/>
  <c r="C443" i="4"/>
  <c r="G443" i="4"/>
  <c r="J443" i="4"/>
  <c r="B443" i="4"/>
  <c r="H443" i="4"/>
  <c r="I443" i="4"/>
  <c r="K443" i="4"/>
  <c r="L443" i="4"/>
  <c r="E442" i="4"/>
  <c r="D442" i="4"/>
  <c r="C442" i="4"/>
  <c r="B442" i="4"/>
  <c r="L442" i="4"/>
  <c r="K442" i="4"/>
  <c r="J442" i="4"/>
  <c r="I442" i="4"/>
  <c r="H442" i="4"/>
  <c r="G442" i="4"/>
  <c r="F442" i="4"/>
  <c r="H441" i="4"/>
  <c r="K441" i="4"/>
  <c r="I441" i="4"/>
  <c r="J441" i="4"/>
  <c r="L441" i="4"/>
  <c r="G441" i="4"/>
  <c r="F441" i="4"/>
  <c r="E441" i="4"/>
  <c r="D441" i="4"/>
  <c r="C441" i="4"/>
  <c r="B441" i="4"/>
  <c r="B440" i="4"/>
  <c r="K440" i="4"/>
  <c r="L440" i="4"/>
  <c r="J440" i="4"/>
  <c r="I440" i="4"/>
  <c r="H440" i="4"/>
  <c r="G440" i="4"/>
  <c r="F440" i="4"/>
  <c r="E440" i="4"/>
  <c r="D440" i="4"/>
  <c r="C440" i="4"/>
  <c r="E439" i="4"/>
  <c r="F439" i="4"/>
  <c r="C439" i="4"/>
  <c r="B439" i="4"/>
  <c r="D439" i="4"/>
  <c r="L439" i="4"/>
  <c r="K439" i="4"/>
  <c r="J439" i="4"/>
  <c r="I439" i="4"/>
  <c r="H439" i="4"/>
  <c r="G439" i="4"/>
  <c r="G438" i="4"/>
  <c r="I438" i="4"/>
  <c r="K438" i="4"/>
  <c r="L438" i="4"/>
  <c r="F438" i="4"/>
  <c r="E438" i="4"/>
  <c r="D438" i="4"/>
  <c r="H438" i="4"/>
  <c r="C438" i="4"/>
  <c r="B438" i="4"/>
  <c r="J438" i="4"/>
  <c r="B437" i="4"/>
  <c r="I437" i="4"/>
  <c r="J437" i="4"/>
  <c r="K437" i="4"/>
  <c r="H437" i="4"/>
  <c r="L437" i="4"/>
  <c r="F437" i="4"/>
  <c r="E437" i="4"/>
  <c r="D437" i="4"/>
  <c r="G437" i="4"/>
  <c r="C437" i="4"/>
  <c r="C436" i="4"/>
  <c r="D436" i="4"/>
  <c r="E436" i="4"/>
  <c r="F436" i="4"/>
  <c r="L436" i="4"/>
  <c r="H436" i="4"/>
  <c r="B436" i="4"/>
  <c r="I436" i="4"/>
  <c r="J436" i="4"/>
  <c r="K436" i="4"/>
  <c r="G436" i="4"/>
  <c r="G435" i="4"/>
  <c r="H435" i="4"/>
  <c r="I435" i="4"/>
  <c r="J435" i="4"/>
  <c r="L435" i="4"/>
  <c r="K435" i="4"/>
  <c r="B435" i="4"/>
  <c r="C435" i="4"/>
  <c r="D435" i="4"/>
  <c r="E435" i="4"/>
  <c r="F435" i="4"/>
  <c r="H434" i="4"/>
  <c r="I434" i="4"/>
  <c r="E434" i="4"/>
  <c r="F434" i="4"/>
  <c r="G434" i="4"/>
  <c r="D434" i="4"/>
  <c r="C434" i="4"/>
  <c r="B434" i="4"/>
  <c r="J434" i="4"/>
  <c r="K434" i="4"/>
  <c r="L434" i="4"/>
  <c r="I433" i="4"/>
  <c r="J433" i="4"/>
  <c r="B433" i="4"/>
  <c r="K433" i="4"/>
  <c r="L433" i="4"/>
  <c r="H433" i="4"/>
  <c r="C433" i="4"/>
  <c r="D433" i="4"/>
  <c r="E433" i="4"/>
  <c r="F433" i="4"/>
  <c r="G433" i="4"/>
  <c r="H432" i="4"/>
  <c r="G432" i="4"/>
  <c r="F432" i="4"/>
  <c r="B432" i="4"/>
  <c r="D432" i="4"/>
  <c r="C432" i="4"/>
  <c r="E432" i="4"/>
  <c r="J432" i="4"/>
  <c r="K432" i="4"/>
  <c r="L432" i="4"/>
  <c r="I432" i="4"/>
  <c r="H431" i="4"/>
  <c r="I431" i="4"/>
  <c r="J431" i="4"/>
  <c r="L431" i="4"/>
  <c r="K431" i="4"/>
  <c r="C431" i="4"/>
  <c r="B431" i="4"/>
  <c r="D431" i="4"/>
  <c r="E431" i="4"/>
  <c r="F431" i="4"/>
  <c r="G431" i="4"/>
  <c r="B430" i="4"/>
  <c r="G430" i="4"/>
  <c r="F430" i="4"/>
  <c r="E430" i="4"/>
  <c r="D430" i="4"/>
  <c r="C430" i="4"/>
  <c r="H430" i="4"/>
  <c r="L430" i="4"/>
  <c r="K430" i="4"/>
  <c r="J430" i="4"/>
  <c r="I430" i="4"/>
  <c r="L429" i="4"/>
  <c r="K429" i="4"/>
  <c r="C429" i="4"/>
  <c r="J429" i="4"/>
  <c r="H429" i="4"/>
  <c r="G429" i="4"/>
  <c r="F429" i="4"/>
  <c r="E429" i="4"/>
  <c r="D429" i="4"/>
  <c r="B429" i="4"/>
  <c r="I429" i="4"/>
  <c r="K428" i="4"/>
  <c r="C428" i="4"/>
  <c r="D428" i="4"/>
  <c r="E428" i="4"/>
  <c r="F428" i="4"/>
  <c r="G428" i="4"/>
  <c r="H428" i="4"/>
  <c r="I428" i="4"/>
  <c r="L428" i="4"/>
  <c r="J428" i="4"/>
  <c r="B428" i="4"/>
  <c r="H427" i="4"/>
  <c r="B427" i="4"/>
  <c r="C427" i="4"/>
  <c r="D427" i="4"/>
  <c r="E427" i="4"/>
  <c r="F427" i="4"/>
  <c r="G427" i="4"/>
  <c r="L427" i="4"/>
  <c r="I427" i="4"/>
  <c r="K427" i="4"/>
  <c r="J427" i="4"/>
  <c r="I426" i="4"/>
  <c r="H426" i="4"/>
  <c r="G426" i="4"/>
  <c r="F426" i="4"/>
  <c r="E426" i="4"/>
  <c r="D426" i="4"/>
  <c r="L426" i="4"/>
  <c r="K426" i="4"/>
  <c r="J426" i="4"/>
  <c r="C426" i="4"/>
  <c r="B426" i="4"/>
  <c r="G425" i="4"/>
  <c r="E425" i="4"/>
  <c r="L425" i="4"/>
  <c r="K425" i="4"/>
  <c r="J425" i="4"/>
  <c r="I425" i="4"/>
  <c r="H425" i="4"/>
  <c r="F425" i="4"/>
  <c r="D425" i="4"/>
  <c r="C425" i="4"/>
  <c r="B425" i="4"/>
  <c r="F424" i="4"/>
  <c r="H424" i="4"/>
  <c r="J424" i="4"/>
  <c r="L424" i="4"/>
  <c r="D424" i="4"/>
  <c r="K424" i="4"/>
  <c r="I424" i="4"/>
  <c r="G424" i="4"/>
  <c r="E424" i="4"/>
  <c r="C424" i="4"/>
  <c r="B423" i="4"/>
  <c r="C423" i="4"/>
  <c r="D423" i="4"/>
  <c r="E423" i="4"/>
  <c r="F423" i="4"/>
  <c r="G423" i="4"/>
  <c r="H423" i="4"/>
  <c r="I423" i="4"/>
  <c r="J423" i="4"/>
  <c r="K423" i="4"/>
  <c r="L423" i="4"/>
  <c r="E422" i="4"/>
  <c r="B422" i="4"/>
  <c r="C422" i="4"/>
  <c r="D422" i="4"/>
  <c r="F422" i="4"/>
  <c r="G422" i="4"/>
  <c r="H422" i="4"/>
  <c r="J422" i="4"/>
  <c r="K422" i="4"/>
  <c r="L422" i="4"/>
  <c r="I422" i="4"/>
  <c r="I421" i="4"/>
  <c r="D421" i="4"/>
  <c r="C421" i="4"/>
  <c r="K421" i="4"/>
  <c r="L421" i="4"/>
  <c r="E421" i="4"/>
  <c r="F421" i="4"/>
  <c r="G421" i="4"/>
  <c r="H421" i="4"/>
  <c r="B421" i="4"/>
  <c r="J421" i="4"/>
  <c r="F420" i="4"/>
  <c r="L420" i="4"/>
  <c r="H420" i="4"/>
  <c r="E420" i="4"/>
  <c r="D420" i="4"/>
  <c r="G420" i="4"/>
  <c r="B420" i="4"/>
  <c r="K420" i="4"/>
  <c r="J420" i="4"/>
  <c r="I420" i="4"/>
  <c r="C420" i="4"/>
  <c r="F419" i="4"/>
  <c r="L419" i="4"/>
  <c r="K419" i="4"/>
  <c r="J419" i="4"/>
  <c r="I419" i="4"/>
  <c r="D419" i="4"/>
  <c r="G419" i="4"/>
  <c r="C419" i="4"/>
  <c r="B419" i="4"/>
  <c r="E419" i="4"/>
  <c r="H419" i="4"/>
  <c r="C418" i="4"/>
  <c r="E418" i="4"/>
  <c r="H418" i="4"/>
  <c r="K418" i="4"/>
  <c r="F418" i="4"/>
  <c r="B418" i="4"/>
  <c r="J418" i="4"/>
  <c r="L418" i="4"/>
  <c r="I418" i="4"/>
  <c r="G418" i="4"/>
  <c r="D418" i="4"/>
  <c r="D417" i="4"/>
  <c r="B417" i="4"/>
  <c r="C417" i="4"/>
  <c r="H417" i="4"/>
  <c r="K417" i="4"/>
  <c r="L417" i="4"/>
  <c r="J417" i="4"/>
  <c r="I417" i="4"/>
  <c r="G417" i="4"/>
  <c r="F417" i="4"/>
  <c r="E417" i="4"/>
  <c r="E416" i="4"/>
  <c r="H416" i="4"/>
  <c r="L416" i="4"/>
  <c r="K416" i="4"/>
  <c r="J416" i="4"/>
  <c r="I416" i="4"/>
  <c r="G416" i="4"/>
  <c r="F416" i="4"/>
  <c r="D416" i="4"/>
  <c r="C416" i="4"/>
  <c r="B416" i="4"/>
  <c r="K415" i="4"/>
  <c r="J415" i="4"/>
  <c r="F415" i="4"/>
  <c r="D415" i="4"/>
  <c r="I415" i="4"/>
  <c r="C415" i="4"/>
  <c r="E415" i="4"/>
  <c r="G415" i="4"/>
  <c r="H415" i="4"/>
  <c r="L415" i="4"/>
  <c r="B415" i="4"/>
  <c r="E414" i="4"/>
  <c r="J414" i="4"/>
  <c r="L414" i="4"/>
  <c r="K414" i="4"/>
  <c r="I414" i="4"/>
  <c r="H414" i="4"/>
  <c r="G414" i="4"/>
  <c r="F414" i="4"/>
  <c r="D414" i="4"/>
  <c r="C414" i="4"/>
  <c r="B414" i="4"/>
  <c r="H413" i="4"/>
  <c r="D413" i="4"/>
  <c r="L413" i="4"/>
  <c r="J413" i="4"/>
  <c r="K413" i="4"/>
  <c r="I413" i="4"/>
  <c r="G413" i="4"/>
  <c r="F413" i="4"/>
  <c r="E413" i="4"/>
  <c r="C413" i="4"/>
  <c r="B413" i="4"/>
  <c r="L412" i="4"/>
  <c r="K412" i="4"/>
  <c r="I412" i="4"/>
  <c r="G412" i="4"/>
  <c r="F412" i="4"/>
  <c r="E412" i="4"/>
  <c r="D412" i="4"/>
  <c r="J412" i="4"/>
  <c r="H412" i="4"/>
  <c r="C412" i="4"/>
  <c r="B412" i="4"/>
  <c r="L411" i="4"/>
  <c r="J411" i="4"/>
  <c r="G411" i="4"/>
  <c r="F411" i="4"/>
  <c r="C411" i="4"/>
  <c r="H411" i="4"/>
  <c r="E411" i="4"/>
  <c r="D411" i="4"/>
  <c r="B411" i="4"/>
  <c r="K411" i="4"/>
  <c r="I411" i="4"/>
  <c r="B410" i="4"/>
  <c r="I410" i="4"/>
  <c r="H410" i="4"/>
  <c r="K410" i="4"/>
  <c r="C410" i="4"/>
  <c r="J410" i="4"/>
  <c r="G410" i="4"/>
  <c r="L410" i="4"/>
  <c r="D410" i="4"/>
  <c r="E410" i="4"/>
  <c r="F410" i="4"/>
  <c r="L409" i="4"/>
  <c r="K409" i="4"/>
  <c r="G409" i="4"/>
  <c r="E409" i="4"/>
  <c r="B409" i="4"/>
  <c r="D409" i="4"/>
  <c r="F409" i="4"/>
  <c r="H409" i="4"/>
  <c r="I409" i="4"/>
  <c r="J409" i="4"/>
  <c r="C409" i="4"/>
  <c r="L408" i="4"/>
  <c r="E408" i="4"/>
  <c r="F408" i="4"/>
  <c r="G408" i="4"/>
  <c r="H408" i="4"/>
  <c r="I408" i="4"/>
  <c r="K408" i="4"/>
  <c r="B408" i="4"/>
  <c r="C408" i="4"/>
  <c r="D408" i="4"/>
  <c r="J408" i="4"/>
  <c r="E407" i="4"/>
  <c r="J407" i="4"/>
  <c r="L407" i="4"/>
  <c r="C407" i="4"/>
  <c r="H407" i="4"/>
  <c r="B407" i="4"/>
  <c r="D407" i="4"/>
  <c r="F407" i="4"/>
  <c r="G407" i="4"/>
  <c r="I407" i="4"/>
  <c r="K407" i="4"/>
  <c r="K406" i="4"/>
  <c r="B406" i="4"/>
  <c r="L406" i="4"/>
  <c r="C406" i="4"/>
  <c r="E406" i="4"/>
  <c r="F406" i="4"/>
  <c r="H406" i="4"/>
  <c r="I406" i="4"/>
  <c r="J406" i="4"/>
  <c r="G406" i="4"/>
  <c r="D406" i="4"/>
  <c r="F405" i="4"/>
  <c r="J405" i="4"/>
  <c r="H405" i="4"/>
  <c r="G405" i="4"/>
  <c r="E405" i="4"/>
  <c r="D405" i="4"/>
  <c r="C405" i="4"/>
  <c r="L405" i="4"/>
  <c r="K405" i="4"/>
  <c r="B405" i="4"/>
  <c r="I405" i="4"/>
  <c r="B404" i="4"/>
  <c r="F404" i="4"/>
  <c r="L404" i="4"/>
  <c r="K404" i="4"/>
  <c r="H404" i="4"/>
  <c r="I404" i="4"/>
  <c r="J404" i="4"/>
  <c r="G404" i="4"/>
  <c r="E404" i="4"/>
  <c r="D404" i="4"/>
  <c r="C404" i="4"/>
  <c r="L403" i="4"/>
  <c r="E403" i="4"/>
  <c r="H403" i="4"/>
  <c r="K403" i="4"/>
  <c r="J403" i="4"/>
  <c r="I403" i="4"/>
  <c r="G403" i="4"/>
  <c r="F403" i="4"/>
  <c r="D403" i="4"/>
  <c r="C403" i="4"/>
  <c r="B403" i="4"/>
  <c r="G402" i="4"/>
  <c r="B402" i="4"/>
  <c r="H402" i="4"/>
  <c r="J402" i="4"/>
  <c r="K402" i="4"/>
  <c r="L402" i="4"/>
  <c r="I402" i="4"/>
  <c r="F402" i="4"/>
  <c r="C402" i="4"/>
  <c r="D402" i="4"/>
  <c r="E402" i="4"/>
  <c r="E401" i="4"/>
  <c r="K401" i="4"/>
  <c r="J401" i="4"/>
  <c r="I401" i="4"/>
  <c r="G401" i="4"/>
  <c r="L401" i="4"/>
  <c r="H401" i="4"/>
  <c r="D401" i="4"/>
  <c r="F401" i="4"/>
  <c r="C401" i="4"/>
  <c r="B401" i="4"/>
  <c r="C400" i="4"/>
  <c r="F400" i="4"/>
  <c r="D400" i="4"/>
  <c r="G400" i="4"/>
  <c r="I400" i="4"/>
  <c r="L400" i="4"/>
  <c r="K400" i="4"/>
  <c r="J400" i="4"/>
  <c r="H400" i="4"/>
  <c r="E400" i="4"/>
  <c r="L399" i="4"/>
  <c r="J399" i="4"/>
  <c r="F399" i="4"/>
  <c r="C399" i="4"/>
  <c r="E399" i="4"/>
  <c r="K399" i="4"/>
  <c r="B399" i="4"/>
  <c r="G399" i="4"/>
  <c r="H399" i="4"/>
  <c r="D399" i="4"/>
  <c r="I399" i="4"/>
  <c r="F398" i="4"/>
  <c r="I398" i="4"/>
  <c r="J398" i="4"/>
  <c r="D398" i="4"/>
  <c r="L398" i="4"/>
  <c r="G398" i="4"/>
  <c r="H398" i="4"/>
  <c r="E398" i="4"/>
  <c r="C398" i="4"/>
  <c r="K398" i="4"/>
  <c r="B398" i="4"/>
  <c r="D397" i="4"/>
  <c r="I397" i="4"/>
  <c r="J397" i="4"/>
  <c r="C397" i="4"/>
  <c r="B397" i="4"/>
  <c r="K397" i="4"/>
  <c r="H397" i="4"/>
  <c r="L397" i="4"/>
  <c r="F397" i="4"/>
  <c r="E397" i="4"/>
  <c r="G397" i="4"/>
  <c r="K396" i="4"/>
  <c r="F396" i="4"/>
  <c r="I396" i="4"/>
  <c r="E396" i="4"/>
  <c r="G396" i="4"/>
  <c r="J396" i="4"/>
  <c r="L396" i="4"/>
  <c r="H396" i="4"/>
  <c r="D396" i="4"/>
  <c r="C396" i="4"/>
  <c r="B396" i="4"/>
  <c r="G395" i="4"/>
  <c r="I395" i="4"/>
  <c r="K395" i="4"/>
  <c r="D395" i="4"/>
  <c r="C395" i="4"/>
  <c r="H395" i="4"/>
  <c r="J395" i="4"/>
  <c r="F395" i="4"/>
  <c r="B395" i="4"/>
  <c r="L395" i="4"/>
  <c r="E395" i="4"/>
  <c r="G394" i="4"/>
  <c r="F394" i="4"/>
  <c r="E394" i="4"/>
  <c r="I394" i="4"/>
  <c r="L394" i="4"/>
  <c r="B394" i="4"/>
  <c r="K394" i="4"/>
  <c r="J394" i="4"/>
  <c r="D394" i="4"/>
  <c r="H394" i="4"/>
  <c r="C394" i="4"/>
  <c r="H393" i="4"/>
  <c r="J393" i="4"/>
  <c r="G393" i="4"/>
  <c r="D393" i="4"/>
  <c r="C393" i="4"/>
  <c r="K393" i="4"/>
  <c r="E393" i="4"/>
  <c r="L393" i="4"/>
  <c r="B393" i="4"/>
  <c r="F393" i="4"/>
  <c r="I393" i="4"/>
  <c r="J392" i="4"/>
  <c r="I392" i="4"/>
  <c r="E392" i="4"/>
  <c r="H392" i="4"/>
  <c r="D392" i="4"/>
  <c r="L392" i="4"/>
  <c r="F392" i="4"/>
  <c r="B392" i="4"/>
  <c r="G392" i="4"/>
  <c r="K392" i="4"/>
  <c r="C392" i="4"/>
  <c r="E391" i="4"/>
  <c r="L391" i="4"/>
  <c r="G391" i="4"/>
  <c r="F391" i="4"/>
  <c r="D391" i="4"/>
  <c r="J391" i="4"/>
  <c r="H391" i="4"/>
  <c r="I391" i="4"/>
  <c r="B391" i="4"/>
  <c r="K391" i="4"/>
  <c r="C391" i="4"/>
  <c r="C390" i="4"/>
  <c r="D390" i="4"/>
  <c r="L390" i="4"/>
  <c r="J390" i="4"/>
  <c r="E390" i="4"/>
  <c r="G390" i="4"/>
  <c r="H390" i="4"/>
  <c r="F390" i="4"/>
  <c r="I390" i="4"/>
  <c r="K390" i="4"/>
  <c r="E388" i="4"/>
  <c r="I388" i="4"/>
  <c r="L388" i="4"/>
  <c r="F388" i="4"/>
  <c r="D388" i="4"/>
  <c r="B388" i="4"/>
  <c r="J388" i="4"/>
  <c r="K388" i="4"/>
  <c r="C388" i="4"/>
  <c r="H388" i="4"/>
  <c r="G388" i="4"/>
  <c r="J387" i="4"/>
  <c r="I387" i="4"/>
  <c r="H387" i="4"/>
  <c r="E387" i="4"/>
  <c r="G387" i="4"/>
  <c r="D387" i="4"/>
  <c r="F387" i="4"/>
  <c r="L387" i="4"/>
  <c r="B387" i="4"/>
  <c r="K387" i="4"/>
  <c r="C387" i="4"/>
  <c r="F386" i="4"/>
  <c r="E386" i="4"/>
  <c r="D386" i="4"/>
  <c r="C386" i="4"/>
  <c r="B386" i="4"/>
  <c r="L386" i="4"/>
  <c r="K386" i="4"/>
  <c r="J386" i="4"/>
  <c r="I386" i="4"/>
  <c r="H386" i="4"/>
  <c r="G386" i="4"/>
  <c r="F385" i="4"/>
  <c r="G385" i="4"/>
  <c r="H385" i="4"/>
  <c r="I385" i="4"/>
  <c r="B385" i="4"/>
  <c r="J385" i="4"/>
  <c r="C385" i="4"/>
  <c r="E385" i="4"/>
  <c r="L385" i="4"/>
  <c r="K385" i="4"/>
  <c r="D385" i="4"/>
  <c r="L384" i="4"/>
  <c r="K384" i="4"/>
  <c r="J384" i="4"/>
  <c r="I384" i="4"/>
  <c r="H384" i="4"/>
  <c r="G384" i="4"/>
  <c r="F384" i="4"/>
  <c r="E384" i="4"/>
  <c r="D384" i="4"/>
  <c r="B384" i="4"/>
  <c r="C384" i="4"/>
  <c r="L383" i="4"/>
  <c r="K383" i="4"/>
  <c r="J383" i="4"/>
  <c r="I383" i="4"/>
  <c r="H383" i="4"/>
  <c r="F383" i="4"/>
  <c r="E383" i="4"/>
  <c r="D383" i="4"/>
  <c r="C383" i="4"/>
  <c r="B383" i="4"/>
  <c r="G383" i="4"/>
  <c r="L382" i="4"/>
  <c r="K382" i="4"/>
  <c r="J382" i="4"/>
  <c r="I382" i="4"/>
  <c r="H382" i="4"/>
  <c r="G382" i="4"/>
  <c r="F382" i="4"/>
  <c r="B382" i="4"/>
  <c r="C382" i="4"/>
  <c r="D382" i="4"/>
  <c r="E382" i="4"/>
  <c r="L381" i="4"/>
  <c r="K381" i="4"/>
  <c r="J381" i="4"/>
  <c r="I381" i="4"/>
  <c r="H381" i="4"/>
  <c r="G381" i="4"/>
  <c r="F381" i="4"/>
  <c r="E381" i="4"/>
  <c r="D381" i="4"/>
  <c r="C381" i="4"/>
  <c r="B381" i="4"/>
  <c r="L380" i="4"/>
  <c r="K380" i="4"/>
  <c r="J380" i="4"/>
  <c r="I380" i="4"/>
  <c r="H380" i="4"/>
  <c r="G380" i="4"/>
  <c r="F380" i="4"/>
  <c r="E380" i="4"/>
  <c r="D380" i="4"/>
  <c r="C380" i="4"/>
  <c r="B380" i="4"/>
  <c r="L379" i="4"/>
  <c r="K379" i="4"/>
  <c r="J379" i="4"/>
  <c r="I379" i="4"/>
  <c r="H379" i="4"/>
  <c r="G379" i="4"/>
  <c r="F379" i="4"/>
  <c r="E379" i="4"/>
  <c r="D379" i="4"/>
  <c r="C379" i="4"/>
  <c r="B379" i="4"/>
  <c r="L378" i="4"/>
  <c r="K378" i="4"/>
  <c r="J378" i="4"/>
  <c r="I378" i="4"/>
  <c r="H378" i="4"/>
  <c r="G378" i="4"/>
  <c r="F378" i="4"/>
  <c r="E378" i="4"/>
  <c r="D378" i="4"/>
  <c r="C378" i="4"/>
  <c r="B378" i="4"/>
  <c r="L377" i="4"/>
  <c r="K377" i="4"/>
  <c r="J377" i="4"/>
  <c r="I377" i="4"/>
  <c r="H377" i="4"/>
  <c r="G377" i="4"/>
  <c r="F377" i="4"/>
  <c r="E377" i="4"/>
  <c r="D377" i="4"/>
  <c r="C377" i="4"/>
  <c r="B377" i="4"/>
  <c r="L376" i="4"/>
  <c r="K376" i="4"/>
  <c r="J376" i="4"/>
  <c r="I376" i="4"/>
  <c r="H376" i="4"/>
  <c r="G376" i="4"/>
  <c r="F376" i="4"/>
  <c r="E376" i="4"/>
  <c r="D376" i="4"/>
  <c r="C376" i="4"/>
  <c r="B376" i="4"/>
  <c r="L375" i="4"/>
  <c r="K375" i="4"/>
  <c r="J375" i="4"/>
  <c r="I375" i="4"/>
  <c r="H375" i="4"/>
  <c r="G375" i="4"/>
  <c r="F375" i="4"/>
  <c r="E375" i="4"/>
  <c r="D375" i="4"/>
  <c r="C375" i="4"/>
  <c r="B375" i="4"/>
  <c r="L374" i="4"/>
  <c r="K374" i="4"/>
  <c r="J374" i="4"/>
  <c r="I374" i="4"/>
  <c r="H374" i="4"/>
  <c r="G374" i="4"/>
  <c r="F374" i="4"/>
  <c r="E374" i="4"/>
  <c r="D374" i="4"/>
  <c r="C374" i="4"/>
  <c r="B374" i="4"/>
  <c r="L373" i="4"/>
  <c r="K373" i="4"/>
  <c r="J373" i="4"/>
  <c r="I373" i="4"/>
  <c r="H373" i="4"/>
  <c r="G373" i="4"/>
  <c r="F373" i="4"/>
  <c r="E373" i="4"/>
  <c r="D373" i="4"/>
  <c r="C373" i="4"/>
  <c r="B373" i="4"/>
  <c r="L372" i="4"/>
  <c r="K372" i="4"/>
  <c r="J372" i="4"/>
  <c r="I372" i="4"/>
  <c r="H372" i="4"/>
  <c r="G372" i="4"/>
  <c r="F372" i="4"/>
  <c r="E372" i="4"/>
  <c r="D372" i="4"/>
  <c r="C372" i="4"/>
  <c r="B372" i="4"/>
  <c r="L371" i="4"/>
  <c r="K371" i="4"/>
  <c r="J371" i="4"/>
  <c r="I371" i="4"/>
  <c r="H371" i="4"/>
  <c r="G371" i="4"/>
  <c r="F371" i="4"/>
  <c r="E371" i="4"/>
  <c r="D371" i="4"/>
  <c r="C371" i="4"/>
  <c r="B371" i="4"/>
  <c r="L370" i="4"/>
  <c r="K370" i="4"/>
  <c r="J370" i="4"/>
  <c r="I370" i="4"/>
  <c r="H370" i="4"/>
  <c r="G370" i="4"/>
  <c r="F370" i="4"/>
  <c r="E370" i="4"/>
  <c r="D370" i="4"/>
  <c r="C370" i="4"/>
  <c r="B370" i="4"/>
  <c r="L369" i="4"/>
  <c r="K369" i="4"/>
  <c r="J369" i="4"/>
  <c r="I369" i="4"/>
  <c r="H369" i="4"/>
  <c r="G369" i="4"/>
  <c r="F369" i="4"/>
  <c r="E369" i="4"/>
  <c r="D369" i="4"/>
  <c r="C369" i="4"/>
  <c r="B369" i="4"/>
  <c r="L368" i="4"/>
  <c r="K368" i="4"/>
  <c r="J368" i="4"/>
  <c r="I368" i="4"/>
  <c r="H368" i="4"/>
  <c r="G368" i="4"/>
  <c r="F368" i="4"/>
  <c r="E368" i="4"/>
  <c r="D368" i="4"/>
  <c r="C368" i="4"/>
  <c r="B368" i="4"/>
  <c r="L367" i="4"/>
  <c r="K367" i="4"/>
  <c r="J367" i="4"/>
  <c r="I367" i="4"/>
  <c r="H367" i="4"/>
  <c r="G367" i="4"/>
  <c r="F367" i="4"/>
  <c r="E367" i="4"/>
  <c r="D367" i="4"/>
  <c r="C367" i="4"/>
  <c r="B367" i="4"/>
  <c r="L366" i="4"/>
  <c r="K366" i="4"/>
  <c r="J366" i="4"/>
  <c r="I366" i="4"/>
  <c r="H366" i="4"/>
  <c r="G366" i="4"/>
  <c r="F366" i="4"/>
  <c r="E366" i="4"/>
  <c r="D366" i="4"/>
  <c r="C366" i="4"/>
  <c r="B366" i="4"/>
  <c r="L365" i="4"/>
  <c r="K365" i="4"/>
  <c r="J365" i="4"/>
  <c r="I365" i="4"/>
  <c r="H365" i="4"/>
  <c r="G365" i="4"/>
  <c r="F365" i="4"/>
  <c r="E365" i="4"/>
  <c r="D365" i="4"/>
  <c r="C365" i="4"/>
  <c r="B365" i="4"/>
  <c r="L364" i="4"/>
  <c r="K364" i="4"/>
  <c r="J364" i="4"/>
  <c r="I364" i="4"/>
  <c r="H364" i="4"/>
  <c r="G364" i="4"/>
  <c r="F364" i="4"/>
  <c r="E364" i="4"/>
  <c r="D364" i="4"/>
  <c r="C364" i="4"/>
  <c r="B364" i="4"/>
  <c r="L363" i="4"/>
  <c r="K363" i="4"/>
  <c r="J363" i="4"/>
  <c r="I363" i="4"/>
  <c r="H363" i="4"/>
  <c r="G363" i="4"/>
  <c r="F363" i="4"/>
  <c r="E363" i="4"/>
  <c r="D363" i="4"/>
  <c r="C363" i="4"/>
  <c r="B363" i="4"/>
  <c r="L362" i="4"/>
  <c r="K362" i="4"/>
  <c r="J362" i="4"/>
  <c r="I362" i="4"/>
  <c r="H362" i="4"/>
  <c r="G362" i="4"/>
  <c r="F362" i="4"/>
  <c r="E362" i="4"/>
  <c r="D362" i="4"/>
  <c r="C362" i="4"/>
  <c r="B362" i="4"/>
  <c r="L361" i="4"/>
  <c r="K361" i="4"/>
  <c r="J361" i="4"/>
  <c r="I361" i="4"/>
  <c r="H361" i="4"/>
  <c r="G361" i="4"/>
  <c r="F361" i="4"/>
  <c r="E361" i="4"/>
  <c r="D361" i="4"/>
  <c r="C361" i="4"/>
  <c r="B361" i="4"/>
  <c r="L360" i="4"/>
  <c r="K360" i="4"/>
  <c r="J360" i="4"/>
  <c r="I360" i="4"/>
  <c r="H360" i="4"/>
  <c r="G360" i="4"/>
  <c r="F360" i="4"/>
  <c r="E360" i="4"/>
  <c r="D360" i="4"/>
  <c r="C360" i="4"/>
  <c r="B360" i="4"/>
  <c r="L359" i="4"/>
  <c r="K359" i="4"/>
  <c r="J359" i="4"/>
  <c r="I359" i="4"/>
  <c r="H359" i="4"/>
  <c r="G359" i="4"/>
  <c r="F359" i="4"/>
  <c r="E359" i="4"/>
  <c r="D359" i="4"/>
  <c r="C359" i="4"/>
  <c r="B359" i="4"/>
  <c r="L358" i="4"/>
  <c r="K358" i="4"/>
  <c r="J358" i="4"/>
  <c r="I358" i="4"/>
  <c r="H358" i="4"/>
  <c r="G358" i="4"/>
  <c r="F358" i="4"/>
  <c r="E358" i="4"/>
  <c r="D358" i="4"/>
  <c r="C358" i="4"/>
  <c r="B358" i="4"/>
  <c r="F357" i="4"/>
  <c r="L357" i="4"/>
  <c r="K357" i="4"/>
  <c r="J357" i="4"/>
  <c r="I357" i="4"/>
  <c r="H357" i="4"/>
  <c r="G357" i="4"/>
  <c r="E357" i="4"/>
  <c r="D357" i="4"/>
  <c r="C357" i="4"/>
  <c r="B357" i="4"/>
  <c r="I356" i="4"/>
  <c r="H356" i="4"/>
  <c r="J356" i="4"/>
  <c r="B356" i="4"/>
  <c r="K356" i="4"/>
  <c r="L356" i="4"/>
  <c r="C356" i="4"/>
  <c r="D356" i="4"/>
  <c r="E356" i="4"/>
  <c r="F356" i="4"/>
  <c r="G356" i="4"/>
  <c r="C355" i="4"/>
  <c r="L355" i="4"/>
  <c r="K355" i="4"/>
  <c r="J355" i="4"/>
  <c r="I355" i="4"/>
  <c r="H355" i="4"/>
  <c r="F355" i="4"/>
  <c r="G355" i="4"/>
  <c r="E355" i="4"/>
  <c r="D355" i="4"/>
  <c r="B355" i="4"/>
  <c r="B354" i="4"/>
  <c r="C354" i="4"/>
  <c r="K354" i="4"/>
  <c r="L354" i="4"/>
  <c r="J354" i="4"/>
  <c r="I354" i="4"/>
  <c r="H354" i="4"/>
  <c r="G354" i="4"/>
  <c r="F354" i="4"/>
  <c r="E354" i="4"/>
  <c r="D354" i="4"/>
  <c r="E353" i="4"/>
  <c r="B353" i="4"/>
  <c r="C353" i="4"/>
  <c r="D353" i="4"/>
  <c r="F353" i="4"/>
  <c r="G353" i="4"/>
  <c r="H353" i="4"/>
  <c r="I353" i="4"/>
  <c r="J353" i="4"/>
  <c r="K353" i="4"/>
  <c r="L353" i="4"/>
  <c r="H352" i="4"/>
  <c r="D352" i="4"/>
  <c r="K352" i="4"/>
  <c r="J352" i="4"/>
  <c r="I352" i="4"/>
  <c r="E352" i="4"/>
  <c r="G352" i="4"/>
  <c r="F352" i="4"/>
  <c r="B352" i="4"/>
  <c r="L352" i="4"/>
  <c r="C352" i="4"/>
  <c r="D351" i="4"/>
  <c r="E351" i="4"/>
  <c r="G351" i="4"/>
  <c r="H351" i="4"/>
  <c r="I351" i="4"/>
  <c r="J351" i="4"/>
  <c r="F351" i="4"/>
  <c r="K351" i="4"/>
  <c r="L351" i="4"/>
  <c r="C351" i="4"/>
  <c r="B351" i="4"/>
  <c r="B350" i="4"/>
  <c r="C350" i="4"/>
  <c r="D350" i="4"/>
  <c r="L350" i="4"/>
  <c r="K350" i="4"/>
  <c r="J350" i="4"/>
  <c r="I350" i="4"/>
  <c r="H350" i="4"/>
  <c r="G350" i="4"/>
  <c r="F350" i="4"/>
  <c r="E350" i="4"/>
  <c r="E349" i="4"/>
  <c r="L349" i="4"/>
  <c r="K349" i="4"/>
  <c r="J349" i="4"/>
  <c r="I349" i="4"/>
  <c r="H349" i="4"/>
  <c r="G349" i="4"/>
  <c r="F349" i="4"/>
  <c r="D349" i="4"/>
  <c r="C349" i="4"/>
  <c r="B349" i="4"/>
  <c r="H348" i="4"/>
  <c r="L348" i="4"/>
  <c r="K348" i="4"/>
  <c r="J348" i="4"/>
  <c r="I348" i="4"/>
  <c r="G348" i="4"/>
  <c r="F348" i="4"/>
  <c r="E348" i="4"/>
  <c r="D348" i="4"/>
  <c r="C348" i="4"/>
  <c r="B348" i="4"/>
  <c r="B347" i="4"/>
  <c r="J347" i="4"/>
  <c r="I347" i="4"/>
  <c r="G347" i="4"/>
  <c r="F347" i="4"/>
  <c r="E347" i="4"/>
  <c r="D347" i="4"/>
  <c r="C347" i="4"/>
  <c r="H347" i="4"/>
  <c r="K347" i="4"/>
  <c r="L347" i="4"/>
  <c r="C346" i="4"/>
  <c r="D346" i="4"/>
  <c r="F346" i="4"/>
  <c r="G346" i="4"/>
  <c r="H346" i="4"/>
  <c r="I346" i="4"/>
  <c r="J346" i="4"/>
  <c r="K346" i="4"/>
  <c r="L346" i="4"/>
  <c r="E346" i="4"/>
  <c r="B346" i="4"/>
  <c r="K345" i="4"/>
  <c r="D345" i="4"/>
  <c r="I345" i="4"/>
  <c r="H345" i="4"/>
  <c r="G345" i="4"/>
  <c r="F345" i="4"/>
  <c r="E345" i="4"/>
  <c r="J345" i="4"/>
  <c r="L345" i="4"/>
  <c r="B345" i="4"/>
  <c r="C345" i="4"/>
  <c r="B344" i="4"/>
  <c r="H344" i="4"/>
  <c r="C344" i="4"/>
  <c r="D344" i="4"/>
  <c r="E344" i="4"/>
  <c r="F344" i="4"/>
  <c r="G344" i="4"/>
  <c r="I344" i="4"/>
  <c r="J344" i="4"/>
  <c r="K344" i="4"/>
  <c r="L344" i="4"/>
  <c r="H343" i="4"/>
  <c r="I343" i="4"/>
  <c r="J343" i="4"/>
  <c r="K343" i="4"/>
  <c r="C343" i="4"/>
  <c r="L343" i="4"/>
  <c r="D343" i="4"/>
  <c r="G343" i="4"/>
  <c r="F343" i="4"/>
  <c r="E343" i="4"/>
  <c r="B343" i="4"/>
  <c r="D342" i="4"/>
  <c r="C342" i="4"/>
  <c r="B342" i="4"/>
  <c r="L342" i="4"/>
  <c r="K342" i="4"/>
  <c r="J342" i="4"/>
  <c r="I342" i="4"/>
  <c r="H342" i="4"/>
  <c r="G342" i="4"/>
  <c r="F342" i="4"/>
  <c r="E342" i="4"/>
  <c r="C341" i="4"/>
  <c r="I341" i="4"/>
  <c r="B341" i="4"/>
  <c r="G341" i="4"/>
  <c r="F341" i="4"/>
  <c r="D341" i="4"/>
  <c r="E341" i="4"/>
  <c r="H341" i="4"/>
  <c r="J341" i="4"/>
  <c r="K341" i="4"/>
  <c r="L341" i="4"/>
  <c r="E340" i="4"/>
  <c r="F340" i="4"/>
  <c r="G340" i="4"/>
  <c r="J340" i="4"/>
  <c r="I340" i="4"/>
  <c r="B340" i="4"/>
  <c r="C340" i="4"/>
  <c r="L340" i="4"/>
  <c r="H340" i="4"/>
  <c r="K340" i="4"/>
  <c r="D340" i="4"/>
  <c r="C339" i="4"/>
  <c r="B339" i="4"/>
  <c r="D339" i="4"/>
  <c r="E339" i="4"/>
  <c r="F339" i="4"/>
  <c r="G339" i="4"/>
  <c r="I339" i="4"/>
  <c r="H339" i="4"/>
  <c r="J339" i="4"/>
  <c r="K339" i="4"/>
  <c r="L339" i="4"/>
  <c r="J338" i="4"/>
  <c r="F338" i="4"/>
  <c r="C338" i="4"/>
  <c r="D338" i="4"/>
  <c r="E338" i="4"/>
  <c r="L338" i="4"/>
  <c r="G338" i="4"/>
  <c r="B338" i="4"/>
  <c r="I338" i="4"/>
  <c r="H338" i="4"/>
  <c r="K338" i="4"/>
  <c r="L337" i="4"/>
  <c r="F337" i="4"/>
  <c r="G337" i="4"/>
  <c r="H337" i="4"/>
  <c r="I337" i="4"/>
  <c r="J337" i="4"/>
  <c r="K337" i="4"/>
  <c r="E337" i="4"/>
  <c r="D337" i="4"/>
  <c r="C337" i="4"/>
  <c r="B337" i="4"/>
  <c r="F336" i="4"/>
  <c r="H336" i="4"/>
  <c r="G336" i="4"/>
  <c r="L336" i="4"/>
  <c r="K336" i="4"/>
  <c r="J336" i="4"/>
  <c r="I336" i="4"/>
  <c r="E336" i="4"/>
  <c r="D336" i="4"/>
  <c r="C336" i="4"/>
  <c r="B336" i="4"/>
  <c r="L335" i="4"/>
  <c r="K335" i="4"/>
  <c r="J335" i="4"/>
  <c r="I335" i="4"/>
  <c r="H335" i="4"/>
  <c r="G335" i="4"/>
  <c r="F335" i="4"/>
  <c r="E335" i="4"/>
  <c r="D335" i="4"/>
  <c r="C335" i="4"/>
  <c r="B335" i="4"/>
  <c r="E334" i="4"/>
  <c r="I334" i="4"/>
  <c r="H334" i="4"/>
  <c r="G334" i="4"/>
  <c r="F334" i="4"/>
  <c r="J334" i="4"/>
  <c r="D334" i="4"/>
  <c r="C334" i="4"/>
  <c r="B334" i="4"/>
  <c r="L334" i="4"/>
  <c r="K334" i="4"/>
  <c r="G333" i="4"/>
  <c r="H333" i="4"/>
  <c r="I333" i="4"/>
  <c r="J333" i="4"/>
  <c r="K333" i="4"/>
  <c r="L333" i="4"/>
  <c r="B333" i="4"/>
  <c r="C333" i="4"/>
  <c r="D333" i="4"/>
  <c r="E333" i="4"/>
  <c r="F333" i="4"/>
  <c r="E332" i="4"/>
  <c r="D332" i="4"/>
  <c r="C332" i="4"/>
  <c r="B332" i="4"/>
  <c r="L332" i="4"/>
  <c r="K332" i="4"/>
  <c r="J332" i="4"/>
  <c r="I332" i="4"/>
  <c r="H332" i="4"/>
  <c r="G332" i="4"/>
  <c r="F332" i="4"/>
  <c r="K331" i="4"/>
  <c r="L331" i="4"/>
  <c r="J331" i="4"/>
  <c r="I331" i="4"/>
  <c r="H331" i="4"/>
  <c r="G331" i="4"/>
  <c r="F331" i="4"/>
  <c r="E331" i="4"/>
  <c r="D331" i="4"/>
  <c r="C331" i="4"/>
  <c r="B331" i="4"/>
  <c r="E330" i="4"/>
  <c r="D330" i="4"/>
  <c r="C330" i="4"/>
  <c r="B330" i="4"/>
  <c r="F330" i="4"/>
  <c r="L330" i="4"/>
  <c r="K330" i="4"/>
  <c r="J330" i="4"/>
  <c r="I330" i="4"/>
  <c r="H330" i="4"/>
  <c r="G330" i="4"/>
  <c r="J329" i="4"/>
  <c r="B329" i="4"/>
  <c r="C329" i="4"/>
  <c r="D329" i="4"/>
  <c r="E329" i="4"/>
  <c r="F329" i="4"/>
  <c r="G329" i="4"/>
  <c r="H329" i="4"/>
  <c r="I329" i="4"/>
  <c r="K329" i="4"/>
  <c r="L329" i="4"/>
  <c r="B328" i="4"/>
  <c r="L328" i="4"/>
  <c r="K328" i="4"/>
  <c r="J328" i="4"/>
  <c r="I328" i="4"/>
  <c r="H328" i="4"/>
  <c r="G328" i="4"/>
  <c r="F328" i="4"/>
  <c r="E328" i="4"/>
  <c r="D328" i="4"/>
  <c r="C328" i="4"/>
  <c r="L327" i="4"/>
  <c r="K327" i="4"/>
  <c r="J327" i="4"/>
  <c r="I327" i="4"/>
  <c r="H327" i="4"/>
  <c r="G327" i="4"/>
  <c r="F327" i="4"/>
  <c r="E327" i="4"/>
  <c r="D327" i="4"/>
  <c r="C327" i="4"/>
  <c r="B327" i="4"/>
  <c r="L326" i="4"/>
  <c r="K326" i="4"/>
  <c r="J326" i="4"/>
  <c r="I326" i="4"/>
  <c r="H326" i="4"/>
  <c r="G326" i="4"/>
  <c r="F326" i="4"/>
  <c r="E326" i="4"/>
  <c r="D326" i="4"/>
  <c r="C326" i="4"/>
  <c r="B326" i="4"/>
  <c r="L325" i="4"/>
  <c r="K325" i="4"/>
  <c r="J325" i="4"/>
  <c r="I325" i="4"/>
  <c r="H325" i="4"/>
  <c r="G325" i="4"/>
  <c r="F325" i="4"/>
  <c r="E325" i="4"/>
  <c r="D325" i="4"/>
  <c r="C325" i="4"/>
  <c r="B325" i="4"/>
  <c r="L324" i="4"/>
  <c r="K324" i="4"/>
  <c r="J324" i="4"/>
  <c r="I324" i="4"/>
  <c r="H324" i="4"/>
  <c r="G324" i="4"/>
  <c r="F324" i="4"/>
  <c r="E324" i="4"/>
  <c r="D324" i="4"/>
  <c r="C324" i="4"/>
  <c r="B324" i="4"/>
  <c r="K323" i="4"/>
  <c r="L323" i="4"/>
  <c r="J323" i="4"/>
  <c r="I323" i="4"/>
  <c r="H323" i="4"/>
  <c r="G323" i="4"/>
  <c r="F323" i="4"/>
  <c r="E323" i="4"/>
  <c r="D323" i="4"/>
  <c r="C323" i="4"/>
  <c r="B323" i="4"/>
  <c r="C322" i="4"/>
  <c r="B322" i="4"/>
  <c r="I322" i="4"/>
  <c r="J322" i="4"/>
  <c r="L322" i="4"/>
  <c r="H322" i="4"/>
  <c r="D322" i="4"/>
  <c r="E322" i="4"/>
  <c r="F322" i="4"/>
  <c r="G322" i="4"/>
  <c r="K322" i="4"/>
  <c r="L321" i="4"/>
  <c r="F321" i="4"/>
  <c r="B321" i="4"/>
  <c r="C321" i="4"/>
  <c r="G321" i="4"/>
  <c r="D321" i="4"/>
  <c r="E321" i="4"/>
  <c r="H321" i="4"/>
  <c r="I321" i="4"/>
  <c r="J321" i="4"/>
  <c r="K321" i="4"/>
  <c r="E320" i="4"/>
  <c r="F320" i="4"/>
  <c r="G320" i="4"/>
  <c r="B320" i="4"/>
  <c r="K320" i="4"/>
  <c r="H320" i="4"/>
  <c r="C320" i="4"/>
  <c r="D320" i="4"/>
  <c r="I320" i="4"/>
  <c r="J320" i="4"/>
  <c r="L320" i="4"/>
  <c r="L319" i="4"/>
  <c r="B319" i="4"/>
  <c r="D319" i="4"/>
  <c r="E319" i="4"/>
  <c r="F319" i="4"/>
  <c r="G319" i="4"/>
  <c r="I319" i="4"/>
  <c r="J319" i="4"/>
  <c r="K319" i="4"/>
  <c r="H319" i="4"/>
  <c r="C319" i="4"/>
  <c r="J318" i="4"/>
  <c r="B318" i="4"/>
  <c r="C318" i="4"/>
  <c r="D318" i="4"/>
  <c r="E318" i="4"/>
  <c r="F318" i="4"/>
  <c r="G318" i="4"/>
  <c r="H318" i="4"/>
  <c r="I318" i="4"/>
  <c r="K318" i="4"/>
  <c r="L318" i="4"/>
  <c r="I317" i="4"/>
  <c r="B317" i="4"/>
  <c r="C317" i="4"/>
  <c r="D317" i="4"/>
  <c r="E317" i="4"/>
  <c r="F317" i="4"/>
  <c r="G317" i="4"/>
  <c r="J317" i="4"/>
  <c r="H317" i="4"/>
  <c r="L317" i="4"/>
  <c r="K317" i="4"/>
  <c r="L316" i="4"/>
  <c r="F316" i="4"/>
  <c r="B316" i="4"/>
  <c r="C316" i="4"/>
  <c r="D316" i="4"/>
  <c r="E316" i="4"/>
  <c r="G316" i="4"/>
  <c r="H316" i="4"/>
  <c r="I316" i="4"/>
  <c r="J316" i="4"/>
  <c r="K316" i="4"/>
  <c r="J315" i="4"/>
  <c r="L315" i="4"/>
  <c r="K315" i="4"/>
  <c r="D315" i="4"/>
  <c r="C315" i="4"/>
  <c r="B315" i="4"/>
  <c r="E315" i="4"/>
  <c r="F315" i="4"/>
  <c r="G315" i="4"/>
  <c r="H315" i="4"/>
  <c r="I315" i="4"/>
  <c r="F314" i="4"/>
  <c r="E314" i="4"/>
  <c r="D314" i="4"/>
  <c r="C314" i="4"/>
  <c r="B314" i="4"/>
  <c r="L314" i="4"/>
  <c r="J314" i="4"/>
  <c r="K314" i="4"/>
  <c r="I314" i="4"/>
  <c r="H314" i="4"/>
  <c r="G314" i="4"/>
  <c r="L313" i="4"/>
  <c r="K313" i="4"/>
  <c r="J313" i="4"/>
  <c r="H313" i="4"/>
  <c r="G313" i="4"/>
  <c r="F313" i="4"/>
  <c r="E313" i="4"/>
  <c r="D313" i="4"/>
  <c r="I313" i="4"/>
  <c r="B313" i="4"/>
  <c r="C313" i="4"/>
  <c r="D312" i="4"/>
  <c r="C312" i="4"/>
  <c r="B312" i="4"/>
  <c r="L312" i="4"/>
  <c r="K312" i="4"/>
  <c r="J312" i="4"/>
  <c r="I312" i="4"/>
  <c r="H312" i="4"/>
  <c r="G312" i="4"/>
  <c r="F312" i="4"/>
  <c r="E312" i="4"/>
  <c r="I311" i="4"/>
  <c r="H311" i="4"/>
  <c r="J311" i="4"/>
  <c r="B311" i="4"/>
  <c r="K311" i="4"/>
  <c r="L311" i="4"/>
  <c r="C311" i="4"/>
  <c r="D311" i="4"/>
  <c r="E311" i="4"/>
  <c r="F311" i="4"/>
  <c r="G311" i="4"/>
  <c r="C310" i="4"/>
  <c r="L310" i="4"/>
  <c r="K310" i="4"/>
  <c r="J310" i="4"/>
  <c r="I310" i="4"/>
  <c r="H310" i="4"/>
  <c r="F310" i="4"/>
  <c r="G310" i="4"/>
  <c r="E310" i="4"/>
  <c r="D310" i="4"/>
  <c r="B310" i="4"/>
  <c r="B309" i="4"/>
  <c r="C309" i="4"/>
  <c r="K309" i="4"/>
  <c r="L309" i="4"/>
  <c r="J309" i="4"/>
  <c r="I309" i="4"/>
  <c r="H309" i="4"/>
  <c r="G309" i="4"/>
  <c r="F309" i="4"/>
  <c r="E309" i="4"/>
  <c r="D309" i="4"/>
  <c r="G308" i="4"/>
  <c r="B308" i="4"/>
  <c r="C308" i="4"/>
  <c r="D308" i="4"/>
  <c r="E308" i="4"/>
  <c r="F308" i="4"/>
  <c r="H308" i="4"/>
  <c r="I308" i="4"/>
  <c r="J308" i="4"/>
  <c r="K308" i="4"/>
  <c r="L308" i="4"/>
  <c r="H307" i="4"/>
  <c r="E307" i="4"/>
  <c r="K307" i="4"/>
  <c r="J307" i="4"/>
  <c r="I307" i="4"/>
  <c r="D307" i="4"/>
  <c r="G307" i="4"/>
  <c r="F307" i="4"/>
  <c r="B307" i="4"/>
  <c r="L307" i="4"/>
  <c r="C307" i="4"/>
  <c r="D306" i="4"/>
  <c r="E306" i="4"/>
  <c r="F306" i="4"/>
  <c r="G306" i="4"/>
  <c r="H306" i="4"/>
  <c r="I306" i="4"/>
  <c r="K306" i="4"/>
  <c r="J306" i="4"/>
  <c r="L306" i="4"/>
  <c r="C306" i="4"/>
  <c r="B306" i="4"/>
  <c r="B305" i="4"/>
  <c r="C305" i="4"/>
  <c r="D305" i="4"/>
  <c r="L305" i="4"/>
  <c r="K305" i="4"/>
  <c r="J305" i="4"/>
  <c r="I305" i="4"/>
  <c r="H305" i="4"/>
  <c r="G305" i="4"/>
  <c r="F305" i="4"/>
  <c r="E305" i="4"/>
  <c r="E304" i="4"/>
  <c r="L304" i="4"/>
  <c r="J304" i="4"/>
  <c r="I304" i="4"/>
  <c r="G304" i="4"/>
  <c r="H304" i="4"/>
  <c r="K304" i="4"/>
  <c r="F304" i="4"/>
  <c r="D304" i="4"/>
  <c r="C304" i="4"/>
  <c r="B304" i="4"/>
  <c r="H303" i="4"/>
  <c r="L303" i="4"/>
  <c r="K303" i="4"/>
  <c r="J303" i="4"/>
  <c r="I303" i="4"/>
  <c r="G303" i="4"/>
  <c r="F303" i="4"/>
  <c r="E303" i="4"/>
  <c r="D303" i="4"/>
  <c r="C303" i="4"/>
  <c r="B303" i="4"/>
  <c r="I302" i="4"/>
  <c r="B302" i="4"/>
  <c r="C302" i="4"/>
  <c r="D302" i="4"/>
  <c r="H302" i="4"/>
  <c r="E302" i="4"/>
  <c r="F302" i="4"/>
  <c r="G302" i="4"/>
  <c r="J302" i="4"/>
  <c r="K302" i="4"/>
  <c r="L302" i="4"/>
  <c r="E301" i="4"/>
  <c r="L301" i="4"/>
  <c r="B301" i="4"/>
  <c r="C301" i="4"/>
  <c r="D301" i="4"/>
  <c r="F301" i="4"/>
  <c r="G301" i="4"/>
  <c r="H301" i="4"/>
  <c r="I301" i="4"/>
  <c r="J301" i="4"/>
  <c r="K301" i="4"/>
  <c r="H300" i="4"/>
  <c r="I300" i="4"/>
  <c r="K300" i="4"/>
  <c r="L300" i="4"/>
  <c r="J300" i="4"/>
  <c r="D300" i="4"/>
  <c r="E300" i="4"/>
  <c r="F300" i="4"/>
  <c r="G300" i="4"/>
  <c r="B300" i="4"/>
  <c r="C300" i="4"/>
  <c r="C299" i="4"/>
  <c r="D299" i="4"/>
  <c r="E299" i="4"/>
  <c r="F299" i="4"/>
  <c r="G299" i="4"/>
  <c r="B299" i="4"/>
  <c r="I299" i="4"/>
  <c r="J299" i="4"/>
  <c r="K299" i="4"/>
  <c r="L299" i="4"/>
  <c r="H299" i="4"/>
  <c r="E298" i="4"/>
  <c r="D298" i="4"/>
  <c r="C298" i="4"/>
  <c r="G298" i="4"/>
  <c r="H298" i="4"/>
  <c r="I298" i="4"/>
  <c r="J298" i="4"/>
  <c r="K298" i="4"/>
  <c r="L298" i="4"/>
  <c r="B298" i="4"/>
  <c r="F298" i="4"/>
  <c r="D297" i="4"/>
  <c r="C297" i="4"/>
  <c r="B297" i="4"/>
  <c r="L297" i="4"/>
  <c r="K297" i="4"/>
  <c r="J297" i="4"/>
  <c r="I297" i="4"/>
  <c r="H297" i="4"/>
  <c r="G297" i="4"/>
  <c r="F297" i="4"/>
  <c r="E297" i="4"/>
  <c r="B296" i="4"/>
  <c r="E296" i="4"/>
  <c r="F296" i="4"/>
  <c r="G296" i="4"/>
  <c r="I296" i="4"/>
  <c r="C296" i="4"/>
  <c r="D296" i="4"/>
  <c r="H296" i="4"/>
  <c r="K296" i="4"/>
  <c r="J296" i="4"/>
  <c r="L296" i="4"/>
  <c r="L295" i="4"/>
  <c r="K295" i="4"/>
  <c r="J295" i="4"/>
  <c r="I295" i="4"/>
  <c r="H295" i="4"/>
  <c r="G295" i="4"/>
  <c r="F295" i="4"/>
  <c r="D295" i="4"/>
  <c r="B295" i="4"/>
  <c r="C295" i="4"/>
  <c r="E295" i="4"/>
  <c r="G294" i="4"/>
  <c r="L294" i="4"/>
  <c r="F294" i="4"/>
  <c r="E294" i="4"/>
  <c r="D294" i="4"/>
  <c r="C294" i="4"/>
  <c r="B294" i="4"/>
  <c r="J294" i="4"/>
  <c r="I294" i="4"/>
  <c r="H294" i="4"/>
  <c r="K294" i="4"/>
  <c r="B293" i="4"/>
  <c r="C293" i="4"/>
  <c r="D293" i="4"/>
  <c r="J293" i="4"/>
  <c r="E293" i="4"/>
  <c r="F293" i="4"/>
  <c r="G293" i="4"/>
  <c r="H293" i="4"/>
  <c r="I293" i="4"/>
  <c r="K293" i="4"/>
  <c r="L293" i="4"/>
  <c r="L292" i="4"/>
  <c r="J292" i="4"/>
  <c r="I292" i="4"/>
  <c r="H292" i="4"/>
  <c r="G292" i="4"/>
  <c r="F292" i="4"/>
  <c r="E292" i="4"/>
  <c r="D292" i="4"/>
  <c r="C292" i="4"/>
  <c r="K292" i="4"/>
  <c r="B292" i="4"/>
  <c r="B291" i="4"/>
  <c r="D291" i="4"/>
  <c r="E291" i="4"/>
  <c r="F291" i="4"/>
  <c r="G291" i="4"/>
  <c r="C291" i="4"/>
  <c r="C290" i="4"/>
  <c r="E290" i="4"/>
  <c r="D290" i="4"/>
  <c r="B290" i="4"/>
  <c r="F290" i="4"/>
  <c r="G290" i="4"/>
  <c r="H290" i="4"/>
  <c r="I290" i="4"/>
  <c r="J290" i="4"/>
  <c r="K290" i="4"/>
  <c r="L290" i="4"/>
  <c r="K289" i="4"/>
  <c r="J289" i="4"/>
  <c r="I289" i="4"/>
  <c r="H289" i="4"/>
  <c r="G289" i="4"/>
  <c r="F289" i="4"/>
  <c r="E289" i="4"/>
  <c r="B289" i="4"/>
  <c r="D289" i="4"/>
  <c r="L289" i="4"/>
  <c r="C289" i="4"/>
  <c r="E288" i="4"/>
  <c r="H288" i="4"/>
  <c r="G288" i="4"/>
  <c r="F288" i="4"/>
  <c r="D288" i="4"/>
  <c r="C288" i="4"/>
  <c r="B288" i="4"/>
  <c r="L288" i="4"/>
  <c r="I288" i="4"/>
  <c r="J288" i="4"/>
  <c r="K288" i="4"/>
  <c r="E287" i="4"/>
  <c r="H287" i="4"/>
  <c r="K287" i="4"/>
  <c r="J287" i="4"/>
  <c r="B287" i="4"/>
  <c r="C287" i="4"/>
  <c r="D287" i="4"/>
  <c r="G287" i="4"/>
  <c r="F287" i="4"/>
  <c r="L287" i="4"/>
  <c r="I287" i="4"/>
  <c r="L286" i="4"/>
  <c r="C286" i="4"/>
  <c r="D286" i="4"/>
  <c r="E286" i="4"/>
  <c r="F286" i="4"/>
  <c r="I286" i="4"/>
  <c r="G286" i="4"/>
  <c r="H286" i="4"/>
  <c r="J286" i="4"/>
  <c r="K286" i="4"/>
  <c r="B286" i="4"/>
  <c r="D285" i="4"/>
  <c r="C285" i="4"/>
  <c r="H285" i="4"/>
  <c r="B285" i="4"/>
  <c r="I285" i="4"/>
  <c r="L285" i="4"/>
  <c r="K285" i="4"/>
  <c r="G285" i="4"/>
  <c r="J285" i="4"/>
  <c r="F285" i="4"/>
  <c r="E285" i="4"/>
  <c r="G284" i="4"/>
  <c r="H284" i="4"/>
  <c r="I284" i="4"/>
  <c r="K284" i="4"/>
  <c r="L284" i="4"/>
  <c r="J284" i="4"/>
  <c r="B284" i="4"/>
  <c r="C284" i="4"/>
  <c r="D284" i="4"/>
  <c r="E284" i="4"/>
  <c r="F284" i="4"/>
  <c r="F283" i="4"/>
  <c r="L283" i="4"/>
  <c r="D283" i="4"/>
  <c r="C283" i="4"/>
  <c r="B283" i="4"/>
  <c r="K283" i="4"/>
  <c r="J283" i="4"/>
  <c r="I283" i="4"/>
  <c r="H283" i="4"/>
  <c r="G283" i="4"/>
  <c r="E283" i="4"/>
  <c r="L282" i="4"/>
  <c r="K282" i="4"/>
  <c r="J282" i="4"/>
  <c r="I282" i="4"/>
  <c r="H282" i="4"/>
  <c r="G282" i="4"/>
  <c r="F282" i="4"/>
  <c r="E282" i="4"/>
  <c r="D282" i="4"/>
  <c r="C282" i="4"/>
  <c r="B282" i="4"/>
  <c r="D281" i="4"/>
  <c r="E281" i="4"/>
  <c r="F281" i="4"/>
  <c r="G281" i="4"/>
  <c r="H281" i="4"/>
  <c r="I281" i="4"/>
  <c r="J281" i="4"/>
  <c r="L281" i="4"/>
  <c r="K281" i="4"/>
  <c r="B281" i="4"/>
  <c r="C281" i="4"/>
  <c r="E280" i="4"/>
  <c r="D280" i="4"/>
  <c r="B280" i="4"/>
  <c r="C280" i="4"/>
  <c r="L280" i="4"/>
  <c r="K280" i="4"/>
  <c r="J280" i="4"/>
  <c r="I280" i="4"/>
  <c r="H280" i="4"/>
  <c r="G280" i="4"/>
  <c r="F280" i="4"/>
  <c r="C279" i="4"/>
  <c r="D279" i="4"/>
  <c r="E279" i="4"/>
  <c r="F279" i="4"/>
  <c r="G279" i="4"/>
  <c r="H279" i="4"/>
  <c r="I279" i="4"/>
  <c r="J279" i="4"/>
  <c r="K279" i="4"/>
  <c r="B279" i="4"/>
  <c r="L279" i="4"/>
  <c r="B278" i="4"/>
  <c r="D278" i="4"/>
  <c r="C278" i="4"/>
  <c r="E278" i="4"/>
  <c r="F278" i="4"/>
  <c r="G278" i="4"/>
  <c r="H278" i="4"/>
  <c r="I278" i="4"/>
  <c r="J278" i="4"/>
  <c r="K278" i="4"/>
  <c r="L278" i="4"/>
  <c r="E277" i="4"/>
  <c r="C277" i="4"/>
  <c r="D277" i="4"/>
  <c r="B277" i="4"/>
  <c r="L277" i="4"/>
  <c r="K277" i="4"/>
  <c r="J277" i="4"/>
  <c r="I277" i="4"/>
  <c r="H277" i="4"/>
  <c r="G277" i="4"/>
  <c r="F277" i="4"/>
  <c r="D276" i="4"/>
  <c r="E276" i="4"/>
  <c r="F276" i="4"/>
  <c r="G276" i="4"/>
  <c r="H276" i="4"/>
  <c r="C276" i="4"/>
  <c r="J276" i="4"/>
  <c r="K276" i="4"/>
  <c r="L276" i="4"/>
  <c r="I276" i="4"/>
  <c r="B276" i="4"/>
  <c r="J275" i="4"/>
  <c r="K275" i="4"/>
  <c r="B275" i="4"/>
  <c r="C275" i="4"/>
  <c r="D275" i="4"/>
  <c r="E275" i="4"/>
  <c r="F275" i="4"/>
  <c r="G275" i="4"/>
  <c r="H275" i="4"/>
  <c r="L275" i="4"/>
  <c r="I275" i="4"/>
  <c r="I274" i="4"/>
  <c r="K274" i="4"/>
  <c r="D274" i="4"/>
  <c r="C274" i="4"/>
  <c r="J274" i="4"/>
  <c r="L274" i="4"/>
  <c r="G274" i="4"/>
  <c r="B274" i="4"/>
  <c r="H274" i="4"/>
  <c r="F274" i="4"/>
  <c r="E274" i="4"/>
  <c r="B273" i="4"/>
  <c r="C273" i="4"/>
  <c r="D273" i="4"/>
  <c r="E273" i="4"/>
  <c r="G273" i="4"/>
  <c r="H273" i="4"/>
  <c r="I273" i="4"/>
  <c r="J273" i="4"/>
  <c r="K273" i="4"/>
  <c r="L273" i="4"/>
  <c r="F273" i="4"/>
  <c r="F272" i="4"/>
  <c r="G272" i="4"/>
  <c r="H272" i="4"/>
  <c r="I272" i="4"/>
  <c r="J272" i="4"/>
  <c r="K272" i="4"/>
  <c r="L272" i="4"/>
  <c r="B272" i="4"/>
  <c r="C272" i="4"/>
  <c r="D272" i="4"/>
  <c r="E272" i="4"/>
  <c r="G271" i="4"/>
  <c r="H271" i="4"/>
  <c r="I271" i="4"/>
  <c r="J271" i="4"/>
  <c r="K271" i="4"/>
  <c r="L271" i="4"/>
  <c r="B271" i="4"/>
  <c r="C271" i="4"/>
  <c r="E271" i="4"/>
  <c r="F271" i="4"/>
  <c r="D271" i="4"/>
  <c r="I270" i="4"/>
  <c r="J270" i="4"/>
  <c r="K270" i="4"/>
  <c r="C270" i="4"/>
  <c r="H270" i="4"/>
  <c r="B270" i="4"/>
  <c r="L270" i="4"/>
  <c r="D270" i="4"/>
  <c r="E270" i="4"/>
  <c r="F270" i="4"/>
  <c r="G270" i="4"/>
  <c r="E269" i="4"/>
  <c r="F269" i="4"/>
  <c r="G269" i="4"/>
  <c r="J269" i="4"/>
  <c r="K269" i="4"/>
  <c r="L269" i="4"/>
  <c r="B269" i="4"/>
  <c r="C269" i="4"/>
  <c r="D269" i="4"/>
  <c r="H269" i="4"/>
  <c r="I269" i="4"/>
  <c r="B268" i="4"/>
  <c r="E268" i="4"/>
  <c r="F268" i="4"/>
  <c r="H268" i="4"/>
  <c r="I268" i="4"/>
  <c r="K268" i="4"/>
  <c r="C268" i="4"/>
  <c r="D268" i="4"/>
  <c r="J268" i="4"/>
  <c r="G268" i="4"/>
  <c r="L268" i="4"/>
  <c r="K267" i="4"/>
  <c r="L267" i="4"/>
  <c r="H267" i="4"/>
  <c r="B267" i="4"/>
  <c r="C267" i="4"/>
  <c r="D267" i="4"/>
  <c r="E267" i="4"/>
  <c r="F267" i="4"/>
  <c r="G267" i="4"/>
  <c r="I267" i="4"/>
  <c r="J267" i="4"/>
  <c r="G266" i="4"/>
  <c r="E266" i="4"/>
  <c r="D266" i="4"/>
  <c r="C266" i="4"/>
  <c r="B266" i="4"/>
  <c r="F266" i="4"/>
  <c r="H266" i="4"/>
  <c r="I266" i="4"/>
  <c r="J266" i="4"/>
  <c r="K266" i="4"/>
  <c r="L266" i="4"/>
  <c r="K265" i="4"/>
  <c r="E265" i="4"/>
  <c r="J265" i="4"/>
  <c r="B265" i="4"/>
  <c r="C265" i="4"/>
  <c r="D265" i="4"/>
  <c r="L265" i="4"/>
  <c r="F265" i="4"/>
  <c r="G265" i="4"/>
  <c r="H265" i="4"/>
  <c r="I265" i="4"/>
  <c r="H264" i="4"/>
  <c r="I264" i="4"/>
  <c r="J264" i="4"/>
  <c r="K264" i="4"/>
  <c r="L264" i="4"/>
  <c r="G264" i="4"/>
  <c r="B264" i="4"/>
  <c r="C264" i="4"/>
  <c r="D264" i="4"/>
  <c r="E264" i="4"/>
  <c r="F264" i="4"/>
  <c r="E263" i="4"/>
  <c r="F263" i="4"/>
  <c r="L263" i="4"/>
  <c r="K263" i="4"/>
  <c r="J263" i="4"/>
  <c r="I263" i="4"/>
  <c r="H263" i="4"/>
  <c r="D263" i="4"/>
  <c r="C263" i="4"/>
  <c r="B263" i="4"/>
  <c r="G263" i="4"/>
  <c r="L262" i="4"/>
  <c r="K262" i="4"/>
  <c r="J262" i="4"/>
  <c r="I262" i="4"/>
  <c r="H262" i="4"/>
  <c r="F262" i="4"/>
  <c r="E262" i="4"/>
  <c r="D262" i="4"/>
  <c r="C262" i="4"/>
  <c r="B262" i="4"/>
  <c r="G262" i="4"/>
  <c r="E261" i="4"/>
  <c r="H261" i="4"/>
  <c r="I261" i="4"/>
  <c r="J261" i="4"/>
  <c r="L261" i="4"/>
  <c r="K261" i="4"/>
  <c r="F261" i="4"/>
  <c r="G261" i="4"/>
  <c r="B261" i="4"/>
  <c r="C261" i="4"/>
  <c r="D261" i="4"/>
  <c r="E260" i="4"/>
  <c r="G260" i="4"/>
  <c r="H260" i="4"/>
  <c r="I260" i="4"/>
  <c r="J260" i="4"/>
  <c r="K260" i="4"/>
  <c r="L260" i="4"/>
  <c r="F260" i="4"/>
  <c r="D260" i="4"/>
  <c r="C260" i="4"/>
  <c r="B260" i="4"/>
  <c r="L259" i="4"/>
  <c r="G259" i="4"/>
  <c r="F259" i="4"/>
  <c r="E259" i="4"/>
  <c r="D259" i="4"/>
  <c r="C259" i="4"/>
  <c r="B259" i="4"/>
  <c r="H259" i="4"/>
  <c r="I259" i="4"/>
  <c r="J259" i="4"/>
  <c r="K259" i="4"/>
  <c r="J258" i="4"/>
  <c r="G258" i="4"/>
  <c r="B258" i="4"/>
  <c r="C258" i="4"/>
  <c r="D258" i="4"/>
  <c r="E258" i="4"/>
  <c r="K258" i="4"/>
  <c r="L258" i="4"/>
  <c r="I258" i="4"/>
  <c r="H258" i="4"/>
  <c r="F258" i="4"/>
  <c r="G257" i="4"/>
  <c r="H257" i="4"/>
  <c r="I257" i="4"/>
  <c r="K257" i="4"/>
  <c r="L257" i="4"/>
  <c r="J257" i="4"/>
  <c r="D257" i="4"/>
  <c r="B257" i="4"/>
  <c r="C257" i="4"/>
  <c r="E257" i="4"/>
  <c r="F257" i="4"/>
  <c r="D256" i="4"/>
  <c r="L256" i="4"/>
  <c r="B256" i="4"/>
  <c r="C256" i="4"/>
  <c r="K256" i="4"/>
  <c r="J256" i="4"/>
  <c r="I256" i="4"/>
  <c r="H256" i="4"/>
  <c r="G256" i="4"/>
  <c r="F256" i="4"/>
  <c r="E256" i="4"/>
  <c r="K255" i="4"/>
  <c r="L255" i="4"/>
  <c r="J255" i="4"/>
  <c r="B255" i="4"/>
  <c r="C255" i="4"/>
  <c r="D255" i="4"/>
  <c r="H255" i="4"/>
  <c r="G255" i="4"/>
  <c r="F255" i="4"/>
  <c r="E255" i="4"/>
  <c r="I255" i="4"/>
  <c r="L254" i="4"/>
  <c r="F254" i="4"/>
  <c r="G254" i="4"/>
  <c r="H254" i="4"/>
  <c r="I254" i="4"/>
  <c r="J254" i="4"/>
  <c r="B254" i="4"/>
  <c r="C254" i="4"/>
  <c r="K254" i="4"/>
  <c r="E254" i="4"/>
  <c r="D254" i="4"/>
  <c r="E253" i="4"/>
  <c r="D253" i="4"/>
  <c r="C253" i="4"/>
  <c r="B253" i="4"/>
  <c r="G253" i="4"/>
  <c r="L253" i="4"/>
  <c r="K253" i="4"/>
  <c r="J253" i="4"/>
  <c r="I253" i="4"/>
  <c r="H253" i="4"/>
  <c r="F253" i="4"/>
  <c r="H252" i="4"/>
  <c r="F252" i="4"/>
  <c r="E252" i="4"/>
  <c r="B252" i="4"/>
  <c r="D252" i="4"/>
  <c r="K252" i="4"/>
  <c r="J252" i="4"/>
  <c r="I252" i="4"/>
  <c r="C252" i="4"/>
  <c r="L252" i="4"/>
  <c r="G252" i="4"/>
  <c r="D251" i="4"/>
  <c r="C251" i="4"/>
  <c r="B251" i="4"/>
  <c r="I251" i="4"/>
  <c r="F251" i="4"/>
  <c r="H251" i="4"/>
  <c r="K251" i="4"/>
  <c r="L251" i="4"/>
  <c r="J251" i="4"/>
  <c r="E251" i="4"/>
  <c r="G251" i="4"/>
  <c r="F250" i="4"/>
  <c r="G250" i="4"/>
  <c r="I250" i="4"/>
  <c r="J250" i="4"/>
  <c r="K250" i="4"/>
  <c r="L250" i="4"/>
  <c r="B250" i="4"/>
  <c r="C250" i="4"/>
  <c r="H250" i="4"/>
  <c r="D250" i="4"/>
  <c r="E250" i="4"/>
  <c r="B249" i="4"/>
  <c r="L249" i="4"/>
  <c r="K249" i="4"/>
  <c r="J249" i="4"/>
  <c r="I249" i="4"/>
  <c r="H249" i="4"/>
  <c r="G249" i="4"/>
  <c r="E249" i="4"/>
  <c r="D249" i="4"/>
  <c r="C249" i="4"/>
  <c r="F249" i="4"/>
  <c r="I248" i="4"/>
  <c r="G248" i="4"/>
  <c r="B248" i="4"/>
  <c r="L248" i="4"/>
  <c r="K248" i="4"/>
  <c r="J248" i="4"/>
  <c r="C248" i="4"/>
  <c r="D248" i="4"/>
  <c r="E248" i="4"/>
  <c r="F248" i="4"/>
  <c r="H248" i="4"/>
  <c r="F247" i="4"/>
  <c r="D247" i="4"/>
  <c r="C247" i="4"/>
  <c r="L247" i="4"/>
  <c r="B247" i="4"/>
  <c r="I247" i="4"/>
  <c r="K247" i="4"/>
  <c r="E247" i="4"/>
  <c r="G247" i="4"/>
  <c r="H247" i="4"/>
  <c r="J247" i="4"/>
  <c r="G246" i="4"/>
  <c r="F246" i="4"/>
  <c r="E246" i="4"/>
  <c r="D246" i="4"/>
  <c r="B246" i="4"/>
  <c r="K246" i="4"/>
  <c r="L246" i="4"/>
  <c r="J246" i="4"/>
  <c r="I246" i="4"/>
  <c r="C246" i="4"/>
  <c r="H246" i="4"/>
  <c r="I245" i="4"/>
  <c r="J245" i="4"/>
  <c r="K245" i="4"/>
  <c r="L245" i="4"/>
  <c r="G245" i="4"/>
  <c r="F245" i="4"/>
  <c r="E245" i="4"/>
  <c r="H245" i="4"/>
  <c r="C245" i="4"/>
  <c r="B245" i="4"/>
  <c r="D245" i="4"/>
  <c r="L244" i="4"/>
  <c r="K244" i="4"/>
  <c r="J244" i="4"/>
  <c r="B244" i="4"/>
  <c r="C244" i="4"/>
  <c r="D244" i="4"/>
  <c r="E244" i="4"/>
  <c r="F244" i="4"/>
  <c r="I244" i="4"/>
  <c r="H244" i="4"/>
  <c r="G244" i="4"/>
  <c r="D243" i="4"/>
  <c r="E243" i="4"/>
  <c r="F243" i="4"/>
  <c r="G243" i="4"/>
  <c r="H243" i="4"/>
  <c r="I243" i="4"/>
  <c r="J243" i="4"/>
  <c r="K243" i="4"/>
  <c r="L243" i="4"/>
  <c r="C243" i="4"/>
  <c r="B243" i="4"/>
  <c r="I242" i="4"/>
  <c r="J242" i="4"/>
  <c r="L242" i="4"/>
  <c r="B242" i="4"/>
  <c r="C242" i="4"/>
  <c r="F242" i="4"/>
  <c r="D242" i="4"/>
  <c r="E242" i="4"/>
  <c r="K242" i="4"/>
  <c r="G242" i="4"/>
  <c r="H242" i="4"/>
  <c r="I241" i="4"/>
  <c r="H241" i="4"/>
  <c r="G241" i="4"/>
  <c r="F241" i="4"/>
  <c r="D241" i="4"/>
  <c r="C241" i="4"/>
  <c r="B241" i="4"/>
  <c r="E241" i="4"/>
  <c r="L241" i="4"/>
  <c r="J241" i="4"/>
  <c r="K241" i="4"/>
  <c r="L240" i="4"/>
  <c r="K240" i="4"/>
  <c r="J240" i="4"/>
  <c r="C240" i="4"/>
  <c r="B240" i="4"/>
  <c r="E240" i="4"/>
  <c r="F240" i="4"/>
  <c r="G240" i="4"/>
  <c r="I240" i="4"/>
  <c r="H240" i="4"/>
  <c r="D240" i="4"/>
  <c r="G239" i="4"/>
  <c r="J239" i="4"/>
  <c r="H239" i="4"/>
  <c r="D239" i="4"/>
  <c r="E239" i="4"/>
  <c r="F239" i="4"/>
  <c r="C239" i="4"/>
  <c r="B239" i="4"/>
  <c r="L239" i="4"/>
  <c r="I239" i="4"/>
  <c r="K239" i="4"/>
  <c r="H238" i="4"/>
  <c r="I238" i="4"/>
  <c r="J238" i="4"/>
  <c r="K238" i="4"/>
  <c r="L238" i="4"/>
  <c r="G238" i="4"/>
  <c r="F238" i="4"/>
  <c r="B238" i="4"/>
  <c r="C238" i="4"/>
  <c r="D238" i="4"/>
  <c r="E238" i="4"/>
  <c r="F237" i="4"/>
  <c r="B237" i="4"/>
  <c r="C237" i="4"/>
  <c r="D237" i="4"/>
  <c r="E237" i="4"/>
  <c r="L237" i="4"/>
  <c r="G237" i="4"/>
  <c r="I237" i="4"/>
  <c r="J237" i="4"/>
  <c r="K237" i="4"/>
  <c r="H237" i="4"/>
  <c r="J236" i="4"/>
  <c r="I236" i="4"/>
  <c r="H236" i="4"/>
  <c r="G236" i="4"/>
  <c r="F236" i="4"/>
  <c r="E236" i="4"/>
  <c r="D236" i="4"/>
  <c r="C236" i="4"/>
  <c r="B236" i="4"/>
  <c r="K236" i="4"/>
  <c r="L236" i="4"/>
  <c r="K235" i="4"/>
  <c r="J235" i="4"/>
  <c r="I235" i="4"/>
  <c r="H235" i="4"/>
  <c r="G235" i="4"/>
  <c r="F235" i="4"/>
  <c r="E235" i="4"/>
  <c r="D235" i="4"/>
  <c r="C235" i="4"/>
  <c r="B235" i="4"/>
  <c r="L235" i="4"/>
  <c r="J234" i="4"/>
  <c r="K234" i="4"/>
  <c r="I234" i="4"/>
  <c r="H234" i="4"/>
  <c r="G234" i="4"/>
  <c r="C234" i="4"/>
  <c r="E234" i="4"/>
  <c r="D234" i="4"/>
  <c r="L234" i="4"/>
  <c r="B234" i="4"/>
  <c r="F234" i="4"/>
  <c r="L233" i="4"/>
  <c r="K233" i="4"/>
  <c r="J233" i="4"/>
  <c r="H233" i="4"/>
  <c r="G233" i="4"/>
  <c r="F233" i="4"/>
  <c r="E233" i="4"/>
  <c r="D233" i="4"/>
  <c r="C233" i="4"/>
  <c r="B233" i="4"/>
  <c r="I233" i="4"/>
  <c r="E232" i="4"/>
  <c r="C232" i="4"/>
  <c r="B232" i="4"/>
  <c r="D232" i="4"/>
  <c r="G232" i="4"/>
  <c r="F232" i="4"/>
  <c r="H232" i="4"/>
  <c r="I232" i="4"/>
  <c r="J232" i="4"/>
  <c r="K232" i="4"/>
  <c r="L232" i="4"/>
  <c r="I231" i="4"/>
  <c r="J231" i="4"/>
  <c r="K231" i="4"/>
  <c r="L231" i="4"/>
  <c r="B231" i="4"/>
  <c r="C231" i="4"/>
  <c r="D231" i="4"/>
  <c r="E231" i="4"/>
  <c r="F231" i="4"/>
  <c r="G231" i="4"/>
  <c r="H231" i="4"/>
  <c r="B230" i="4"/>
  <c r="L230" i="4"/>
  <c r="K230" i="4"/>
  <c r="J230" i="4"/>
  <c r="G230" i="4"/>
  <c r="I230" i="4"/>
  <c r="F230" i="4"/>
  <c r="E230" i="4"/>
  <c r="D230" i="4"/>
  <c r="C230" i="4"/>
  <c r="H230" i="4"/>
  <c r="I229" i="4"/>
  <c r="J229" i="4"/>
  <c r="K229" i="4"/>
  <c r="H229" i="4"/>
  <c r="L229" i="4"/>
  <c r="F229" i="4"/>
  <c r="E229" i="4"/>
  <c r="D229" i="4"/>
  <c r="C229" i="4"/>
  <c r="B229" i="4"/>
  <c r="L228" i="4"/>
  <c r="K228" i="4"/>
  <c r="J228" i="4"/>
  <c r="I228" i="4"/>
  <c r="H228" i="4"/>
  <c r="G228" i="4"/>
  <c r="F228" i="4"/>
  <c r="E228" i="4"/>
  <c r="D228" i="4"/>
  <c r="C228" i="4"/>
  <c r="B228" i="4"/>
  <c r="B227" i="4"/>
  <c r="C227" i="4"/>
  <c r="D227" i="4"/>
  <c r="E227" i="4"/>
  <c r="F227" i="4"/>
  <c r="G227" i="4"/>
  <c r="H227" i="4"/>
  <c r="I227" i="4"/>
  <c r="J227" i="4"/>
  <c r="K227" i="4"/>
  <c r="L227" i="4"/>
  <c r="L226" i="4"/>
  <c r="G226" i="4"/>
  <c r="H226" i="4"/>
  <c r="I226" i="4"/>
  <c r="J226" i="4"/>
  <c r="K226" i="4"/>
  <c r="B226" i="4"/>
  <c r="C226" i="4"/>
  <c r="D226" i="4"/>
  <c r="E226" i="4"/>
  <c r="F226" i="4"/>
  <c r="L225" i="4"/>
  <c r="G225" i="4"/>
  <c r="H225" i="4"/>
  <c r="I225" i="4"/>
  <c r="F225" i="4"/>
  <c r="J225" i="4"/>
  <c r="K225" i="4"/>
  <c r="D225" i="4"/>
  <c r="E225" i="4"/>
  <c r="C225" i="4"/>
  <c r="B225" i="4"/>
  <c r="B224" i="4"/>
  <c r="C224" i="4"/>
  <c r="D224" i="4"/>
  <c r="E224" i="4"/>
  <c r="F224" i="4"/>
  <c r="G224" i="4"/>
  <c r="H224" i="4"/>
  <c r="I224" i="4"/>
  <c r="J224" i="4"/>
  <c r="K224" i="4"/>
  <c r="L224" i="4"/>
  <c r="L223" i="4"/>
  <c r="K223" i="4"/>
  <c r="J223" i="4"/>
  <c r="H223" i="4"/>
  <c r="I223" i="4"/>
  <c r="G223" i="4"/>
  <c r="F223" i="4"/>
  <c r="E223" i="4"/>
  <c r="D223" i="4"/>
  <c r="C223" i="4"/>
  <c r="B223" i="4"/>
  <c r="L222" i="4"/>
  <c r="K222" i="4"/>
  <c r="J222" i="4"/>
  <c r="I222" i="4"/>
  <c r="H222" i="4"/>
  <c r="G222" i="4"/>
  <c r="F222" i="4"/>
  <c r="E222" i="4"/>
  <c r="D222" i="4"/>
  <c r="C222" i="4"/>
  <c r="B222" i="4"/>
  <c r="K221" i="4"/>
  <c r="B221" i="4"/>
  <c r="J221" i="4"/>
  <c r="I221" i="4"/>
  <c r="H221" i="4"/>
  <c r="G221" i="4"/>
  <c r="F221" i="4"/>
  <c r="E221" i="4"/>
  <c r="D221" i="4"/>
  <c r="C221" i="4"/>
  <c r="L221" i="4"/>
  <c r="D220" i="4"/>
  <c r="L220" i="4"/>
  <c r="K220" i="4"/>
  <c r="J220" i="4"/>
  <c r="I220" i="4"/>
  <c r="H220" i="4"/>
  <c r="G220" i="4"/>
  <c r="F220" i="4"/>
  <c r="E220" i="4"/>
  <c r="C220" i="4"/>
  <c r="B220" i="4"/>
  <c r="E219" i="4"/>
  <c r="J219" i="4"/>
  <c r="I219" i="4"/>
  <c r="H219" i="4"/>
  <c r="G219" i="4"/>
  <c r="F219" i="4"/>
  <c r="B219" i="4"/>
  <c r="C219" i="4"/>
  <c r="D219" i="4"/>
  <c r="L219" i="4"/>
  <c r="K219" i="4"/>
  <c r="E218" i="4"/>
  <c r="D218" i="4"/>
  <c r="C218" i="4"/>
  <c r="B218" i="4"/>
  <c r="H218" i="4"/>
  <c r="G218" i="4"/>
  <c r="F218" i="4"/>
  <c r="L218" i="4"/>
  <c r="K218" i="4"/>
  <c r="J218" i="4"/>
  <c r="I218" i="4"/>
  <c r="L217" i="4"/>
  <c r="H217" i="4"/>
  <c r="B217" i="4"/>
  <c r="J217" i="4"/>
  <c r="K217" i="4"/>
  <c r="C217" i="4"/>
  <c r="D217" i="4"/>
  <c r="E217" i="4"/>
  <c r="F217" i="4"/>
  <c r="G217" i="4"/>
  <c r="I217" i="4"/>
  <c r="L216" i="4"/>
  <c r="I216" i="4"/>
  <c r="F216" i="4"/>
  <c r="K216" i="4"/>
  <c r="J216" i="4"/>
  <c r="H216" i="4"/>
  <c r="G216" i="4"/>
  <c r="E216" i="4"/>
  <c r="D216" i="4"/>
  <c r="C216" i="4"/>
  <c r="B216" i="4"/>
  <c r="C215" i="4"/>
  <c r="B215" i="4"/>
  <c r="F215" i="4"/>
  <c r="G215" i="4"/>
  <c r="H215" i="4"/>
  <c r="I215" i="4"/>
  <c r="J215" i="4"/>
  <c r="K215" i="4"/>
  <c r="L215" i="4"/>
  <c r="D215" i="4"/>
  <c r="E215" i="4"/>
  <c r="D214" i="4"/>
  <c r="C214" i="4"/>
  <c r="B214" i="4"/>
  <c r="K214" i="4"/>
  <c r="L214" i="4"/>
  <c r="J214" i="4"/>
  <c r="I214" i="4"/>
  <c r="H214" i="4"/>
  <c r="G214" i="4"/>
  <c r="F214" i="4"/>
  <c r="E214" i="4"/>
  <c r="H213" i="4"/>
  <c r="I213" i="4"/>
  <c r="J213" i="4"/>
  <c r="K213" i="4"/>
  <c r="L213" i="4"/>
  <c r="B213" i="4"/>
  <c r="C213" i="4"/>
  <c r="D213" i="4"/>
  <c r="E213" i="4"/>
  <c r="F213" i="4"/>
  <c r="G213" i="4"/>
  <c r="K212" i="4"/>
  <c r="G212" i="4"/>
  <c r="H212" i="4"/>
  <c r="I212" i="4"/>
  <c r="J212" i="4"/>
  <c r="D212" i="4"/>
  <c r="C212" i="4"/>
  <c r="B212" i="4"/>
  <c r="L212" i="4"/>
  <c r="F212" i="4"/>
  <c r="E212" i="4"/>
  <c r="H211" i="4"/>
  <c r="G211" i="4"/>
  <c r="B211" i="4"/>
  <c r="C211" i="4"/>
  <c r="D211" i="4"/>
  <c r="E211" i="4"/>
  <c r="F211" i="4"/>
  <c r="K211" i="4"/>
  <c r="I211" i="4"/>
  <c r="J211" i="4"/>
  <c r="L211" i="4"/>
  <c r="K210" i="4"/>
  <c r="L210" i="4"/>
  <c r="F210" i="4"/>
  <c r="H210" i="4"/>
  <c r="I210" i="4"/>
  <c r="E210" i="4"/>
  <c r="G210" i="4"/>
  <c r="D210" i="4"/>
  <c r="C210" i="4"/>
  <c r="B210" i="4"/>
  <c r="J210" i="4"/>
  <c r="B209" i="4"/>
  <c r="C209" i="4"/>
  <c r="D209" i="4"/>
  <c r="E209" i="4"/>
  <c r="F209" i="4"/>
  <c r="G209" i="4"/>
  <c r="I209" i="4"/>
  <c r="J209" i="4"/>
  <c r="K209" i="4"/>
  <c r="H209" i="4"/>
  <c r="L209" i="4"/>
  <c r="F208" i="4"/>
  <c r="E208" i="4"/>
  <c r="D208" i="4"/>
  <c r="C208" i="4"/>
  <c r="B208" i="4"/>
  <c r="G208" i="4"/>
  <c r="L208" i="4"/>
  <c r="K208" i="4"/>
  <c r="J208" i="4"/>
  <c r="I208" i="4"/>
  <c r="H208" i="4"/>
  <c r="B207" i="4"/>
  <c r="C207" i="4"/>
  <c r="D207" i="4"/>
  <c r="E207" i="4"/>
  <c r="F207" i="4"/>
  <c r="G207" i="4"/>
  <c r="H207" i="4"/>
  <c r="I207" i="4"/>
  <c r="J207" i="4"/>
  <c r="K207" i="4"/>
  <c r="L207" i="4"/>
  <c r="E206" i="4"/>
  <c r="H206" i="4"/>
  <c r="L206" i="4"/>
  <c r="K206" i="4"/>
  <c r="I206" i="4"/>
  <c r="C206" i="4"/>
  <c r="F206" i="4"/>
  <c r="G206" i="4"/>
  <c r="B206" i="4"/>
  <c r="J206" i="4"/>
  <c r="D206" i="4"/>
  <c r="G205" i="4"/>
  <c r="C205" i="4"/>
  <c r="B205" i="4"/>
  <c r="D205" i="4"/>
  <c r="E205" i="4"/>
  <c r="F205" i="4"/>
  <c r="J205" i="4"/>
  <c r="H205" i="4"/>
  <c r="I205" i="4"/>
  <c r="K205" i="4"/>
  <c r="L205" i="4"/>
  <c r="B204" i="4"/>
  <c r="I204" i="4"/>
  <c r="L204" i="4"/>
  <c r="K204" i="4"/>
  <c r="J204" i="4"/>
  <c r="D204" i="4"/>
  <c r="E204" i="4"/>
  <c r="F204" i="4"/>
  <c r="G204" i="4"/>
  <c r="H204" i="4"/>
  <c r="C204" i="4"/>
  <c r="F203" i="4"/>
  <c r="E203" i="4"/>
  <c r="D203" i="4"/>
  <c r="C203" i="4"/>
  <c r="B203" i="4"/>
  <c r="L203" i="4"/>
  <c r="K203" i="4"/>
  <c r="J203" i="4"/>
  <c r="I203" i="4"/>
  <c r="H203" i="4"/>
  <c r="G203" i="4"/>
  <c r="B202" i="4"/>
  <c r="I202" i="4"/>
  <c r="H202" i="4"/>
  <c r="F202" i="4"/>
  <c r="D202" i="4"/>
  <c r="C202" i="4"/>
  <c r="G202" i="4"/>
  <c r="J202" i="4"/>
  <c r="K202" i="4"/>
  <c r="L202" i="4"/>
  <c r="E202" i="4"/>
  <c r="F201" i="4"/>
  <c r="K201" i="4"/>
  <c r="L201" i="4"/>
  <c r="J201" i="4"/>
  <c r="H201" i="4"/>
  <c r="B201" i="4"/>
  <c r="C201" i="4"/>
  <c r="D201" i="4"/>
  <c r="E201" i="4"/>
  <c r="I201" i="4"/>
  <c r="G201" i="4"/>
  <c r="L200" i="4"/>
  <c r="H200" i="4"/>
  <c r="I200" i="4"/>
  <c r="J200" i="4"/>
  <c r="K200" i="4"/>
  <c r="G200" i="4"/>
  <c r="F200" i="4"/>
  <c r="E200" i="4"/>
  <c r="D200" i="4"/>
  <c r="C200" i="4"/>
  <c r="B200" i="4"/>
  <c r="E199" i="4"/>
  <c r="C199" i="4"/>
  <c r="D199" i="4"/>
  <c r="F199" i="4"/>
  <c r="G199" i="4"/>
  <c r="H199" i="4"/>
  <c r="I199" i="4"/>
  <c r="J199" i="4"/>
  <c r="K199" i="4"/>
  <c r="B199" i="4"/>
  <c r="L199" i="4"/>
  <c r="G198" i="4"/>
  <c r="H198" i="4"/>
  <c r="I198" i="4"/>
  <c r="J198" i="4"/>
  <c r="K198" i="4"/>
  <c r="L198" i="4"/>
  <c r="B198" i="4"/>
  <c r="C198" i="4"/>
  <c r="D198" i="4"/>
  <c r="E198" i="4"/>
  <c r="F198" i="4"/>
  <c r="C197" i="4"/>
  <c r="G197" i="4"/>
  <c r="J197" i="4"/>
  <c r="I197" i="4"/>
  <c r="E197" i="4"/>
  <c r="F197" i="4"/>
  <c r="B197" i="4"/>
  <c r="H197" i="4"/>
  <c r="D197" i="4"/>
  <c r="L197" i="4"/>
  <c r="K197" i="4"/>
  <c r="E196" i="4"/>
  <c r="F196" i="4"/>
  <c r="G196" i="4"/>
  <c r="D196" i="4"/>
  <c r="H196" i="4"/>
  <c r="I196" i="4"/>
  <c r="B196" i="4"/>
  <c r="C196" i="4"/>
  <c r="J196" i="4"/>
  <c r="K196" i="4"/>
  <c r="L196" i="4"/>
  <c r="C195" i="4"/>
  <c r="B195" i="4"/>
  <c r="D195" i="4"/>
  <c r="E195" i="4"/>
  <c r="F195" i="4"/>
  <c r="G195" i="4"/>
  <c r="H195" i="4"/>
  <c r="L195" i="4"/>
  <c r="J195" i="4"/>
  <c r="K195" i="4"/>
  <c r="I195" i="4"/>
  <c r="G193" i="4"/>
  <c r="F193" i="4"/>
  <c r="E193" i="4"/>
  <c r="D193" i="4"/>
  <c r="C193" i="4"/>
  <c r="B193" i="4"/>
  <c r="L193" i="4"/>
  <c r="K193" i="4"/>
  <c r="J193" i="4"/>
  <c r="I193" i="4"/>
  <c r="H193" i="4"/>
  <c r="B192" i="4"/>
  <c r="K192" i="4"/>
  <c r="E192" i="4"/>
  <c r="D192" i="4"/>
  <c r="C192" i="4"/>
  <c r="J192" i="4"/>
  <c r="I192" i="4"/>
  <c r="H192" i="4"/>
  <c r="G192" i="4"/>
  <c r="F192" i="4"/>
  <c r="L192" i="4"/>
  <c r="C191" i="4"/>
  <c r="D191" i="4"/>
  <c r="E191" i="4"/>
  <c r="F191" i="4"/>
  <c r="G191" i="4"/>
  <c r="H191" i="4"/>
  <c r="I191" i="4"/>
  <c r="J191" i="4"/>
  <c r="L191" i="4"/>
  <c r="K191" i="4"/>
  <c r="B191" i="4"/>
  <c r="E190" i="4"/>
  <c r="F190" i="4"/>
  <c r="J190" i="4"/>
  <c r="G190" i="4"/>
  <c r="H190" i="4"/>
  <c r="I190" i="4"/>
  <c r="L190" i="4"/>
  <c r="K190" i="4"/>
  <c r="C190" i="4"/>
  <c r="B190" i="4"/>
  <c r="D190" i="4"/>
  <c r="F189" i="4"/>
  <c r="E189" i="4"/>
  <c r="D189" i="4"/>
  <c r="J189" i="4"/>
  <c r="B189" i="4"/>
  <c r="C189" i="4"/>
  <c r="H189" i="4"/>
  <c r="I189" i="4"/>
  <c r="K189" i="4"/>
  <c r="L189" i="4"/>
  <c r="G189" i="4"/>
  <c r="J188" i="4"/>
  <c r="K188" i="4"/>
  <c r="L188" i="4"/>
  <c r="B188" i="4"/>
  <c r="D188" i="4"/>
  <c r="I188" i="4"/>
  <c r="E188" i="4"/>
  <c r="C188" i="4"/>
  <c r="F188" i="4"/>
  <c r="G188" i="4"/>
  <c r="H188" i="4"/>
  <c r="C187" i="4"/>
  <c r="E187" i="4"/>
  <c r="F187" i="4"/>
  <c r="G187" i="4"/>
  <c r="H187" i="4"/>
  <c r="I187" i="4"/>
  <c r="J187" i="4"/>
  <c r="K187" i="4"/>
  <c r="L187" i="4"/>
  <c r="B187" i="4"/>
  <c r="D187" i="4"/>
  <c r="D186" i="4"/>
  <c r="E186" i="4"/>
  <c r="F186" i="4"/>
  <c r="G186" i="4"/>
  <c r="H186" i="4"/>
  <c r="I186" i="4"/>
  <c r="K186" i="4"/>
  <c r="L186" i="4"/>
  <c r="B186" i="4"/>
  <c r="C186" i="4"/>
  <c r="J186" i="4"/>
  <c r="B185" i="4"/>
  <c r="C185" i="4"/>
  <c r="D185" i="4"/>
  <c r="E185" i="4"/>
  <c r="F185" i="4"/>
  <c r="G185" i="4"/>
  <c r="H185" i="4"/>
  <c r="I185" i="4"/>
  <c r="J185" i="4"/>
  <c r="K185" i="4"/>
  <c r="L185" i="4"/>
  <c r="G184" i="4"/>
  <c r="H184" i="4"/>
  <c r="I184" i="4"/>
  <c r="J184" i="4"/>
  <c r="K184" i="4"/>
  <c r="L184" i="4"/>
  <c r="B184" i="4"/>
  <c r="C184" i="4"/>
  <c r="D184" i="4"/>
  <c r="E184" i="4"/>
  <c r="F184" i="4"/>
  <c r="D183" i="4"/>
  <c r="H183" i="4"/>
  <c r="G183" i="4"/>
  <c r="F183" i="4"/>
  <c r="E183" i="4"/>
  <c r="C183" i="4"/>
  <c r="B183" i="4"/>
  <c r="L183" i="4"/>
  <c r="I183" i="4"/>
  <c r="K183" i="4"/>
  <c r="J183" i="4"/>
  <c r="H182" i="4"/>
  <c r="L182" i="4"/>
  <c r="K182" i="4"/>
  <c r="J182" i="4"/>
  <c r="I182" i="4"/>
  <c r="G182" i="4"/>
  <c r="F182" i="4"/>
  <c r="E182" i="4"/>
  <c r="D182" i="4"/>
  <c r="C182" i="4"/>
  <c r="B182" i="4"/>
  <c r="I181" i="4"/>
  <c r="E181" i="4"/>
  <c r="B181" i="4"/>
  <c r="C181" i="4"/>
  <c r="F181" i="4"/>
  <c r="G181" i="4"/>
  <c r="L181" i="4"/>
  <c r="H181" i="4"/>
  <c r="D181" i="4"/>
  <c r="K181" i="4"/>
  <c r="J181" i="4"/>
  <c r="G180" i="4"/>
  <c r="F180" i="4"/>
  <c r="I180" i="4"/>
  <c r="J180" i="4"/>
  <c r="K180" i="4"/>
  <c r="L180" i="4"/>
  <c r="B180" i="4"/>
  <c r="H180" i="4"/>
  <c r="E180" i="4"/>
  <c r="D180" i="4"/>
  <c r="C180" i="4"/>
  <c r="H179" i="4"/>
  <c r="I179" i="4"/>
  <c r="K179" i="4"/>
  <c r="L179" i="4"/>
  <c r="B179" i="4"/>
  <c r="D179" i="4"/>
  <c r="J179" i="4"/>
  <c r="C179" i="4"/>
  <c r="E179" i="4"/>
  <c r="F179" i="4"/>
  <c r="G179" i="4"/>
  <c r="K178" i="4"/>
  <c r="B178" i="4"/>
  <c r="C178" i="4"/>
  <c r="D178" i="4"/>
  <c r="E178" i="4"/>
  <c r="L178" i="4"/>
  <c r="F178" i="4"/>
  <c r="G178" i="4"/>
  <c r="H178" i="4"/>
  <c r="I178" i="4"/>
  <c r="J178" i="4"/>
  <c r="F177" i="4"/>
  <c r="K177" i="4"/>
  <c r="B177" i="4"/>
  <c r="C177" i="4"/>
  <c r="G177" i="4"/>
  <c r="D177" i="4"/>
  <c r="H177" i="4"/>
  <c r="I177" i="4"/>
  <c r="J177" i="4"/>
  <c r="E177" i="4"/>
  <c r="L177" i="4"/>
  <c r="I176" i="4"/>
  <c r="J176" i="4"/>
  <c r="K176" i="4"/>
  <c r="L176" i="4"/>
  <c r="D176" i="4"/>
  <c r="F176" i="4"/>
  <c r="H176" i="4"/>
  <c r="G176" i="4"/>
  <c r="B176" i="4"/>
  <c r="C176" i="4"/>
  <c r="E176" i="4"/>
  <c r="B175" i="4"/>
  <c r="C175" i="4"/>
  <c r="D175" i="4"/>
  <c r="E175" i="4"/>
  <c r="L175" i="4"/>
  <c r="K175" i="4"/>
  <c r="J175" i="4"/>
  <c r="H175" i="4"/>
  <c r="G175" i="4"/>
  <c r="F175" i="4"/>
  <c r="I175" i="4"/>
  <c r="H174" i="4"/>
  <c r="I174" i="4"/>
  <c r="J174" i="4"/>
  <c r="K174" i="4"/>
  <c r="L174" i="4"/>
  <c r="E174" i="4"/>
  <c r="B174" i="4"/>
  <c r="C174" i="4"/>
  <c r="D174" i="4"/>
  <c r="F174" i="4"/>
  <c r="G174" i="4"/>
  <c r="J173" i="4"/>
  <c r="I173" i="4"/>
  <c r="H173" i="4"/>
  <c r="G173" i="4"/>
  <c r="F173" i="4"/>
  <c r="E173" i="4"/>
  <c r="C173" i="4"/>
  <c r="B173" i="4"/>
  <c r="D173" i="4"/>
  <c r="K173" i="4"/>
  <c r="L173" i="4"/>
  <c r="I172" i="4"/>
  <c r="L172" i="4"/>
  <c r="K172" i="4"/>
  <c r="J172" i="4"/>
  <c r="H172" i="4"/>
  <c r="G172" i="4"/>
  <c r="F172" i="4"/>
  <c r="E172" i="4"/>
  <c r="D172" i="4"/>
  <c r="C172" i="4"/>
  <c r="B172" i="4"/>
  <c r="G171" i="4"/>
  <c r="H171" i="4"/>
  <c r="L171" i="4"/>
  <c r="I171" i="4"/>
  <c r="J171" i="4"/>
  <c r="K171" i="4"/>
  <c r="E171" i="4"/>
  <c r="B171" i="4"/>
  <c r="C171" i="4"/>
  <c r="D171" i="4"/>
  <c r="F171" i="4"/>
  <c r="K170" i="4"/>
  <c r="D170" i="4"/>
  <c r="F170" i="4"/>
  <c r="G170" i="4"/>
  <c r="H170" i="4"/>
  <c r="C170" i="4"/>
  <c r="J170" i="4"/>
  <c r="L170" i="4"/>
  <c r="B170" i="4"/>
  <c r="E170" i="4"/>
  <c r="I170" i="4"/>
  <c r="E169" i="4"/>
  <c r="H169" i="4"/>
  <c r="C169" i="4"/>
  <c r="D169" i="4"/>
  <c r="L169" i="4"/>
  <c r="K169" i="4"/>
  <c r="F169" i="4"/>
  <c r="J169" i="4"/>
  <c r="I169" i="4"/>
  <c r="G169" i="4"/>
  <c r="B169" i="4"/>
  <c r="H168" i="4"/>
  <c r="I168" i="4"/>
  <c r="J168" i="4"/>
  <c r="K168" i="4"/>
  <c r="L168" i="4"/>
  <c r="G168" i="4"/>
  <c r="B168" i="4"/>
  <c r="D168" i="4"/>
  <c r="C168" i="4"/>
  <c r="E168" i="4"/>
  <c r="F168" i="4"/>
  <c r="D167" i="4"/>
  <c r="L167" i="4"/>
  <c r="B167" i="4"/>
  <c r="C167" i="4"/>
  <c r="E167" i="4"/>
  <c r="G167" i="4"/>
  <c r="H167" i="4"/>
  <c r="I167" i="4"/>
  <c r="J167" i="4"/>
  <c r="K167" i="4"/>
  <c r="F167" i="4"/>
  <c r="K166" i="4"/>
  <c r="L166" i="4"/>
  <c r="I166" i="4"/>
  <c r="J166" i="4"/>
  <c r="B166" i="4"/>
  <c r="C166" i="4"/>
  <c r="D166" i="4"/>
  <c r="E166" i="4"/>
  <c r="F166" i="4"/>
  <c r="G166" i="4"/>
  <c r="H166" i="4"/>
  <c r="C165" i="4"/>
  <c r="B165" i="4"/>
  <c r="K165" i="4"/>
  <c r="J165" i="4"/>
  <c r="I165" i="4"/>
  <c r="H165" i="4"/>
  <c r="G165" i="4"/>
  <c r="F165" i="4"/>
  <c r="E165" i="4"/>
  <c r="D165" i="4"/>
  <c r="L165" i="4"/>
  <c r="I164" i="4"/>
  <c r="H164" i="4"/>
  <c r="G164" i="4"/>
  <c r="F164" i="4"/>
  <c r="E164" i="4"/>
  <c r="D164" i="4"/>
  <c r="C164" i="4"/>
  <c r="B164" i="4"/>
  <c r="L164" i="4"/>
  <c r="K164" i="4"/>
  <c r="J164" i="4"/>
  <c r="D163" i="4"/>
  <c r="J163" i="4"/>
  <c r="I163" i="4"/>
  <c r="H163" i="4"/>
  <c r="G163" i="4"/>
  <c r="F163" i="4"/>
  <c r="E163" i="4"/>
  <c r="L163" i="4"/>
  <c r="C163" i="4"/>
  <c r="B163" i="4"/>
  <c r="K163" i="4"/>
  <c r="E162" i="4"/>
  <c r="F162" i="4"/>
  <c r="L162" i="4"/>
  <c r="K162" i="4"/>
  <c r="J162" i="4"/>
  <c r="I162" i="4"/>
  <c r="H162" i="4"/>
  <c r="G162" i="4"/>
  <c r="B162" i="4"/>
  <c r="C162" i="4"/>
  <c r="D162" i="4"/>
  <c r="F161" i="4"/>
  <c r="E161" i="4"/>
  <c r="D161" i="4"/>
  <c r="C161" i="4"/>
  <c r="B161" i="4"/>
  <c r="J161" i="4"/>
  <c r="L161" i="4"/>
  <c r="K161" i="4"/>
  <c r="I161" i="4"/>
  <c r="H161" i="4"/>
  <c r="G161" i="4"/>
  <c r="J160" i="4"/>
  <c r="E160" i="4"/>
  <c r="D160" i="4"/>
  <c r="B160" i="4"/>
  <c r="C160" i="4"/>
  <c r="L160" i="4"/>
  <c r="K160" i="4"/>
  <c r="I160" i="4"/>
  <c r="H160" i="4"/>
  <c r="G160" i="4"/>
  <c r="F160" i="4"/>
  <c r="E159" i="4"/>
  <c r="D159" i="4"/>
  <c r="C159" i="4"/>
  <c r="B159" i="4"/>
  <c r="L159" i="4"/>
  <c r="K159" i="4"/>
  <c r="J159" i="4"/>
  <c r="I159" i="4"/>
  <c r="H159" i="4"/>
  <c r="G159" i="4"/>
  <c r="F159" i="4"/>
  <c r="G158" i="4"/>
  <c r="E158" i="4"/>
  <c r="D158" i="4"/>
  <c r="B158" i="4"/>
  <c r="I158" i="4"/>
  <c r="C158" i="4"/>
  <c r="L158" i="4"/>
  <c r="K158" i="4"/>
  <c r="J158" i="4"/>
  <c r="F158" i="4"/>
  <c r="H158" i="4"/>
  <c r="K157" i="4"/>
  <c r="L157" i="4"/>
  <c r="J157" i="4"/>
  <c r="I157" i="4"/>
  <c r="H157" i="4"/>
  <c r="G157" i="4"/>
  <c r="F157" i="4"/>
  <c r="D157" i="4"/>
  <c r="C157" i="4"/>
  <c r="B157" i="4"/>
  <c r="E157" i="4"/>
  <c r="H156" i="4"/>
  <c r="I156" i="4"/>
  <c r="J156" i="4"/>
  <c r="K156" i="4"/>
  <c r="L156" i="4"/>
  <c r="F156" i="4"/>
  <c r="B156" i="4"/>
  <c r="C156" i="4"/>
  <c r="D156" i="4"/>
  <c r="E156" i="4"/>
  <c r="G156" i="4"/>
  <c r="E155" i="4"/>
  <c r="H155" i="4"/>
  <c r="I155" i="4"/>
  <c r="J155" i="4"/>
  <c r="K155" i="4"/>
  <c r="D155" i="4"/>
  <c r="B155" i="4"/>
  <c r="C155" i="4"/>
  <c r="L155" i="4"/>
  <c r="F155" i="4"/>
  <c r="G155" i="4"/>
  <c r="I154" i="4"/>
  <c r="E154" i="4"/>
  <c r="J154" i="4"/>
  <c r="L154" i="4"/>
  <c r="D154" i="4"/>
  <c r="K154" i="4"/>
  <c r="B154" i="4"/>
  <c r="C154" i="4"/>
  <c r="H154" i="4"/>
  <c r="G154" i="4"/>
  <c r="F154" i="4"/>
  <c r="K153" i="4"/>
  <c r="J153" i="4"/>
  <c r="L153" i="4"/>
  <c r="I153" i="4"/>
  <c r="H153" i="4"/>
  <c r="G153" i="4"/>
  <c r="F153" i="4"/>
  <c r="D153" i="4"/>
  <c r="C153" i="4"/>
  <c r="B153" i="4"/>
  <c r="E153" i="4"/>
  <c r="J152" i="4"/>
  <c r="E152" i="4"/>
  <c r="D152" i="4"/>
  <c r="C152" i="4"/>
  <c r="H152" i="4"/>
  <c r="K152" i="4"/>
  <c r="L152" i="4"/>
  <c r="F152" i="4"/>
  <c r="G152" i="4"/>
  <c r="B152" i="4"/>
  <c r="I152" i="4"/>
  <c r="F151" i="4"/>
  <c r="E151" i="4"/>
  <c r="D151" i="4"/>
  <c r="C151" i="4"/>
  <c r="K151" i="4"/>
  <c r="L151" i="4"/>
  <c r="J151" i="4"/>
  <c r="I151" i="4"/>
  <c r="G151" i="4"/>
  <c r="H151" i="4"/>
  <c r="B151" i="4"/>
  <c r="F150" i="4"/>
  <c r="K150" i="4"/>
  <c r="B150" i="4"/>
  <c r="L150" i="4"/>
  <c r="C150" i="4"/>
  <c r="D150" i="4"/>
  <c r="E150" i="4"/>
  <c r="G150" i="4"/>
  <c r="H150" i="4"/>
  <c r="I150" i="4"/>
  <c r="J150" i="4"/>
  <c r="B149" i="4"/>
  <c r="K149" i="4"/>
  <c r="L149" i="4"/>
  <c r="J149" i="4"/>
  <c r="I149" i="4"/>
  <c r="H149" i="4"/>
  <c r="G149" i="4"/>
  <c r="F149" i="4"/>
  <c r="E149" i="4"/>
  <c r="D149" i="4"/>
  <c r="C149" i="4"/>
  <c r="B148" i="4"/>
  <c r="C148" i="4"/>
  <c r="D148" i="4"/>
  <c r="E148" i="4"/>
  <c r="F148" i="4"/>
  <c r="I148" i="4"/>
  <c r="K148" i="4"/>
  <c r="L148" i="4"/>
  <c r="J148" i="4"/>
  <c r="G148" i="4"/>
  <c r="H148" i="4"/>
  <c r="F147" i="4"/>
  <c r="G147" i="4"/>
  <c r="H147" i="4"/>
  <c r="I147" i="4"/>
  <c r="J147" i="4"/>
  <c r="L147" i="4"/>
  <c r="B147" i="4"/>
  <c r="C147" i="4"/>
  <c r="K147" i="4"/>
  <c r="E147" i="4"/>
  <c r="D147" i="4"/>
  <c r="G146" i="4"/>
  <c r="B146" i="4"/>
  <c r="C146" i="4"/>
  <c r="D146" i="4"/>
  <c r="E146" i="4"/>
  <c r="F146" i="4"/>
  <c r="H146" i="4"/>
  <c r="I146" i="4"/>
  <c r="J146" i="4"/>
  <c r="K146" i="4"/>
  <c r="L146" i="4"/>
  <c r="E145" i="4"/>
  <c r="J145" i="4"/>
  <c r="I145" i="4"/>
  <c r="L145" i="4"/>
  <c r="G145" i="4"/>
  <c r="F145" i="4"/>
  <c r="D145" i="4"/>
  <c r="C145" i="4"/>
  <c r="B145" i="4"/>
  <c r="K145" i="4"/>
  <c r="H145" i="4"/>
  <c r="L144" i="4"/>
  <c r="I144" i="4"/>
  <c r="H144" i="4"/>
  <c r="K144" i="4"/>
  <c r="J144" i="4"/>
  <c r="C144" i="4"/>
  <c r="B144" i="4"/>
  <c r="G144" i="4"/>
  <c r="E144" i="4"/>
  <c r="F144" i="4"/>
  <c r="D144" i="4"/>
  <c r="C143" i="4"/>
  <c r="I143" i="4"/>
  <c r="F143" i="4"/>
  <c r="E143" i="4"/>
  <c r="D143" i="4"/>
  <c r="H143" i="4"/>
  <c r="B143" i="4"/>
  <c r="L143" i="4"/>
  <c r="G143" i="4"/>
  <c r="J143" i="4"/>
  <c r="K143" i="4"/>
  <c r="G142" i="4"/>
  <c r="H142" i="4"/>
  <c r="I142" i="4"/>
  <c r="J142" i="4"/>
  <c r="K142" i="4"/>
  <c r="L142" i="4"/>
  <c r="F142" i="4"/>
  <c r="B142" i="4"/>
  <c r="C142" i="4"/>
  <c r="D142" i="4"/>
  <c r="E142" i="4"/>
  <c r="K141" i="4"/>
  <c r="L141" i="4"/>
  <c r="J141" i="4"/>
  <c r="I141" i="4"/>
  <c r="H141" i="4"/>
  <c r="G141" i="4"/>
  <c r="F141" i="4"/>
  <c r="E141" i="4"/>
  <c r="D141" i="4"/>
  <c r="C141" i="4"/>
  <c r="B141" i="4"/>
  <c r="H140" i="4"/>
  <c r="G140" i="4"/>
  <c r="E140" i="4"/>
  <c r="K140" i="4"/>
  <c r="J140" i="4"/>
  <c r="F140" i="4"/>
  <c r="I140" i="4"/>
  <c r="L140" i="4"/>
  <c r="D140" i="4"/>
  <c r="B140" i="4"/>
  <c r="C140" i="4"/>
  <c r="B139" i="4"/>
  <c r="C139" i="4"/>
  <c r="D139" i="4"/>
  <c r="L139" i="4"/>
  <c r="K139" i="4"/>
  <c r="J139" i="4"/>
  <c r="I139" i="4"/>
  <c r="H139" i="4"/>
  <c r="G139" i="4"/>
  <c r="F139" i="4"/>
  <c r="E139" i="4"/>
  <c r="J138" i="4"/>
  <c r="K138" i="4"/>
  <c r="L138" i="4"/>
  <c r="E138" i="4"/>
  <c r="B138" i="4"/>
  <c r="C138" i="4"/>
  <c r="D138" i="4"/>
  <c r="F138" i="4"/>
  <c r="G138" i="4"/>
  <c r="H138" i="4"/>
  <c r="I138" i="4"/>
  <c r="H137" i="4"/>
  <c r="L137" i="4"/>
  <c r="K137" i="4"/>
  <c r="J137" i="4"/>
  <c r="I137" i="4"/>
  <c r="G137" i="4"/>
  <c r="F137" i="4"/>
  <c r="E137" i="4"/>
  <c r="D137" i="4"/>
  <c r="C137" i="4"/>
  <c r="B137" i="4"/>
  <c r="C136" i="4"/>
  <c r="D136" i="4"/>
  <c r="F136" i="4"/>
  <c r="G136" i="4"/>
  <c r="H136" i="4"/>
  <c r="E136" i="4"/>
  <c r="I136" i="4"/>
  <c r="J136" i="4"/>
  <c r="K136" i="4"/>
  <c r="L136" i="4"/>
  <c r="B136" i="4"/>
  <c r="H135" i="4"/>
  <c r="I135" i="4"/>
  <c r="J135" i="4"/>
  <c r="K135" i="4"/>
  <c r="L135" i="4"/>
  <c r="G135" i="4"/>
  <c r="F135" i="4"/>
  <c r="E135" i="4"/>
  <c r="D135" i="4"/>
  <c r="C135" i="4"/>
  <c r="B135" i="4"/>
  <c r="L134" i="4"/>
  <c r="K134" i="4"/>
  <c r="J134" i="4"/>
  <c r="I134" i="4"/>
  <c r="H134" i="4"/>
  <c r="G134" i="4"/>
  <c r="F134" i="4"/>
  <c r="E134" i="4"/>
  <c r="D134" i="4"/>
  <c r="C134" i="4"/>
  <c r="B134" i="4"/>
  <c r="L133" i="4"/>
  <c r="K133" i="4"/>
  <c r="J133" i="4"/>
  <c r="I133" i="4"/>
  <c r="H133" i="4"/>
  <c r="G133" i="4"/>
  <c r="F133" i="4"/>
  <c r="E133" i="4"/>
  <c r="D133" i="4"/>
  <c r="C133" i="4"/>
  <c r="B133" i="4"/>
  <c r="L132" i="4"/>
  <c r="K132" i="4"/>
  <c r="J132" i="4"/>
  <c r="I132" i="4"/>
  <c r="H132" i="4"/>
  <c r="G132" i="4"/>
  <c r="F132" i="4"/>
  <c r="E132" i="4"/>
  <c r="D132" i="4"/>
  <c r="C132" i="4"/>
  <c r="B132" i="4"/>
  <c r="J131" i="4"/>
  <c r="L131" i="4"/>
  <c r="K131" i="4"/>
  <c r="I131" i="4"/>
  <c r="H131" i="4"/>
  <c r="G131" i="4"/>
  <c r="F131" i="4"/>
  <c r="E131" i="4"/>
  <c r="D131" i="4"/>
  <c r="C131" i="4"/>
  <c r="B131" i="4"/>
  <c r="G130" i="4"/>
  <c r="L130" i="4"/>
  <c r="F130" i="4"/>
  <c r="E130" i="4"/>
  <c r="C130" i="4"/>
  <c r="B130" i="4"/>
  <c r="D130" i="4"/>
  <c r="K130" i="4"/>
  <c r="J130" i="4"/>
  <c r="I130" i="4"/>
  <c r="H130" i="4"/>
  <c r="B129" i="4"/>
  <c r="H129" i="4"/>
  <c r="G129" i="4"/>
  <c r="F129" i="4"/>
  <c r="E129" i="4"/>
  <c r="D129" i="4"/>
  <c r="C129" i="4"/>
  <c r="I129" i="4"/>
  <c r="L129" i="4"/>
  <c r="K129" i="4"/>
  <c r="J129" i="4"/>
  <c r="F128" i="4"/>
  <c r="L128" i="4"/>
  <c r="K128" i="4"/>
  <c r="J128" i="4"/>
  <c r="I128" i="4"/>
  <c r="G128" i="4"/>
  <c r="D128" i="4"/>
  <c r="E128" i="4"/>
  <c r="B128" i="4"/>
  <c r="C128" i="4"/>
  <c r="H128" i="4"/>
  <c r="D127" i="4"/>
  <c r="F127" i="4"/>
  <c r="G127" i="4"/>
  <c r="H127" i="4"/>
  <c r="J127" i="4"/>
  <c r="K127" i="4"/>
  <c r="L127" i="4"/>
  <c r="B127" i="4"/>
  <c r="I127" i="4"/>
  <c r="C127" i="4"/>
  <c r="E127" i="4"/>
  <c r="I126" i="4"/>
  <c r="J126" i="4"/>
  <c r="K126" i="4"/>
  <c r="L126" i="4"/>
  <c r="F126" i="4"/>
  <c r="D126" i="4"/>
  <c r="C126" i="4"/>
  <c r="B126" i="4"/>
  <c r="G126" i="4"/>
  <c r="H126" i="4"/>
  <c r="E126" i="4"/>
  <c r="K125" i="4"/>
  <c r="B125" i="4"/>
  <c r="J125" i="4"/>
  <c r="L125" i="4"/>
  <c r="I125" i="4"/>
  <c r="H125" i="4"/>
  <c r="G125" i="4"/>
  <c r="F125" i="4"/>
  <c r="E125" i="4"/>
  <c r="D125" i="4"/>
  <c r="C125" i="4"/>
  <c r="L124" i="4"/>
  <c r="I124" i="4"/>
  <c r="J124" i="4"/>
  <c r="K124" i="4"/>
  <c r="H124" i="4"/>
  <c r="G124" i="4"/>
  <c r="F124" i="4"/>
  <c r="E124" i="4"/>
  <c r="D124" i="4"/>
  <c r="C124" i="4"/>
  <c r="B124" i="4"/>
  <c r="I123" i="4"/>
  <c r="E123" i="4"/>
  <c r="D123" i="4"/>
  <c r="H123" i="4"/>
  <c r="C123" i="4"/>
  <c r="B123" i="4"/>
  <c r="J123" i="4"/>
  <c r="L123" i="4"/>
  <c r="K123" i="4"/>
  <c r="F123" i="4"/>
  <c r="G123" i="4"/>
  <c r="G122" i="4"/>
  <c r="F122" i="4"/>
  <c r="E122" i="4"/>
  <c r="D122" i="4"/>
  <c r="C122" i="4"/>
  <c r="B122" i="4"/>
  <c r="J122" i="4"/>
  <c r="K122" i="4"/>
  <c r="L122" i="4"/>
  <c r="I122" i="4"/>
  <c r="H122" i="4"/>
  <c r="J121" i="4"/>
  <c r="K121" i="4"/>
  <c r="L121" i="4"/>
  <c r="H121" i="4"/>
  <c r="I121" i="4"/>
  <c r="B121" i="4"/>
  <c r="C121" i="4"/>
  <c r="D121" i="4"/>
  <c r="E121" i="4"/>
  <c r="F121" i="4"/>
  <c r="G121" i="4"/>
  <c r="G120" i="4"/>
  <c r="K120" i="4"/>
  <c r="B120" i="4"/>
  <c r="C120" i="4"/>
  <c r="D120" i="4"/>
  <c r="E120" i="4"/>
  <c r="F120" i="4"/>
  <c r="H120" i="4"/>
  <c r="I120" i="4"/>
  <c r="J120" i="4"/>
  <c r="L120" i="4"/>
  <c r="G119" i="4"/>
  <c r="C119" i="4"/>
  <c r="B119" i="4"/>
  <c r="K119" i="4"/>
  <c r="J119" i="4"/>
  <c r="I119" i="4"/>
  <c r="L119" i="4"/>
  <c r="H119" i="4"/>
  <c r="E119" i="4"/>
  <c r="F119" i="4"/>
  <c r="D119" i="4"/>
  <c r="F118" i="4"/>
  <c r="G118" i="4"/>
  <c r="H118" i="4"/>
  <c r="J118" i="4"/>
  <c r="K118" i="4"/>
  <c r="L118" i="4"/>
  <c r="I118" i="4"/>
  <c r="E118" i="4"/>
  <c r="D118" i="4"/>
  <c r="C118" i="4"/>
  <c r="B118" i="4"/>
  <c r="F117" i="4"/>
  <c r="E117" i="4"/>
  <c r="D117" i="4"/>
  <c r="C117" i="4"/>
  <c r="G117" i="4"/>
  <c r="L117" i="4"/>
  <c r="K117" i="4"/>
  <c r="B117" i="4"/>
  <c r="J117" i="4"/>
  <c r="I117" i="4"/>
  <c r="H117" i="4"/>
  <c r="H116" i="4"/>
  <c r="I116" i="4"/>
  <c r="J116" i="4"/>
  <c r="L116" i="4"/>
  <c r="B116" i="4"/>
  <c r="K116" i="4"/>
  <c r="C116" i="4"/>
  <c r="D116" i="4"/>
  <c r="E116" i="4"/>
  <c r="F116" i="4"/>
  <c r="G116" i="4"/>
  <c r="B115" i="4"/>
  <c r="H115" i="4"/>
  <c r="G115" i="4"/>
  <c r="E115" i="4"/>
  <c r="F115" i="4"/>
  <c r="L115" i="4"/>
  <c r="K115" i="4"/>
  <c r="D115" i="4"/>
  <c r="C115" i="4"/>
  <c r="J115" i="4"/>
  <c r="I115" i="4"/>
  <c r="G114" i="4"/>
  <c r="I114" i="4"/>
  <c r="J114" i="4"/>
  <c r="E114" i="4"/>
  <c r="H114" i="4"/>
  <c r="F114" i="4"/>
  <c r="L114" i="4"/>
  <c r="K114" i="4"/>
  <c r="D114" i="4"/>
  <c r="C114" i="4"/>
  <c r="B114" i="4"/>
  <c r="L113" i="4"/>
  <c r="K113" i="4"/>
  <c r="J113" i="4"/>
  <c r="I113" i="4"/>
  <c r="H113" i="4"/>
  <c r="G113" i="4"/>
  <c r="F113" i="4"/>
  <c r="E113" i="4"/>
  <c r="D113" i="4"/>
  <c r="C113" i="4"/>
  <c r="B113" i="4"/>
  <c r="G112" i="4"/>
  <c r="H112" i="4"/>
  <c r="I112" i="4"/>
  <c r="J112" i="4"/>
  <c r="B112" i="4"/>
  <c r="C112" i="4"/>
  <c r="D112" i="4"/>
  <c r="E112" i="4"/>
  <c r="F112" i="4"/>
  <c r="L112" i="4"/>
  <c r="K112" i="4"/>
  <c r="B111" i="4"/>
  <c r="H111" i="4"/>
  <c r="C111" i="4"/>
  <c r="D111" i="4"/>
  <c r="E111" i="4"/>
  <c r="L111" i="4"/>
  <c r="G111" i="4"/>
  <c r="F111" i="4"/>
  <c r="I111" i="4"/>
  <c r="J111" i="4"/>
  <c r="K111" i="4"/>
  <c r="G110" i="4"/>
  <c r="H110" i="4"/>
  <c r="I110" i="4"/>
  <c r="J110" i="4"/>
  <c r="K110" i="4"/>
  <c r="L110" i="4"/>
  <c r="F110" i="4"/>
  <c r="E110" i="4"/>
  <c r="D110" i="4"/>
  <c r="C110" i="4"/>
  <c r="B110" i="4"/>
  <c r="F109" i="4"/>
  <c r="E109" i="4"/>
  <c r="D109" i="4"/>
  <c r="C109" i="4"/>
  <c r="B109" i="4"/>
  <c r="G109" i="4"/>
  <c r="L109" i="4"/>
  <c r="K109" i="4"/>
  <c r="J109" i="4"/>
  <c r="I109" i="4"/>
  <c r="H109" i="4"/>
  <c r="B108" i="4"/>
  <c r="D108" i="4"/>
  <c r="E108" i="4"/>
  <c r="F108" i="4"/>
  <c r="G108" i="4"/>
  <c r="H108" i="4"/>
  <c r="I108" i="4"/>
  <c r="J108" i="4"/>
  <c r="K108" i="4"/>
  <c r="L108" i="4"/>
  <c r="C108" i="4"/>
  <c r="H107" i="4"/>
  <c r="I107" i="4"/>
  <c r="J107" i="4"/>
  <c r="K107" i="4"/>
  <c r="L107" i="4"/>
  <c r="G107" i="4"/>
  <c r="F107" i="4"/>
  <c r="E107" i="4"/>
  <c r="D107" i="4"/>
  <c r="C107" i="4"/>
  <c r="B107" i="4"/>
  <c r="H106" i="4"/>
  <c r="G106" i="4"/>
  <c r="F106" i="4"/>
  <c r="E106" i="4"/>
  <c r="D106" i="4"/>
  <c r="C106" i="4"/>
  <c r="B106" i="4"/>
  <c r="L106" i="4"/>
  <c r="K106" i="4"/>
  <c r="J106" i="4"/>
  <c r="I106" i="4"/>
  <c r="H105" i="4"/>
  <c r="E105" i="4"/>
  <c r="C105" i="4"/>
  <c r="B105" i="4"/>
  <c r="F105" i="4"/>
  <c r="G105" i="4"/>
  <c r="I105" i="4"/>
  <c r="J105" i="4"/>
  <c r="K105" i="4"/>
  <c r="L105" i="4"/>
  <c r="D105" i="4"/>
  <c r="K104" i="4"/>
  <c r="J104" i="4"/>
  <c r="G104" i="4"/>
  <c r="E104" i="4"/>
  <c r="D104" i="4"/>
  <c r="B104" i="4"/>
  <c r="C104" i="4"/>
  <c r="F104" i="4"/>
  <c r="H104" i="4"/>
  <c r="I104" i="4"/>
  <c r="L104" i="4"/>
  <c r="I103" i="4"/>
  <c r="G103" i="4"/>
  <c r="E103" i="4"/>
  <c r="C103" i="4"/>
  <c r="B103" i="4"/>
  <c r="K103" i="4"/>
  <c r="L103" i="4"/>
  <c r="J103" i="4"/>
  <c r="H103" i="4"/>
  <c r="F103" i="4"/>
  <c r="D103" i="4"/>
  <c r="J102" i="4"/>
  <c r="L102" i="4"/>
  <c r="K102" i="4"/>
  <c r="I102" i="4"/>
  <c r="F102" i="4"/>
  <c r="E102" i="4"/>
  <c r="G102" i="4"/>
  <c r="B102" i="4"/>
  <c r="C102" i="4"/>
  <c r="D102" i="4"/>
  <c r="H102" i="4"/>
  <c r="B101" i="4"/>
  <c r="D101" i="4"/>
  <c r="F101" i="4"/>
  <c r="J101" i="4"/>
  <c r="G101" i="4"/>
  <c r="I101" i="4"/>
  <c r="K101" i="4"/>
  <c r="H101" i="4"/>
  <c r="E101" i="4"/>
  <c r="L101" i="4"/>
  <c r="C101" i="4"/>
  <c r="L100" i="4"/>
  <c r="I100" i="4"/>
  <c r="H100" i="4"/>
  <c r="D100" i="4"/>
  <c r="B100" i="4"/>
  <c r="C100" i="4"/>
  <c r="E100" i="4"/>
  <c r="F100" i="4"/>
  <c r="G100" i="4"/>
  <c r="J100" i="4"/>
  <c r="K100" i="4"/>
  <c r="L99" i="4"/>
  <c r="K99" i="4"/>
  <c r="J99" i="4"/>
  <c r="G99" i="4"/>
  <c r="F99" i="4"/>
  <c r="E99" i="4"/>
  <c r="D99" i="4"/>
  <c r="B99" i="4"/>
  <c r="H99" i="4"/>
  <c r="C99" i="4"/>
  <c r="I99" i="4"/>
  <c r="L98" i="4"/>
  <c r="K98" i="4"/>
  <c r="I98" i="4"/>
  <c r="H98" i="4"/>
  <c r="G98" i="4"/>
  <c r="F98" i="4"/>
  <c r="D98" i="4"/>
  <c r="C98" i="4"/>
  <c r="E98" i="4"/>
  <c r="B98" i="4"/>
  <c r="J98" i="4"/>
  <c r="L97" i="4"/>
  <c r="J97" i="4"/>
  <c r="I97" i="4"/>
  <c r="C97" i="4"/>
  <c r="B97" i="4"/>
  <c r="G97" i="4"/>
  <c r="E97" i="4"/>
  <c r="K97" i="4"/>
  <c r="F97" i="4"/>
  <c r="D97" i="4"/>
  <c r="H97" i="4"/>
  <c r="B96" i="4"/>
  <c r="C96" i="4"/>
  <c r="D96" i="4"/>
  <c r="E96" i="4"/>
  <c r="F96" i="4"/>
  <c r="G96" i="4"/>
  <c r="I95" i="4"/>
  <c r="H95" i="4"/>
  <c r="G95" i="4"/>
  <c r="F95" i="4"/>
  <c r="E95" i="4"/>
  <c r="C95" i="4"/>
  <c r="B95" i="4"/>
  <c r="D95" i="4"/>
  <c r="J95" i="4"/>
  <c r="L95" i="4"/>
  <c r="K95" i="4"/>
  <c r="H94" i="4"/>
  <c r="C94" i="4"/>
  <c r="G94" i="4"/>
  <c r="F94" i="4"/>
  <c r="B94" i="4"/>
  <c r="E94" i="4"/>
  <c r="D94" i="4"/>
  <c r="I94" i="4"/>
  <c r="L94" i="4"/>
  <c r="K94" i="4"/>
  <c r="J94" i="4"/>
  <c r="E93" i="4"/>
  <c r="B93" i="4"/>
  <c r="C93" i="4"/>
  <c r="D93" i="4"/>
  <c r="F93" i="4"/>
  <c r="I93" i="4"/>
  <c r="J93" i="4"/>
  <c r="K93" i="4"/>
  <c r="L93" i="4"/>
  <c r="H93" i="4"/>
  <c r="G93" i="4"/>
  <c r="K92" i="4"/>
  <c r="L92" i="4"/>
  <c r="D92" i="4"/>
  <c r="H92" i="4"/>
  <c r="C92" i="4"/>
  <c r="G92" i="4"/>
  <c r="B92" i="4"/>
  <c r="F92" i="4"/>
  <c r="E92" i="4"/>
  <c r="I92" i="4"/>
  <c r="J92" i="4"/>
  <c r="C91" i="4"/>
  <c r="B91" i="4"/>
  <c r="K91" i="4"/>
  <c r="L91" i="4"/>
  <c r="F91" i="4"/>
  <c r="I91" i="4"/>
  <c r="E91" i="4"/>
  <c r="G91" i="4"/>
  <c r="H91" i="4"/>
  <c r="D91" i="4"/>
  <c r="J91" i="4"/>
  <c r="K90" i="4"/>
  <c r="L90" i="4"/>
  <c r="J90" i="4"/>
  <c r="B90" i="4"/>
  <c r="C90" i="4"/>
  <c r="D90" i="4"/>
  <c r="E90" i="4"/>
  <c r="F90" i="4"/>
  <c r="G90" i="4"/>
  <c r="H90" i="4"/>
  <c r="I90" i="4"/>
  <c r="F89" i="4"/>
  <c r="G89" i="4"/>
  <c r="H89" i="4"/>
  <c r="I89" i="4"/>
  <c r="J89" i="4"/>
  <c r="D89" i="4"/>
  <c r="C89" i="4"/>
  <c r="B89" i="4"/>
  <c r="L89" i="4"/>
  <c r="E89" i="4"/>
  <c r="K89" i="4"/>
  <c r="L88" i="4"/>
  <c r="K88" i="4"/>
  <c r="J88" i="4"/>
  <c r="F88" i="4"/>
  <c r="I88" i="4"/>
  <c r="H88" i="4"/>
  <c r="G88" i="4"/>
  <c r="E88" i="4"/>
  <c r="D88" i="4"/>
  <c r="C88" i="4"/>
  <c r="B88" i="4"/>
  <c r="L87" i="4"/>
  <c r="K87" i="4"/>
  <c r="J87" i="4"/>
  <c r="I87" i="4"/>
  <c r="H87" i="4"/>
  <c r="G87" i="4"/>
  <c r="F87" i="4"/>
  <c r="E87" i="4"/>
  <c r="D87" i="4"/>
  <c r="C87" i="4"/>
  <c r="B87" i="4"/>
  <c r="L86" i="4"/>
  <c r="K86" i="4"/>
  <c r="J86" i="4"/>
  <c r="I86" i="4"/>
  <c r="H86" i="4"/>
  <c r="G86" i="4"/>
  <c r="F86" i="4"/>
  <c r="E86" i="4"/>
  <c r="D86" i="4"/>
  <c r="C86" i="4"/>
  <c r="B86" i="4"/>
  <c r="G85" i="4"/>
  <c r="F85" i="4"/>
  <c r="E85" i="4"/>
  <c r="D85" i="4"/>
  <c r="C85" i="4"/>
  <c r="B85" i="4"/>
  <c r="H85" i="4"/>
  <c r="I85" i="4"/>
  <c r="L85" i="4"/>
  <c r="K85" i="4"/>
  <c r="J85" i="4"/>
  <c r="K84" i="4"/>
  <c r="B84" i="4"/>
  <c r="C84" i="4"/>
  <c r="L84" i="4"/>
  <c r="D84" i="4"/>
  <c r="J84" i="4"/>
  <c r="I84" i="4"/>
  <c r="H84" i="4"/>
  <c r="G84" i="4"/>
  <c r="F84" i="4"/>
  <c r="E84" i="4"/>
  <c r="B83" i="4"/>
  <c r="J83" i="4"/>
  <c r="D83" i="4"/>
  <c r="L83" i="4"/>
  <c r="K83" i="4"/>
  <c r="F83" i="4"/>
  <c r="I83" i="4"/>
  <c r="H83" i="4"/>
  <c r="G83" i="4"/>
  <c r="E83" i="4"/>
  <c r="C83" i="4"/>
  <c r="E82" i="4"/>
  <c r="D82" i="4"/>
  <c r="G82" i="4"/>
  <c r="L82" i="4"/>
  <c r="C82" i="4"/>
  <c r="K82" i="4"/>
  <c r="J82" i="4"/>
  <c r="I82" i="4"/>
  <c r="H82" i="4"/>
  <c r="F82" i="4"/>
  <c r="B82" i="4"/>
  <c r="E81" i="4"/>
  <c r="D81" i="4"/>
  <c r="C81" i="4"/>
  <c r="B81" i="4"/>
  <c r="L81" i="4"/>
  <c r="K81" i="4"/>
  <c r="J81" i="4"/>
  <c r="I81" i="4"/>
  <c r="H81" i="4"/>
  <c r="G81" i="4"/>
  <c r="F81" i="4"/>
  <c r="B80" i="4"/>
  <c r="C80" i="4"/>
  <c r="H80" i="4"/>
  <c r="L80" i="4"/>
  <c r="K80" i="4"/>
  <c r="I80" i="4"/>
  <c r="J80" i="4"/>
  <c r="G80" i="4"/>
  <c r="F80" i="4"/>
  <c r="E80" i="4"/>
  <c r="D80" i="4"/>
  <c r="I79" i="4"/>
  <c r="H79" i="4"/>
  <c r="L79" i="4"/>
  <c r="K79" i="4"/>
  <c r="G79" i="4"/>
  <c r="F79" i="4"/>
  <c r="J79" i="4"/>
  <c r="E79" i="4"/>
  <c r="D79" i="4"/>
  <c r="C79" i="4"/>
  <c r="B79" i="4"/>
  <c r="G78" i="4"/>
  <c r="L78" i="4"/>
  <c r="J78" i="4"/>
  <c r="I78" i="4"/>
  <c r="H78" i="4"/>
  <c r="D78" i="4"/>
  <c r="F78" i="4"/>
  <c r="B78" i="4"/>
  <c r="C78" i="4"/>
  <c r="E78" i="4"/>
  <c r="K78" i="4"/>
  <c r="F77" i="4"/>
  <c r="E77" i="4"/>
  <c r="D77" i="4"/>
  <c r="H77" i="4"/>
  <c r="B77" i="4"/>
  <c r="C77" i="4"/>
  <c r="J77" i="4"/>
  <c r="L77" i="4"/>
  <c r="K77" i="4"/>
  <c r="I77" i="4"/>
  <c r="G77" i="4"/>
  <c r="L76" i="4"/>
  <c r="K76" i="4"/>
  <c r="B76" i="4"/>
  <c r="C76" i="4"/>
  <c r="D76" i="4"/>
  <c r="E76" i="4"/>
  <c r="F76" i="4"/>
  <c r="G76" i="4"/>
  <c r="H76" i="4"/>
  <c r="I76" i="4"/>
  <c r="J76" i="4"/>
  <c r="H75" i="4"/>
  <c r="C75" i="4"/>
  <c r="K75" i="4"/>
  <c r="J75" i="4"/>
  <c r="I75" i="4"/>
  <c r="G75" i="4"/>
  <c r="F75" i="4"/>
  <c r="E75" i="4"/>
  <c r="D75" i="4"/>
  <c r="B75" i="4"/>
  <c r="L75" i="4"/>
  <c r="B74" i="4"/>
  <c r="G74" i="4"/>
  <c r="L74" i="4"/>
  <c r="K74" i="4"/>
  <c r="C74" i="4"/>
  <c r="J74" i="4"/>
  <c r="I74" i="4"/>
  <c r="H74" i="4"/>
  <c r="F74" i="4"/>
  <c r="E74" i="4"/>
  <c r="D74" i="4"/>
  <c r="I73" i="4"/>
  <c r="K73" i="4"/>
  <c r="J73" i="4"/>
  <c r="D73" i="4"/>
  <c r="C73" i="4"/>
  <c r="B73" i="4"/>
  <c r="E73" i="4"/>
  <c r="L73" i="4"/>
  <c r="F73" i="4"/>
  <c r="G73" i="4"/>
  <c r="H73" i="4"/>
  <c r="G72" i="4"/>
  <c r="F72" i="4"/>
  <c r="L72" i="4"/>
  <c r="D72" i="4"/>
  <c r="C72" i="4"/>
  <c r="B72" i="4"/>
  <c r="E72" i="4"/>
  <c r="K72" i="4"/>
  <c r="J72" i="4"/>
  <c r="I72" i="4"/>
  <c r="H72" i="4"/>
  <c r="L71" i="4"/>
  <c r="K71" i="4"/>
  <c r="J71" i="4"/>
  <c r="H71" i="4"/>
  <c r="G71" i="4"/>
  <c r="F71" i="4"/>
  <c r="E71" i="4"/>
  <c r="D71" i="4"/>
  <c r="I71" i="4"/>
  <c r="B71" i="4"/>
  <c r="C71" i="4"/>
  <c r="D70" i="4"/>
  <c r="E70" i="4"/>
  <c r="G70" i="4"/>
  <c r="H70" i="4"/>
  <c r="I70" i="4"/>
  <c r="J70" i="4"/>
  <c r="K70" i="4"/>
  <c r="L70" i="4"/>
  <c r="F70" i="4"/>
  <c r="B70" i="4"/>
  <c r="C70" i="4"/>
  <c r="K69" i="4"/>
  <c r="L69" i="4"/>
  <c r="G69" i="4"/>
  <c r="J69" i="4"/>
  <c r="I69" i="4"/>
  <c r="H69" i="4"/>
  <c r="F69" i="4"/>
  <c r="E69" i="4"/>
  <c r="D69" i="4"/>
  <c r="C69" i="4"/>
  <c r="B69" i="4"/>
  <c r="K68" i="4"/>
  <c r="E68" i="4"/>
  <c r="J68" i="4"/>
  <c r="I68" i="4"/>
  <c r="H68" i="4"/>
  <c r="G68" i="4"/>
  <c r="F68" i="4"/>
  <c r="D68" i="4"/>
  <c r="L68" i="4"/>
  <c r="C68" i="4"/>
  <c r="B68" i="4"/>
  <c r="D67" i="4"/>
  <c r="L67" i="4"/>
  <c r="K67" i="4"/>
  <c r="J67" i="4"/>
  <c r="I67" i="4"/>
  <c r="B67" i="4"/>
  <c r="C67" i="4"/>
  <c r="E67" i="4"/>
  <c r="F67" i="4"/>
  <c r="G67" i="4"/>
  <c r="H67" i="4"/>
  <c r="C66" i="4"/>
  <c r="B66" i="4"/>
  <c r="K66" i="4"/>
  <c r="J66" i="4"/>
  <c r="L66" i="4"/>
  <c r="E66" i="4"/>
  <c r="I66" i="4"/>
  <c r="H66" i="4"/>
  <c r="G66" i="4"/>
  <c r="F66" i="4"/>
  <c r="D66" i="4"/>
  <c r="L65" i="4"/>
  <c r="K65" i="4"/>
  <c r="J65" i="4"/>
  <c r="I65" i="4"/>
  <c r="H65" i="4"/>
  <c r="G65" i="4"/>
  <c r="F65" i="4"/>
  <c r="E65" i="4"/>
  <c r="D65" i="4"/>
  <c r="C65" i="4"/>
  <c r="B65" i="4"/>
  <c r="C64" i="4"/>
  <c r="L64" i="4"/>
  <c r="E64" i="4"/>
  <c r="F64" i="4"/>
  <c r="G64" i="4"/>
  <c r="H64" i="4"/>
  <c r="I64" i="4"/>
  <c r="J64" i="4"/>
  <c r="K64" i="4"/>
  <c r="D64" i="4"/>
  <c r="B64" i="4"/>
  <c r="B63" i="4"/>
  <c r="C63" i="4"/>
  <c r="D63" i="4"/>
  <c r="F63" i="4"/>
  <c r="E63" i="4"/>
  <c r="I63" i="4"/>
  <c r="H63" i="4"/>
  <c r="J63" i="4"/>
  <c r="K63" i="4"/>
  <c r="L63" i="4"/>
  <c r="G63" i="4"/>
  <c r="J62" i="4"/>
  <c r="C62" i="4"/>
  <c r="D62" i="4"/>
  <c r="K62" i="4"/>
  <c r="G62" i="4"/>
  <c r="B62" i="4"/>
  <c r="E62" i="4"/>
  <c r="F62" i="4"/>
  <c r="H62" i="4"/>
  <c r="I62" i="4"/>
  <c r="L62" i="4"/>
  <c r="H61" i="4"/>
  <c r="G61" i="4"/>
  <c r="F61" i="4"/>
  <c r="E61" i="4"/>
  <c r="D61" i="4"/>
  <c r="C61" i="4"/>
  <c r="B61" i="4"/>
  <c r="L61" i="4"/>
  <c r="K61" i="4"/>
  <c r="J61" i="4"/>
  <c r="I61" i="4"/>
  <c r="H60" i="4"/>
  <c r="G60" i="4"/>
  <c r="F60" i="4"/>
  <c r="E60" i="4"/>
  <c r="D60" i="4"/>
  <c r="C60" i="4"/>
  <c r="B60" i="4"/>
  <c r="L60" i="4"/>
  <c r="K60" i="4"/>
  <c r="J60" i="4"/>
  <c r="I60" i="4"/>
  <c r="C59" i="4"/>
  <c r="L59" i="4"/>
  <c r="K59" i="4"/>
  <c r="J59" i="4"/>
  <c r="I59" i="4"/>
  <c r="B59" i="4"/>
  <c r="H59" i="4"/>
  <c r="G59" i="4"/>
  <c r="F59" i="4"/>
  <c r="E59" i="4"/>
  <c r="D59" i="4"/>
  <c r="H58" i="4"/>
  <c r="G58" i="4"/>
  <c r="F58" i="4"/>
  <c r="E58" i="4"/>
  <c r="D58" i="4"/>
  <c r="C58" i="4"/>
  <c r="B58" i="4"/>
  <c r="L58" i="4"/>
  <c r="K58" i="4"/>
  <c r="J58" i="4"/>
  <c r="I58" i="4"/>
  <c r="L57" i="4"/>
  <c r="K57" i="4"/>
  <c r="J57" i="4"/>
  <c r="I57" i="4"/>
  <c r="C57" i="4"/>
  <c r="H57" i="4"/>
  <c r="G57" i="4"/>
  <c r="F57" i="4"/>
  <c r="E57" i="4"/>
  <c r="D57" i="4"/>
  <c r="B57" i="4"/>
  <c r="D56" i="4"/>
  <c r="G56" i="4"/>
  <c r="B56" i="4"/>
  <c r="C56" i="4"/>
  <c r="E56" i="4"/>
  <c r="H56" i="4"/>
  <c r="F56" i="4"/>
  <c r="L56" i="4"/>
  <c r="K56" i="4"/>
  <c r="J56" i="4"/>
  <c r="I56" i="4"/>
  <c r="I55" i="4"/>
  <c r="J55" i="4"/>
  <c r="K55" i="4"/>
  <c r="H55" i="4"/>
  <c r="L55" i="4"/>
  <c r="B55" i="4"/>
  <c r="C55" i="4"/>
  <c r="D55" i="4"/>
  <c r="E55" i="4"/>
  <c r="F55" i="4"/>
  <c r="G55" i="4"/>
  <c r="L54" i="4"/>
  <c r="K54" i="4"/>
  <c r="J54" i="4"/>
  <c r="I54" i="4"/>
  <c r="H54" i="4"/>
  <c r="G54" i="4"/>
  <c r="F54" i="4"/>
  <c r="E54" i="4"/>
  <c r="D54" i="4"/>
  <c r="C54" i="4"/>
  <c r="B54" i="4"/>
  <c r="L53" i="4"/>
  <c r="K53" i="4"/>
  <c r="J53" i="4"/>
  <c r="I53" i="4"/>
  <c r="H53" i="4"/>
  <c r="G53" i="4"/>
  <c r="F53" i="4"/>
  <c r="E53" i="4"/>
  <c r="D53" i="4"/>
  <c r="C53" i="4"/>
  <c r="B53" i="4"/>
  <c r="C52" i="4"/>
  <c r="L52" i="4"/>
  <c r="K52" i="4"/>
  <c r="J52" i="4"/>
  <c r="I52" i="4"/>
  <c r="H52" i="4"/>
  <c r="G52" i="4"/>
  <c r="F52" i="4"/>
  <c r="E52" i="4"/>
  <c r="D52" i="4"/>
  <c r="B52" i="4"/>
  <c r="J51" i="4"/>
  <c r="K51" i="4"/>
  <c r="G51" i="4"/>
  <c r="E51" i="4"/>
  <c r="B51" i="4"/>
  <c r="F51" i="4"/>
  <c r="L51" i="4"/>
  <c r="I51" i="4"/>
  <c r="H51" i="4"/>
  <c r="D51" i="4"/>
  <c r="C51" i="4"/>
  <c r="L50" i="4"/>
  <c r="J50" i="4"/>
  <c r="H50" i="4"/>
  <c r="F50" i="4"/>
  <c r="C50" i="4"/>
  <c r="K50" i="4"/>
  <c r="I50" i="4"/>
  <c r="G50" i="4"/>
  <c r="E50" i="4"/>
  <c r="D50" i="4"/>
  <c r="B50" i="4"/>
  <c r="B49" i="4"/>
  <c r="J49" i="4"/>
  <c r="G49" i="4"/>
  <c r="D49" i="4"/>
  <c r="K49" i="4"/>
  <c r="I49" i="4"/>
  <c r="F49" i="4"/>
  <c r="L49" i="4"/>
  <c r="H49" i="4"/>
  <c r="E49" i="4"/>
  <c r="C49" i="4"/>
  <c r="K48" i="4"/>
  <c r="J48" i="4"/>
  <c r="I48" i="4"/>
  <c r="G48" i="4"/>
  <c r="E48" i="4"/>
  <c r="B48" i="4"/>
  <c r="F48" i="4"/>
  <c r="C48" i="4"/>
  <c r="L48" i="4"/>
  <c r="H48" i="4"/>
  <c r="D48" i="4"/>
  <c r="C47" i="4"/>
  <c r="D47" i="4"/>
  <c r="B47" i="4"/>
  <c r="F47" i="4"/>
  <c r="L47" i="4"/>
  <c r="J47" i="4"/>
  <c r="G47" i="4"/>
  <c r="E47" i="4"/>
  <c r="I47" i="4"/>
  <c r="K47" i="4"/>
  <c r="H47" i="4"/>
  <c r="K46" i="4"/>
  <c r="J46" i="4"/>
  <c r="I46" i="4"/>
  <c r="H46" i="4"/>
  <c r="C46" i="4"/>
  <c r="D46" i="4"/>
  <c r="E46" i="4"/>
  <c r="F46" i="4"/>
  <c r="G46" i="4"/>
  <c r="L46" i="4"/>
  <c r="B46" i="4"/>
  <c r="C45" i="4"/>
  <c r="H45" i="4"/>
  <c r="E45" i="4"/>
  <c r="K45" i="4"/>
  <c r="L45" i="4"/>
  <c r="J45" i="4"/>
  <c r="D45" i="4"/>
  <c r="F45" i="4"/>
  <c r="I45" i="4"/>
  <c r="G45" i="4"/>
  <c r="B45" i="4"/>
  <c r="H44" i="4"/>
  <c r="F44" i="4"/>
  <c r="J44" i="4"/>
  <c r="B44" i="4"/>
  <c r="D44" i="4"/>
  <c r="L44" i="4"/>
  <c r="K44" i="4"/>
  <c r="I44" i="4"/>
  <c r="G44" i="4"/>
  <c r="E44" i="4"/>
  <c r="C44" i="4"/>
  <c r="G43" i="4"/>
  <c r="C43" i="4"/>
  <c r="F43" i="4"/>
  <c r="H43" i="4"/>
  <c r="K43" i="4"/>
  <c r="J43" i="4"/>
  <c r="D43" i="4"/>
  <c r="E43" i="4"/>
  <c r="B43" i="4"/>
  <c r="L43" i="4"/>
  <c r="I43" i="4"/>
  <c r="E42" i="4"/>
  <c r="K42" i="4"/>
  <c r="C42" i="4"/>
  <c r="F42" i="4"/>
  <c r="G42" i="4"/>
  <c r="L42" i="4"/>
  <c r="B42" i="4"/>
  <c r="J42" i="4"/>
  <c r="H42" i="4"/>
  <c r="D42" i="4"/>
  <c r="I42" i="4"/>
  <c r="D41" i="4"/>
  <c r="F41" i="4"/>
  <c r="I41" i="4"/>
  <c r="K41" i="4"/>
  <c r="H41" i="4"/>
  <c r="B41" i="4"/>
  <c r="C41" i="4"/>
  <c r="E41" i="4"/>
  <c r="G41" i="4"/>
  <c r="J41" i="4"/>
  <c r="L41" i="4"/>
  <c r="L40" i="4"/>
  <c r="F40" i="4"/>
  <c r="D40" i="4"/>
  <c r="K40" i="4"/>
  <c r="H40" i="4"/>
  <c r="E40" i="4"/>
  <c r="B40" i="4"/>
  <c r="I40" i="4"/>
  <c r="C40" i="4"/>
  <c r="G40" i="4"/>
  <c r="J40" i="4"/>
  <c r="K39" i="4"/>
  <c r="L39" i="4"/>
  <c r="F39" i="4"/>
  <c r="H39" i="4"/>
  <c r="I39" i="4"/>
  <c r="G39" i="4"/>
  <c r="D39" i="4"/>
  <c r="J39" i="4"/>
  <c r="B39" i="4"/>
  <c r="E39" i="4"/>
  <c r="C39" i="4"/>
  <c r="F38" i="4"/>
  <c r="I38" i="4"/>
  <c r="J38" i="4"/>
  <c r="E38" i="4"/>
  <c r="C38" i="4"/>
  <c r="H38" i="4"/>
  <c r="K38" i="4"/>
  <c r="G38" i="4"/>
  <c r="L38" i="4"/>
  <c r="B38" i="4"/>
  <c r="D38" i="4"/>
  <c r="I37" i="4"/>
  <c r="H37" i="4"/>
  <c r="K37" i="4"/>
  <c r="F37" i="4"/>
  <c r="J37" i="4"/>
  <c r="L37" i="4"/>
  <c r="C37" i="4"/>
  <c r="E37" i="4"/>
  <c r="G37" i="4"/>
  <c r="D37" i="4"/>
  <c r="B37" i="4"/>
  <c r="I36" i="4"/>
  <c r="G36" i="4"/>
  <c r="C36" i="4"/>
  <c r="F36" i="4"/>
  <c r="J36" i="4"/>
  <c r="L36" i="4"/>
  <c r="B36" i="4"/>
  <c r="E36" i="4"/>
  <c r="K36" i="4"/>
  <c r="H36" i="4"/>
  <c r="D36" i="4"/>
  <c r="H35" i="4"/>
  <c r="K35" i="4"/>
  <c r="D35" i="4"/>
  <c r="G35" i="4"/>
  <c r="J35" i="4"/>
  <c r="E35" i="4"/>
  <c r="L35" i="4"/>
  <c r="I35" i="4"/>
  <c r="B35" i="4"/>
  <c r="C35" i="4"/>
  <c r="F35" i="4"/>
  <c r="L34" i="4"/>
  <c r="K34" i="4"/>
  <c r="G34" i="4"/>
  <c r="C34" i="4"/>
  <c r="F34" i="4"/>
  <c r="I34" i="4"/>
  <c r="E34" i="4"/>
  <c r="D34" i="4"/>
  <c r="B34" i="4"/>
  <c r="J34" i="4"/>
  <c r="H34" i="4"/>
  <c r="G33" i="4"/>
  <c r="E33" i="4"/>
  <c r="D33" i="4"/>
  <c r="H33" i="4"/>
  <c r="K33" i="4"/>
  <c r="B33" i="4"/>
  <c r="L33" i="4"/>
  <c r="I33" i="4"/>
  <c r="J33" i="4"/>
  <c r="F33" i="4"/>
  <c r="C33" i="4"/>
  <c r="I32" i="4"/>
  <c r="D32" i="4"/>
  <c r="G32" i="4"/>
  <c r="L32" i="4"/>
  <c r="B32" i="4"/>
  <c r="C32" i="4"/>
  <c r="F32" i="4"/>
  <c r="K32" i="4"/>
  <c r="J32" i="4"/>
  <c r="H32" i="4"/>
  <c r="E32" i="4"/>
  <c r="C31" i="4"/>
  <c r="F31" i="4"/>
  <c r="H31" i="4"/>
  <c r="D31" i="4"/>
  <c r="G31" i="4"/>
  <c r="J31" i="4"/>
  <c r="L31" i="4"/>
  <c r="K31" i="4"/>
  <c r="I31" i="4"/>
  <c r="E31" i="4"/>
  <c r="B31" i="4"/>
  <c r="B30" i="4"/>
  <c r="E30" i="4"/>
  <c r="J30" i="4"/>
  <c r="L30" i="4"/>
  <c r="F30" i="4"/>
  <c r="H30" i="4"/>
  <c r="K30" i="4"/>
  <c r="I30" i="4"/>
  <c r="G30" i="4"/>
  <c r="D30" i="4"/>
  <c r="C30" i="4"/>
  <c r="J29" i="4"/>
  <c r="L29" i="4"/>
  <c r="I29" i="4"/>
  <c r="E29" i="4"/>
  <c r="F29" i="4"/>
  <c r="K29" i="4"/>
  <c r="G29" i="4"/>
  <c r="H29" i="4"/>
  <c r="D29" i="4"/>
  <c r="F28" i="4"/>
  <c r="H28" i="4"/>
  <c r="C28" i="4"/>
  <c r="L28" i="4"/>
  <c r="D28" i="4"/>
  <c r="B28" i="4"/>
  <c r="I28" i="4"/>
  <c r="E28" i="4"/>
  <c r="K28" i="4"/>
  <c r="J28" i="4"/>
  <c r="G28" i="4"/>
  <c r="D27" i="4"/>
  <c r="H27" i="4"/>
  <c r="I27" i="4"/>
  <c r="E27" i="4"/>
  <c r="G27" i="4"/>
  <c r="J27" i="4"/>
  <c r="L27" i="4"/>
  <c r="B27" i="4"/>
  <c r="K27" i="4"/>
  <c r="C27" i="4"/>
  <c r="F27" i="4"/>
  <c r="D26" i="4"/>
  <c r="B26" i="4"/>
  <c r="C26" i="4"/>
  <c r="E26" i="4"/>
  <c r="G26" i="4"/>
  <c r="I26" i="4"/>
  <c r="K26" i="4"/>
  <c r="J26" i="4"/>
  <c r="H26" i="4"/>
  <c r="L26" i="4"/>
  <c r="F26" i="4"/>
  <c r="F25" i="4"/>
  <c r="I25" i="4"/>
  <c r="E25" i="4"/>
  <c r="G25" i="4"/>
  <c r="J25" i="4"/>
  <c r="C25" i="4"/>
  <c r="L25" i="4"/>
  <c r="K25" i="4"/>
  <c r="H25" i="4"/>
  <c r="D25" i="4"/>
  <c r="B25" i="4"/>
  <c r="C24" i="4"/>
  <c r="L24" i="4"/>
  <c r="J24" i="4"/>
  <c r="I24" i="4"/>
  <c r="K24" i="4"/>
  <c r="F24" i="4"/>
  <c r="B24" i="4"/>
  <c r="D24" i="4"/>
  <c r="H24" i="4"/>
  <c r="G24" i="4"/>
  <c r="E24" i="4"/>
  <c r="J23" i="4"/>
  <c r="I23" i="4"/>
  <c r="K23" i="4"/>
  <c r="F23" i="4"/>
  <c r="E23" i="4"/>
  <c r="L23" i="4"/>
  <c r="C23" i="4"/>
  <c r="H23" i="4"/>
  <c r="B23" i="4"/>
  <c r="D23" i="4"/>
  <c r="G23" i="4"/>
  <c r="I22" i="4"/>
  <c r="E22" i="4"/>
  <c r="D22" i="4"/>
  <c r="H22" i="4"/>
  <c r="C22" i="4"/>
  <c r="B22" i="4"/>
  <c r="L22" i="4"/>
  <c r="F22" i="4"/>
  <c r="G22" i="4"/>
  <c r="J22" i="4"/>
  <c r="K22" i="4"/>
  <c r="H21" i="4"/>
  <c r="B21" i="4"/>
  <c r="C21" i="4"/>
  <c r="J21" i="4"/>
  <c r="D21" i="4"/>
  <c r="K21" i="4"/>
  <c r="G21" i="4"/>
  <c r="L21" i="4"/>
  <c r="I21" i="4"/>
  <c r="F21" i="4"/>
  <c r="E21" i="4"/>
  <c r="J20" i="4"/>
  <c r="G20" i="4"/>
  <c r="I20" i="4"/>
  <c r="C20" i="4"/>
  <c r="H20" i="4"/>
  <c r="L20" i="4"/>
  <c r="K20" i="4"/>
  <c r="F20" i="4"/>
  <c r="D20" i="4"/>
  <c r="B20" i="4"/>
  <c r="E20" i="4"/>
  <c r="B19" i="4"/>
  <c r="I19" i="4"/>
  <c r="D19" i="4"/>
  <c r="E19" i="4"/>
  <c r="G19" i="4"/>
  <c r="F19" i="4"/>
  <c r="C19" i="4"/>
  <c r="H19" i="4"/>
  <c r="K19" i="4"/>
  <c r="L19" i="4"/>
  <c r="J19" i="4"/>
  <c r="K18" i="4"/>
  <c r="I18" i="4"/>
  <c r="C18" i="4"/>
  <c r="J18" i="4"/>
  <c r="F18" i="4"/>
  <c r="B18" i="4"/>
  <c r="H18" i="4"/>
  <c r="D18" i="4"/>
  <c r="G18" i="4"/>
  <c r="E18" i="4"/>
  <c r="L18" i="4"/>
  <c r="D17" i="4"/>
  <c r="I17" i="4"/>
  <c r="K17" i="4"/>
  <c r="E17" i="4"/>
  <c r="G17" i="4"/>
  <c r="H17" i="4"/>
  <c r="B17" i="4"/>
  <c r="L17" i="4"/>
  <c r="J17" i="4"/>
  <c r="F17" i="4"/>
  <c r="C17" i="4"/>
  <c r="B16" i="4"/>
  <c r="I16" i="4"/>
  <c r="J16" i="4"/>
  <c r="L16" i="4"/>
  <c r="K16" i="4"/>
  <c r="E16" i="4"/>
  <c r="G16" i="4"/>
  <c r="D16" i="4"/>
  <c r="H16" i="4"/>
  <c r="F16" i="4"/>
  <c r="C16" i="4"/>
  <c r="I15" i="4"/>
  <c r="B15" i="4"/>
  <c r="D15" i="4"/>
  <c r="F15" i="4"/>
  <c r="J15" i="4"/>
  <c r="L15" i="4"/>
  <c r="K15" i="4"/>
  <c r="H15" i="4"/>
  <c r="G15" i="4"/>
  <c r="E15" i="4"/>
  <c r="C15" i="4"/>
  <c r="F14" i="4"/>
  <c r="I14" i="4"/>
  <c r="K14" i="4"/>
  <c r="J14" i="4"/>
  <c r="E14" i="4"/>
  <c r="C14" i="4"/>
  <c r="G14" i="4"/>
  <c r="L14" i="4"/>
  <c r="B14" i="4"/>
  <c r="H14" i="4"/>
  <c r="D14" i="4"/>
  <c r="F13" i="4"/>
  <c r="D13" i="4"/>
  <c r="B13" i="4"/>
  <c r="G13" i="4"/>
  <c r="L13" i="4"/>
  <c r="K13" i="4"/>
  <c r="J13" i="4"/>
  <c r="E13" i="4"/>
  <c r="C13" i="4"/>
  <c r="I13" i="4"/>
  <c r="H13" i="4"/>
  <c r="G12" i="4"/>
  <c r="D12" i="4"/>
  <c r="J12" i="4"/>
  <c r="F12" i="4"/>
  <c r="L12" i="4"/>
  <c r="H12" i="4"/>
  <c r="B12" i="4"/>
  <c r="I12" i="4"/>
  <c r="E12" i="4"/>
  <c r="C12" i="4"/>
  <c r="K12" i="4"/>
  <c r="B11" i="4"/>
  <c r="J11" i="4"/>
  <c r="E11" i="4"/>
  <c r="L11" i="4"/>
  <c r="K11" i="4"/>
  <c r="H11" i="4"/>
  <c r="I11" i="4"/>
  <c r="G11" i="4"/>
  <c r="F11" i="4"/>
  <c r="C11" i="4"/>
  <c r="D11" i="4"/>
  <c r="E10" i="4"/>
  <c r="I10" i="4"/>
  <c r="D10" i="4"/>
  <c r="B10" i="4"/>
  <c r="J10" i="4"/>
  <c r="H10" i="4"/>
  <c r="G10" i="4"/>
  <c r="L10" i="4"/>
  <c r="K10" i="4"/>
  <c r="F10" i="4"/>
  <c r="C10" i="4"/>
  <c r="E9" i="4"/>
  <c r="H9" i="4"/>
  <c r="C9" i="4"/>
  <c r="B9" i="4"/>
  <c r="K9" i="4"/>
  <c r="I9" i="4"/>
  <c r="L9" i="4"/>
  <c r="J9" i="4"/>
  <c r="G9" i="4"/>
  <c r="F9" i="4"/>
  <c r="D9" i="4"/>
  <c r="K8" i="4"/>
  <c r="B8" i="4"/>
  <c r="D8" i="4"/>
  <c r="G8" i="4"/>
  <c r="H8" i="4"/>
  <c r="J8" i="4"/>
  <c r="L8" i="4"/>
  <c r="I8" i="4"/>
  <c r="E8" i="4"/>
  <c r="F8" i="4"/>
  <c r="C8" i="4"/>
  <c r="G7" i="4"/>
  <c r="E7" i="4"/>
  <c r="B7" i="4"/>
  <c r="H7" i="4"/>
  <c r="C7" i="4"/>
  <c r="K7" i="4"/>
  <c r="I7" i="4"/>
  <c r="L7" i="4"/>
  <c r="F7" i="4"/>
  <c r="D7" i="4"/>
  <c r="J7" i="4"/>
  <c r="D6" i="4"/>
  <c r="B6" i="4"/>
  <c r="I6" i="4"/>
  <c r="F6" i="4"/>
  <c r="H6" i="4"/>
  <c r="L6" i="4"/>
  <c r="K6" i="4"/>
  <c r="J6" i="4"/>
  <c r="G6" i="4"/>
  <c r="E6" i="4"/>
  <c r="C6" i="4"/>
  <c r="L5" i="4"/>
  <c r="B5" i="4"/>
  <c r="D5" i="4"/>
  <c r="J5" i="4"/>
  <c r="K5" i="4"/>
  <c r="F5" i="4"/>
  <c r="G5" i="4"/>
  <c r="H5" i="4"/>
  <c r="E5" i="4"/>
  <c r="C5" i="4"/>
  <c r="I5" i="4"/>
  <c r="H4" i="4"/>
  <c r="D4" i="4"/>
  <c r="K4" i="4" s="1"/>
  <c r="E4" i="4"/>
  <c r="G4" i="4" s="1"/>
  <c r="C4" i="4"/>
  <c r="B4" i="4"/>
  <c r="C3" i="4"/>
  <c r="E3" i="4"/>
  <c r="H3" i="4"/>
  <c r="D3" i="4"/>
  <c r="B3" i="4"/>
  <c r="H2" i="4"/>
  <c r="E2" i="4"/>
  <c r="B2" i="4"/>
  <c r="C2" i="4"/>
  <c r="D2" i="4"/>
  <c r="B33" i="3"/>
  <c r="G19" i="3"/>
  <c r="K681" i="4"/>
  <c r="J974" i="4"/>
  <c r="B976" i="4"/>
  <c r="C13" i="3"/>
  <c r="C14" i="3" s="1"/>
  <c r="L974" i="4"/>
  <c r="K876" i="4"/>
  <c r="F584" i="4"/>
  <c r="C584" i="4"/>
  <c r="L876" i="4"/>
  <c r="G584" i="4"/>
  <c r="B983" i="4"/>
  <c r="J876" i="4"/>
  <c r="J584" i="4"/>
  <c r="K389" i="4"/>
  <c r="L681" i="4"/>
  <c r="B400" i="4"/>
  <c r="C695" i="4"/>
  <c r="L584" i="4"/>
  <c r="I389" i="4"/>
  <c r="E389" i="4"/>
  <c r="F974" i="4"/>
  <c r="G389" i="4"/>
  <c r="B5" i="8"/>
  <c r="L779" i="4"/>
  <c r="K779" i="4"/>
  <c r="J779" i="4"/>
  <c r="I779" i="4"/>
  <c r="H779" i="4"/>
  <c r="G779" i="4"/>
  <c r="F779" i="4"/>
  <c r="E779" i="4"/>
  <c r="D779" i="4"/>
  <c r="D724" i="4"/>
  <c r="L194" i="4"/>
  <c r="B753" i="4"/>
  <c r="B743" i="4"/>
  <c r="B739" i="4"/>
  <c r="F389" i="4"/>
  <c r="H974" i="4"/>
  <c r="L486" i="4"/>
  <c r="K486" i="4"/>
  <c r="J486" i="4"/>
  <c r="I486" i="4"/>
  <c r="L389" i="4"/>
  <c r="D389" i="4"/>
  <c r="K194" i="4"/>
  <c r="B424" i="4"/>
  <c r="J194" i="4"/>
  <c r="I194" i="4"/>
  <c r="H194" i="4"/>
  <c r="G194" i="4"/>
  <c r="F194" i="4"/>
  <c r="E194" i="4"/>
  <c r="D194" i="4"/>
  <c r="C194" i="4"/>
  <c r="B194" i="4"/>
  <c r="L96" i="4"/>
  <c r="J96" i="4"/>
  <c r="C389" i="4"/>
  <c r="I96" i="4"/>
  <c r="H96" i="4"/>
  <c r="C29" i="4"/>
  <c r="H389" i="4"/>
  <c r="B29" i="4"/>
  <c r="D584" i="4"/>
  <c r="I584" i="4"/>
  <c r="H291" i="4"/>
  <c r="I291" i="4"/>
  <c r="J291" i="4"/>
  <c r="K291" i="4"/>
  <c r="L291" i="4"/>
  <c r="K584" i="4"/>
  <c r="D702" i="4"/>
  <c r="A28" i="6"/>
  <c r="G974" i="4"/>
  <c r="B390" i="4"/>
  <c r="C683" i="4"/>
  <c r="E974" i="4"/>
  <c r="I974" i="4"/>
  <c r="K96" i="4"/>
  <c r="J389" i="4"/>
  <c r="E584" i="4"/>
  <c r="J681" i="4"/>
  <c r="K974" i="4"/>
  <c r="H584" i="4"/>
  <c r="B767" i="4"/>
  <c r="A3" i="7" l="1"/>
  <c r="F4" i="4"/>
  <c r="G3" i="4"/>
  <c r="B1001" i="5"/>
  <c r="C1001" i="5"/>
  <c r="E1001" i="5"/>
  <c r="G1001" i="5"/>
  <c r="I1001" i="5"/>
  <c r="M1001" i="5"/>
  <c r="N1001" i="5"/>
  <c r="O1001" i="5"/>
  <c r="P1001" i="5"/>
  <c r="A1001" i="5"/>
  <c r="D1001" i="5"/>
  <c r="F1001" i="5"/>
  <c r="H1001" i="5"/>
  <c r="J1001" i="5"/>
  <c r="K1001" i="5"/>
  <c r="L1001" i="5"/>
  <c r="B1000" i="5"/>
  <c r="C1000" i="5"/>
  <c r="E1000" i="5"/>
  <c r="F1000" i="5"/>
  <c r="H1000" i="5"/>
  <c r="J1000" i="5"/>
  <c r="L1000" i="5"/>
  <c r="N1000" i="5"/>
  <c r="P1000" i="5"/>
  <c r="A1000" i="5"/>
  <c r="D1000" i="5"/>
  <c r="G1000" i="5"/>
  <c r="I1000" i="5"/>
  <c r="K1000" i="5"/>
  <c r="M1000" i="5"/>
  <c r="O1000" i="5"/>
  <c r="A999" i="5"/>
  <c r="B999" i="5"/>
  <c r="C999" i="5"/>
  <c r="D999" i="5"/>
  <c r="E999" i="5"/>
  <c r="F999" i="5"/>
  <c r="G999" i="5"/>
  <c r="H999" i="5"/>
  <c r="I999" i="5"/>
  <c r="J999" i="5"/>
  <c r="K999" i="5"/>
  <c r="L999" i="5"/>
  <c r="M999" i="5"/>
  <c r="O999" i="5"/>
  <c r="P999" i="5"/>
  <c r="N999" i="5"/>
  <c r="A998" i="5"/>
  <c r="B998" i="5"/>
  <c r="C998" i="5"/>
  <c r="D998" i="5"/>
  <c r="E998" i="5"/>
  <c r="G998" i="5"/>
  <c r="I998" i="5"/>
  <c r="K998" i="5"/>
  <c r="N998" i="5"/>
  <c r="O998" i="5"/>
  <c r="F998" i="5"/>
  <c r="H998" i="5"/>
  <c r="J998" i="5"/>
  <c r="L998" i="5"/>
  <c r="M998" i="5"/>
  <c r="P998" i="5"/>
  <c r="C997" i="5"/>
  <c r="E997" i="5"/>
  <c r="G997" i="5"/>
  <c r="H997" i="5"/>
  <c r="J997" i="5"/>
  <c r="K997" i="5"/>
  <c r="M997" i="5"/>
  <c r="N997" i="5"/>
  <c r="P997" i="5"/>
  <c r="A997" i="5"/>
  <c r="B997" i="5"/>
  <c r="D997" i="5"/>
  <c r="F997" i="5"/>
  <c r="I997" i="5"/>
  <c r="L997" i="5"/>
  <c r="O997" i="5"/>
  <c r="A996" i="5"/>
  <c r="E996" i="5"/>
  <c r="G996" i="5"/>
  <c r="I996" i="5"/>
  <c r="J996" i="5"/>
  <c r="L996" i="5"/>
  <c r="P996" i="5"/>
  <c r="B996" i="5"/>
  <c r="C996" i="5"/>
  <c r="D996" i="5"/>
  <c r="F996" i="5"/>
  <c r="H996" i="5"/>
  <c r="K996" i="5"/>
  <c r="M996" i="5"/>
  <c r="N996" i="5"/>
  <c r="O996" i="5"/>
  <c r="A995" i="5"/>
  <c r="C995" i="5"/>
  <c r="F995" i="5"/>
  <c r="H995" i="5"/>
  <c r="I995" i="5"/>
  <c r="K995" i="5"/>
  <c r="N995" i="5"/>
  <c r="B995" i="5"/>
  <c r="D995" i="5"/>
  <c r="E995" i="5"/>
  <c r="G995" i="5"/>
  <c r="J995" i="5"/>
  <c r="L995" i="5"/>
  <c r="M995" i="5"/>
  <c r="O995" i="5"/>
  <c r="P995" i="5"/>
  <c r="A994" i="5"/>
  <c r="C994" i="5"/>
  <c r="J994" i="5"/>
  <c r="K994" i="5"/>
  <c r="L994" i="5"/>
  <c r="M994" i="5"/>
  <c r="O994" i="5"/>
  <c r="B994" i="5"/>
  <c r="D994" i="5"/>
  <c r="E994" i="5"/>
  <c r="F994" i="5"/>
  <c r="G994" i="5"/>
  <c r="H994" i="5"/>
  <c r="I994" i="5"/>
  <c r="N994" i="5"/>
  <c r="P994" i="5"/>
  <c r="A993" i="5"/>
  <c r="C993" i="5"/>
  <c r="E993" i="5"/>
  <c r="F993" i="5"/>
  <c r="H993" i="5"/>
  <c r="J993" i="5"/>
  <c r="K993" i="5"/>
  <c r="M993" i="5"/>
  <c r="P993" i="5"/>
  <c r="B993" i="5"/>
  <c r="D993" i="5"/>
  <c r="G993" i="5"/>
  <c r="I993" i="5"/>
  <c r="L993" i="5"/>
  <c r="N993" i="5"/>
  <c r="O993" i="5"/>
  <c r="A992" i="5"/>
  <c r="D992" i="5"/>
  <c r="F992" i="5"/>
  <c r="H992" i="5"/>
  <c r="I992" i="5"/>
  <c r="L992" i="5"/>
  <c r="M992" i="5"/>
  <c r="N992" i="5"/>
  <c r="O992" i="5"/>
  <c r="B992" i="5"/>
  <c r="C992" i="5"/>
  <c r="E992" i="5"/>
  <c r="G992" i="5"/>
  <c r="J992" i="5"/>
  <c r="K992" i="5"/>
  <c r="P992" i="5"/>
  <c r="B991" i="5"/>
  <c r="C991" i="5"/>
  <c r="E991" i="5"/>
  <c r="G991" i="5"/>
  <c r="I991" i="5"/>
  <c r="K991" i="5"/>
  <c r="L991" i="5"/>
  <c r="N991" i="5"/>
  <c r="O991" i="5"/>
  <c r="P991" i="5"/>
  <c r="D991" i="5"/>
  <c r="F991" i="5"/>
  <c r="H991" i="5"/>
  <c r="J991" i="5"/>
  <c r="M991" i="5"/>
  <c r="A991" i="5"/>
  <c r="F990" i="5"/>
  <c r="A990" i="5"/>
  <c r="D990" i="5"/>
  <c r="G990" i="5"/>
  <c r="H990" i="5"/>
  <c r="K990" i="5"/>
  <c r="M990" i="5"/>
  <c r="N990" i="5"/>
  <c r="P990" i="5"/>
  <c r="B990" i="5"/>
  <c r="E990" i="5"/>
  <c r="I990" i="5"/>
  <c r="L990" i="5"/>
  <c r="O990" i="5"/>
  <c r="C990" i="5"/>
  <c r="J990" i="5"/>
  <c r="H989" i="5"/>
  <c r="L989" i="5"/>
  <c r="P989" i="5"/>
  <c r="D989" i="5"/>
  <c r="G989" i="5"/>
  <c r="M989" i="5"/>
  <c r="B989" i="5"/>
  <c r="E989" i="5"/>
  <c r="I989" i="5"/>
  <c r="J989" i="5"/>
  <c r="N989" i="5"/>
  <c r="A989" i="5"/>
  <c r="C989" i="5"/>
  <c r="F989" i="5"/>
  <c r="K989" i="5"/>
  <c r="O989" i="5"/>
  <c r="F988" i="5"/>
  <c r="G988" i="5"/>
  <c r="K988" i="5"/>
  <c r="M988" i="5"/>
  <c r="B988" i="5"/>
  <c r="J988" i="5"/>
  <c r="N988" i="5"/>
  <c r="C988" i="5"/>
  <c r="D988" i="5"/>
  <c r="H988" i="5"/>
  <c r="P988" i="5"/>
  <c r="A988" i="5"/>
  <c r="E988" i="5"/>
  <c r="I988" i="5"/>
  <c r="L988" i="5"/>
  <c r="O988" i="5"/>
  <c r="D987" i="5"/>
  <c r="G987" i="5"/>
  <c r="J987" i="5"/>
  <c r="N987" i="5"/>
  <c r="A987" i="5"/>
  <c r="K987" i="5"/>
  <c r="O987" i="5"/>
  <c r="B987" i="5"/>
  <c r="H987" i="5"/>
  <c r="C987" i="5"/>
  <c r="E987" i="5"/>
  <c r="F987" i="5"/>
  <c r="I987" i="5"/>
  <c r="L987" i="5"/>
  <c r="M987" i="5"/>
  <c r="P987" i="5"/>
  <c r="A986" i="5"/>
  <c r="F986" i="5"/>
  <c r="K986" i="5"/>
  <c r="P986" i="5"/>
  <c r="D986" i="5"/>
  <c r="M986" i="5"/>
  <c r="G986" i="5"/>
  <c r="I986" i="5"/>
  <c r="L986" i="5"/>
  <c r="C986" i="5"/>
  <c r="E986" i="5"/>
  <c r="H986" i="5"/>
  <c r="N986" i="5"/>
  <c r="B986" i="5"/>
  <c r="J986" i="5"/>
  <c r="O986" i="5"/>
  <c r="P985" i="5"/>
  <c r="A985" i="5"/>
  <c r="E985" i="5"/>
  <c r="L985" i="5"/>
  <c r="B985" i="5"/>
  <c r="G985" i="5"/>
  <c r="M985" i="5"/>
  <c r="D985" i="5"/>
  <c r="F985" i="5"/>
  <c r="I985" i="5"/>
  <c r="J985" i="5"/>
  <c r="N985" i="5"/>
  <c r="C985" i="5"/>
  <c r="H985" i="5"/>
  <c r="K985" i="5"/>
  <c r="O985" i="5"/>
  <c r="P984" i="5"/>
  <c r="B984" i="5"/>
  <c r="M984" i="5"/>
  <c r="D984" i="5"/>
  <c r="G984" i="5"/>
  <c r="C984" i="5"/>
  <c r="L984" i="5"/>
  <c r="F984" i="5"/>
  <c r="H984" i="5"/>
  <c r="O984" i="5"/>
  <c r="A984" i="5"/>
  <c r="E984" i="5"/>
  <c r="N984" i="5"/>
  <c r="J984" i="5"/>
  <c r="K984" i="5"/>
  <c r="I984" i="5"/>
  <c r="A983" i="5"/>
  <c r="F983" i="5"/>
  <c r="H983" i="5"/>
  <c r="M983" i="5"/>
  <c r="P983" i="5"/>
  <c r="D983" i="5"/>
  <c r="N983" i="5"/>
  <c r="B983" i="5"/>
  <c r="E983" i="5"/>
  <c r="J983" i="5"/>
  <c r="L983" i="5"/>
  <c r="I983" i="5"/>
  <c r="C983" i="5"/>
  <c r="G983" i="5"/>
  <c r="K983" i="5"/>
  <c r="O983" i="5"/>
  <c r="G982" i="5"/>
  <c r="I982" i="5"/>
  <c r="F982" i="5"/>
  <c r="B982" i="5"/>
  <c r="L982" i="5"/>
  <c r="D982" i="5"/>
  <c r="P982" i="5"/>
  <c r="J982" i="5"/>
  <c r="N982" i="5"/>
  <c r="E982" i="5"/>
  <c r="H982" i="5"/>
  <c r="A982" i="5"/>
  <c r="K982" i="5"/>
  <c r="O982" i="5"/>
  <c r="C982" i="5"/>
  <c r="M982" i="5"/>
  <c r="B981" i="5"/>
  <c r="E981" i="5"/>
  <c r="I981" i="5"/>
  <c r="O981" i="5"/>
  <c r="K981" i="5"/>
  <c r="M981" i="5"/>
  <c r="P981" i="5"/>
  <c r="G981" i="5"/>
  <c r="L981" i="5"/>
  <c r="D981" i="5"/>
  <c r="J981" i="5"/>
  <c r="F981" i="5"/>
  <c r="H981" i="5"/>
  <c r="N981" i="5"/>
  <c r="A981" i="5"/>
  <c r="C981" i="5"/>
  <c r="L980" i="5"/>
  <c r="N980" i="5"/>
  <c r="B980" i="5"/>
  <c r="O980" i="5"/>
  <c r="J980" i="5"/>
  <c r="A980" i="5"/>
  <c r="G980" i="5"/>
  <c r="M980" i="5"/>
  <c r="P980" i="5"/>
  <c r="D980" i="5"/>
  <c r="F980" i="5"/>
  <c r="H980" i="5"/>
  <c r="K980" i="5"/>
  <c r="C980" i="5"/>
  <c r="I980" i="5"/>
  <c r="E980" i="5"/>
  <c r="G979" i="5"/>
  <c r="E979" i="5"/>
  <c r="A979" i="5"/>
  <c r="I979" i="5"/>
  <c r="B979" i="5"/>
  <c r="D979" i="5"/>
  <c r="O979" i="5"/>
  <c r="F979" i="5"/>
  <c r="J979" i="5"/>
  <c r="L979" i="5"/>
  <c r="C979" i="5"/>
  <c r="K979" i="5"/>
  <c r="M979" i="5"/>
  <c r="P979" i="5"/>
  <c r="N979" i="5"/>
  <c r="H979" i="5"/>
  <c r="H978" i="5"/>
  <c r="O978" i="5"/>
  <c r="A978" i="5"/>
  <c r="F978" i="5"/>
  <c r="I978" i="5"/>
  <c r="L978" i="5"/>
  <c r="K978" i="5"/>
  <c r="B978" i="5"/>
  <c r="E978" i="5"/>
  <c r="N978" i="5"/>
  <c r="G978" i="5"/>
  <c r="J978" i="5"/>
  <c r="C978" i="5"/>
  <c r="P978" i="5"/>
  <c r="M978" i="5"/>
  <c r="D978" i="5"/>
  <c r="L977" i="5"/>
  <c r="H977" i="5"/>
  <c r="P977" i="5"/>
  <c r="G977" i="5"/>
  <c r="J977" i="5"/>
  <c r="C977" i="5"/>
  <c r="I977" i="5"/>
  <c r="N977" i="5"/>
  <c r="B977" i="5"/>
  <c r="E977" i="5"/>
  <c r="A977" i="5"/>
  <c r="D977" i="5"/>
  <c r="K977" i="5"/>
  <c r="F977" i="5"/>
  <c r="M977" i="5"/>
  <c r="O977" i="5"/>
  <c r="A976" i="5"/>
  <c r="D976" i="5"/>
  <c r="F976" i="5"/>
  <c r="H976" i="5"/>
  <c r="N976" i="5"/>
  <c r="P976" i="5"/>
  <c r="I976" i="5"/>
  <c r="E976" i="5"/>
  <c r="B976" i="5"/>
  <c r="C976" i="5"/>
  <c r="M976" i="5"/>
  <c r="K976" i="5"/>
  <c r="G976" i="5"/>
  <c r="L976" i="5"/>
  <c r="J976" i="5"/>
  <c r="O976" i="5"/>
  <c r="H975" i="5"/>
  <c r="L975" i="5"/>
  <c r="F975" i="5"/>
  <c r="J975" i="5"/>
  <c r="N975" i="5"/>
  <c r="B975" i="5"/>
  <c r="E975" i="5"/>
  <c r="M975" i="5"/>
  <c r="C975" i="5"/>
  <c r="O975" i="5"/>
  <c r="A975" i="5"/>
  <c r="G975" i="5"/>
  <c r="I975" i="5"/>
  <c r="D975" i="5"/>
  <c r="P975" i="5"/>
  <c r="K975" i="5"/>
  <c r="K973" i="5"/>
  <c r="C973" i="5"/>
  <c r="J973" i="5"/>
  <c r="P973" i="5"/>
  <c r="E973" i="5"/>
  <c r="M973" i="5"/>
  <c r="D973" i="5"/>
  <c r="O973" i="5"/>
  <c r="B973" i="5"/>
  <c r="G973" i="5"/>
  <c r="N973" i="5"/>
  <c r="A973" i="5"/>
  <c r="H973" i="5"/>
  <c r="F973" i="5"/>
  <c r="I973" i="5"/>
  <c r="L973" i="5"/>
  <c r="B972" i="5"/>
  <c r="O972" i="5"/>
  <c r="C972" i="5"/>
  <c r="F972" i="5"/>
  <c r="P972" i="5"/>
  <c r="I972" i="5"/>
  <c r="E972" i="5"/>
  <c r="M972" i="5"/>
  <c r="L972" i="5"/>
  <c r="G972" i="5"/>
  <c r="N972" i="5"/>
  <c r="D972" i="5"/>
  <c r="H972" i="5"/>
  <c r="J972" i="5"/>
  <c r="A972" i="5"/>
  <c r="K972" i="5"/>
  <c r="J971" i="5"/>
  <c r="L971" i="5"/>
  <c r="A971" i="5"/>
  <c r="F971" i="5"/>
  <c r="M971" i="5"/>
  <c r="H971" i="5"/>
  <c r="O971" i="5"/>
  <c r="G971" i="5"/>
  <c r="I971" i="5"/>
  <c r="C971" i="5"/>
  <c r="K971" i="5"/>
  <c r="P971" i="5"/>
  <c r="E971" i="5"/>
  <c r="N971" i="5"/>
  <c r="D971" i="5"/>
  <c r="B971" i="5"/>
  <c r="K970" i="5"/>
  <c r="N970" i="5"/>
  <c r="B970" i="5"/>
  <c r="E970" i="5"/>
  <c r="J970" i="5"/>
  <c r="O970" i="5"/>
  <c r="D970" i="5"/>
  <c r="G970" i="5"/>
  <c r="A970" i="5"/>
  <c r="C970" i="5"/>
  <c r="L970" i="5"/>
  <c r="F970" i="5"/>
  <c r="H970" i="5"/>
  <c r="P970" i="5"/>
  <c r="I970" i="5"/>
  <c r="M970" i="5"/>
  <c r="H969" i="5"/>
  <c r="F969" i="5"/>
  <c r="J969" i="5"/>
  <c r="N969" i="5"/>
  <c r="G969" i="5"/>
  <c r="P969" i="5"/>
  <c r="B969" i="5"/>
  <c r="E969" i="5"/>
  <c r="O969" i="5"/>
  <c r="A969" i="5"/>
  <c r="I969" i="5"/>
  <c r="D969" i="5"/>
  <c r="K969" i="5"/>
  <c r="M969" i="5"/>
  <c r="L969" i="5"/>
  <c r="C969" i="5"/>
  <c r="G968" i="5"/>
  <c r="L968" i="5"/>
  <c r="O968" i="5"/>
  <c r="C968" i="5"/>
  <c r="P968" i="5"/>
  <c r="I968" i="5"/>
  <c r="B968" i="5"/>
  <c r="D968" i="5"/>
  <c r="J968" i="5"/>
  <c r="A968" i="5"/>
  <c r="H968" i="5"/>
  <c r="M968" i="5"/>
  <c r="F968" i="5"/>
  <c r="K968" i="5"/>
  <c r="N968" i="5"/>
  <c r="E968" i="5"/>
  <c r="E967" i="5"/>
  <c r="H967" i="5"/>
  <c r="M967" i="5"/>
  <c r="A967" i="5"/>
  <c r="F967" i="5"/>
  <c r="O967" i="5"/>
  <c r="D967" i="5"/>
  <c r="L967" i="5"/>
  <c r="C967" i="5"/>
  <c r="I967" i="5"/>
  <c r="G967" i="5"/>
  <c r="B967" i="5"/>
  <c r="N967" i="5"/>
  <c r="J967" i="5"/>
  <c r="K967" i="5"/>
  <c r="P967" i="5"/>
  <c r="O966" i="5"/>
  <c r="B966" i="5"/>
  <c r="F966" i="5"/>
  <c r="I966" i="5"/>
  <c r="M966" i="5"/>
  <c r="K966" i="5"/>
  <c r="L966" i="5"/>
  <c r="A966" i="5"/>
  <c r="H966" i="5"/>
  <c r="D966" i="5"/>
  <c r="G966" i="5"/>
  <c r="J966" i="5"/>
  <c r="N966" i="5"/>
  <c r="P966" i="5"/>
  <c r="C966" i="5"/>
  <c r="E966" i="5"/>
  <c r="E965" i="5"/>
  <c r="L965" i="5"/>
  <c r="C965" i="5"/>
  <c r="G965" i="5"/>
  <c r="P965" i="5"/>
  <c r="I965" i="5"/>
  <c r="F965" i="5"/>
  <c r="J965" i="5"/>
  <c r="D965" i="5"/>
  <c r="H965" i="5"/>
  <c r="K965" i="5"/>
  <c r="B965" i="5"/>
  <c r="O965" i="5"/>
  <c r="A965" i="5"/>
  <c r="M965" i="5"/>
  <c r="N965" i="5"/>
  <c r="F964" i="5"/>
  <c r="M964" i="5"/>
  <c r="C964" i="5"/>
  <c r="H964" i="5"/>
  <c r="N964" i="5"/>
  <c r="O964" i="5"/>
  <c r="B964" i="5"/>
  <c r="L964" i="5"/>
  <c r="E964" i="5"/>
  <c r="G964" i="5"/>
  <c r="K964" i="5"/>
  <c r="I964" i="5"/>
  <c r="P964" i="5"/>
  <c r="A964" i="5"/>
  <c r="D964" i="5"/>
  <c r="J964" i="5"/>
  <c r="L963" i="5"/>
  <c r="E963" i="5"/>
  <c r="M963" i="5"/>
  <c r="P963" i="5"/>
  <c r="G963" i="5"/>
  <c r="B963" i="5"/>
  <c r="D963" i="5"/>
  <c r="F963" i="5"/>
  <c r="O963" i="5"/>
  <c r="C963" i="5"/>
  <c r="H963" i="5"/>
  <c r="J963" i="5"/>
  <c r="A963" i="5"/>
  <c r="K963" i="5"/>
  <c r="N963" i="5"/>
  <c r="I963" i="5"/>
  <c r="O962" i="5"/>
  <c r="K962" i="5"/>
  <c r="E962" i="5"/>
  <c r="H962" i="5"/>
  <c r="M962" i="5"/>
  <c r="G962" i="5"/>
  <c r="A962" i="5"/>
  <c r="L962" i="5"/>
  <c r="B962" i="5"/>
  <c r="F962" i="5"/>
  <c r="C962" i="5"/>
  <c r="D962" i="5"/>
  <c r="N962" i="5"/>
  <c r="P962" i="5"/>
  <c r="J962" i="5"/>
  <c r="I962" i="5"/>
  <c r="E961" i="5"/>
  <c r="B961" i="5"/>
  <c r="F961" i="5"/>
  <c r="L961" i="5"/>
  <c r="O961" i="5"/>
  <c r="N961" i="5"/>
  <c r="M961" i="5"/>
  <c r="K961" i="5"/>
  <c r="I961" i="5"/>
  <c r="A961" i="5"/>
  <c r="G961" i="5"/>
  <c r="J961" i="5"/>
  <c r="H961" i="5"/>
  <c r="D961" i="5"/>
  <c r="P961" i="5"/>
  <c r="C961" i="5"/>
  <c r="B960" i="5"/>
  <c r="A960" i="5"/>
  <c r="H960" i="5"/>
  <c r="O960" i="5"/>
  <c r="K960" i="5"/>
  <c r="N960" i="5"/>
  <c r="M960" i="5"/>
  <c r="D960" i="5"/>
  <c r="J960" i="5"/>
  <c r="P960" i="5"/>
  <c r="C960" i="5"/>
  <c r="F960" i="5"/>
  <c r="I960" i="5"/>
  <c r="G960" i="5"/>
  <c r="E960" i="5"/>
  <c r="L960" i="5"/>
  <c r="C959" i="5"/>
  <c r="E959" i="5"/>
  <c r="F959" i="5"/>
  <c r="K959" i="5"/>
  <c r="P959" i="5"/>
  <c r="I959" i="5"/>
  <c r="N959" i="5"/>
  <c r="D959" i="5"/>
  <c r="O959" i="5"/>
  <c r="L959" i="5"/>
  <c r="B959" i="5"/>
  <c r="G959" i="5"/>
  <c r="J959" i="5"/>
  <c r="H959" i="5"/>
  <c r="M959" i="5"/>
  <c r="A959" i="5"/>
  <c r="F958" i="5"/>
  <c r="J958" i="5"/>
  <c r="G958" i="5"/>
  <c r="L958" i="5"/>
  <c r="N958" i="5"/>
  <c r="B958" i="5"/>
  <c r="H958" i="5"/>
  <c r="P958" i="5"/>
  <c r="E958" i="5"/>
  <c r="K958" i="5"/>
  <c r="O958" i="5"/>
  <c r="A958" i="5"/>
  <c r="D958" i="5"/>
  <c r="I958" i="5"/>
  <c r="M958" i="5"/>
  <c r="C958" i="5"/>
  <c r="I957" i="5"/>
  <c r="K957" i="5"/>
  <c r="P957" i="5"/>
  <c r="E957" i="5"/>
  <c r="L957" i="5"/>
  <c r="N957" i="5"/>
  <c r="B957" i="5"/>
  <c r="F957" i="5"/>
  <c r="A957" i="5"/>
  <c r="M957" i="5"/>
  <c r="H957" i="5"/>
  <c r="D957" i="5"/>
  <c r="O957" i="5"/>
  <c r="G957" i="5"/>
  <c r="C957" i="5"/>
  <c r="J957" i="5"/>
  <c r="J956" i="5"/>
  <c r="A956" i="5"/>
  <c r="B956" i="5"/>
  <c r="K956" i="5"/>
  <c r="N956" i="5"/>
  <c r="D956" i="5"/>
  <c r="P956" i="5"/>
  <c r="C956" i="5"/>
  <c r="E956" i="5"/>
  <c r="M956" i="5"/>
  <c r="H956" i="5"/>
  <c r="F956" i="5"/>
  <c r="I956" i="5"/>
  <c r="L956" i="5"/>
  <c r="G956" i="5"/>
  <c r="O956" i="5"/>
  <c r="J955" i="5"/>
  <c r="N955" i="5"/>
  <c r="P955" i="5"/>
  <c r="F955" i="5"/>
  <c r="D955" i="5"/>
  <c r="E955" i="5"/>
  <c r="B955" i="5"/>
  <c r="G955" i="5"/>
  <c r="I955" i="5"/>
  <c r="L955" i="5"/>
  <c r="M955" i="5"/>
  <c r="O955" i="5"/>
  <c r="C955" i="5"/>
  <c r="A955" i="5"/>
  <c r="H955" i="5"/>
  <c r="K955" i="5"/>
  <c r="P954" i="5"/>
  <c r="A954" i="5"/>
  <c r="E954" i="5"/>
  <c r="F954" i="5"/>
  <c r="H954" i="5"/>
  <c r="L954" i="5"/>
  <c r="J954" i="5"/>
  <c r="C954" i="5"/>
  <c r="M954" i="5"/>
  <c r="O954" i="5"/>
  <c r="D954" i="5"/>
  <c r="I954" i="5"/>
  <c r="B954" i="5"/>
  <c r="K954" i="5"/>
  <c r="G954" i="5"/>
  <c r="N954" i="5"/>
  <c r="A953" i="5"/>
  <c r="J953" i="5"/>
  <c r="P953" i="5"/>
  <c r="M953" i="5"/>
  <c r="O953" i="5"/>
  <c r="E953" i="5"/>
  <c r="I953" i="5"/>
  <c r="B953" i="5"/>
  <c r="D953" i="5"/>
  <c r="K953" i="5"/>
  <c r="F953" i="5"/>
  <c r="L953" i="5"/>
  <c r="C953" i="5"/>
  <c r="H953" i="5"/>
  <c r="G953" i="5"/>
  <c r="N953" i="5"/>
  <c r="D952" i="5"/>
  <c r="G952" i="5"/>
  <c r="N952" i="5"/>
  <c r="A952" i="5"/>
  <c r="M952" i="5"/>
  <c r="J952" i="5"/>
  <c r="B952" i="5"/>
  <c r="H952" i="5"/>
  <c r="O952" i="5"/>
  <c r="E952" i="5"/>
  <c r="F952" i="5"/>
  <c r="I952" i="5"/>
  <c r="K952" i="5"/>
  <c r="C952" i="5"/>
  <c r="L952" i="5"/>
  <c r="P952" i="5"/>
  <c r="J951" i="5"/>
  <c r="P951" i="5"/>
  <c r="C951" i="5"/>
  <c r="M951" i="5"/>
  <c r="D951" i="5"/>
  <c r="I951" i="5"/>
  <c r="O951" i="5"/>
  <c r="F951" i="5"/>
  <c r="L951" i="5"/>
  <c r="G951" i="5"/>
  <c r="N951" i="5"/>
  <c r="A951" i="5"/>
  <c r="H951" i="5"/>
  <c r="B951" i="5"/>
  <c r="E951" i="5"/>
  <c r="K951" i="5"/>
  <c r="K950" i="5"/>
  <c r="F950" i="5"/>
  <c r="N950" i="5"/>
  <c r="O950" i="5"/>
  <c r="D950" i="5"/>
  <c r="I950" i="5"/>
  <c r="H950" i="5"/>
  <c r="M950" i="5"/>
  <c r="G950" i="5"/>
  <c r="L950" i="5"/>
  <c r="E950" i="5"/>
  <c r="J950" i="5"/>
  <c r="C950" i="5"/>
  <c r="P950" i="5"/>
  <c r="B950" i="5"/>
  <c r="A950" i="5"/>
  <c r="J949" i="5"/>
  <c r="B949" i="5"/>
  <c r="F949" i="5"/>
  <c r="H949" i="5"/>
  <c r="I949" i="5"/>
  <c r="M949" i="5"/>
  <c r="L949" i="5"/>
  <c r="K949" i="5"/>
  <c r="N949" i="5"/>
  <c r="E949" i="5"/>
  <c r="G949" i="5"/>
  <c r="P949" i="5"/>
  <c r="A949" i="5"/>
  <c r="C949" i="5"/>
  <c r="O949" i="5"/>
  <c r="D949" i="5"/>
  <c r="F948" i="5"/>
  <c r="H948" i="5"/>
  <c r="J948" i="5"/>
  <c r="O948" i="5"/>
  <c r="C948" i="5"/>
  <c r="D948" i="5"/>
  <c r="A948" i="5"/>
  <c r="M948" i="5"/>
  <c r="G948" i="5"/>
  <c r="I948" i="5"/>
  <c r="K948" i="5"/>
  <c r="N948" i="5"/>
  <c r="P948" i="5"/>
  <c r="B948" i="5"/>
  <c r="E948" i="5"/>
  <c r="L948" i="5"/>
  <c r="C947" i="5"/>
  <c r="I947" i="5"/>
  <c r="P947" i="5"/>
  <c r="L947" i="5"/>
  <c r="O947" i="5"/>
  <c r="E947" i="5"/>
  <c r="G947" i="5"/>
  <c r="N947" i="5"/>
  <c r="D947" i="5"/>
  <c r="K947" i="5"/>
  <c r="A947" i="5"/>
  <c r="J947" i="5"/>
  <c r="B947" i="5"/>
  <c r="F947" i="5"/>
  <c r="H947" i="5"/>
  <c r="M947" i="5"/>
  <c r="L946" i="5"/>
  <c r="B946" i="5"/>
  <c r="J946" i="5"/>
  <c r="A946" i="5"/>
  <c r="C946" i="5"/>
  <c r="F946" i="5"/>
  <c r="M946" i="5"/>
  <c r="O946" i="5"/>
  <c r="N946" i="5"/>
  <c r="D946" i="5"/>
  <c r="G946" i="5"/>
  <c r="I946" i="5"/>
  <c r="K946" i="5"/>
  <c r="E946" i="5"/>
  <c r="H946" i="5"/>
  <c r="P946" i="5"/>
  <c r="A945" i="5"/>
  <c r="D945" i="5"/>
  <c r="H945" i="5"/>
  <c r="L945" i="5"/>
  <c r="J945" i="5"/>
  <c r="M945" i="5"/>
  <c r="G945" i="5"/>
  <c r="B945" i="5"/>
  <c r="N945" i="5"/>
  <c r="P945" i="5"/>
  <c r="F945" i="5"/>
  <c r="K945" i="5"/>
  <c r="E945" i="5"/>
  <c r="I945" i="5"/>
  <c r="O945" i="5"/>
  <c r="C945" i="5"/>
  <c r="B944" i="5"/>
  <c r="K944" i="5"/>
  <c r="A944" i="5"/>
  <c r="I944" i="5"/>
  <c r="M944" i="5"/>
  <c r="L944" i="5"/>
  <c r="F944" i="5"/>
  <c r="D944" i="5"/>
  <c r="H944" i="5"/>
  <c r="O944" i="5"/>
  <c r="E944" i="5"/>
  <c r="N944" i="5"/>
  <c r="J944" i="5"/>
  <c r="G944" i="5"/>
  <c r="P944" i="5"/>
  <c r="C944" i="5"/>
  <c r="A943" i="5"/>
  <c r="K943" i="5"/>
  <c r="P943" i="5"/>
  <c r="G943" i="5"/>
  <c r="L943" i="5"/>
  <c r="J943" i="5"/>
  <c r="E943" i="5"/>
  <c r="C943" i="5"/>
  <c r="I943" i="5"/>
  <c r="M943" i="5"/>
  <c r="B943" i="5"/>
  <c r="F943" i="5"/>
  <c r="H943" i="5"/>
  <c r="D943" i="5"/>
  <c r="N943" i="5"/>
  <c r="O943" i="5"/>
  <c r="O942" i="5"/>
  <c r="A942" i="5"/>
  <c r="G942" i="5"/>
  <c r="P942" i="5"/>
  <c r="F942" i="5"/>
  <c r="I942" i="5"/>
  <c r="N942" i="5"/>
  <c r="C942" i="5"/>
  <c r="J942" i="5"/>
  <c r="L942" i="5"/>
  <c r="B942" i="5"/>
  <c r="E942" i="5"/>
  <c r="H942" i="5"/>
  <c r="D942" i="5"/>
  <c r="K942" i="5"/>
  <c r="M942" i="5"/>
  <c r="L941" i="5"/>
  <c r="P941" i="5"/>
  <c r="A941" i="5"/>
  <c r="J941" i="5"/>
  <c r="M941" i="5"/>
  <c r="F941" i="5"/>
  <c r="G941" i="5"/>
  <c r="I941" i="5"/>
  <c r="O941" i="5"/>
  <c r="N941" i="5"/>
  <c r="D941" i="5"/>
  <c r="K941" i="5"/>
  <c r="C941" i="5"/>
  <c r="E941" i="5"/>
  <c r="H941" i="5"/>
  <c r="B941" i="5"/>
  <c r="K940" i="5"/>
  <c r="B940" i="5"/>
  <c r="J940" i="5"/>
  <c r="M940" i="5"/>
  <c r="D940" i="5"/>
  <c r="F940" i="5"/>
  <c r="C940" i="5"/>
  <c r="H940" i="5"/>
  <c r="P940" i="5"/>
  <c r="L940" i="5"/>
  <c r="G940" i="5"/>
  <c r="N940" i="5"/>
  <c r="E940" i="5"/>
  <c r="I940" i="5"/>
  <c r="O940" i="5"/>
  <c r="A940" i="5"/>
  <c r="L939" i="5"/>
  <c r="A939" i="5"/>
  <c r="E939" i="5"/>
  <c r="J939" i="5"/>
  <c r="N939" i="5"/>
  <c r="G939" i="5"/>
  <c r="D939" i="5"/>
  <c r="K939" i="5"/>
  <c r="C939" i="5"/>
  <c r="M939" i="5"/>
  <c r="O939" i="5"/>
  <c r="I939" i="5"/>
  <c r="B939" i="5"/>
  <c r="F939" i="5"/>
  <c r="H939" i="5"/>
  <c r="P939" i="5"/>
  <c r="E938" i="5"/>
  <c r="O938" i="5"/>
  <c r="B938" i="5"/>
  <c r="D938" i="5"/>
  <c r="H938" i="5"/>
  <c r="L938" i="5"/>
  <c r="N938" i="5"/>
  <c r="J938" i="5"/>
  <c r="P938" i="5"/>
  <c r="F938" i="5"/>
  <c r="I938" i="5"/>
  <c r="G938" i="5"/>
  <c r="M938" i="5"/>
  <c r="A938" i="5"/>
  <c r="C938" i="5"/>
  <c r="K938" i="5"/>
  <c r="I937" i="5"/>
  <c r="O937" i="5"/>
  <c r="B937" i="5"/>
  <c r="G937" i="5"/>
  <c r="L937" i="5"/>
  <c r="K937" i="5"/>
  <c r="D937" i="5"/>
  <c r="J937" i="5"/>
  <c r="A937" i="5"/>
  <c r="E937" i="5"/>
  <c r="H937" i="5"/>
  <c r="P937" i="5"/>
  <c r="C937" i="5"/>
  <c r="F937" i="5"/>
  <c r="M937" i="5"/>
  <c r="N937" i="5"/>
  <c r="B936" i="5"/>
  <c r="D936" i="5"/>
  <c r="K936" i="5"/>
  <c r="M936" i="5"/>
  <c r="C936" i="5"/>
  <c r="G936" i="5"/>
  <c r="L936" i="5"/>
  <c r="J936" i="5"/>
  <c r="N936" i="5"/>
  <c r="F936" i="5"/>
  <c r="O936" i="5"/>
  <c r="A936" i="5"/>
  <c r="E936" i="5"/>
  <c r="I936" i="5"/>
  <c r="H936" i="5"/>
  <c r="P936" i="5"/>
  <c r="C935" i="5"/>
  <c r="K935" i="5"/>
  <c r="B935" i="5"/>
  <c r="G935" i="5"/>
  <c r="J935" i="5"/>
  <c r="M935" i="5"/>
  <c r="F935" i="5"/>
  <c r="N935" i="5"/>
  <c r="D935" i="5"/>
  <c r="P935" i="5"/>
  <c r="A935" i="5"/>
  <c r="H935" i="5"/>
  <c r="I935" i="5"/>
  <c r="L935" i="5"/>
  <c r="E935" i="5"/>
  <c r="O935" i="5"/>
  <c r="B934" i="5"/>
  <c r="J934" i="5"/>
  <c r="D934" i="5"/>
  <c r="H934" i="5"/>
  <c r="I934" i="5"/>
  <c r="G934" i="5"/>
  <c r="E934" i="5"/>
  <c r="P934" i="5"/>
  <c r="A934" i="5"/>
  <c r="N934" i="5"/>
  <c r="C934" i="5"/>
  <c r="F934" i="5"/>
  <c r="M934" i="5"/>
  <c r="O934" i="5"/>
  <c r="K934" i="5"/>
  <c r="L934" i="5"/>
  <c r="M933" i="5"/>
  <c r="G933" i="5"/>
  <c r="N933" i="5"/>
  <c r="C933" i="5"/>
  <c r="E933" i="5"/>
  <c r="K933" i="5"/>
  <c r="L933" i="5"/>
  <c r="B933" i="5"/>
  <c r="H933" i="5"/>
  <c r="O933" i="5"/>
  <c r="A933" i="5"/>
  <c r="D933" i="5"/>
  <c r="J933" i="5"/>
  <c r="P933" i="5"/>
  <c r="F933" i="5"/>
  <c r="I933" i="5"/>
  <c r="E932" i="5"/>
  <c r="K932" i="5"/>
  <c r="P932" i="5"/>
  <c r="C932" i="5"/>
  <c r="G932" i="5"/>
  <c r="N932" i="5"/>
  <c r="M932" i="5"/>
  <c r="A932" i="5"/>
  <c r="B932" i="5"/>
  <c r="H932" i="5"/>
  <c r="L932" i="5"/>
  <c r="F932" i="5"/>
  <c r="O932" i="5"/>
  <c r="D932" i="5"/>
  <c r="J932" i="5"/>
  <c r="I932" i="5"/>
  <c r="A931" i="5"/>
  <c r="B931" i="5"/>
  <c r="C931" i="5"/>
  <c r="D931" i="5"/>
  <c r="E931" i="5"/>
  <c r="F931" i="5"/>
  <c r="G931" i="5"/>
  <c r="H931" i="5"/>
  <c r="I931" i="5"/>
  <c r="J931" i="5"/>
  <c r="K931" i="5"/>
  <c r="L931" i="5"/>
  <c r="M931" i="5"/>
  <c r="N931" i="5"/>
  <c r="O931" i="5"/>
  <c r="P931" i="5"/>
  <c r="A930" i="5"/>
  <c r="B930" i="5"/>
  <c r="C930" i="5"/>
  <c r="D930" i="5"/>
  <c r="E930" i="5"/>
  <c r="F930" i="5"/>
  <c r="G930" i="5"/>
  <c r="H930" i="5"/>
  <c r="I930" i="5"/>
  <c r="J930" i="5"/>
  <c r="K930" i="5"/>
  <c r="L930" i="5"/>
  <c r="M930" i="5"/>
  <c r="N930" i="5"/>
  <c r="O930" i="5"/>
  <c r="P930" i="5"/>
  <c r="A929" i="5"/>
  <c r="B929" i="5"/>
  <c r="C929" i="5"/>
  <c r="D929" i="5"/>
  <c r="E929" i="5"/>
  <c r="F929" i="5"/>
  <c r="G929" i="5"/>
  <c r="H929" i="5"/>
  <c r="I929" i="5"/>
  <c r="J929" i="5"/>
  <c r="K929" i="5"/>
  <c r="L929" i="5"/>
  <c r="M929" i="5"/>
  <c r="N929" i="5"/>
  <c r="O929" i="5"/>
  <c r="P929" i="5"/>
  <c r="A928" i="5"/>
  <c r="B928" i="5"/>
  <c r="C928" i="5"/>
  <c r="D928" i="5"/>
  <c r="E928" i="5"/>
  <c r="F928" i="5"/>
  <c r="G928" i="5"/>
  <c r="H928" i="5"/>
  <c r="I928" i="5"/>
  <c r="J928" i="5"/>
  <c r="K928" i="5"/>
  <c r="L928" i="5"/>
  <c r="M928" i="5"/>
  <c r="N928" i="5"/>
  <c r="O928" i="5"/>
  <c r="P928" i="5"/>
  <c r="A927" i="5"/>
  <c r="B927" i="5"/>
  <c r="C927" i="5"/>
  <c r="D927" i="5"/>
  <c r="E927" i="5"/>
  <c r="F927" i="5"/>
  <c r="G927" i="5"/>
  <c r="H927" i="5"/>
  <c r="I927" i="5"/>
  <c r="J927" i="5"/>
  <c r="K927" i="5"/>
  <c r="L927" i="5"/>
  <c r="M927" i="5"/>
  <c r="N927" i="5"/>
  <c r="O927" i="5"/>
  <c r="P927" i="5"/>
  <c r="A926" i="5"/>
  <c r="B926" i="5"/>
  <c r="C926" i="5"/>
  <c r="D926" i="5"/>
  <c r="E926" i="5"/>
  <c r="F926" i="5"/>
  <c r="G926" i="5"/>
  <c r="H926" i="5"/>
  <c r="I926" i="5"/>
  <c r="J926" i="5"/>
  <c r="K926" i="5"/>
  <c r="L926" i="5"/>
  <c r="M926" i="5"/>
  <c r="N926" i="5"/>
  <c r="O926" i="5"/>
  <c r="P926" i="5"/>
  <c r="A925" i="5"/>
  <c r="B925" i="5"/>
  <c r="C925" i="5"/>
  <c r="D925" i="5"/>
  <c r="E925" i="5"/>
  <c r="F925" i="5"/>
  <c r="G925" i="5"/>
  <c r="H925" i="5"/>
  <c r="I925" i="5"/>
  <c r="J925" i="5"/>
  <c r="K925" i="5"/>
  <c r="L925" i="5"/>
  <c r="M925" i="5"/>
  <c r="N925" i="5"/>
  <c r="O925" i="5"/>
  <c r="P925" i="5"/>
  <c r="A924" i="5"/>
  <c r="B924" i="5"/>
  <c r="C924" i="5"/>
  <c r="D924" i="5"/>
  <c r="E924" i="5"/>
  <c r="F924" i="5"/>
  <c r="G924" i="5"/>
  <c r="H924" i="5"/>
  <c r="I924" i="5"/>
  <c r="J924" i="5"/>
  <c r="K924" i="5"/>
  <c r="L924" i="5"/>
  <c r="M924" i="5"/>
  <c r="N924" i="5"/>
  <c r="O924" i="5"/>
  <c r="P924" i="5"/>
  <c r="A923" i="5"/>
  <c r="B923" i="5"/>
  <c r="C923" i="5"/>
  <c r="D923" i="5"/>
  <c r="E923" i="5"/>
  <c r="F923" i="5"/>
  <c r="G923" i="5"/>
  <c r="H923" i="5"/>
  <c r="I923" i="5"/>
  <c r="J923" i="5"/>
  <c r="K923" i="5"/>
  <c r="L923" i="5"/>
  <c r="M923" i="5"/>
  <c r="N923" i="5"/>
  <c r="O923" i="5"/>
  <c r="P923" i="5"/>
  <c r="A922" i="5"/>
  <c r="B922" i="5"/>
  <c r="C922" i="5"/>
  <c r="D922" i="5"/>
  <c r="E922" i="5"/>
  <c r="F922" i="5"/>
  <c r="G922" i="5"/>
  <c r="H922" i="5"/>
  <c r="I922" i="5"/>
  <c r="J922" i="5"/>
  <c r="K922" i="5"/>
  <c r="L922" i="5"/>
  <c r="M922" i="5"/>
  <c r="N922" i="5"/>
  <c r="O922" i="5"/>
  <c r="P922" i="5"/>
  <c r="A921" i="5"/>
  <c r="B921" i="5"/>
  <c r="C921" i="5"/>
  <c r="D921" i="5"/>
  <c r="E921" i="5"/>
  <c r="F921" i="5"/>
  <c r="G921" i="5"/>
  <c r="H921" i="5"/>
  <c r="I921" i="5"/>
  <c r="J921" i="5"/>
  <c r="K921" i="5"/>
  <c r="L921" i="5"/>
  <c r="M921" i="5"/>
  <c r="N921" i="5"/>
  <c r="O921" i="5"/>
  <c r="P921" i="5"/>
  <c r="A920" i="5"/>
  <c r="B920" i="5"/>
  <c r="C920" i="5"/>
  <c r="D920" i="5"/>
  <c r="E920" i="5"/>
  <c r="F920" i="5"/>
  <c r="G920" i="5"/>
  <c r="H920" i="5"/>
  <c r="I920" i="5"/>
  <c r="J920" i="5"/>
  <c r="K920" i="5"/>
  <c r="L920" i="5"/>
  <c r="M920" i="5"/>
  <c r="N920" i="5"/>
  <c r="O920" i="5"/>
  <c r="P920" i="5"/>
  <c r="A919" i="5"/>
  <c r="B919" i="5"/>
  <c r="C919" i="5"/>
  <c r="D919" i="5"/>
  <c r="E919" i="5"/>
  <c r="F919" i="5"/>
  <c r="G919" i="5"/>
  <c r="H919" i="5"/>
  <c r="I919" i="5"/>
  <c r="J919" i="5"/>
  <c r="K919" i="5"/>
  <c r="L919" i="5"/>
  <c r="M919" i="5"/>
  <c r="N919" i="5"/>
  <c r="O919" i="5"/>
  <c r="P919" i="5"/>
  <c r="A918" i="5"/>
  <c r="B918" i="5"/>
  <c r="C918" i="5"/>
  <c r="D918" i="5"/>
  <c r="E918" i="5"/>
  <c r="F918" i="5"/>
  <c r="G918" i="5"/>
  <c r="H918" i="5"/>
  <c r="I918" i="5"/>
  <c r="J918" i="5"/>
  <c r="K918" i="5"/>
  <c r="L918" i="5"/>
  <c r="M918" i="5"/>
  <c r="N918" i="5"/>
  <c r="O918" i="5"/>
  <c r="P918" i="5"/>
  <c r="A917" i="5"/>
  <c r="B917" i="5"/>
  <c r="C917" i="5"/>
  <c r="D917" i="5"/>
  <c r="E917" i="5"/>
  <c r="F917" i="5"/>
  <c r="G917" i="5"/>
  <c r="H917" i="5"/>
  <c r="I917" i="5"/>
  <c r="J917" i="5"/>
  <c r="K917" i="5"/>
  <c r="L917" i="5"/>
  <c r="M917" i="5"/>
  <c r="N917" i="5"/>
  <c r="O917" i="5"/>
  <c r="P917" i="5"/>
  <c r="A916" i="5"/>
  <c r="B916" i="5"/>
  <c r="C916" i="5"/>
  <c r="D916" i="5"/>
  <c r="E916" i="5"/>
  <c r="F916" i="5"/>
  <c r="G916" i="5"/>
  <c r="H916" i="5"/>
  <c r="I916" i="5"/>
  <c r="J916" i="5"/>
  <c r="K916" i="5"/>
  <c r="L916" i="5"/>
  <c r="M916" i="5"/>
  <c r="N916" i="5"/>
  <c r="O916" i="5"/>
  <c r="P916" i="5"/>
  <c r="A915" i="5"/>
  <c r="B915" i="5"/>
  <c r="C915" i="5"/>
  <c r="D915" i="5"/>
  <c r="E915" i="5"/>
  <c r="F915" i="5"/>
  <c r="G915" i="5"/>
  <c r="H915" i="5"/>
  <c r="I915" i="5"/>
  <c r="J915" i="5"/>
  <c r="K915" i="5"/>
  <c r="L915" i="5"/>
  <c r="M915" i="5"/>
  <c r="N915" i="5"/>
  <c r="O915" i="5"/>
  <c r="P915" i="5"/>
  <c r="A914" i="5"/>
  <c r="B914" i="5"/>
  <c r="C914" i="5"/>
  <c r="D914" i="5"/>
  <c r="E914" i="5"/>
  <c r="F914" i="5"/>
  <c r="G914" i="5"/>
  <c r="H914" i="5"/>
  <c r="I914" i="5"/>
  <c r="J914" i="5"/>
  <c r="K914" i="5"/>
  <c r="L914" i="5"/>
  <c r="M914" i="5"/>
  <c r="N914" i="5"/>
  <c r="O914" i="5"/>
  <c r="P914" i="5"/>
  <c r="A913" i="5"/>
  <c r="B913" i="5"/>
  <c r="C913" i="5"/>
  <c r="D913" i="5"/>
  <c r="E913" i="5"/>
  <c r="F913" i="5"/>
  <c r="G913" i="5"/>
  <c r="H913" i="5"/>
  <c r="I913" i="5"/>
  <c r="J913" i="5"/>
  <c r="K913" i="5"/>
  <c r="L913" i="5"/>
  <c r="M913" i="5"/>
  <c r="N913" i="5"/>
  <c r="O913" i="5"/>
  <c r="P913" i="5"/>
  <c r="A912" i="5"/>
  <c r="B912" i="5"/>
  <c r="C912" i="5"/>
  <c r="D912" i="5"/>
  <c r="E912" i="5"/>
  <c r="F912" i="5"/>
  <c r="G912" i="5"/>
  <c r="H912" i="5"/>
  <c r="I912" i="5"/>
  <c r="J912" i="5"/>
  <c r="K912" i="5"/>
  <c r="L912" i="5"/>
  <c r="M912" i="5"/>
  <c r="N912" i="5"/>
  <c r="O912" i="5"/>
  <c r="P912" i="5"/>
  <c r="A911" i="5"/>
  <c r="B911" i="5"/>
  <c r="C911" i="5"/>
  <c r="D911" i="5"/>
  <c r="E911" i="5"/>
  <c r="F911" i="5"/>
  <c r="G911" i="5"/>
  <c r="H911" i="5"/>
  <c r="I911" i="5"/>
  <c r="J911" i="5"/>
  <c r="K911" i="5"/>
  <c r="L911" i="5"/>
  <c r="M911" i="5"/>
  <c r="N911" i="5"/>
  <c r="O911" i="5"/>
  <c r="P911" i="5"/>
  <c r="A910" i="5"/>
  <c r="B910" i="5"/>
  <c r="C910" i="5"/>
  <c r="D910" i="5"/>
  <c r="E910" i="5"/>
  <c r="F910" i="5"/>
  <c r="G910" i="5"/>
  <c r="H910" i="5"/>
  <c r="I910" i="5"/>
  <c r="J910" i="5"/>
  <c r="K910" i="5"/>
  <c r="L910" i="5"/>
  <c r="M910" i="5"/>
  <c r="N910" i="5"/>
  <c r="O910" i="5"/>
  <c r="P910" i="5"/>
  <c r="A909" i="5"/>
  <c r="B909" i="5"/>
  <c r="C909" i="5"/>
  <c r="D909" i="5"/>
  <c r="E909" i="5"/>
  <c r="F909" i="5"/>
  <c r="G909" i="5"/>
  <c r="H909" i="5"/>
  <c r="I909" i="5"/>
  <c r="J909" i="5"/>
  <c r="K909" i="5"/>
  <c r="L909" i="5"/>
  <c r="M909" i="5"/>
  <c r="N909" i="5"/>
  <c r="O909" i="5"/>
  <c r="P909" i="5"/>
  <c r="A908" i="5"/>
  <c r="B908" i="5"/>
  <c r="C908" i="5"/>
  <c r="D908" i="5"/>
  <c r="E908" i="5"/>
  <c r="F908" i="5"/>
  <c r="G908" i="5"/>
  <c r="H908" i="5"/>
  <c r="I908" i="5"/>
  <c r="J908" i="5"/>
  <c r="K908" i="5"/>
  <c r="L908" i="5"/>
  <c r="M908" i="5"/>
  <c r="N908" i="5"/>
  <c r="O908" i="5"/>
  <c r="P908" i="5"/>
  <c r="A907" i="5"/>
  <c r="B907" i="5"/>
  <c r="C907" i="5"/>
  <c r="D907" i="5"/>
  <c r="E907" i="5"/>
  <c r="F907" i="5"/>
  <c r="G907" i="5"/>
  <c r="H907" i="5"/>
  <c r="I907" i="5"/>
  <c r="J907" i="5"/>
  <c r="K907" i="5"/>
  <c r="L907" i="5"/>
  <c r="M907" i="5"/>
  <c r="N907" i="5"/>
  <c r="O907" i="5"/>
  <c r="P907" i="5"/>
  <c r="A906" i="5"/>
  <c r="B906" i="5"/>
  <c r="C906" i="5"/>
  <c r="D906" i="5"/>
  <c r="E906" i="5"/>
  <c r="F906" i="5"/>
  <c r="G906" i="5"/>
  <c r="H906" i="5"/>
  <c r="I906" i="5"/>
  <c r="J906" i="5"/>
  <c r="K906" i="5"/>
  <c r="L906" i="5"/>
  <c r="M906" i="5"/>
  <c r="N906" i="5"/>
  <c r="O906" i="5"/>
  <c r="P906" i="5"/>
  <c r="A905" i="5"/>
  <c r="B905" i="5"/>
  <c r="C905" i="5"/>
  <c r="D905" i="5"/>
  <c r="E905" i="5"/>
  <c r="F905" i="5"/>
  <c r="G905" i="5"/>
  <c r="H905" i="5"/>
  <c r="I905" i="5"/>
  <c r="J905" i="5"/>
  <c r="K905" i="5"/>
  <c r="L905" i="5"/>
  <c r="M905" i="5"/>
  <c r="N905" i="5"/>
  <c r="O905" i="5"/>
  <c r="P905" i="5"/>
  <c r="A904" i="5"/>
  <c r="B904" i="5"/>
  <c r="C904" i="5"/>
  <c r="D904" i="5"/>
  <c r="E904" i="5"/>
  <c r="F904" i="5"/>
  <c r="G904" i="5"/>
  <c r="H904" i="5"/>
  <c r="I904" i="5"/>
  <c r="J904" i="5"/>
  <c r="K904" i="5"/>
  <c r="L904" i="5"/>
  <c r="M904" i="5"/>
  <c r="N904" i="5"/>
  <c r="O904" i="5"/>
  <c r="P904" i="5"/>
  <c r="A903" i="5"/>
  <c r="B903" i="5"/>
  <c r="C903" i="5"/>
  <c r="D903" i="5"/>
  <c r="E903" i="5"/>
  <c r="F903" i="5"/>
  <c r="G903" i="5"/>
  <c r="H903" i="5"/>
  <c r="I903" i="5"/>
  <c r="J903" i="5"/>
  <c r="K903" i="5"/>
  <c r="L903" i="5"/>
  <c r="M903" i="5"/>
  <c r="N903" i="5"/>
  <c r="O903" i="5"/>
  <c r="P903" i="5"/>
  <c r="A902" i="5"/>
  <c r="B902" i="5"/>
  <c r="C902" i="5"/>
  <c r="D902" i="5"/>
  <c r="E902" i="5"/>
  <c r="F902" i="5"/>
  <c r="G902" i="5"/>
  <c r="H902" i="5"/>
  <c r="I902" i="5"/>
  <c r="J902" i="5"/>
  <c r="K902" i="5"/>
  <c r="L902" i="5"/>
  <c r="M902" i="5"/>
  <c r="N902" i="5"/>
  <c r="O902" i="5"/>
  <c r="P902" i="5"/>
  <c r="A901" i="5"/>
  <c r="B901" i="5"/>
  <c r="C901" i="5"/>
  <c r="D901" i="5"/>
  <c r="E901" i="5"/>
  <c r="F901" i="5"/>
  <c r="G901" i="5"/>
  <c r="H901" i="5"/>
  <c r="I901" i="5"/>
  <c r="J901" i="5"/>
  <c r="K901" i="5"/>
  <c r="L901" i="5"/>
  <c r="M901" i="5"/>
  <c r="N901" i="5"/>
  <c r="O901" i="5"/>
  <c r="P901" i="5"/>
  <c r="A900" i="5"/>
  <c r="B900" i="5"/>
  <c r="C900" i="5"/>
  <c r="D900" i="5"/>
  <c r="E900" i="5"/>
  <c r="F900" i="5"/>
  <c r="G900" i="5"/>
  <c r="H900" i="5"/>
  <c r="I900" i="5"/>
  <c r="J900" i="5"/>
  <c r="K900" i="5"/>
  <c r="L900" i="5"/>
  <c r="M900" i="5"/>
  <c r="N900" i="5"/>
  <c r="O900" i="5"/>
  <c r="P900" i="5"/>
  <c r="A899" i="5"/>
  <c r="B899" i="5"/>
  <c r="C899" i="5"/>
  <c r="D899" i="5"/>
  <c r="E899" i="5"/>
  <c r="F899" i="5"/>
  <c r="G899" i="5"/>
  <c r="H899" i="5"/>
  <c r="I899" i="5"/>
  <c r="J899" i="5"/>
  <c r="K899" i="5"/>
  <c r="L899" i="5"/>
  <c r="M899" i="5"/>
  <c r="N899" i="5"/>
  <c r="O899" i="5"/>
  <c r="P899" i="5"/>
  <c r="A898" i="5"/>
  <c r="B898" i="5"/>
  <c r="C898" i="5"/>
  <c r="D898" i="5"/>
  <c r="E898" i="5"/>
  <c r="F898" i="5"/>
  <c r="G898" i="5"/>
  <c r="H898" i="5"/>
  <c r="I898" i="5"/>
  <c r="J898" i="5"/>
  <c r="K898" i="5"/>
  <c r="L898" i="5"/>
  <c r="M898" i="5"/>
  <c r="N898" i="5"/>
  <c r="O898" i="5"/>
  <c r="P898" i="5"/>
  <c r="A897" i="5"/>
  <c r="B897" i="5"/>
  <c r="C897" i="5"/>
  <c r="D897" i="5"/>
  <c r="E897" i="5"/>
  <c r="F897" i="5"/>
  <c r="G897" i="5"/>
  <c r="H897" i="5"/>
  <c r="I897" i="5"/>
  <c r="J897" i="5"/>
  <c r="K897" i="5"/>
  <c r="L897" i="5"/>
  <c r="M897" i="5"/>
  <c r="N897" i="5"/>
  <c r="O897" i="5"/>
  <c r="P897" i="5"/>
  <c r="A896" i="5"/>
  <c r="B896" i="5"/>
  <c r="C896" i="5"/>
  <c r="D896" i="5"/>
  <c r="E896" i="5"/>
  <c r="F896" i="5"/>
  <c r="G896" i="5"/>
  <c r="H896" i="5"/>
  <c r="I896" i="5"/>
  <c r="J896" i="5"/>
  <c r="K896" i="5"/>
  <c r="L896" i="5"/>
  <c r="M896" i="5"/>
  <c r="N896" i="5"/>
  <c r="O896" i="5"/>
  <c r="P896" i="5"/>
  <c r="A895" i="5"/>
  <c r="B895" i="5"/>
  <c r="C895" i="5"/>
  <c r="D895" i="5"/>
  <c r="E895" i="5"/>
  <c r="F895" i="5"/>
  <c r="G895" i="5"/>
  <c r="H895" i="5"/>
  <c r="I895" i="5"/>
  <c r="J895" i="5"/>
  <c r="K895" i="5"/>
  <c r="L895" i="5"/>
  <c r="M895" i="5"/>
  <c r="N895" i="5"/>
  <c r="O895" i="5"/>
  <c r="P895" i="5"/>
  <c r="A894" i="5"/>
  <c r="B894" i="5"/>
  <c r="C894" i="5"/>
  <c r="D894" i="5"/>
  <c r="E894" i="5"/>
  <c r="F894" i="5"/>
  <c r="G894" i="5"/>
  <c r="H894" i="5"/>
  <c r="I894" i="5"/>
  <c r="J894" i="5"/>
  <c r="K894" i="5"/>
  <c r="L894" i="5"/>
  <c r="M894" i="5"/>
  <c r="N894" i="5"/>
  <c r="O894" i="5"/>
  <c r="P894" i="5"/>
  <c r="A893" i="5"/>
  <c r="B893" i="5"/>
  <c r="C893" i="5"/>
  <c r="D893" i="5"/>
  <c r="E893" i="5"/>
  <c r="F893" i="5"/>
  <c r="G893" i="5"/>
  <c r="H893" i="5"/>
  <c r="I893" i="5"/>
  <c r="J893" i="5"/>
  <c r="K893" i="5"/>
  <c r="L893" i="5"/>
  <c r="M893" i="5"/>
  <c r="N893" i="5"/>
  <c r="O893" i="5"/>
  <c r="P893" i="5"/>
  <c r="A892" i="5"/>
  <c r="B892" i="5"/>
  <c r="C892" i="5"/>
  <c r="D892" i="5"/>
  <c r="E892" i="5"/>
  <c r="F892" i="5"/>
  <c r="G892" i="5"/>
  <c r="H892" i="5"/>
  <c r="I892" i="5"/>
  <c r="J892" i="5"/>
  <c r="K892" i="5"/>
  <c r="L892" i="5"/>
  <c r="M892" i="5"/>
  <c r="N892" i="5"/>
  <c r="O892" i="5"/>
  <c r="P892" i="5"/>
  <c r="A891" i="5"/>
  <c r="B891" i="5"/>
  <c r="C891" i="5"/>
  <c r="D891" i="5"/>
  <c r="E891" i="5"/>
  <c r="F891" i="5"/>
  <c r="G891" i="5"/>
  <c r="H891" i="5"/>
  <c r="I891" i="5"/>
  <c r="J891" i="5"/>
  <c r="K891" i="5"/>
  <c r="L891" i="5"/>
  <c r="M891" i="5"/>
  <c r="N891" i="5"/>
  <c r="O891" i="5"/>
  <c r="P891" i="5"/>
  <c r="A890" i="5"/>
  <c r="B890" i="5"/>
  <c r="C890" i="5"/>
  <c r="D890" i="5"/>
  <c r="E890" i="5"/>
  <c r="F890" i="5"/>
  <c r="G890" i="5"/>
  <c r="H890" i="5"/>
  <c r="I890" i="5"/>
  <c r="J890" i="5"/>
  <c r="K890" i="5"/>
  <c r="L890" i="5"/>
  <c r="M890" i="5"/>
  <c r="N890" i="5"/>
  <c r="O890" i="5"/>
  <c r="P890" i="5"/>
  <c r="A889" i="5"/>
  <c r="B889" i="5"/>
  <c r="C889" i="5"/>
  <c r="D889" i="5"/>
  <c r="E889" i="5"/>
  <c r="F889" i="5"/>
  <c r="G889" i="5"/>
  <c r="H889" i="5"/>
  <c r="I889" i="5"/>
  <c r="J889" i="5"/>
  <c r="K889" i="5"/>
  <c r="L889" i="5"/>
  <c r="M889" i="5"/>
  <c r="N889" i="5"/>
  <c r="O889" i="5"/>
  <c r="P889" i="5"/>
  <c r="A888" i="5"/>
  <c r="B888" i="5"/>
  <c r="C888" i="5"/>
  <c r="D888" i="5"/>
  <c r="E888" i="5"/>
  <c r="F888" i="5"/>
  <c r="G888" i="5"/>
  <c r="H888" i="5"/>
  <c r="I888" i="5"/>
  <c r="J888" i="5"/>
  <c r="K888" i="5"/>
  <c r="L888" i="5"/>
  <c r="M888" i="5"/>
  <c r="N888" i="5"/>
  <c r="O888" i="5"/>
  <c r="P888" i="5"/>
  <c r="A887" i="5"/>
  <c r="B887" i="5"/>
  <c r="C887" i="5"/>
  <c r="D887" i="5"/>
  <c r="E887" i="5"/>
  <c r="F887" i="5"/>
  <c r="G887" i="5"/>
  <c r="H887" i="5"/>
  <c r="I887" i="5"/>
  <c r="J887" i="5"/>
  <c r="K887" i="5"/>
  <c r="L887" i="5"/>
  <c r="M887" i="5"/>
  <c r="N887" i="5"/>
  <c r="O887" i="5"/>
  <c r="P887" i="5"/>
  <c r="A886" i="5"/>
  <c r="B886" i="5"/>
  <c r="C886" i="5"/>
  <c r="D886" i="5"/>
  <c r="E886" i="5"/>
  <c r="F886" i="5"/>
  <c r="G886" i="5"/>
  <c r="H886" i="5"/>
  <c r="I886" i="5"/>
  <c r="J886" i="5"/>
  <c r="K886" i="5"/>
  <c r="L886" i="5"/>
  <c r="M886" i="5"/>
  <c r="N886" i="5"/>
  <c r="O886" i="5"/>
  <c r="P886" i="5"/>
  <c r="A885" i="5"/>
  <c r="B885" i="5"/>
  <c r="C885" i="5"/>
  <c r="D885" i="5"/>
  <c r="E885" i="5"/>
  <c r="F885" i="5"/>
  <c r="G885" i="5"/>
  <c r="H885" i="5"/>
  <c r="I885" i="5"/>
  <c r="J885" i="5"/>
  <c r="K885" i="5"/>
  <c r="L885" i="5"/>
  <c r="M885" i="5"/>
  <c r="N885" i="5"/>
  <c r="O885" i="5"/>
  <c r="P885" i="5"/>
  <c r="A884" i="5"/>
  <c r="B884" i="5"/>
  <c r="C884" i="5"/>
  <c r="D884" i="5"/>
  <c r="E884" i="5"/>
  <c r="F884" i="5"/>
  <c r="G884" i="5"/>
  <c r="H884" i="5"/>
  <c r="I884" i="5"/>
  <c r="J884" i="5"/>
  <c r="K884" i="5"/>
  <c r="L884" i="5"/>
  <c r="M884" i="5"/>
  <c r="N884" i="5"/>
  <c r="O884" i="5"/>
  <c r="P884" i="5"/>
  <c r="A883" i="5"/>
  <c r="B883" i="5"/>
  <c r="C883" i="5"/>
  <c r="D883" i="5"/>
  <c r="E883" i="5"/>
  <c r="F883" i="5"/>
  <c r="G883" i="5"/>
  <c r="H883" i="5"/>
  <c r="I883" i="5"/>
  <c r="J883" i="5"/>
  <c r="K883" i="5"/>
  <c r="L883" i="5"/>
  <c r="M883" i="5"/>
  <c r="N883" i="5"/>
  <c r="O883" i="5"/>
  <c r="P883" i="5"/>
  <c r="A882" i="5"/>
  <c r="B882" i="5"/>
  <c r="C882" i="5"/>
  <c r="D882" i="5"/>
  <c r="E882" i="5"/>
  <c r="F882" i="5"/>
  <c r="G882" i="5"/>
  <c r="H882" i="5"/>
  <c r="I882" i="5"/>
  <c r="J882" i="5"/>
  <c r="K882" i="5"/>
  <c r="L882" i="5"/>
  <c r="M882" i="5"/>
  <c r="N882" i="5"/>
  <c r="O882" i="5"/>
  <c r="P882" i="5"/>
  <c r="A881" i="5"/>
  <c r="B881" i="5"/>
  <c r="C881" i="5"/>
  <c r="D881" i="5"/>
  <c r="E881" i="5"/>
  <c r="F881" i="5"/>
  <c r="G881" i="5"/>
  <c r="H881" i="5"/>
  <c r="I881" i="5"/>
  <c r="J881" i="5"/>
  <c r="K881" i="5"/>
  <c r="L881" i="5"/>
  <c r="M881" i="5"/>
  <c r="N881" i="5"/>
  <c r="O881" i="5"/>
  <c r="P881" i="5"/>
  <c r="A880" i="5"/>
  <c r="B880" i="5"/>
  <c r="C880" i="5"/>
  <c r="D880" i="5"/>
  <c r="E880" i="5"/>
  <c r="F880" i="5"/>
  <c r="G880" i="5"/>
  <c r="H880" i="5"/>
  <c r="I880" i="5"/>
  <c r="J880" i="5"/>
  <c r="K880" i="5"/>
  <c r="L880" i="5"/>
  <c r="M880" i="5"/>
  <c r="N880" i="5"/>
  <c r="O880" i="5"/>
  <c r="P880" i="5"/>
  <c r="A879" i="5"/>
  <c r="B879" i="5"/>
  <c r="C879" i="5"/>
  <c r="D879" i="5"/>
  <c r="E879" i="5"/>
  <c r="F879" i="5"/>
  <c r="G879" i="5"/>
  <c r="H879" i="5"/>
  <c r="I879" i="5"/>
  <c r="J879" i="5"/>
  <c r="K879" i="5"/>
  <c r="L879" i="5"/>
  <c r="M879" i="5"/>
  <c r="N879" i="5"/>
  <c r="O879" i="5"/>
  <c r="P879" i="5"/>
  <c r="A878" i="5"/>
  <c r="B878" i="5"/>
  <c r="C878" i="5"/>
  <c r="D878" i="5"/>
  <c r="E878" i="5"/>
  <c r="F878" i="5"/>
  <c r="G878" i="5"/>
  <c r="H878" i="5"/>
  <c r="I878" i="5"/>
  <c r="J878" i="5"/>
  <c r="K878" i="5"/>
  <c r="L878" i="5"/>
  <c r="M878" i="5"/>
  <c r="N878" i="5"/>
  <c r="O878" i="5"/>
  <c r="P878" i="5"/>
  <c r="A877" i="5"/>
  <c r="B877" i="5"/>
  <c r="C877" i="5"/>
  <c r="D877" i="5"/>
  <c r="E877" i="5"/>
  <c r="F877" i="5"/>
  <c r="G877" i="5"/>
  <c r="H877" i="5"/>
  <c r="I877" i="5"/>
  <c r="J877" i="5"/>
  <c r="K877" i="5"/>
  <c r="L877" i="5"/>
  <c r="M877" i="5"/>
  <c r="N877" i="5"/>
  <c r="O877" i="5"/>
  <c r="P877" i="5"/>
  <c r="A876" i="5"/>
  <c r="B876" i="5"/>
  <c r="C876" i="5"/>
  <c r="D876" i="5"/>
  <c r="E876" i="5"/>
  <c r="F876" i="5"/>
  <c r="G876" i="5"/>
  <c r="H876" i="5"/>
  <c r="I876" i="5"/>
  <c r="J876" i="5"/>
  <c r="K876" i="5"/>
  <c r="L876" i="5"/>
  <c r="M876" i="5"/>
  <c r="N876" i="5"/>
  <c r="O876" i="5"/>
  <c r="P876" i="5"/>
  <c r="A875" i="5"/>
  <c r="B875" i="5"/>
  <c r="C875" i="5"/>
  <c r="D875" i="5"/>
  <c r="E875" i="5"/>
  <c r="F875" i="5"/>
  <c r="G875" i="5"/>
  <c r="H875" i="5"/>
  <c r="I875" i="5"/>
  <c r="J875" i="5"/>
  <c r="K875" i="5"/>
  <c r="L875" i="5"/>
  <c r="M875" i="5"/>
  <c r="N875" i="5"/>
  <c r="O875" i="5"/>
  <c r="P875" i="5"/>
  <c r="A874" i="5"/>
  <c r="B874" i="5"/>
  <c r="C874" i="5"/>
  <c r="D874" i="5"/>
  <c r="E874" i="5"/>
  <c r="F874" i="5"/>
  <c r="G874" i="5"/>
  <c r="H874" i="5"/>
  <c r="I874" i="5"/>
  <c r="J874" i="5"/>
  <c r="K874" i="5"/>
  <c r="L874" i="5"/>
  <c r="M874" i="5"/>
  <c r="N874" i="5"/>
  <c r="O874" i="5"/>
  <c r="P874" i="5"/>
  <c r="A873" i="5"/>
  <c r="B873" i="5"/>
  <c r="C873" i="5"/>
  <c r="D873" i="5"/>
  <c r="E873" i="5"/>
  <c r="F873" i="5"/>
  <c r="G873" i="5"/>
  <c r="H873" i="5"/>
  <c r="I873" i="5"/>
  <c r="J873" i="5"/>
  <c r="K873" i="5"/>
  <c r="L873" i="5"/>
  <c r="M873" i="5"/>
  <c r="N873" i="5"/>
  <c r="O873" i="5"/>
  <c r="P873" i="5"/>
  <c r="A872" i="5"/>
  <c r="B872" i="5"/>
  <c r="C872" i="5"/>
  <c r="D872" i="5"/>
  <c r="E872" i="5"/>
  <c r="F872" i="5"/>
  <c r="G872" i="5"/>
  <c r="H872" i="5"/>
  <c r="I872" i="5"/>
  <c r="J872" i="5"/>
  <c r="K872" i="5"/>
  <c r="L872" i="5"/>
  <c r="M872" i="5"/>
  <c r="N872" i="5"/>
  <c r="O872" i="5"/>
  <c r="P872" i="5"/>
  <c r="A871" i="5"/>
  <c r="B871" i="5"/>
  <c r="C871" i="5"/>
  <c r="D871" i="5"/>
  <c r="E871" i="5"/>
  <c r="F871" i="5"/>
  <c r="G871" i="5"/>
  <c r="H871" i="5"/>
  <c r="I871" i="5"/>
  <c r="J871" i="5"/>
  <c r="K871" i="5"/>
  <c r="L871" i="5"/>
  <c r="M871" i="5"/>
  <c r="N871" i="5"/>
  <c r="O871" i="5"/>
  <c r="P871" i="5"/>
  <c r="A870" i="5"/>
  <c r="B870" i="5"/>
  <c r="C870" i="5"/>
  <c r="D870" i="5"/>
  <c r="E870" i="5"/>
  <c r="F870" i="5"/>
  <c r="G870" i="5"/>
  <c r="H870" i="5"/>
  <c r="I870" i="5"/>
  <c r="J870" i="5"/>
  <c r="K870" i="5"/>
  <c r="L870" i="5"/>
  <c r="M870" i="5"/>
  <c r="N870" i="5"/>
  <c r="O870" i="5"/>
  <c r="P870" i="5"/>
  <c r="A869" i="5"/>
  <c r="B869" i="5"/>
  <c r="C869" i="5"/>
  <c r="D869" i="5"/>
  <c r="E869" i="5"/>
  <c r="F869" i="5"/>
  <c r="G869" i="5"/>
  <c r="H869" i="5"/>
  <c r="I869" i="5"/>
  <c r="J869" i="5"/>
  <c r="K869" i="5"/>
  <c r="L869" i="5"/>
  <c r="M869" i="5"/>
  <c r="N869" i="5"/>
  <c r="O869" i="5"/>
  <c r="P869" i="5"/>
  <c r="A868" i="5"/>
  <c r="B868" i="5"/>
  <c r="C868" i="5"/>
  <c r="D868" i="5"/>
  <c r="E868" i="5"/>
  <c r="F868" i="5"/>
  <c r="G868" i="5"/>
  <c r="H868" i="5"/>
  <c r="I868" i="5"/>
  <c r="J868" i="5"/>
  <c r="K868" i="5"/>
  <c r="L868" i="5"/>
  <c r="M868" i="5"/>
  <c r="N868" i="5"/>
  <c r="O868" i="5"/>
  <c r="P868" i="5"/>
  <c r="A867" i="5"/>
  <c r="B867" i="5"/>
  <c r="C867" i="5"/>
  <c r="D867" i="5"/>
  <c r="E867" i="5"/>
  <c r="F867" i="5"/>
  <c r="G867" i="5"/>
  <c r="H867" i="5"/>
  <c r="I867" i="5"/>
  <c r="J867" i="5"/>
  <c r="K867" i="5"/>
  <c r="L867" i="5"/>
  <c r="M867" i="5"/>
  <c r="N867" i="5"/>
  <c r="O867" i="5"/>
  <c r="P867" i="5"/>
  <c r="A866" i="5"/>
  <c r="B866" i="5"/>
  <c r="C866" i="5"/>
  <c r="D866" i="5"/>
  <c r="E866" i="5"/>
  <c r="F866" i="5"/>
  <c r="G866" i="5"/>
  <c r="H866" i="5"/>
  <c r="I866" i="5"/>
  <c r="J866" i="5"/>
  <c r="K866" i="5"/>
  <c r="L866" i="5"/>
  <c r="M866" i="5"/>
  <c r="N866" i="5"/>
  <c r="O866" i="5"/>
  <c r="P866" i="5"/>
  <c r="A865" i="5"/>
  <c r="B865" i="5"/>
  <c r="C865" i="5"/>
  <c r="D865" i="5"/>
  <c r="E865" i="5"/>
  <c r="F865" i="5"/>
  <c r="G865" i="5"/>
  <c r="H865" i="5"/>
  <c r="I865" i="5"/>
  <c r="J865" i="5"/>
  <c r="K865" i="5"/>
  <c r="L865" i="5"/>
  <c r="M865" i="5"/>
  <c r="N865" i="5"/>
  <c r="O865" i="5"/>
  <c r="P865" i="5"/>
  <c r="A864" i="5"/>
  <c r="B864" i="5"/>
  <c r="C864" i="5"/>
  <c r="D864" i="5"/>
  <c r="E864" i="5"/>
  <c r="F864" i="5"/>
  <c r="G864" i="5"/>
  <c r="H864" i="5"/>
  <c r="I864" i="5"/>
  <c r="J864" i="5"/>
  <c r="K864" i="5"/>
  <c r="L864" i="5"/>
  <c r="M864" i="5"/>
  <c r="N864" i="5"/>
  <c r="O864" i="5"/>
  <c r="P864" i="5"/>
  <c r="A863" i="5"/>
  <c r="B863" i="5"/>
  <c r="C863" i="5"/>
  <c r="D863" i="5"/>
  <c r="E863" i="5"/>
  <c r="F863" i="5"/>
  <c r="G863" i="5"/>
  <c r="H863" i="5"/>
  <c r="I863" i="5"/>
  <c r="J863" i="5"/>
  <c r="K863" i="5"/>
  <c r="L863" i="5"/>
  <c r="M863" i="5"/>
  <c r="N863" i="5"/>
  <c r="O863" i="5"/>
  <c r="P863" i="5"/>
  <c r="A862" i="5"/>
  <c r="B862" i="5"/>
  <c r="C862" i="5"/>
  <c r="D862" i="5"/>
  <c r="E862" i="5"/>
  <c r="F862" i="5"/>
  <c r="G862" i="5"/>
  <c r="H862" i="5"/>
  <c r="I862" i="5"/>
  <c r="J862" i="5"/>
  <c r="K862" i="5"/>
  <c r="L862" i="5"/>
  <c r="M862" i="5"/>
  <c r="N862" i="5"/>
  <c r="O862" i="5"/>
  <c r="P862" i="5"/>
  <c r="A861" i="5"/>
  <c r="B861" i="5"/>
  <c r="C861" i="5"/>
  <c r="D861" i="5"/>
  <c r="E861" i="5"/>
  <c r="F861" i="5"/>
  <c r="G861" i="5"/>
  <c r="H861" i="5"/>
  <c r="I861" i="5"/>
  <c r="J861" i="5"/>
  <c r="K861" i="5"/>
  <c r="L861" i="5"/>
  <c r="M861" i="5"/>
  <c r="N861" i="5"/>
  <c r="O861" i="5"/>
  <c r="P861" i="5"/>
  <c r="A860" i="5"/>
  <c r="B860" i="5"/>
  <c r="C860" i="5"/>
  <c r="D860" i="5"/>
  <c r="E860" i="5"/>
  <c r="F860" i="5"/>
  <c r="G860" i="5"/>
  <c r="H860" i="5"/>
  <c r="I860" i="5"/>
  <c r="J860" i="5"/>
  <c r="K860" i="5"/>
  <c r="L860" i="5"/>
  <c r="M860" i="5"/>
  <c r="N860" i="5"/>
  <c r="O860" i="5"/>
  <c r="P860" i="5"/>
  <c r="A859" i="5"/>
  <c r="B859" i="5"/>
  <c r="C859" i="5"/>
  <c r="D859" i="5"/>
  <c r="E859" i="5"/>
  <c r="F859" i="5"/>
  <c r="G859" i="5"/>
  <c r="H859" i="5"/>
  <c r="I859" i="5"/>
  <c r="J859" i="5"/>
  <c r="K859" i="5"/>
  <c r="L859" i="5"/>
  <c r="M859" i="5"/>
  <c r="N859" i="5"/>
  <c r="O859" i="5"/>
  <c r="P859" i="5"/>
  <c r="A858" i="5"/>
  <c r="B858" i="5"/>
  <c r="C858" i="5"/>
  <c r="D858" i="5"/>
  <c r="E858" i="5"/>
  <c r="F858" i="5"/>
  <c r="G858" i="5"/>
  <c r="H858" i="5"/>
  <c r="I858" i="5"/>
  <c r="J858" i="5"/>
  <c r="K858" i="5"/>
  <c r="L858" i="5"/>
  <c r="M858" i="5"/>
  <c r="N858" i="5"/>
  <c r="O858" i="5"/>
  <c r="P858" i="5"/>
  <c r="A857" i="5"/>
  <c r="B857" i="5"/>
  <c r="C857" i="5"/>
  <c r="D857" i="5"/>
  <c r="E857" i="5"/>
  <c r="F857" i="5"/>
  <c r="G857" i="5"/>
  <c r="H857" i="5"/>
  <c r="I857" i="5"/>
  <c r="J857" i="5"/>
  <c r="K857" i="5"/>
  <c r="L857" i="5"/>
  <c r="M857" i="5"/>
  <c r="N857" i="5"/>
  <c r="O857" i="5"/>
  <c r="P857" i="5"/>
  <c r="A856" i="5"/>
  <c r="B856" i="5"/>
  <c r="C856" i="5"/>
  <c r="D856" i="5"/>
  <c r="E856" i="5"/>
  <c r="F856" i="5"/>
  <c r="G856" i="5"/>
  <c r="H856" i="5"/>
  <c r="I856" i="5"/>
  <c r="J856" i="5"/>
  <c r="K856" i="5"/>
  <c r="L856" i="5"/>
  <c r="M856" i="5"/>
  <c r="N856" i="5"/>
  <c r="O856" i="5"/>
  <c r="P856" i="5"/>
  <c r="A855" i="5"/>
  <c r="B855" i="5"/>
  <c r="C855" i="5"/>
  <c r="D855" i="5"/>
  <c r="E855" i="5"/>
  <c r="F855" i="5"/>
  <c r="G855" i="5"/>
  <c r="H855" i="5"/>
  <c r="I855" i="5"/>
  <c r="J855" i="5"/>
  <c r="K855" i="5"/>
  <c r="L855" i="5"/>
  <c r="M855" i="5"/>
  <c r="N855" i="5"/>
  <c r="O855" i="5"/>
  <c r="P855" i="5"/>
  <c r="A854" i="5"/>
  <c r="B854" i="5"/>
  <c r="C854" i="5"/>
  <c r="D854" i="5"/>
  <c r="E854" i="5"/>
  <c r="F854" i="5"/>
  <c r="G854" i="5"/>
  <c r="H854" i="5"/>
  <c r="I854" i="5"/>
  <c r="J854" i="5"/>
  <c r="K854" i="5"/>
  <c r="L854" i="5"/>
  <c r="M854" i="5"/>
  <c r="N854" i="5"/>
  <c r="O854" i="5"/>
  <c r="P854" i="5"/>
  <c r="A853" i="5"/>
  <c r="B853" i="5"/>
  <c r="C853" i="5"/>
  <c r="D853" i="5"/>
  <c r="E853" i="5"/>
  <c r="F853" i="5"/>
  <c r="G853" i="5"/>
  <c r="H853" i="5"/>
  <c r="I853" i="5"/>
  <c r="J853" i="5"/>
  <c r="K853" i="5"/>
  <c r="L853" i="5"/>
  <c r="M853" i="5"/>
  <c r="N853" i="5"/>
  <c r="O853" i="5"/>
  <c r="P853" i="5"/>
  <c r="A852" i="5"/>
  <c r="B852" i="5"/>
  <c r="C852" i="5"/>
  <c r="D852" i="5"/>
  <c r="E852" i="5"/>
  <c r="F852" i="5"/>
  <c r="G852" i="5"/>
  <c r="H852" i="5"/>
  <c r="I852" i="5"/>
  <c r="J852" i="5"/>
  <c r="K852" i="5"/>
  <c r="L852" i="5"/>
  <c r="M852" i="5"/>
  <c r="N852" i="5"/>
  <c r="O852" i="5"/>
  <c r="P852" i="5"/>
  <c r="A851" i="5"/>
  <c r="B851" i="5"/>
  <c r="C851" i="5"/>
  <c r="D851" i="5"/>
  <c r="E851" i="5"/>
  <c r="F851" i="5"/>
  <c r="G851" i="5"/>
  <c r="H851" i="5"/>
  <c r="I851" i="5"/>
  <c r="J851" i="5"/>
  <c r="K851" i="5"/>
  <c r="L851" i="5"/>
  <c r="M851" i="5"/>
  <c r="N851" i="5"/>
  <c r="O851" i="5"/>
  <c r="P851" i="5"/>
  <c r="A850" i="5"/>
  <c r="B850" i="5"/>
  <c r="C850" i="5"/>
  <c r="D850" i="5"/>
  <c r="E850" i="5"/>
  <c r="F850" i="5"/>
  <c r="G850" i="5"/>
  <c r="H850" i="5"/>
  <c r="I850" i="5"/>
  <c r="J850" i="5"/>
  <c r="K850" i="5"/>
  <c r="L850" i="5"/>
  <c r="M850" i="5"/>
  <c r="N850" i="5"/>
  <c r="O850" i="5"/>
  <c r="P850" i="5"/>
  <c r="A849" i="5"/>
  <c r="B849" i="5"/>
  <c r="C849" i="5"/>
  <c r="D849" i="5"/>
  <c r="E849" i="5"/>
  <c r="F849" i="5"/>
  <c r="G849" i="5"/>
  <c r="H849" i="5"/>
  <c r="I849" i="5"/>
  <c r="J849" i="5"/>
  <c r="K849" i="5"/>
  <c r="L849" i="5"/>
  <c r="M849" i="5"/>
  <c r="N849" i="5"/>
  <c r="O849" i="5"/>
  <c r="P849" i="5"/>
  <c r="A848" i="5"/>
  <c r="B848" i="5"/>
  <c r="C848" i="5"/>
  <c r="D848" i="5"/>
  <c r="E848" i="5"/>
  <c r="F848" i="5"/>
  <c r="G848" i="5"/>
  <c r="H848" i="5"/>
  <c r="I848" i="5"/>
  <c r="J848" i="5"/>
  <c r="K848" i="5"/>
  <c r="L848" i="5"/>
  <c r="M848" i="5"/>
  <c r="N848" i="5"/>
  <c r="O848" i="5"/>
  <c r="P848" i="5"/>
  <c r="A847" i="5"/>
  <c r="B847" i="5"/>
  <c r="C847" i="5"/>
  <c r="D847" i="5"/>
  <c r="E847" i="5"/>
  <c r="F847" i="5"/>
  <c r="G847" i="5"/>
  <c r="H847" i="5"/>
  <c r="I847" i="5"/>
  <c r="J847" i="5"/>
  <c r="K847" i="5"/>
  <c r="L847" i="5"/>
  <c r="M847" i="5"/>
  <c r="N847" i="5"/>
  <c r="O847" i="5"/>
  <c r="P847" i="5"/>
  <c r="A846" i="5"/>
  <c r="B846" i="5"/>
  <c r="C846" i="5"/>
  <c r="D846" i="5"/>
  <c r="E846" i="5"/>
  <c r="F846" i="5"/>
  <c r="G846" i="5"/>
  <c r="H846" i="5"/>
  <c r="I846" i="5"/>
  <c r="J846" i="5"/>
  <c r="K846" i="5"/>
  <c r="L846" i="5"/>
  <c r="M846" i="5"/>
  <c r="N846" i="5"/>
  <c r="O846" i="5"/>
  <c r="P846" i="5"/>
  <c r="A845" i="5"/>
  <c r="B845" i="5"/>
  <c r="C845" i="5"/>
  <c r="D845" i="5"/>
  <c r="E845" i="5"/>
  <c r="F845" i="5"/>
  <c r="G845" i="5"/>
  <c r="H845" i="5"/>
  <c r="I845" i="5"/>
  <c r="J845" i="5"/>
  <c r="K845" i="5"/>
  <c r="L845" i="5"/>
  <c r="M845" i="5"/>
  <c r="N845" i="5"/>
  <c r="O845" i="5"/>
  <c r="P845" i="5"/>
  <c r="A844" i="5"/>
  <c r="B844" i="5"/>
  <c r="C844" i="5"/>
  <c r="D844" i="5"/>
  <c r="E844" i="5"/>
  <c r="F844" i="5"/>
  <c r="G844" i="5"/>
  <c r="H844" i="5"/>
  <c r="I844" i="5"/>
  <c r="J844" i="5"/>
  <c r="K844" i="5"/>
  <c r="L844" i="5"/>
  <c r="M844" i="5"/>
  <c r="N844" i="5"/>
  <c r="O844" i="5"/>
  <c r="P844" i="5"/>
  <c r="A843" i="5"/>
  <c r="B843" i="5"/>
  <c r="C843" i="5"/>
  <c r="D843" i="5"/>
  <c r="E843" i="5"/>
  <c r="F843" i="5"/>
  <c r="G843" i="5"/>
  <c r="H843" i="5"/>
  <c r="I843" i="5"/>
  <c r="J843" i="5"/>
  <c r="K843" i="5"/>
  <c r="L843" i="5"/>
  <c r="M843" i="5"/>
  <c r="N843" i="5"/>
  <c r="O843" i="5"/>
  <c r="P843" i="5"/>
  <c r="A842" i="5"/>
  <c r="B842" i="5"/>
  <c r="C842" i="5"/>
  <c r="D842" i="5"/>
  <c r="E842" i="5"/>
  <c r="F842" i="5"/>
  <c r="G842" i="5"/>
  <c r="H842" i="5"/>
  <c r="I842" i="5"/>
  <c r="J842" i="5"/>
  <c r="K842" i="5"/>
  <c r="L842" i="5"/>
  <c r="M842" i="5"/>
  <c r="N842" i="5"/>
  <c r="O842" i="5"/>
  <c r="P842" i="5"/>
  <c r="A841" i="5"/>
  <c r="B841" i="5"/>
  <c r="C841" i="5"/>
  <c r="D841" i="5"/>
  <c r="E841" i="5"/>
  <c r="F841" i="5"/>
  <c r="G841" i="5"/>
  <c r="H841" i="5"/>
  <c r="I841" i="5"/>
  <c r="J841" i="5"/>
  <c r="K841" i="5"/>
  <c r="L841" i="5"/>
  <c r="M841" i="5"/>
  <c r="N841" i="5"/>
  <c r="O841" i="5"/>
  <c r="P841" i="5"/>
  <c r="A840" i="5"/>
  <c r="B840" i="5"/>
  <c r="C840" i="5"/>
  <c r="D840" i="5"/>
  <c r="E840" i="5"/>
  <c r="F840" i="5"/>
  <c r="G840" i="5"/>
  <c r="H840" i="5"/>
  <c r="I840" i="5"/>
  <c r="J840" i="5"/>
  <c r="K840" i="5"/>
  <c r="L840" i="5"/>
  <c r="M840" i="5"/>
  <c r="N840" i="5"/>
  <c r="O840" i="5"/>
  <c r="P840" i="5"/>
  <c r="A839" i="5"/>
  <c r="B839" i="5"/>
  <c r="C839" i="5"/>
  <c r="D839" i="5"/>
  <c r="E839" i="5"/>
  <c r="F839" i="5"/>
  <c r="G839" i="5"/>
  <c r="H839" i="5"/>
  <c r="I839" i="5"/>
  <c r="J839" i="5"/>
  <c r="K839" i="5"/>
  <c r="L839" i="5"/>
  <c r="M839" i="5"/>
  <c r="N839" i="5"/>
  <c r="O839" i="5"/>
  <c r="P839" i="5"/>
  <c r="A838" i="5"/>
  <c r="B838" i="5"/>
  <c r="C838" i="5"/>
  <c r="D838" i="5"/>
  <c r="E838" i="5"/>
  <c r="F838" i="5"/>
  <c r="G838" i="5"/>
  <c r="H838" i="5"/>
  <c r="I838" i="5"/>
  <c r="J838" i="5"/>
  <c r="K838" i="5"/>
  <c r="L838" i="5"/>
  <c r="M838" i="5"/>
  <c r="N838" i="5"/>
  <c r="O838" i="5"/>
  <c r="P838" i="5"/>
  <c r="A837" i="5"/>
  <c r="B837" i="5"/>
  <c r="C837" i="5"/>
  <c r="D837" i="5"/>
  <c r="E837" i="5"/>
  <c r="F837" i="5"/>
  <c r="G837" i="5"/>
  <c r="H837" i="5"/>
  <c r="I837" i="5"/>
  <c r="J837" i="5"/>
  <c r="K837" i="5"/>
  <c r="L837" i="5"/>
  <c r="M837" i="5"/>
  <c r="N837" i="5"/>
  <c r="O837" i="5"/>
  <c r="P837" i="5"/>
  <c r="A836" i="5"/>
  <c r="B836" i="5"/>
  <c r="C836" i="5"/>
  <c r="D836" i="5"/>
  <c r="E836" i="5"/>
  <c r="F836" i="5"/>
  <c r="G836" i="5"/>
  <c r="H836" i="5"/>
  <c r="I836" i="5"/>
  <c r="J836" i="5"/>
  <c r="K836" i="5"/>
  <c r="L836" i="5"/>
  <c r="M836" i="5"/>
  <c r="N836" i="5"/>
  <c r="O836" i="5"/>
  <c r="P836" i="5"/>
  <c r="A835" i="5"/>
  <c r="B835" i="5"/>
  <c r="C835" i="5"/>
  <c r="D835" i="5"/>
  <c r="E835" i="5"/>
  <c r="F835" i="5"/>
  <c r="G835" i="5"/>
  <c r="H835" i="5"/>
  <c r="I835" i="5"/>
  <c r="J835" i="5"/>
  <c r="K835" i="5"/>
  <c r="L835" i="5"/>
  <c r="M835" i="5"/>
  <c r="N835" i="5"/>
  <c r="O835" i="5"/>
  <c r="P835" i="5"/>
  <c r="A834" i="5"/>
  <c r="B834" i="5"/>
  <c r="C834" i="5"/>
  <c r="D834" i="5"/>
  <c r="E834" i="5"/>
  <c r="F834" i="5"/>
  <c r="G834" i="5"/>
  <c r="H834" i="5"/>
  <c r="I834" i="5"/>
  <c r="J834" i="5"/>
  <c r="K834" i="5"/>
  <c r="L834" i="5"/>
  <c r="M834" i="5"/>
  <c r="N834" i="5"/>
  <c r="O834" i="5"/>
  <c r="P834" i="5"/>
  <c r="A833" i="5"/>
  <c r="B833" i="5"/>
  <c r="C833" i="5"/>
  <c r="D833" i="5"/>
  <c r="E833" i="5"/>
  <c r="F833" i="5"/>
  <c r="G833" i="5"/>
  <c r="H833" i="5"/>
  <c r="I833" i="5"/>
  <c r="J833" i="5"/>
  <c r="K833" i="5"/>
  <c r="L833" i="5"/>
  <c r="M833" i="5"/>
  <c r="N833" i="5"/>
  <c r="O833" i="5"/>
  <c r="P833" i="5"/>
  <c r="A832" i="5"/>
  <c r="B832" i="5"/>
  <c r="C832" i="5"/>
  <c r="D832" i="5"/>
  <c r="E832" i="5"/>
  <c r="F832" i="5"/>
  <c r="G832" i="5"/>
  <c r="H832" i="5"/>
  <c r="I832" i="5"/>
  <c r="J832" i="5"/>
  <c r="K832" i="5"/>
  <c r="L832" i="5"/>
  <c r="M832" i="5"/>
  <c r="N832" i="5"/>
  <c r="O832" i="5"/>
  <c r="P832" i="5"/>
  <c r="A831" i="5"/>
  <c r="B831" i="5"/>
  <c r="C831" i="5"/>
  <c r="D831" i="5"/>
  <c r="E831" i="5"/>
  <c r="F831" i="5"/>
  <c r="G831" i="5"/>
  <c r="H831" i="5"/>
  <c r="I831" i="5"/>
  <c r="J831" i="5"/>
  <c r="K831" i="5"/>
  <c r="L831" i="5"/>
  <c r="M831" i="5"/>
  <c r="N831" i="5"/>
  <c r="O831" i="5"/>
  <c r="P831" i="5"/>
  <c r="A830" i="5"/>
  <c r="B830" i="5"/>
  <c r="C830" i="5"/>
  <c r="D830" i="5"/>
  <c r="E830" i="5"/>
  <c r="F830" i="5"/>
  <c r="G830" i="5"/>
  <c r="H830" i="5"/>
  <c r="I830" i="5"/>
  <c r="J830" i="5"/>
  <c r="K830" i="5"/>
  <c r="L830" i="5"/>
  <c r="M830" i="5"/>
  <c r="N830" i="5"/>
  <c r="O830" i="5"/>
  <c r="P830" i="5"/>
  <c r="A829" i="5"/>
  <c r="B829" i="5"/>
  <c r="C829" i="5"/>
  <c r="D829" i="5"/>
  <c r="E829" i="5"/>
  <c r="F829" i="5"/>
  <c r="G829" i="5"/>
  <c r="H829" i="5"/>
  <c r="I829" i="5"/>
  <c r="J829" i="5"/>
  <c r="K829" i="5"/>
  <c r="L829" i="5"/>
  <c r="M829" i="5"/>
  <c r="N829" i="5"/>
  <c r="O829" i="5"/>
  <c r="P829" i="5"/>
  <c r="A828" i="5"/>
  <c r="B828" i="5"/>
  <c r="C828" i="5"/>
  <c r="D828" i="5"/>
  <c r="E828" i="5"/>
  <c r="F828" i="5"/>
  <c r="G828" i="5"/>
  <c r="H828" i="5"/>
  <c r="I828" i="5"/>
  <c r="J828" i="5"/>
  <c r="K828" i="5"/>
  <c r="L828" i="5"/>
  <c r="M828" i="5"/>
  <c r="N828" i="5"/>
  <c r="O828" i="5"/>
  <c r="P828" i="5"/>
  <c r="A827" i="5"/>
  <c r="B827" i="5"/>
  <c r="C827" i="5"/>
  <c r="D827" i="5"/>
  <c r="E827" i="5"/>
  <c r="F827" i="5"/>
  <c r="G827" i="5"/>
  <c r="H827" i="5"/>
  <c r="I827" i="5"/>
  <c r="J827" i="5"/>
  <c r="K827" i="5"/>
  <c r="L827" i="5"/>
  <c r="M827" i="5"/>
  <c r="N827" i="5"/>
  <c r="O827" i="5"/>
  <c r="P827" i="5"/>
  <c r="A826" i="5"/>
  <c r="B826" i="5"/>
  <c r="C826" i="5"/>
  <c r="D826" i="5"/>
  <c r="E826" i="5"/>
  <c r="F826" i="5"/>
  <c r="G826" i="5"/>
  <c r="H826" i="5"/>
  <c r="I826" i="5"/>
  <c r="J826" i="5"/>
  <c r="K826" i="5"/>
  <c r="L826" i="5"/>
  <c r="M826" i="5"/>
  <c r="N826" i="5"/>
  <c r="O826" i="5"/>
  <c r="P826" i="5"/>
  <c r="A825" i="5"/>
  <c r="B825" i="5"/>
  <c r="C825" i="5"/>
  <c r="D825" i="5"/>
  <c r="E825" i="5"/>
  <c r="F825" i="5"/>
  <c r="G825" i="5"/>
  <c r="H825" i="5"/>
  <c r="I825" i="5"/>
  <c r="J825" i="5"/>
  <c r="K825" i="5"/>
  <c r="L825" i="5"/>
  <c r="M825" i="5"/>
  <c r="N825" i="5"/>
  <c r="O825" i="5"/>
  <c r="P825" i="5"/>
  <c r="A824" i="5"/>
  <c r="B824" i="5"/>
  <c r="C824" i="5"/>
  <c r="D824" i="5"/>
  <c r="E824" i="5"/>
  <c r="F824" i="5"/>
  <c r="G824" i="5"/>
  <c r="H824" i="5"/>
  <c r="I824" i="5"/>
  <c r="J824" i="5"/>
  <c r="K824" i="5"/>
  <c r="L824" i="5"/>
  <c r="M824" i="5"/>
  <c r="N824" i="5"/>
  <c r="O824" i="5"/>
  <c r="P824" i="5"/>
  <c r="A823" i="5"/>
  <c r="B823" i="5"/>
  <c r="C823" i="5"/>
  <c r="D823" i="5"/>
  <c r="E823" i="5"/>
  <c r="F823" i="5"/>
  <c r="G823" i="5"/>
  <c r="H823" i="5"/>
  <c r="I823" i="5"/>
  <c r="J823" i="5"/>
  <c r="K823" i="5"/>
  <c r="L823" i="5"/>
  <c r="M823" i="5"/>
  <c r="N823" i="5"/>
  <c r="O823" i="5"/>
  <c r="P823" i="5"/>
  <c r="A822" i="5"/>
  <c r="B822" i="5"/>
  <c r="C822" i="5"/>
  <c r="D822" i="5"/>
  <c r="E822" i="5"/>
  <c r="F822" i="5"/>
  <c r="G822" i="5"/>
  <c r="H822" i="5"/>
  <c r="I822" i="5"/>
  <c r="J822" i="5"/>
  <c r="K822" i="5"/>
  <c r="L822" i="5"/>
  <c r="M822" i="5"/>
  <c r="N822" i="5"/>
  <c r="O822" i="5"/>
  <c r="P822" i="5"/>
  <c r="A821" i="5"/>
  <c r="B821" i="5"/>
  <c r="C821" i="5"/>
  <c r="D821" i="5"/>
  <c r="E821" i="5"/>
  <c r="F821" i="5"/>
  <c r="G821" i="5"/>
  <c r="H821" i="5"/>
  <c r="I821" i="5"/>
  <c r="J821" i="5"/>
  <c r="K821" i="5"/>
  <c r="L821" i="5"/>
  <c r="M821" i="5"/>
  <c r="N821" i="5"/>
  <c r="O821" i="5"/>
  <c r="P821" i="5"/>
  <c r="A820" i="5"/>
  <c r="B820" i="5"/>
  <c r="C820" i="5"/>
  <c r="D820" i="5"/>
  <c r="E820" i="5"/>
  <c r="F820" i="5"/>
  <c r="G820" i="5"/>
  <c r="H820" i="5"/>
  <c r="I820" i="5"/>
  <c r="J820" i="5"/>
  <c r="K820" i="5"/>
  <c r="L820" i="5"/>
  <c r="M820" i="5"/>
  <c r="N820" i="5"/>
  <c r="O820" i="5"/>
  <c r="P820" i="5"/>
  <c r="A819" i="5"/>
  <c r="B819" i="5"/>
  <c r="C819" i="5"/>
  <c r="D819" i="5"/>
  <c r="E819" i="5"/>
  <c r="F819" i="5"/>
  <c r="G819" i="5"/>
  <c r="H819" i="5"/>
  <c r="I819" i="5"/>
  <c r="J819" i="5"/>
  <c r="K819" i="5"/>
  <c r="L819" i="5"/>
  <c r="M819" i="5"/>
  <c r="N819" i="5"/>
  <c r="O819" i="5"/>
  <c r="P819" i="5"/>
  <c r="A818" i="5"/>
  <c r="B818" i="5"/>
  <c r="C818" i="5"/>
  <c r="D818" i="5"/>
  <c r="E818" i="5"/>
  <c r="F818" i="5"/>
  <c r="G818" i="5"/>
  <c r="H818" i="5"/>
  <c r="I818" i="5"/>
  <c r="J818" i="5"/>
  <c r="K818" i="5"/>
  <c r="L818" i="5"/>
  <c r="M818" i="5"/>
  <c r="N818" i="5"/>
  <c r="O818" i="5"/>
  <c r="P818" i="5"/>
  <c r="A817" i="5"/>
  <c r="B817" i="5"/>
  <c r="C817" i="5"/>
  <c r="D817" i="5"/>
  <c r="E817" i="5"/>
  <c r="F817" i="5"/>
  <c r="G817" i="5"/>
  <c r="H817" i="5"/>
  <c r="I817" i="5"/>
  <c r="J817" i="5"/>
  <c r="K817" i="5"/>
  <c r="L817" i="5"/>
  <c r="M817" i="5"/>
  <c r="N817" i="5"/>
  <c r="O817" i="5"/>
  <c r="P817" i="5"/>
  <c r="F816" i="5"/>
  <c r="G816" i="5"/>
  <c r="H816" i="5"/>
  <c r="I816" i="5"/>
  <c r="J816" i="5"/>
  <c r="K816" i="5"/>
  <c r="L816" i="5"/>
  <c r="M816" i="5"/>
  <c r="N816" i="5"/>
  <c r="O816" i="5"/>
  <c r="P816" i="5"/>
  <c r="A816" i="5"/>
  <c r="B816" i="5"/>
  <c r="C816" i="5"/>
  <c r="D816" i="5"/>
  <c r="E816" i="5"/>
  <c r="A815" i="5"/>
  <c r="B815" i="5"/>
  <c r="C815" i="5"/>
  <c r="D815" i="5"/>
  <c r="E815" i="5"/>
  <c r="F815" i="5"/>
  <c r="G815" i="5"/>
  <c r="H815" i="5"/>
  <c r="I815" i="5"/>
  <c r="J815" i="5"/>
  <c r="K815" i="5"/>
  <c r="L815" i="5"/>
  <c r="M815" i="5"/>
  <c r="N815" i="5"/>
  <c r="O815" i="5"/>
  <c r="P815" i="5"/>
  <c r="A814" i="5"/>
  <c r="B814" i="5"/>
  <c r="C814" i="5"/>
  <c r="D814" i="5"/>
  <c r="E814" i="5"/>
  <c r="F814" i="5"/>
  <c r="G814" i="5"/>
  <c r="H814" i="5"/>
  <c r="I814" i="5"/>
  <c r="J814" i="5"/>
  <c r="K814" i="5"/>
  <c r="L814" i="5"/>
  <c r="M814" i="5"/>
  <c r="N814" i="5"/>
  <c r="O814" i="5"/>
  <c r="P814" i="5"/>
  <c r="A813" i="5"/>
  <c r="B813" i="5"/>
  <c r="C813" i="5"/>
  <c r="D813" i="5"/>
  <c r="E813" i="5"/>
  <c r="F813" i="5"/>
  <c r="G813" i="5"/>
  <c r="H813" i="5"/>
  <c r="I813" i="5"/>
  <c r="J813" i="5"/>
  <c r="K813" i="5"/>
  <c r="L813" i="5"/>
  <c r="M813" i="5"/>
  <c r="N813" i="5"/>
  <c r="O813" i="5"/>
  <c r="P813" i="5"/>
  <c r="A812" i="5"/>
  <c r="B812" i="5"/>
  <c r="C812" i="5"/>
  <c r="D812" i="5"/>
  <c r="E812" i="5"/>
  <c r="F812" i="5"/>
  <c r="G812" i="5"/>
  <c r="H812" i="5"/>
  <c r="I812" i="5"/>
  <c r="J812" i="5"/>
  <c r="K812" i="5"/>
  <c r="L812" i="5"/>
  <c r="M812" i="5"/>
  <c r="N812" i="5"/>
  <c r="O812" i="5"/>
  <c r="P812" i="5"/>
  <c r="A811" i="5"/>
  <c r="D811" i="5"/>
  <c r="H811" i="5"/>
  <c r="B811" i="5"/>
  <c r="C811" i="5"/>
  <c r="E811" i="5"/>
  <c r="F811" i="5"/>
  <c r="G811" i="5"/>
  <c r="I811" i="5"/>
  <c r="J811" i="5"/>
  <c r="K811" i="5"/>
  <c r="L811" i="5"/>
  <c r="M811" i="5"/>
  <c r="N811" i="5"/>
  <c r="O811" i="5"/>
  <c r="P811" i="5"/>
  <c r="B810" i="5"/>
  <c r="F810" i="5"/>
  <c r="J810" i="5"/>
  <c r="N810" i="5"/>
  <c r="A810" i="5"/>
  <c r="C810" i="5"/>
  <c r="D810" i="5"/>
  <c r="E810" i="5"/>
  <c r="G810" i="5"/>
  <c r="H810" i="5"/>
  <c r="I810" i="5"/>
  <c r="K810" i="5"/>
  <c r="L810" i="5"/>
  <c r="M810" i="5"/>
  <c r="O810" i="5"/>
  <c r="P810" i="5"/>
  <c r="A809" i="5"/>
  <c r="C809" i="5"/>
  <c r="D809" i="5"/>
  <c r="F809" i="5"/>
  <c r="H809" i="5"/>
  <c r="K809" i="5"/>
  <c r="M809" i="5"/>
  <c r="B809" i="5"/>
  <c r="E809" i="5"/>
  <c r="G809" i="5"/>
  <c r="I809" i="5"/>
  <c r="J809" i="5"/>
  <c r="L809" i="5"/>
  <c r="N809" i="5"/>
  <c r="O809" i="5"/>
  <c r="P809" i="5"/>
  <c r="B808" i="5"/>
  <c r="E808" i="5"/>
  <c r="G808" i="5"/>
  <c r="I808" i="5"/>
  <c r="L808" i="5"/>
  <c r="M808" i="5"/>
  <c r="O808" i="5"/>
  <c r="A808" i="5"/>
  <c r="C808" i="5"/>
  <c r="D808" i="5"/>
  <c r="F808" i="5"/>
  <c r="H808" i="5"/>
  <c r="J808" i="5"/>
  <c r="K808" i="5"/>
  <c r="N808" i="5"/>
  <c r="P808" i="5"/>
  <c r="B807" i="5"/>
  <c r="C807" i="5"/>
  <c r="E807" i="5"/>
  <c r="G807" i="5"/>
  <c r="J807" i="5"/>
  <c r="M807" i="5"/>
  <c r="O807" i="5"/>
  <c r="A807" i="5"/>
  <c r="D807" i="5"/>
  <c r="F807" i="5"/>
  <c r="H807" i="5"/>
  <c r="I807" i="5"/>
  <c r="K807" i="5"/>
  <c r="L807" i="5"/>
  <c r="N807" i="5"/>
  <c r="P807" i="5"/>
  <c r="A806" i="5"/>
  <c r="D806" i="5"/>
  <c r="F806" i="5"/>
  <c r="H806" i="5"/>
  <c r="I806" i="5"/>
  <c r="K806" i="5"/>
  <c r="L806" i="5"/>
  <c r="M806" i="5"/>
  <c r="P806" i="5"/>
  <c r="B806" i="5"/>
  <c r="C806" i="5"/>
  <c r="E806" i="5"/>
  <c r="G806" i="5"/>
  <c r="J806" i="5"/>
  <c r="N806" i="5"/>
  <c r="O806" i="5"/>
  <c r="C805" i="5"/>
  <c r="F805" i="5"/>
  <c r="H805" i="5"/>
  <c r="J805" i="5"/>
  <c r="L805" i="5"/>
  <c r="N805" i="5"/>
  <c r="P805" i="5"/>
  <c r="A805" i="5"/>
  <c r="B805" i="5"/>
  <c r="D805" i="5"/>
  <c r="E805" i="5"/>
  <c r="G805" i="5"/>
  <c r="I805" i="5"/>
  <c r="K805" i="5"/>
  <c r="M805" i="5"/>
  <c r="O805" i="5"/>
  <c r="B804" i="5"/>
  <c r="D804" i="5"/>
  <c r="F804" i="5"/>
  <c r="H804" i="5"/>
  <c r="L804" i="5"/>
  <c r="M804" i="5"/>
  <c r="O804" i="5"/>
  <c r="A804" i="5"/>
  <c r="C804" i="5"/>
  <c r="E804" i="5"/>
  <c r="G804" i="5"/>
  <c r="I804" i="5"/>
  <c r="J804" i="5"/>
  <c r="K804" i="5"/>
  <c r="N804" i="5"/>
  <c r="P804" i="5"/>
  <c r="A803" i="5"/>
  <c r="C803" i="5"/>
  <c r="D803" i="5"/>
  <c r="G803" i="5"/>
  <c r="I803" i="5"/>
  <c r="J803" i="5"/>
  <c r="K803" i="5"/>
  <c r="M803" i="5"/>
  <c r="N803" i="5"/>
  <c r="O803" i="5"/>
  <c r="P803" i="5"/>
  <c r="B803" i="5"/>
  <c r="E803" i="5"/>
  <c r="F803" i="5"/>
  <c r="H803" i="5"/>
  <c r="L803" i="5"/>
  <c r="A802" i="5"/>
  <c r="D802" i="5"/>
  <c r="E802" i="5"/>
  <c r="I802" i="5"/>
  <c r="L802" i="5"/>
  <c r="N802" i="5"/>
  <c r="P802" i="5"/>
  <c r="B802" i="5"/>
  <c r="C802" i="5"/>
  <c r="F802" i="5"/>
  <c r="G802" i="5"/>
  <c r="H802" i="5"/>
  <c r="J802" i="5"/>
  <c r="K802" i="5"/>
  <c r="M802" i="5"/>
  <c r="O802" i="5"/>
  <c r="A801" i="5"/>
  <c r="C801" i="5"/>
  <c r="E801" i="5"/>
  <c r="G801" i="5"/>
  <c r="J801" i="5"/>
  <c r="L801" i="5"/>
  <c r="O801" i="5"/>
  <c r="B801" i="5"/>
  <c r="D801" i="5"/>
  <c r="F801" i="5"/>
  <c r="H801" i="5"/>
  <c r="I801" i="5"/>
  <c r="K801" i="5"/>
  <c r="M801" i="5"/>
  <c r="N801" i="5"/>
  <c r="P801" i="5"/>
  <c r="B800" i="5"/>
  <c r="C800" i="5"/>
  <c r="G800" i="5"/>
  <c r="I800" i="5"/>
  <c r="K800" i="5"/>
  <c r="M800" i="5"/>
  <c r="O800" i="5"/>
  <c r="A800" i="5"/>
  <c r="D800" i="5"/>
  <c r="E800" i="5"/>
  <c r="F800" i="5"/>
  <c r="H800" i="5"/>
  <c r="J800" i="5"/>
  <c r="L800" i="5"/>
  <c r="N800" i="5"/>
  <c r="P800" i="5"/>
  <c r="A799" i="5"/>
  <c r="C799" i="5"/>
  <c r="F799" i="5"/>
  <c r="G799" i="5"/>
  <c r="H799" i="5"/>
  <c r="M799" i="5"/>
  <c r="P799" i="5"/>
  <c r="B799" i="5"/>
  <c r="D799" i="5"/>
  <c r="E799" i="5"/>
  <c r="I799" i="5"/>
  <c r="J799" i="5"/>
  <c r="K799" i="5"/>
  <c r="L799" i="5"/>
  <c r="N799" i="5"/>
  <c r="O799" i="5"/>
  <c r="C798" i="5"/>
  <c r="E798" i="5"/>
  <c r="F798" i="5"/>
  <c r="G798" i="5"/>
  <c r="I798" i="5"/>
  <c r="J798" i="5"/>
  <c r="L798" i="5"/>
  <c r="N798" i="5"/>
  <c r="A798" i="5"/>
  <c r="B798" i="5"/>
  <c r="D798" i="5"/>
  <c r="H798" i="5"/>
  <c r="K798" i="5"/>
  <c r="M798" i="5"/>
  <c r="O798" i="5"/>
  <c r="P798" i="5"/>
  <c r="A797" i="5"/>
  <c r="B797" i="5"/>
  <c r="C797" i="5"/>
  <c r="D797" i="5"/>
  <c r="E797" i="5"/>
  <c r="F797" i="5"/>
  <c r="G797" i="5"/>
  <c r="H797" i="5"/>
  <c r="I797" i="5"/>
  <c r="J797" i="5"/>
  <c r="K797" i="5"/>
  <c r="L797" i="5"/>
  <c r="M797" i="5"/>
  <c r="N797" i="5"/>
  <c r="P797" i="5"/>
  <c r="O797" i="5"/>
  <c r="A796" i="5"/>
  <c r="B796" i="5"/>
  <c r="C796" i="5"/>
  <c r="D796" i="5"/>
  <c r="E796" i="5"/>
  <c r="F796" i="5"/>
  <c r="G796" i="5"/>
  <c r="H796" i="5"/>
  <c r="I796" i="5"/>
  <c r="J796" i="5"/>
  <c r="K796" i="5"/>
  <c r="L796" i="5"/>
  <c r="M796" i="5"/>
  <c r="N796" i="5"/>
  <c r="O796" i="5"/>
  <c r="P796" i="5"/>
  <c r="A795" i="5"/>
  <c r="B795" i="5"/>
  <c r="C795" i="5"/>
  <c r="D795" i="5"/>
  <c r="E795" i="5"/>
  <c r="F795" i="5"/>
  <c r="G795" i="5"/>
  <c r="H795" i="5"/>
  <c r="I795" i="5"/>
  <c r="J795" i="5"/>
  <c r="K795" i="5"/>
  <c r="L795" i="5"/>
  <c r="M795" i="5"/>
  <c r="N795" i="5"/>
  <c r="O795" i="5"/>
  <c r="P795" i="5"/>
  <c r="A794" i="5"/>
  <c r="B794" i="5"/>
  <c r="C794" i="5"/>
  <c r="D794" i="5"/>
  <c r="E794" i="5"/>
  <c r="F794" i="5"/>
  <c r="G794" i="5"/>
  <c r="H794" i="5"/>
  <c r="I794" i="5"/>
  <c r="J794" i="5"/>
  <c r="K794" i="5"/>
  <c r="L794" i="5"/>
  <c r="M794" i="5"/>
  <c r="N794" i="5"/>
  <c r="O794" i="5"/>
  <c r="P794" i="5"/>
  <c r="A793" i="5"/>
  <c r="B793" i="5"/>
  <c r="C793" i="5"/>
  <c r="D793" i="5"/>
  <c r="E793" i="5"/>
  <c r="F793" i="5"/>
  <c r="G793" i="5"/>
  <c r="H793" i="5"/>
  <c r="I793" i="5"/>
  <c r="J793" i="5"/>
  <c r="K793" i="5"/>
  <c r="L793" i="5"/>
  <c r="M793" i="5"/>
  <c r="N793" i="5"/>
  <c r="O793" i="5"/>
  <c r="P793" i="5"/>
  <c r="A792" i="5"/>
  <c r="B792" i="5"/>
  <c r="C792" i="5"/>
  <c r="D792" i="5"/>
  <c r="E792" i="5"/>
  <c r="F792" i="5"/>
  <c r="G792" i="5"/>
  <c r="H792" i="5"/>
  <c r="I792" i="5"/>
  <c r="J792" i="5"/>
  <c r="K792" i="5"/>
  <c r="L792" i="5"/>
  <c r="M792" i="5"/>
  <c r="N792" i="5"/>
  <c r="O792" i="5"/>
  <c r="P792" i="5"/>
  <c r="A791" i="5"/>
  <c r="B791" i="5"/>
  <c r="C791" i="5"/>
  <c r="D791" i="5"/>
  <c r="E791" i="5"/>
  <c r="F791" i="5"/>
  <c r="G791" i="5"/>
  <c r="H791" i="5"/>
  <c r="I791" i="5"/>
  <c r="J791" i="5"/>
  <c r="K791" i="5"/>
  <c r="L791" i="5"/>
  <c r="M791" i="5"/>
  <c r="N791" i="5"/>
  <c r="O791" i="5"/>
  <c r="P791" i="5"/>
  <c r="A790" i="5"/>
  <c r="B790" i="5"/>
  <c r="C790" i="5"/>
  <c r="D790" i="5"/>
  <c r="E790" i="5"/>
  <c r="F790" i="5"/>
  <c r="G790" i="5"/>
  <c r="H790" i="5"/>
  <c r="I790" i="5"/>
  <c r="J790" i="5"/>
  <c r="K790" i="5"/>
  <c r="L790" i="5"/>
  <c r="M790" i="5"/>
  <c r="N790" i="5"/>
  <c r="O790" i="5"/>
  <c r="P790" i="5"/>
  <c r="C789" i="5"/>
  <c r="D789" i="5"/>
  <c r="G789" i="5"/>
  <c r="H789" i="5"/>
  <c r="J789" i="5"/>
  <c r="L789" i="5"/>
  <c r="N789" i="5"/>
  <c r="O789" i="5"/>
  <c r="P789" i="5"/>
  <c r="A789" i="5"/>
  <c r="B789" i="5"/>
  <c r="E789" i="5"/>
  <c r="F789" i="5"/>
  <c r="I789" i="5"/>
  <c r="K789" i="5"/>
  <c r="M789" i="5"/>
  <c r="B788" i="5"/>
  <c r="D788" i="5"/>
  <c r="E788" i="5"/>
  <c r="H788" i="5"/>
  <c r="J788" i="5"/>
  <c r="M788" i="5"/>
  <c r="P788" i="5"/>
  <c r="A788" i="5"/>
  <c r="C788" i="5"/>
  <c r="F788" i="5"/>
  <c r="G788" i="5"/>
  <c r="I788" i="5"/>
  <c r="K788" i="5"/>
  <c r="L788" i="5"/>
  <c r="N788" i="5"/>
  <c r="O788" i="5"/>
  <c r="A787" i="5"/>
  <c r="C787" i="5"/>
  <c r="E787" i="5"/>
  <c r="G787" i="5"/>
  <c r="I787" i="5"/>
  <c r="J787" i="5"/>
  <c r="L787" i="5"/>
  <c r="N787" i="5"/>
  <c r="P787" i="5"/>
  <c r="B787" i="5"/>
  <c r="D787" i="5"/>
  <c r="F787" i="5"/>
  <c r="H787" i="5"/>
  <c r="K787" i="5"/>
  <c r="M787" i="5"/>
  <c r="O787" i="5"/>
  <c r="A786" i="5"/>
  <c r="C786" i="5"/>
  <c r="E786" i="5"/>
  <c r="F786" i="5"/>
  <c r="H786" i="5"/>
  <c r="L786" i="5"/>
  <c r="N786" i="5"/>
  <c r="B786" i="5"/>
  <c r="D786" i="5"/>
  <c r="G786" i="5"/>
  <c r="I786" i="5"/>
  <c r="J786" i="5"/>
  <c r="K786" i="5"/>
  <c r="M786" i="5"/>
  <c r="O786" i="5"/>
  <c r="P786" i="5"/>
  <c r="A785" i="5"/>
  <c r="B785" i="5"/>
  <c r="C785" i="5"/>
  <c r="D785" i="5"/>
  <c r="E785" i="5"/>
  <c r="F785" i="5"/>
  <c r="G785" i="5"/>
  <c r="H785" i="5"/>
  <c r="I785" i="5"/>
  <c r="J785" i="5"/>
  <c r="K785" i="5"/>
  <c r="L785" i="5"/>
  <c r="M785" i="5"/>
  <c r="O785" i="5"/>
  <c r="N785" i="5"/>
  <c r="P785" i="5"/>
  <c r="A784" i="5"/>
  <c r="B784" i="5"/>
  <c r="C784" i="5"/>
  <c r="D784" i="5"/>
  <c r="E784" i="5"/>
  <c r="F784" i="5"/>
  <c r="G784" i="5"/>
  <c r="H784" i="5"/>
  <c r="I784" i="5"/>
  <c r="J784" i="5"/>
  <c r="K784" i="5"/>
  <c r="L784" i="5"/>
  <c r="M784" i="5"/>
  <c r="N784" i="5"/>
  <c r="O784" i="5"/>
  <c r="P784" i="5"/>
  <c r="A783" i="5"/>
  <c r="B783" i="5"/>
  <c r="C783" i="5"/>
  <c r="D783" i="5"/>
  <c r="E783" i="5"/>
  <c r="F783" i="5"/>
  <c r="G783" i="5"/>
  <c r="H783" i="5"/>
  <c r="I783" i="5"/>
  <c r="J783" i="5"/>
  <c r="K783" i="5"/>
  <c r="L783" i="5"/>
  <c r="M783" i="5"/>
  <c r="N783" i="5"/>
  <c r="O783" i="5"/>
  <c r="P783" i="5"/>
  <c r="A782" i="5"/>
  <c r="B782" i="5"/>
  <c r="C782" i="5"/>
  <c r="D782" i="5"/>
  <c r="E782" i="5"/>
  <c r="F782" i="5"/>
  <c r="G782" i="5"/>
  <c r="H782" i="5"/>
  <c r="I782" i="5"/>
  <c r="J782" i="5"/>
  <c r="K782" i="5"/>
  <c r="L782" i="5"/>
  <c r="M782" i="5"/>
  <c r="N782" i="5"/>
  <c r="O782" i="5"/>
  <c r="P782" i="5"/>
  <c r="A781" i="5"/>
  <c r="B781" i="5"/>
  <c r="C781" i="5"/>
  <c r="D781" i="5"/>
  <c r="E781" i="5"/>
  <c r="F781" i="5"/>
  <c r="G781" i="5"/>
  <c r="H781" i="5"/>
  <c r="I781" i="5"/>
  <c r="J781" i="5"/>
  <c r="K781" i="5"/>
  <c r="L781" i="5"/>
  <c r="M781" i="5"/>
  <c r="N781" i="5"/>
  <c r="O781" i="5"/>
  <c r="P781" i="5"/>
  <c r="A780" i="5"/>
  <c r="B780" i="5"/>
  <c r="C780" i="5"/>
  <c r="D780" i="5"/>
  <c r="E780" i="5"/>
  <c r="F780" i="5"/>
  <c r="G780" i="5"/>
  <c r="H780" i="5"/>
  <c r="I780" i="5"/>
  <c r="J780" i="5"/>
  <c r="K780" i="5"/>
  <c r="L780" i="5"/>
  <c r="M780" i="5"/>
  <c r="N780" i="5"/>
  <c r="O780" i="5"/>
  <c r="P780" i="5"/>
  <c r="A778" i="5"/>
  <c r="B778" i="5"/>
  <c r="C778" i="5"/>
  <c r="D778" i="5"/>
  <c r="E778" i="5"/>
  <c r="F778" i="5"/>
  <c r="G778" i="5"/>
  <c r="H778" i="5"/>
  <c r="I778" i="5"/>
  <c r="J778" i="5"/>
  <c r="K778" i="5"/>
  <c r="L778" i="5"/>
  <c r="M778" i="5"/>
  <c r="N778" i="5"/>
  <c r="O778" i="5"/>
  <c r="P778" i="5"/>
  <c r="A777" i="5"/>
  <c r="B777" i="5"/>
  <c r="C777" i="5"/>
  <c r="D777" i="5"/>
  <c r="E777" i="5"/>
  <c r="F777" i="5"/>
  <c r="G777" i="5"/>
  <c r="H777" i="5"/>
  <c r="I777" i="5"/>
  <c r="J777" i="5"/>
  <c r="K777" i="5"/>
  <c r="L777" i="5"/>
  <c r="M777" i="5"/>
  <c r="N777" i="5"/>
  <c r="O777" i="5"/>
  <c r="P777" i="5"/>
  <c r="A776" i="5"/>
  <c r="B776" i="5"/>
  <c r="C776" i="5"/>
  <c r="D776" i="5"/>
  <c r="E776" i="5"/>
  <c r="F776" i="5"/>
  <c r="G776" i="5"/>
  <c r="H776" i="5"/>
  <c r="I776" i="5"/>
  <c r="J776" i="5"/>
  <c r="K776" i="5"/>
  <c r="L776" i="5"/>
  <c r="M776" i="5"/>
  <c r="N776" i="5"/>
  <c r="O776" i="5"/>
  <c r="P776" i="5"/>
  <c r="A775" i="5"/>
  <c r="B775" i="5"/>
  <c r="C775" i="5"/>
  <c r="D775" i="5"/>
  <c r="E775" i="5"/>
  <c r="F775" i="5"/>
  <c r="G775" i="5"/>
  <c r="H775" i="5"/>
  <c r="I775" i="5"/>
  <c r="J775" i="5"/>
  <c r="K775" i="5"/>
  <c r="L775" i="5"/>
  <c r="M775" i="5"/>
  <c r="N775" i="5"/>
  <c r="O775" i="5"/>
  <c r="P775" i="5"/>
  <c r="A774" i="5"/>
  <c r="B774" i="5"/>
  <c r="C774" i="5"/>
  <c r="D774" i="5"/>
  <c r="E774" i="5"/>
  <c r="F774" i="5"/>
  <c r="G774" i="5"/>
  <c r="H774" i="5"/>
  <c r="I774" i="5"/>
  <c r="J774" i="5"/>
  <c r="K774" i="5"/>
  <c r="L774" i="5"/>
  <c r="M774" i="5"/>
  <c r="N774" i="5"/>
  <c r="O774" i="5"/>
  <c r="P774" i="5"/>
  <c r="A773" i="5"/>
  <c r="B773" i="5"/>
  <c r="C773" i="5"/>
  <c r="D773" i="5"/>
  <c r="E773" i="5"/>
  <c r="F773" i="5"/>
  <c r="G773" i="5"/>
  <c r="H773" i="5"/>
  <c r="I773" i="5"/>
  <c r="J773" i="5"/>
  <c r="K773" i="5"/>
  <c r="L773" i="5"/>
  <c r="M773" i="5"/>
  <c r="N773" i="5"/>
  <c r="O773" i="5"/>
  <c r="P773" i="5"/>
  <c r="A772" i="5"/>
  <c r="B772" i="5"/>
  <c r="C772" i="5"/>
  <c r="D772" i="5"/>
  <c r="E772" i="5"/>
  <c r="F772" i="5"/>
  <c r="G772" i="5"/>
  <c r="H772" i="5"/>
  <c r="I772" i="5"/>
  <c r="J772" i="5"/>
  <c r="K772" i="5"/>
  <c r="L772" i="5"/>
  <c r="M772" i="5"/>
  <c r="N772" i="5"/>
  <c r="O772" i="5"/>
  <c r="P772" i="5"/>
  <c r="A771" i="5"/>
  <c r="B771" i="5"/>
  <c r="C771" i="5"/>
  <c r="D771" i="5"/>
  <c r="E771" i="5"/>
  <c r="F771" i="5"/>
  <c r="G771" i="5"/>
  <c r="H771" i="5"/>
  <c r="I771" i="5"/>
  <c r="J771" i="5"/>
  <c r="K771" i="5"/>
  <c r="L771" i="5"/>
  <c r="M771" i="5"/>
  <c r="N771" i="5"/>
  <c r="O771" i="5"/>
  <c r="P771" i="5"/>
  <c r="A770" i="5"/>
  <c r="B770" i="5"/>
  <c r="C770" i="5"/>
  <c r="D770" i="5"/>
  <c r="E770" i="5"/>
  <c r="F770" i="5"/>
  <c r="G770" i="5"/>
  <c r="H770" i="5"/>
  <c r="I770" i="5"/>
  <c r="J770" i="5"/>
  <c r="K770" i="5"/>
  <c r="L770" i="5"/>
  <c r="M770" i="5"/>
  <c r="N770" i="5"/>
  <c r="O770" i="5"/>
  <c r="P770" i="5"/>
  <c r="A769" i="5"/>
  <c r="B769" i="5"/>
  <c r="C769" i="5"/>
  <c r="D769" i="5"/>
  <c r="E769" i="5"/>
  <c r="F769" i="5"/>
  <c r="G769" i="5"/>
  <c r="H769" i="5"/>
  <c r="I769" i="5"/>
  <c r="J769" i="5"/>
  <c r="K769" i="5"/>
  <c r="L769" i="5"/>
  <c r="M769" i="5"/>
  <c r="N769" i="5"/>
  <c r="O769" i="5"/>
  <c r="P769" i="5"/>
  <c r="A768" i="5"/>
  <c r="B768" i="5"/>
  <c r="C768" i="5"/>
  <c r="D768" i="5"/>
  <c r="E768" i="5"/>
  <c r="F768" i="5"/>
  <c r="G768" i="5"/>
  <c r="H768" i="5"/>
  <c r="I768" i="5"/>
  <c r="J768" i="5"/>
  <c r="K768" i="5"/>
  <c r="L768" i="5"/>
  <c r="M768" i="5"/>
  <c r="N768" i="5"/>
  <c r="O768" i="5"/>
  <c r="P768" i="5"/>
  <c r="A767" i="5"/>
  <c r="B767" i="5"/>
  <c r="C767" i="5"/>
  <c r="D767" i="5"/>
  <c r="E767" i="5"/>
  <c r="F767" i="5"/>
  <c r="G767" i="5"/>
  <c r="H767" i="5"/>
  <c r="I767" i="5"/>
  <c r="J767" i="5"/>
  <c r="K767" i="5"/>
  <c r="L767" i="5"/>
  <c r="M767" i="5"/>
  <c r="N767" i="5"/>
  <c r="O767" i="5"/>
  <c r="P767" i="5"/>
  <c r="A766" i="5"/>
  <c r="B766" i="5"/>
  <c r="C766" i="5"/>
  <c r="D766" i="5"/>
  <c r="E766" i="5"/>
  <c r="F766" i="5"/>
  <c r="G766" i="5"/>
  <c r="H766" i="5"/>
  <c r="I766" i="5"/>
  <c r="J766" i="5"/>
  <c r="K766" i="5"/>
  <c r="L766" i="5"/>
  <c r="M766" i="5"/>
  <c r="N766" i="5"/>
  <c r="O766" i="5"/>
  <c r="P766" i="5"/>
  <c r="A765" i="5"/>
  <c r="B765" i="5"/>
  <c r="C765" i="5"/>
  <c r="D765" i="5"/>
  <c r="E765" i="5"/>
  <c r="F765" i="5"/>
  <c r="G765" i="5"/>
  <c r="H765" i="5"/>
  <c r="I765" i="5"/>
  <c r="J765" i="5"/>
  <c r="K765" i="5"/>
  <c r="L765" i="5"/>
  <c r="M765" i="5"/>
  <c r="N765" i="5"/>
  <c r="O765" i="5"/>
  <c r="P765" i="5"/>
  <c r="A764" i="5"/>
  <c r="B764" i="5"/>
  <c r="C764" i="5"/>
  <c r="D764" i="5"/>
  <c r="E764" i="5"/>
  <c r="F764" i="5"/>
  <c r="G764" i="5"/>
  <c r="H764" i="5"/>
  <c r="I764" i="5"/>
  <c r="J764" i="5"/>
  <c r="K764" i="5"/>
  <c r="L764" i="5"/>
  <c r="M764" i="5"/>
  <c r="N764" i="5"/>
  <c r="O764" i="5"/>
  <c r="P764" i="5"/>
  <c r="A763" i="5"/>
  <c r="B763" i="5"/>
  <c r="C763" i="5"/>
  <c r="D763" i="5"/>
  <c r="E763" i="5"/>
  <c r="F763" i="5"/>
  <c r="G763" i="5"/>
  <c r="H763" i="5"/>
  <c r="I763" i="5"/>
  <c r="J763" i="5"/>
  <c r="K763" i="5"/>
  <c r="L763" i="5"/>
  <c r="M763" i="5"/>
  <c r="N763" i="5"/>
  <c r="O763" i="5"/>
  <c r="P763" i="5"/>
  <c r="A762" i="5"/>
  <c r="B762" i="5"/>
  <c r="C762" i="5"/>
  <c r="D762" i="5"/>
  <c r="E762" i="5"/>
  <c r="F762" i="5"/>
  <c r="G762" i="5"/>
  <c r="H762" i="5"/>
  <c r="I762" i="5"/>
  <c r="J762" i="5"/>
  <c r="K762" i="5"/>
  <c r="L762" i="5"/>
  <c r="M762" i="5"/>
  <c r="N762" i="5"/>
  <c r="O762" i="5"/>
  <c r="P762" i="5"/>
  <c r="A761" i="5"/>
  <c r="B761" i="5"/>
  <c r="C761" i="5"/>
  <c r="D761" i="5"/>
  <c r="E761" i="5"/>
  <c r="F761" i="5"/>
  <c r="G761" i="5"/>
  <c r="H761" i="5"/>
  <c r="I761" i="5"/>
  <c r="J761" i="5"/>
  <c r="K761" i="5"/>
  <c r="L761" i="5"/>
  <c r="M761" i="5"/>
  <c r="N761" i="5"/>
  <c r="O761" i="5"/>
  <c r="P761" i="5"/>
  <c r="A760" i="5"/>
  <c r="B760" i="5"/>
  <c r="C760" i="5"/>
  <c r="D760" i="5"/>
  <c r="E760" i="5"/>
  <c r="F760" i="5"/>
  <c r="G760" i="5"/>
  <c r="H760" i="5"/>
  <c r="I760" i="5"/>
  <c r="J760" i="5"/>
  <c r="K760" i="5"/>
  <c r="L760" i="5"/>
  <c r="M760" i="5"/>
  <c r="N760" i="5"/>
  <c r="O760" i="5"/>
  <c r="P760" i="5"/>
  <c r="A759" i="5"/>
  <c r="B759" i="5"/>
  <c r="C759" i="5"/>
  <c r="D759" i="5"/>
  <c r="E759" i="5"/>
  <c r="F759" i="5"/>
  <c r="G759" i="5"/>
  <c r="H759" i="5"/>
  <c r="I759" i="5"/>
  <c r="J759" i="5"/>
  <c r="K759" i="5"/>
  <c r="L759" i="5"/>
  <c r="M759" i="5"/>
  <c r="N759" i="5"/>
  <c r="O759" i="5"/>
  <c r="P759" i="5"/>
  <c r="A758" i="5"/>
  <c r="B758" i="5"/>
  <c r="C758" i="5"/>
  <c r="D758" i="5"/>
  <c r="E758" i="5"/>
  <c r="F758" i="5"/>
  <c r="G758" i="5"/>
  <c r="H758" i="5"/>
  <c r="I758" i="5"/>
  <c r="J758" i="5"/>
  <c r="K758" i="5"/>
  <c r="L758" i="5"/>
  <c r="M758" i="5"/>
  <c r="N758" i="5"/>
  <c r="O758" i="5"/>
  <c r="P758" i="5"/>
  <c r="A757" i="5"/>
  <c r="B757" i="5"/>
  <c r="C757" i="5"/>
  <c r="D757" i="5"/>
  <c r="E757" i="5"/>
  <c r="F757" i="5"/>
  <c r="G757" i="5"/>
  <c r="H757" i="5"/>
  <c r="I757" i="5"/>
  <c r="J757" i="5"/>
  <c r="K757" i="5"/>
  <c r="L757" i="5"/>
  <c r="M757" i="5"/>
  <c r="N757" i="5"/>
  <c r="O757" i="5"/>
  <c r="P757" i="5"/>
  <c r="A756" i="5"/>
  <c r="B756" i="5"/>
  <c r="C756" i="5"/>
  <c r="D756" i="5"/>
  <c r="E756" i="5"/>
  <c r="F756" i="5"/>
  <c r="G756" i="5"/>
  <c r="H756" i="5"/>
  <c r="I756" i="5"/>
  <c r="J756" i="5"/>
  <c r="K756" i="5"/>
  <c r="L756" i="5"/>
  <c r="M756" i="5"/>
  <c r="N756" i="5"/>
  <c r="O756" i="5"/>
  <c r="P756" i="5"/>
  <c r="A755" i="5"/>
  <c r="B755" i="5"/>
  <c r="C755" i="5"/>
  <c r="D755" i="5"/>
  <c r="E755" i="5"/>
  <c r="F755" i="5"/>
  <c r="G755" i="5"/>
  <c r="H755" i="5"/>
  <c r="I755" i="5"/>
  <c r="J755" i="5"/>
  <c r="K755" i="5"/>
  <c r="L755" i="5"/>
  <c r="M755" i="5"/>
  <c r="N755" i="5"/>
  <c r="O755" i="5"/>
  <c r="P755" i="5"/>
  <c r="A754" i="5"/>
  <c r="B754" i="5"/>
  <c r="C754" i="5"/>
  <c r="D754" i="5"/>
  <c r="E754" i="5"/>
  <c r="F754" i="5"/>
  <c r="G754" i="5"/>
  <c r="H754" i="5"/>
  <c r="I754" i="5"/>
  <c r="J754" i="5"/>
  <c r="K754" i="5"/>
  <c r="L754" i="5"/>
  <c r="M754" i="5"/>
  <c r="N754" i="5"/>
  <c r="O754" i="5"/>
  <c r="P754" i="5"/>
  <c r="A753" i="5"/>
  <c r="B753" i="5"/>
  <c r="C753" i="5"/>
  <c r="D753" i="5"/>
  <c r="E753" i="5"/>
  <c r="F753" i="5"/>
  <c r="G753" i="5"/>
  <c r="H753" i="5"/>
  <c r="I753" i="5"/>
  <c r="J753" i="5"/>
  <c r="K753" i="5"/>
  <c r="L753" i="5"/>
  <c r="M753" i="5"/>
  <c r="N753" i="5"/>
  <c r="O753" i="5"/>
  <c r="P753" i="5"/>
  <c r="A752" i="5"/>
  <c r="B752" i="5"/>
  <c r="C752" i="5"/>
  <c r="D752" i="5"/>
  <c r="E752" i="5"/>
  <c r="F752" i="5"/>
  <c r="G752" i="5"/>
  <c r="H752" i="5"/>
  <c r="I752" i="5"/>
  <c r="J752" i="5"/>
  <c r="K752" i="5"/>
  <c r="L752" i="5"/>
  <c r="M752" i="5"/>
  <c r="N752" i="5"/>
  <c r="O752" i="5"/>
  <c r="P752" i="5"/>
  <c r="A751" i="5"/>
  <c r="B751" i="5"/>
  <c r="C751" i="5"/>
  <c r="D751" i="5"/>
  <c r="E751" i="5"/>
  <c r="F751" i="5"/>
  <c r="G751" i="5"/>
  <c r="H751" i="5"/>
  <c r="I751" i="5"/>
  <c r="J751" i="5"/>
  <c r="K751" i="5"/>
  <c r="L751" i="5"/>
  <c r="M751" i="5"/>
  <c r="N751" i="5"/>
  <c r="O751" i="5"/>
  <c r="P751" i="5"/>
  <c r="A750" i="5"/>
  <c r="B750" i="5"/>
  <c r="C750" i="5"/>
  <c r="D750" i="5"/>
  <c r="E750" i="5"/>
  <c r="F750" i="5"/>
  <c r="G750" i="5"/>
  <c r="H750" i="5"/>
  <c r="I750" i="5"/>
  <c r="J750" i="5"/>
  <c r="K750" i="5"/>
  <c r="L750" i="5"/>
  <c r="M750" i="5"/>
  <c r="N750" i="5"/>
  <c r="O750" i="5"/>
  <c r="P750" i="5"/>
  <c r="A749" i="5"/>
  <c r="B749" i="5"/>
  <c r="C749" i="5"/>
  <c r="D749" i="5"/>
  <c r="E749" i="5"/>
  <c r="F749" i="5"/>
  <c r="G749" i="5"/>
  <c r="H749" i="5"/>
  <c r="I749" i="5"/>
  <c r="J749" i="5"/>
  <c r="K749" i="5"/>
  <c r="L749" i="5"/>
  <c r="M749" i="5"/>
  <c r="N749" i="5"/>
  <c r="O749" i="5"/>
  <c r="P749" i="5"/>
  <c r="F748" i="5"/>
  <c r="J748" i="5"/>
  <c r="K748" i="5"/>
  <c r="L748" i="5"/>
  <c r="M748" i="5"/>
  <c r="N748" i="5"/>
  <c r="O748" i="5"/>
  <c r="P748" i="5"/>
  <c r="A748" i="5"/>
  <c r="D748" i="5"/>
  <c r="G748" i="5"/>
  <c r="I748" i="5"/>
  <c r="B748" i="5"/>
  <c r="C748" i="5"/>
  <c r="E748" i="5"/>
  <c r="H748" i="5"/>
  <c r="B747" i="5"/>
  <c r="I747" i="5"/>
  <c r="P747" i="5"/>
  <c r="A747" i="5"/>
  <c r="C747" i="5"/>
  <c r="D747" i="5"/>
  <c r="F747" i="5"/>
  <c r="H747" i="5"/>
  <c r="K747" i="5"/>
  <c r="L747" i="5"/>
  <c r="O747" i="5"/>
  <c r="E747" i="5"/>
  <c r="G747" i="5"/>
  <c r="J747" i="5"/>
  <c r="M747" i="5"/>
  <c r="N747" i="5"/>
  <c r="D746" i="5"/>
  <c r="N746" i="5"/>
  <c r="B746" i="5"/>
  <c r="C746" i="5"/>
  <c r="I746" i="5"/>
  <c r="K746" i="5"/>
  <c r="M746" i="5"/>
  <c r="O746" i="5"/>
  <c r="A746" i="5"/>
  <c r="E746" i="5"/>
  <c r="F746" i="5"/>
  <c r="G746" i="5"/>
  <c r="H746" i="5"/>
  <c r="J746" i="5"/>
  <c r="L746" i="5"/>
  <c r="P746" i="5"/>
  <c r="A745" i="5"/>
  <c r="H745" i="5"/>
  <c r="C745" i="5"/>
  <c r="E745" i="5"/>
  <c r="F745" i="5"/>
  <c r="I745" i="5"/>
  <c r="K745" i="5"/>
  <c r="M745" i="5"/>
  <c r="N745" i="5"/>
  <c r="P745" i="5"/>
  <c r="B745" i="5"/>
  <c r="D745" i="5"/>
  <c r="G745" i="5"/>
  <c r="J745" i="5"/>
  <c r="L745" i="5"/>
  <c r="O745" i="5"/>
  <c r="C744" i="5"/>
  <c r="F744" i="5"/>
  <c r="L744" i="5"/>
  <c r="A744" i="5"/>
  <c r="E744" i="5"/>
  <c r="G744" i="5"/>
  <c r="I744" i="5"/>
  <c r="K744" i="5"/>
  <c r="N744" i="5"/>
  <c r="B744" i="5"/>
  <c r="D744" i="5"/>
  <c r="H744" i="5"/>
  <c r="J744" i="5"/>
  <c r="M744" i="5"/>
  <c r="O744" i="5"/>
  <c r="P744" i="5"/>
  <c r="E743" i="5"/>
  <c r="J743" i="5"/>
  <c r="A743" i="5"/>
  <c r="C743" i="5"/>
  <c r="D743" i="5"/>
  <c r="F743" i="5"/>
  <c r="H743" i="5"/>
  <c r="L743" i="5"/>
  <c r="M743" i="5"/>
  <c r="N743" i="5"/>
  <c r="P743" i="5"/>
  <c r="B743" i="5"/>
  <c r="G743" i="5"/>
  <c r="I743" i="5"/>
  <c r="K743" i="5"/>
  <c r="O743" i="5"/>
  <c r="D742" i="5"/>
  <c r="K742" i="5"/>
  <c r="P742" i="5"/>
  <c r="B742" i="5"/>
  <c r="E742" i="5"/>
  <c r="F742" i="5"/>
  <c r="H742" i="5"/>
  <c r="J742" i="5"/>
  <c r="L742" i="5"/>
  <c r="N742" i="5"/>
  <c r="A742" i="5"/>
  <c r="C742" i="5"/>
  <c r="G742" i="5"/>
  <c r="I742" i="5"/>
  <c r="M742" i="5"/>
  <c r="O742" i="5"/>
  <c r="H741" i="5"/>
  <c r="C741" i="5"/>
  <c r="D741" i="5"/>
  <c r="F741" i="5"/>
  <c r="L741" i="5"/>
  <c r="P741" i="5"/>
  <c r="A741" i="5"/>
  <c r="B741" i="5"/>
  <c r="E741" i="5"/>
  <c r="G741" i="5"/>
  <c r="I741" i="5"/>
  <c r="J741" i="5"/>
  <c r="K741" i="5"/>
  <c r="M741" i="5"/>
  <c r="N741" i="5"/>
  <c r="O741" i="5"/>
  <c r="F740" i="5"/>
  <c r="I740" i="5"/>
  <c r="N740" i="5"/>
  <c r="A740" i="5"/>
  <c r="D740" i="5"/>
  <c r="J740" i="5"/>
  <c r="L740" i="5"/>
  <c r="O740" i="5"/>
  <c r="B740" i="5"/>
  <c r="C740" i="5"/>
  <c r="E740" i="5"/>
  <c r="G740" i="5"/>
  <c r="H740" i="5"/>
  <c r="K740" i="5"/>
  <c r="M740" i="5"/>
  <c r="P740" i="5"/>
  <c r="F739" i="5"/>
  <c r="K739" i="5"/>
  <c r="A739" i="5"/>
  <c r="C739" i="5"/>
  <c r="E739" i="5"/>
  <c r="J739" i="5"/>
  <c r="L739" i="5"/>
  <c r="N739" i="5"/>
  <c r="P739" i="5"/>
  <c r="B739" i="5"/>
  <c r="D739" i="5"/>
  <c r="G739" i="5"/>
  <c r="H739" i="5"/>
  <c r="I739" i="5"/>
  <c r="M739" i="5"/>
  <c r="O739" i="5"/>
  <c r="B738" i="5"/>
  <c r="F738" i="5"/>
  <c r="J738" i="5"/>
  <c r="L738" i="5"/>
  <c r="N738" i="5"/>
  <c r="C738" i="5"/>
  <c r="E738" i="5"/>
  <c r="H738" i="5"/>
  <c r="K738" i="5"/>
  <c r="O738" i="5"/>
  <c r="A738" i="5"/>
  <c r="D738" i="5"/>
  <c r="G738" i="5"/>
  <c r="I738" i="5"/>
  <c r="M738" i="5"/>
  <c r="P738" i="5"/>
  <c r="M737" i="5"/>
  <c r="C737" i="5"/>
  <c r="E737" i="5"/>
  <c r="I737" i="5"/>
  <c r="K737" i="5"/>
  <c r="N737" i="5"/>
  <c r="P737" i="5"/>
  <c r="A737" i="5"/>
  <c r="B737" i="5"/>
  <c r="D737" i="5"/>
  <c r="F737" i="5"/>
  <c r="G737" i="5"/>
  <c r="H737" i="5"/>
  <c r="J737" i="5"/>
  <c r="L737" i="5"/>
  <c r="O737" i="5"/>
  <c r="A736" i="5"/>
  <c r="F736" i="5"/>
  <c r="I736" i="5"/>
  <c r="M736" i="5"/>
  <c r="O736" i="5"/>
  <c r="B736" i="5"/>
  <c r="D736" i="5"/>
  <c r="J736" i="5"/>
  <c r="K736" i="5"/>
  <c r="L736" i="5"/>
  <c r="P736" i="5"/>
  <c r="C736" i="5"/>
  <c r="E736" i="5"/>
  <c r="G736" i="5"/>
  <c r="H736" i="5"/>
  <c r="N736" i="5"/>
  <c r="D735" i="5"/>
  <c r="J735" i="5"/>
  <c r="C735" i="5"/>
  <c r="G735" i="5"/>
  <c r="M735" i="5"/>
  <c r="P735" i="5"/>
  <c r="A735" i="5"/>
  <c r="B735" i="5"/>
  <c r="E735" i="5"/>
  <c r="F735" i="5"/>
  <c r="H735" i="5"/>
  <c r="I735" i="5"/>
  <c r="K735" i="5"/>
  <c r="L735" i="5"/>
  <c r="N735" i="5"/>
  <c r="O735" i="5"/>
  <c r="E734" i="5"/>
  <c r="J734" i="5"/>
  <c r="A734" i="5"/>
  <c r="B734" i="5"/>
  <c r="D734" i="5"/>
  <c r="F734" i="5"/>
  <c r="H734" i="5"/>
  <c r="K734" i="5"/>
  <c r="O734" i="5"/>
  <c r="C734" i="5"/>
  <c r="G734" i="5"/>
  <c r="I734" i="5"/>
  <c r="L734" i="5"/>
  <c r="M734" i="5"/>
  <c r="N734" i="5"/>
  <c r="P734" i="5"/>
  <c r="D733" i="5"/>
  <c r="J733" i="5"/>
  <c r="L733" i="5"/>
  <c r="A733" i="5"/>
  <c r="C733" i="5"/>
  <c r="F733" i="5"/>
  <c r="H733" i="5"/>
  <c r="I733" i="5"/>
  <c r="K733" i="5"/>
  <c r="M733" i="5"/>
  <c r="O733" i="5"/>
  <c r="P733" i="5"/>
  <c r="B733" i="5"/>
  <c r="E733" i="5"/>
  <c r="G733" i="5"/>
  <c r="N733" i="5"/>
  <c r="A732" i="5"/>
  <c r="H732" i="5"/>
  <c r="O732" i="5"/>
  <c r="C732" i="5"/>
  <c r="E732" i="5"/>
  <c r="G732" i="5"/>
  <c r="J732" i="5"/>
  <c r="M732" i="5"/>
  <c r="B732" i="5"/>
  <c r="D732" i="5"/>
  <c r="F732" i="5"/>
  <c r="I732" i="5"/>
  <c r="K732" i="5"/>
  <c r="L732" i="5"/>
  <c r="N732" i="5"/>
  <c r="P732" i="5"/>
  <c r="B731" i="5"/>
  <c r="H731" i="5"/>
  <c r="M731" i="5"/>
  <c r="A731" i="5"/>
  <c r="D731" i="5"/>
  <c r="E731" i="5"/>
  <c r="G731" i="5"/>
  <c r="J731" i="5"/>
  <c r="L731" i="5"/>
  <c r="O731" i="5"/>
  <c r="C731" i="5"/>
  <c r="F731" i="5"/>
  <c r="I731" i="5"/>
  <c r="K731" i="5"/>
  <c r="N731" i="5"/>
  <c r="P731" i="5"/>
  <c r="A730" i="5"/>
  <c r="F730" i="5"/>
  <c r="I730" i="5"/>
  <c r="L730" i="5"/>
  <c r="B730" i="5"/>
  <c r="H730" i="5"/>
  <c r="J730" i="5"/>
  <c r="K730" i="5"/>
  <c r="N730" i="5"/>
  <c r="P730" i="5"/>
  <c r="C730" i="5"/>
  <c r="D730" i="5"/>
  <c r="E730" i="5"/>
  <c r="G730" i="5"/>
  <c r="M730" i="5"/>
  <c r="O730" i="5"/>
  <c r="B729" i="5"/>
  <c r="F729" i="5"/>
  <c r="L729" i="5"/>
  <c r="A729" i="5"/>
  <c r="C729" i="5"/>
  <c r="D729" i="5"/>
  <c r="I729" i="5"/>
  <c r="J729" i="5"/>
  <c r="N729" i="5"/>
  <c r="O729" i="5"/>
  <c r="E729" i="5"/>
  <c r="G729" i="5"/>
  <c r="H729" i="5"/>
  <c r="K729" i="5"/>
  <c r="M729" i="5"/>
  <c r="P729" i="5"/>
  <c r="B728" i="5"/>
  <c r="I728" i="5"/>
  <c r="N728" i="5"/>
  <c r="A728" i="5"/>
  <c r="C728" i="5"/>
  <c r="F728" i="5"/>
  <c r="G728" i="5"/>
  <c r="H728" i="5"/>
  <c r="K728" i="5"/>
  <c r="L728" i="5"/>
  <c r="M728" i="5"/>
  <c r="P728" i="5"/>
  <c r="D728" i="5"/>
  <c r="E728" i="5"/>
  <c r="J728" i="5"/>
  <c r="O728" i="5"/>
  <c r="A727" i="5"/>
  <c r="C727" i="5"/>
  <c r="H727" i="5"/>
  <c r="L727" i="5"/>
  <c r="E727" i="5"/>
  <c r="J727" i="5"/>
  <c r="K727" i="5"/>
  <c r="N727" i="5"/>
  <c r="O727" i="5"/>
  <c r="B727" i="5"/>
  <c r="D727" i="5"/>
  <c r="F727" i="5"/>
  <c r="G727" i="5"/>
  <c r="I727" i="5"/>
  <c r="M727" i="5"/>
  <c r="P727" i="5"/>
  <c r="D726" i="5"/>
  <c r="H726" i="5"/>
  <c r="B726" i="5"/>
  <c r="E726" i="5"/>
  <c r="K726" i="5"/>
  <c r="N726" i="5"/>
  <c r="P726" i="5"/>
  <c r="A726" i="5"/>
  <c r="C726" i="5"/>
  <c r="F726" i="5"/>
  <c r="G726" i="5"/>
  <c r="I726" i="5"/>
  <c r="J726" i="5"/>
  <c r="L726" i="5"/>
  <c r="M726" i="5"/>
  <c r="O726" i="5"/>
  <c r="A725" i="5"/>
  <c r="D725" i="5"/>
  <c r="M725" i="5"/>
  <c r="B725" i="5"/>
  <c r="F725" i="5"/>
  <c r="J725" i="5"/>
  <c r="L725" i="5"/>
  <c r="N725" i="5"/>
  <c r="P725" i="5"/>
  <c r="C725" i="5"/>
  <c r="E725" i="5"/>
  <c r="G725" i="5"/>
  <c r="H725" i="5"/>
  <c r="I725" i="5"/>
  <c r="K725" i="5"/>
  <c r="O725" i="5"/>
  <c r="A724" i="5"/>
  <c r="E724" i="5"/>
  <c r="I724" i="5"/>
  <c r="C724" i="5"/>
  <c r="H724" i="5"/>
  <c r="J724" i="5"/>
  <c r="L724" i="5"/>
  <c r="N724" i="5"/>
  <c r="O724" i="5"/>
  <c r="B724" i="5"/>
  <c r="D724" i="5"/>
  <c r="F724" i="5"/>
  <c r="G724" i="5"/>
  <c r="K724" i="5"/>
  <c r="M724" i="5"/>
  <c r="P724" i="5"/>
  <c r="A723" i="5"/>
  <c r="H723" i="5"/>
  <c r="B723" i="5"/>
  <c r="E723" i="5"/>
  <c r="F723" i="5"/>
  <c r="J723" i="5"/>
  <c r="K723" i="5"/>
  <c r="M723" i="5"/>
  <c r="O723" i="5"/>
  <c r="C723" i="5"/>
  <c r="D723" i="5"/>
  <c r="G723" i="5"/>
  <c r="I723" i="5"/>
  <c r="L723" i="5"/>
  <c r="N723" i="5"/>
  <c r="P723" i="5"/>
  <c r="A722" i="5"/>
  <c r="D722" i="5"/>
  <c r="G722" i="5"/>
  <c r="K722" i="5"/>
  <c r="B722" i="5"/>
  <c r="C722" i="5"/>
  <c r="J722" i="5"/>
  <c r="M722" i="5"/>
  <c r="O722" i="5"/>
  <c r="P722" i="5"/>
  <c r="E722" i="5"/>
  <c r="F722" i="5"/>
  <c r="H722" i="5"/>
  <c r="I722" i="5"/>
  <c r="L722" i="5"/>
  <c r="N722" i="5"/>
  <c r="D721" i="5"/>
  <c r="N721" i="5"/>
  <c r="A721" i="5"/>
  <c r="G721" i="5"/>
  <c r="I721" i="5"/>
  <c r="J721" i="5"/>
  <c r="K721" i="5"/>
  <c r="M721" i="5"/>
  <c r="P721" i="5"/>
  <c r="B721" i="5"/>
  <c r="C721" i="5"/>
  <c r="E721" i="5"/>
  <c r="F721" i="5"/>
  <c r="H721" i="5"/>
  <c r="L721" i="5"/>
  <c r="O721" i="5"/>
  <c r="E720" i="5"/>
  <c r="I720" i="5"/>
  <c r="O720" i="5"/>
  <c r="A720" i="5"/>
  <c r="C720" i="5"/>
  <c r="F720" i="5"/>
  <c r="H720" i="5"/>
  <c r="L720" i="5"/>
  <c r="N720" i="5"/>
  <c r="B720" i="5"/>
  <c r="D720" i="5"/>
  <c r="G720" i="5"/>
  <c r="J720" i="5"/>
  <c r="K720" i="5"/>
  <c r="M720" i="5"/>
  <c r="P720" i="5"/>
  <c r="B719" i="5"/>
  <c r="C719" i="5"/>
  <c r="E719" i="5"/>
  <c r="L719" i="5"/>
  <c r="O719" i="5"/>
  <c r="D719" i="5"/>
  <c r="F719" i="5"/>
  <c r="G719" i="5"/>
  <c r="I719" i="5"/>
  <c r="N719" i="5"/>
  <c r="A719" i="5"/>
  <c r="H719" i="5"/>
  <c r="J719" i="5"/>
  <c r="K719" i="5"/>
  <c r="M719" i="5"/>
  <c r="P719" i="5"/>
  <c r="F718" i="5"/>
  <c r="O718" i="5"/>
  <c r="B718" i="5"/>
  <c r="E718" i="5"/>
  <c r="H718" i="5"/>
  <c r="K718" i="5"/>
  <c r="M718" i="5"/>
  <c r="P718" i="5"/>
  <c r="A718" i="5"/>
  <c r="C718" i="5"/>
  <c r="D718" i="5"/>
  <c r="G718" i="5"/>
  <c r="I718" i="5"/>
  <c r="J718" i="5"/>
  <c r="L718" i="5"/>
  <c r="N718" i="5"/>
  <c r="P717" i="5"/>
  <c r="B717" i="5"/>
  <c r="C717" i="5"/>
  <c r="D717" i="5"/>
  <c r="E717" i="5"/>
  <c r="G717" i="5"/>
  <c r="I717" i="5"/>
  <c r="K717" i="5"/>
  <c r="M717" i="5"/>
  <c r="A717" i="5"/>
  <c r="F717" i="5"/>
  <c r="H717" i="5"/>
  <c r="J717" i="5"/>
  <c r="L717" i="5"/>
  <c r="N717" i="5"/>
  <c r="O717" i="5"/>
  <c r="A716" i="5"/>
  <c r="B716" i="5"/>
  <c r="D716" i="5"/>
  <c r="E716" i="5"/>
  <c r="G716" i="5"/>
  <c r="J716" i="5"/>
  <c r="K716" i="5"/>
  <c r="L716" i="5"/>
  <c r="M716" i="5"/>
  <c r="N716" i="5"/>
  <c r="P716" i="5"/>
  <c r="C716" i="5"/>
  <c r="F716" i="5"/>
  <c r="H716" i="5"/>
  <c r="I716" i="5"/>
  <c r="O716" i="5"/>
  <c r="A715" i="5"/>
  <c r="B715" i="5"/>
  <c r="D715" i="5"/>
  <c r="F715" i="5"/>
  <c r="G715" i="5"/>
  <c r="H715" i="5"/>
  <c r="J715" i="5"/>
  <c r="M715" i="5"/>
  <c r="P715" i="5"/>
  <c r="C715" i="5"/>
  <c r="E715" i="5"/>
  <c r="I715" i="5"/>
  <c r="K715" i="5"/>
  <c r="L715" i="5"/>
  <c r="N715" i="5"/>
  <c r="O715" i="5"/>
  <c r="A714" i="5"/>
  <c r="C714" i="5"/>
  <c r="E714" i="5"/>
  <c r="G714" i="5"/>
  <c r="I714" i="5"/>
  <c r="K714" i="5"/>
  <c r="L714" i="5"/>
  <c r="N714" i="5"/>
  <c r="P714" i="5"/>
  <c r="B714" i="5"/>
  <c r="D714" i="5"/>
  <c r="F714" i="5"/>
  <c r="H714" i="5"/>
  <c r="J714" i="5"/>
  <c r="M714" i="5"/>
  <c r="O714" i="5"/>
  <c r="C713" i="5"/>
  <c r="E713" i="5"/>
  <c r="F713" i="5"/>
  <c r="G713" i="5"/>
  <c r="H713" i="5"/>
  <c r="L713" i="5"/>
  <c r="N713" i="5"/>
  <c r="O713" i="5"/>
  <c r="A713" i="5"/>
  <c r="B713" i="5"/>
  <c r="D713" i="5"/>
  <c r="I713" i="5"/>
  <c r="J713" i="5"/>
  <c r="K713" i="5"/>
  <c r="M713" i="5"/>
  <c r="P713" i="5"/>
  <c r="A712" i="5"/>
  <c r="B712" i="5"/>
  <c r="C712" i="5"/>
  <c r="D712" i="5"/>
  <c r="E712" i="5"/>
  <c r="F712" i="5"/>
  <c r="G712" i="5"/>
  <c r="H712" i="5"/>
  <c r="I712" i="5"/>
  <c r="J712" i="5"/>
  <c r="K712" i="5"/>
  <c r="M712" i="5"/>
  <c r="O712" i="5"/>
  <c r="P712" i="5"/>
  <c r="L712" i="5"/>
  <c r="N712" i="5"/>
  <c r="A711" i="5"/>
  <c r="B711" i="5"/>
  <c r="C711" i="5"/>
  <c r="D711" i="5"/>
  <c r="E711" i="5"/>
  <c r="F711" i="5"/>
  <c r="G711" i="5"/>
  <c r="H711" i="5"/>
  <c r="I711" i="5"/>
  <c r="J711" i="5"/>
  <c r="K711" i="5"/>
  <c r="L711" i="5"/>
  <c r="M711" i="5"/>
  <c r="N711" i="5"/>
  <c r="O711" i="5"/>
  <c r="P711" i="5"/>
  <c r="A710" i="5"/>
  <c r="B710" i="5"/>
  <c r="C710" i="5"/>
  <c r="D710" i="5"/>
  <c r="E710" i="5"/>
  <c r="F710" i="5"/>
  <c r="G710" i="5"/>
  <c r="H710" i="5"/>
  <c r="I710" i="5"/>
  <c r="J710" i="5"/>
  <c r="K710" i="5"/>
  <c r="L710" i="5"/>
  <c r="M710" i="5"/>
  <c r="N710" i="5"/>
  <c r="O710" i="5"/>
  <c r="P710" i="5"/>
  <c r="A709" i="5"/>
  <c r="B709" i="5"/>
  <c r="C709" i="5"/>
  <c r="D709" i="5"/>
  <c r="E709" i="5"/>
  <c r="F709" i="5"/>
  <c r="G709" i="5"/>
  <c r="H709" i="5"/>
  <c r="I709" i="5"/>
  <c r="J709" i="5"/>
  <c r="K709" i="5"/>
  <c r="L709" i="5"/>
  <c r="M709" i="5"/>
  <c r="N709" i="5"/>
  <c r="O709" i="5"/>
  <c r="P709" i="5"/>
  <c r="A708" i="5"/>
  <c r="B708" i="5"/>
  <c r="C708" i="5"/>
  <c r="D708" i="5"/>
  <c r="E708" i="5"/>
  <c r="F708" i="5"/>
  <c r="G708" i="5"/>
  <c r="H708" i="5"/>
  <c r="I708" i="5"/>
  <c r="J708" i="5"/>
  <c r="K708" i="5"/>
  <c r="L708" i="5"/>
  <c r="M708" i="5"/>
  <c r="N708" i="5"/>
  <c r="O708" i="5"/>
  <c r="P708" i="5"/>
  <c r="A707" i="5"/>
  <c r="B707" i="5"/>
  <c r="C707" i="5"/>
  <c r="D707" i="5"/>
  <c r="E707" i="5"/>
  <c r="F707" i="5"/>
  <c r="G707" i="5"/>
  <c r="H707" i="5"/>
  <c r="I707" i="5"/>
  <c r="J707" i="5"/>
  <c r="K707" i="5"/>
  <c r="L707" i="5"/>
  <c r="M707" i="5"/>
  <c r="N707" i="5"/>
  <c r="O707" i="5"/>
  <c r="P707" i="5"/>
  <c r="A706" i="5"/>
  <c r="B706" i="5"/>
  <c r="C706" i="5"/>
  <c r="D706" i="5"/>
  <c r="E706" i="5"/>
  <c r="F706" i="5"/>
  <c r="G706" i="5"/>
  <c r="H706" i="5"/>
  <c r="I706" i="5"/>
  <c r="J706" i="5"/>
  <c r="K706" i="5"/>
  <c r="L706" i="5"/>
  <c r="M706" i="5"/>
  <c r="N706" i="5"/>
  <c r="O706" i="5"/>
  <c r="P706" i="5"/>
  <c r="A705" i="5"/>
  <c r="B705" i="5"/>
  <c r="C705" i="5"/>
  <c r="D705" i="5"/>
  <c r="E705" i="5"/>
  <c r="F705" i="5"/>
  <c r="G705" i="5"/>
  <c r="H705" i="5"/>
  <c r="I705" i="5"/>
  <c r="J705" i="5"/>
  <c r="K705" i="5"/>
  <c r="L705" i="5"/>
  <c r="M705" i="5"/>
  <c r="N705" i="5"/>
  <c r="O705" i="5"/>
  <c r="P705" i="5"/>
  <c r="A704" i="5"/>
  <c r="B704" i="5"/>
  <c r="C704" i="5"/>
  <c r="D704" i="5"/>
  <c r="E704" i="5"/>
  <c r="F704" i="5"/>
  <c r="G704" i="5"/>
  <c r="H704" i="5"/>
  <c r="I704" i="5"/>
  <c r="J704" i="5"/>
  <c r="K704" i="5"/>
  <c r="L704" i="5"/>
  <c r="M704" i="5"/>
  <c r="N704" i="5"/>
  <c r="O704" i="5"/>
  <c r="P704" i="5"/>
  <c r="A703" i="5"/>
  <c r="B703" i="5"/>
  <c r="C703" i="5"/>
  <c r="D703" i="5"/>
  <c r="E703" i="5"/>
  <c r="F703" i="5"/>
  <c r="G703" i="5"/>
  <c r="H703" i="5"/>
  <c r="I703" i="5"/>
  <c r="J703" i="5"/>
  <c r="K703" i="5"/>
  <c r="L703" i="5"/>
  <c r="M703" i="5"/>
  <c r="N703" i="5"/>
  <c r="O703" i="5"/>
  <c r="P703" i="5"/>
  <c r="A702" i="5"/>
  <c r="B702" i="5"/>
  <c r="C702" i="5"/>
  <c r="D702" i="5"/>
  <c r="E702" i="5"/>
  <c r="F702" i="5"/>
  <c r="G702" i="5"/>
  <c r="H702" i="5"/>
  <c r="I702" i="5"/>
  <c r="J702" i="5"/>
  <c r="K702" i="5"/>
  <c r="L702" i="5"/>
  <c r="M702" i="5"/>
  <c r="N702" i="5"/>
  <c r="O702" i="5"/>
  <c r="P702" i="5"/>
  <c r="A701" i="5"/>
  <c r="B701" i="5"/>
  <c r="C701" i="5"/>
  <c r="D701" i="5"/>
  <c r="E701" i="5"/>
  <c r="F701" i="5"/>
  <c r="G701" i="5"/>
  <c r="H701" i="5"/>
  <c r="I701" i="5"/>
  <c r="J701" i="5"/>
  <c r="K701" i="5"/>
  <c r="L701" i="5"/>
  <c r="M701" i="5"/>
  <c r="N701" i="5"/>
  <c r="O701" i="5"/>
  <c r="P701" i="5"/>
  <c r="A700" i="5"/>
  <c r="B700" i="5"/>
  <c r="C700" i="5"/>
  <c r="D700" i="5"/>
  <c r="E700" i="5"/>
  <c r="F700" i="5"/>
  <c r="G700" i="5"/>
  <c r="H700" i="5"/>
  <c r="I700" i="5"/>
  <c r="J700" i="5"/>
  <c r="K700" i="5"/>
  <c r="L700" i="5"/>
  <c r="M700" i="5"/>
  <c r="N700" i="5"/>
  <c r="O700" i="5"/>
  <c r="P700" i="5"/>
  <c r="A699" i="5"/>
  <c r="B699" i="5"/>
  <c r="C699" i="5"/>
  <c r="D699" i="5"/>
  <c r="E699" i="5"/>
  <c r="F699" i="5"/>
  <c r="G699" i="5"/>
  <c r="H699" i="5"/>
  <c r="I699" i="5"/>
  <c r="J699" i="5"/>
  <c r="K699" i="5"/>
  <c r="L699" i="5"/>
  <c r="M699" i="5"/>
  <c r="N699" i="5"/>
  <c r="O699" i="5"/>
  <c r="P699" i="5"/>
  <c r="A698" i="5"/>
  <c r="B698" i="5"/>
  <c r="C698" i="5"/>
  <c r="D698" i="5"/>
  <c r="E698" i="5"/>
  <c r="F698" i="5"/>
  <c r="G698" i="5"/>
  <c r="H698" i="5"/>
  <c r="I698" i="5"/>
  <c r="J698" i="5"/>
  <c r="K698" i="5"/>
  <c r="L698" i="5"/>
  <c r="M698" i="5"/>
  <c r="N698" i="5"/>
  <c r="O698" i="5"/>
  <c r="P698" i="5"/>
  <c r="A697" i="5"/>
  <c r="B697" i="5"/>
  <c r="C697" i="5"/>
  <c r="D697" i="5"/>
  <c r="E697" i="5"/>
  <c r="F697" i="5"/>
  <c r="G697" i="5"/>
  <c r="H697" i="5"/>
  <c r="I697" i="5"/>
  <c r="J697" i="5"/>
  <c r="K697" i="5"/>
  <c r="L697" i="5"/>
  <c r="M697" i="5"/>
  <c r="N697" i="5"/>
  <c r="O697" i="5"/>
  <c r="P697" i="5"/>
  <c r="A696" i="5"/>
  <c r="B696" i="5"/>
  <c r="C696" i="5"/>
  <c r="D696" i="5"/>
  <c r="E696" i="5"/>
  <c r="F696" i="5"/>
  <c r="G696" i="5"/>
  <c r="H696" i="5"/>
  <c r="I696" i="5"/>
  <c r="J696" i="5"/>
  <c r="K696" i="5"/>
  <c r="L696" i="5"/>
  <c r="M696" i="5"/>
  <c r="N696" i="5"/>
  <c r="O696" i="5"/>
  <c r="P696" i="5"/>
  <c r="A695" i="5"/>
  <c r="B695" i="5"/>
  <c r="C695" i="5"/>
  <c r="D695" i="5"/>
  <c r="E695" i="5"/>
  <c r="F695" i="5"/>
  <c r="G695" i="5"/>
  <c r="H695" i="5"/>
  <c r="I695" i="5"/>
  <c r="J695" i="5"/>
  <c r="K695" i="5"/>
  <c r="L695" i="5"/>
  <c r="M695" i="5"/>
  <c r="N695" i="5"/>
  <c r="O695" i="5"/>
  <c r="P695" i="5"/>
  <c r="A694" i="5"/>
  <c r="B694" i="5"/>
  <c r="C694" i="5"/>
  <c r="D694" i="5"/>
  <c r="E694" i="5"/>
  <c r="F694" i="5"/>
  <c r="G694" i="5"/>
  <c r="H694" i="5"/>
  <c r="I694" i="5"/>
  <c r="J694" i="5"/>
  <c r="K694" i="5"/>
  <c r="L694" i="5"/>
  <c r="M694" i="5"/>
  <c r="N694" i="5"/>
  <c r="O694" i="5"/>
  <c r="P694" i="5"/>
  <c r="A693" i="5"/>
  <c r="B693" i="5"/>
  <c r="C693" i="5"/>
  <c r="D693" i="5"/>
  <c r="E693" i="5"/>
  <c r="F693" i="5"/>
  <c r="G693" i="5"/>
  <c r="H693" i="5"/>
  <c r="I693" i="5"/>
  <c r="J693" i="5"/>
  <c r="K693" i="5"/>
  <c r="L693" i="5"/>
  <c r="M693" i="5"/>
  <c r="N693" i="5"/>
  <c r="O693" i="5"/>
  <c r="P693" i="5"/>
  <c r="A692" i="5"/>
  <c r="B692" i="5"/>
  <c r="C692" i="5"/>
  <c r="D692" i="5"/>
  <c r="E692" i="5"/>
  <c r="F692" i="5"/>
  <c r="G692" i="5"/>
  <c r="H692" i="5"/>
  <c r="I692" i="5"/>
  <c r="J692" i="5"/>
  <c r="K692" i="5"/>
  <c r="L692" i="5"/>
  <c r="M692" i="5"/>
  <c r="N692" i="5"/>
  <c r="O692" i="5"/>
  <c r="P692" i="5"/>
  <c r="A691" i="5"/>
  <c r="B691" i="5"/>
  <c r="C691" i="5"/>
  <c r="D691" i="5"/>
  <c r="E691" i="5"/>
  <c r="F691" i="5"/>
  <c r="G691" i="5"/>
  <c r="H691" i="5"/>
  <c r="I691" i="5"/>
  <c r="J691" i="5"/>
  <c r="K691" i="5"/>
  <c r="L691" i="5"/>
  <c r="M691" i="5"/>
  <c r="N691" i="5"/>
  <c r="O691" i="5"/>
  <c r="P691" i="5"/>
  <c r="A690" i="5"/>
  <c r="B690" i="5"/>
  <c r="C690" i="5"/>
  <c r="D690" i="5"/>
  <c r="E690" i="5"/>
  <c r="F690" i="5"/>
  <c r="G690" i="5"/>
  <c r="H690" i="5"/>
  <c r="I690" i="5"/>
  <c r="J690" i="5"/>
  <c r="K690" i="5"/>
  <c r="L690" i="5"/>
  <c r="M690" i="5"/>
  <c r="N690" i="5"/>
  <c r="O690" i="5"/>
  <c r="P690" i="5"/>
  <c r="A689" i="5"/>
  <c r="B689" i="5"/>
  <c r="C689" i="5"/>
  <c r="D689" i="5"/>
  <c r="E689" i="5"/>
  <c r="F689" i="5"/>
  <c r="G689" i="5"/>
  <c r="H689" i="5"/>
  <c r="I689" i="5"/>
  <c r="J689" i="5"/>
  <c r="K689" i="5"/>
  <c r="L689" i="5"/>
  <c r="M689" i="5"/>
  <c r="N689" i="5"/>
  <c r="O689" i="5"/>
  <c r="P689" i="5"/>
  <c r="A688" i="5"/>
  <c r="B688" i="5"/>
  <c r="C688" i="5"/>
  <c r="D688" i="5"/>
  <c r="E688" i="5"/>
  <c r="F688" i="5"/>
  <c r="G688" i="5"/>
  <c r="H688" i="5"/>
  <c r="I688" i="5"/>
  <c r="J688" i="5"/>
  <c r="K688" i="5"/>
  <c r="L688" i="5"/>
  <c r="M688" i="5"/>
  <c r="N688" i="5"/>
  <c r="O688" i="5"/>
  <c r="P688" i="5"/>
  <c r="A687" i="5"/>
  <c r="B687" i="5"/>
  <c r="C687" i="5"/>
  <c r="D687" i="5"/>
  <c r="E687" i="5"/>
  <c r="F687" i="5"/>
  <c r="G687" i="5"/>
  <c r="H687" i="5"/>
  <c r="I687" i="5"/>
  <c r="J687" i="5"/>
  <c r="K687" i="5"/>
  <c r="L687" i="5"/>
  <c r="M687" i="5"/>
  <c r="N687" i="5"/>
  <c r="O687" i="5"/>
  <c r="P687" i="5"/>
  <c r="A686" i="5"/>
  <c r="B686" i="5"/>
  <c r="C686" i="5"/>
  <c r="D686" i="5"/>
  <c r="E686" i="5"/>
  <c r="F686" i="5"/>
  <c r="G686" i="5"/>
  <c r="H686" i="5"/>
  <c r="I686" i="5"/>
  <c r="J686" i="5"/>
  <c r="K686" i="5"/>
  <c r="L686" i="5"/>
  <c r="M686" i="5"/>
  <c r="N686" i="5"/>
  <c r="O686" i="5"/>
  <c r="P686" i="5"/>
  <c r="A685" i="5"/>
  <c r="B685" i="5"/>
  <c r="C685" i="5"/>
  <c r="D685" i="5"/>
  <c r="E685" i="5"/>
  <c r="F685" i="5"/>
  <c r="G685" i="5"/>
  <c r="H685" i="5"/>
  <c r="I685" i="5"/>
  <c r="J685" i="5"/>
  <c r="K685" i="5"/>
  <c r="L685" i="5"/>
  <c r="M685" i="5"/>
  <c r="N685" i="5"/>
  <c r="O685" i="5"/>
  <c r="P685" i="5"/>
  <c r="A684" i="5"/>
  <c r="B684" i="5"/>
  <c r="C684" i="5"/>
  <c r="D684" i="5"/>
  <c r="E684" i="5"/>
  <c r="F684" i="5"/>
  <c r="G684" i="5"/>
  <c r="H684" i="5"/>
  <c r="I684" i="5"/>
  <c r="J684" i="5"/>
  <c r="K684" i="5"/>
  <c r="L684" i="5"/>
  <c r="M684" i="5"/>
  <c r="N684" i="5"/>
  <c r="O684" i="5"/>
  <c r="P684" i="5"/>
  <c r="A683" i="5"/>
  <c r="B683" i="5"/>
  <c r="C683" i="5"/>
  <c r="D683" i="5"/>
  <c r="E683" i="5"/>
  <c r="F683" i="5"/>
  <c r="G683" i="5"/>
  <c r="H683" i="5"/>
  <c r="I683" i="5"/>
  <c r="J683" i="5"/>
  <c r="K683" i="5"/>
  <c r="L683" i="5"/>
  <c r="M683" i="5"/>
  <c r="N683" i="5"/>
  <c r="O683" i="5"/>
  <c r="P683" i="5"/>
  <c r="A682" i="5"/>
  <c r="B682" i="5"/>
  <c r="C682" i="5"/>
  <c r="D682" i="5"/>
  <c r="E682" i="5"/>
  <c r="F682" i="5"/>
  <c r="G682" i="5"/>
  <c r="H682" i="5"/>
  <c r="I682" i="5"/>
  <c r="J682" i="5"/>
  <c r="K682" i="5"/>
  <c r="L682" i="5"/>
  <c r="M682" i="5"/>
  <c r="N682" i="5"/>
  <c r="O682" i="5"/>
  <c r="P682" i="5"/>
  <c r="A681" i="5"/>
  <c r="B681" i="5"/>
  <c r="C681" i="5"/>
  <c r="D681" i="5"/>
  <c r="E681" i="5"/>
  <c r="F681" i="5"/>
  <c r="G681" i="5"/>
  <c r="H681" i="5"/>
  <c r="I681" i="5"/>
  <c r="J681" i="5"/>
  <c r="K681" i="5"/>
  <c r="L681" i="5"/>
  <c r="M681" i="5"/>
  <c r="N681" i="5"/>
  <c r="O681" i="5"/>
  <c r="P681" i="5"/>
  <c r="A680" i="5"/>
  <c r="B680" i="5"/>
  <c r="C680" i="5"/>
  <c r="D680" i="5"/>
  <c r="E680" i="5"/>
  <c r="F680" i="5"/>
  <c r="G680" i="5"/>
  <c r="H680" i="5"/>
  <c r="I680" i="5"/>
  <c r="J680" i="5"/>
  <c r="K680" i="5"/>
  <c r="L680" i="5"/>
  <c r="M680" i="5"/>
  <c r="N680" i="5"/>
  <c r="O680" i="5"/>
  <c r="P680" i="5"/>
  <c r="A679" i="5"/>
  <c r="B679" i="5"/>
  <c r="C679" i="5"/>
  <c r="D679" i="5"/>
  <c r="E679" i="5"/>
  <c r="F679" i="5"/>
  <c r="G679" i="5"/>
  <c r="H679" i="5"/>
  <c r="I679" i="5"/>
  <c r="J679" i="5"/>
  <c r="K679" i="5"/>
  <c r="L679" i="5"/>
  <c r="M679" i="5"/>
  <c r="N679" i="5"/>
  <c r="O679" i="5"/>
  <c r="P679" i="5"/>
  <c r="A678" i="5"/>
  <c r="B678" i="5"/>
  <c r="C678" i="5"/>
  <c r="D678" i="5"/>
  <c r="E678" i="5"/>
  <c r="F678" i="5"/>
  <c r="G678" i="5"/>
  <c r="H678" i="5"/>
  <c r="I678" i="5"/>
  <c r="J678" i="5"/>
  <c r="K678" i="5"/>
  <c r="L678" i="5"/>
  <c r="M678" i="5"/>
  <c r="N678" i="5"/>
  <c r="O678" i="5"/>
  <c r="P678" i="5"/>
  <c r="A677" i="5"/>
  <c r="B677" i="5"/>
  <c r="C677" i="5"/>
  <c r="D677" i="5"/>
  <c r="E677" i="5"/>
  <c r="F677" i="5"/>
  <c r="G677" i="5"/>
  <c r="H677" i="5"/>
  <c r="I677" i="5"/>
  <c r="J677" i="5"/>
  <c r="K677" i="5"/>
  <c r="L677" i="5"/>
  <c r="M677" i="5"/>
  <c r="N677" i="5"/>
  <c r="O677" i="5"/>
  <c r="P677" i="5"/>
  <c r="A676" i="5"/>
  <c r="B676" i="5"/>
  <c r="C676" i="5"/>
  <c r="D676" i="5"/>
  <c r="E676" i="5"/>
  <c r="F676" i="5"/>
  <c r="G676" i="5"/>
  <c r="H676" i="5"/>
  <c r="I676" i="5"/>
  <c r="J676" i="5"/>
  <c r="K676" i="5"/>
  <c r="L676" i="5"/>
  <c r="M676" i="5"/>
  <c r="N676" i="5"/>
  <c r="O676" i="5"/>
  <c r="P676" i="5"/>
  <c r="A675" i="5"/>
  <c r="B675" i="5"/>
  <c r="C675" i="5"/>
  <c r="D675" i="5"/>
  <c r="E675" i="5"/>
  <c r="F675" i="5"/>
  <c r="G675" i="5"/>
  <c r="H675" i="5"/>
  <c r="I675" i="5"/>
  <c r="J675" i="5"/>
  <c r="K675" i="5"/>
  <c r="L675" i="5"/>
  <c r="M675" i="5"/>
  <c r="N675" i="5"/>
  <c r="O675" i="5"/>
  <c r="P675" i="5"/>
  <c r="A674" i="5"/>
  <c r="B674" i="5"/>
  <c r="C674" i="5"/>
  <c r="D674" i="5"/>
  <c r="E674" i="5"/>
  <c r="F674" i="5"/>
  <c r="G674" i="5"/>
  <c r="H674" i="5"/>
  <c r="I674" i="5"/>
  <c r="J674" i="5"/>
  <c r="K674" i="5"/>
  <c r="L674" i="5"/>
  <c r="M674" i="5"/>
  <c r="N674" i="5"/>
  <c r="O674" i="5"/>
  <c r="P674" i="5"/>
  <c r="A673" i="5"/>
  <c r="B673" i="5"/>
  <c r="C673" i="5"/>
  <c r="D673" i="5"/>
  <c r="E673" i="5"/>
  <c r="F673" i="5"/>
  <c r="G673" i="5"/>
  <c r="H673" i="5"/>
  <c r="I673" i="5"/>
  <c r="J673" i="5"/>
  <c r="K673" i="5"/>
  <c r="L673" i="5"/>
  <c r="M673" i="5"/>
  <c r="N673" i="5"/>
  <c r="O673" i="5"/>
  <c r="P673" i="5"/>
  <c r="A672" i="5"/>
  <c r="B672" i="5"/>
  <c r="C672" i="5"/>
  <c r="D672" i="5"/>
  <c r="E672" i="5"/>
  <c r="F672" i="5"/>
  <c r="G672" i="5"/>
  <c r="H672" i="5"/>
  <c r="I672" i="5"/>
  <c r="J672" i="5"/>
  <c r="K672" i="5"/>
  <c r="L672" i="5"/>
  <c r="M672" i="5"/>
  <c r="N672" i="5"/>
  <c r="O672" i="5"/>
  <c r="P672" i="5"/>
  <c r="A671" i="5"/>
  <c r="B671" i="5"/>
  <c r="C671" i="5"/>
  <c r="D671" i="5"/>
  <c r="E671" i="5"/>
  <c r="F671" i="5"/>
  <c r="G671" i="5"/>
  <c r="H671" i="5"/>
  <c r="I671" i="5"/>
  <c r="J671" i="5"/>
  <c r="K671" i="5"/>
  <c r="L671" i="5"/>
  <c r="M671" i="5"/>
  <c r="N671" i="5"/>
  <c r="O671" i="5"/>
  <c r="P671" i="5"/>
  <c r="A670" i="5"/>
  <c r="B670" i="5"/>
  <c r="C670" i="5"/>
  <c r="D670" i="5"/>
  <c r="E670" i="5"/>
  <c r="F670" i="5"/>
  <c r="G670" i="5"/>
  <c r="H670" i="5"/>
  <c r="I670" i="5"/>
  <c r="J670" i="5"/>
  <c r="K670" i="5"/>
  <c r="L670" i="5"/>
  <c r="M670" i="5"/>
  <c r="N670" i="5"/>
  <c r="O670" i="5"/>
  <c r="P670" i="5"/>
  <c r="A669" i="5"/>
  <c r="B669" i="5"/>
  <c r="C669" i="5"/>
  <c r="D669" i="5"/>
  <c r="E669" i="5"/>
  <c r="F669" i="5"/>
  <c r="G669" i="5"/>
  <c r="H669" i="5"/>
  <c r="I669" i="5"/>
  <c r="J669" i="5"/>
  <c r="K669" i="5"/>
  <c r="L669" i="5"/>
  <c r="M669" i="5"/>
  <c r="N669" i="5"/>
  <c r="O669" i="5"/>
  <c r="P669" i="5"/>
  <c r="A668" i="5"/>
  <c r="B668" i="5"/>
  <c r="C668" i="5"/>
  <c r="D668" i="5"/>
  <c r="E668" i="5"/>
  <c r="F668" i="5"/>
  <c r="G668" i="5"/>
  <c r="H668" i="5"/>
  <c r="I668" i="5"/>
  <c r="J668" i="5"/>
  <c r="K668" i="5"/>
  <c r="L668" i="5"/>
  <c r="M668" i="5"/>
  <c r="N668" i="5"/>
  <c r="O668" i="5"/>
  <c r="P668" i="5"/>
  <c r="A667" i="5"/>
  <c r="B667" i="5"/>
  <c r="C667" i="5"/>
  <c r="D667" i="5"/>
  <c r="E667" i="5"/>
  <c r="F667" i="5"/>
  <c r="G667" i="5"/>
  <c r="H667" i="5"/>
  <c r="I667" i="5"/>
  <c r="J667" i="5"/>
  <c r="K667" i="5"/>
  <c r="L667" i="5"/>
  <c r="M667" i="5"/>
  <c r="N667" i="5"/>
  <c r="O667" i="5"/>
  <c r="P667" i="5"/>
  <c r="A666" i="5"/>
  <c r="B666" i="5"/>
  <c r="C666" i="5"/>
  <c r="D666" i="5"/>
  <c r="E666" i="5"/>
  <c r="F666" i="5"/>
  <c r="G666" i="5"/>
  <c r="H666" i="5"/>
  <c r="I666" i="5"/>
  <c r="J666" i="5"/>
  <c r="K666" i="5"/>
  <c r="L666" i="5"/>
  <c r="M666" i="5"/>
  <c r="N666" i="5"/>
  <c r="O666" i="5"/>
  <c r="P666" i="5"/>
  <c r="A665" i="5"/>
  <c r="B665" i="5"/>
  <c r="C665" i="5"/>
  <c r="D665" i="5"/>
  <c r="E665" i="5"/>
  <c r="F665" i="5"/>
  <c r="G665" i="5"/>
  <c r="H665" i="5"/>
  <c r="I665" i="5"/>
  <c r="J665" i="5"/>
  <c r="K665" i="5"/>
  <c r="L665" i="5"/>
  <c r="M665" i="5"/>
  <c r="N665" i="5"/>
  <c r="O665" i="5"/>
  <c r="P665" i="5"/>
  <c r="A664" i="5"/>
  <c r="B664" i="5"/>
  <c r="C664" i="5"/>
  <c r="D664" i="5"/>
  <c r="E664" i="5"/>
  <c r="F664" i="5"/>
  <c r="G664" i="5"/>
  <c r="H664" i="5"/>
  <c r="I664" i="5"/>
  <c r="J664" i="5"/>
  <c r="K664" i="5"/>
  <c r="L664" i="5"/>
  <c r="M664" i="5"/>
  <c r="N664" i="5"/>
  <c r="O664" i="5"/>
  <c r="P664" i="5"/>
  <c r="A663" i="5"/>
  <c r="B663" i="5"/>
  <c r="C663" i="5"/>
  <c r="D663" i="5"/>
  <c r="E663" i="5"/>
  <c r="F663" i="5"/>
  <c r="G663" i="5"/>
  <c r="H663" i="5"/>
  <c r="I663" i="5"/>
  <c r="J663" i="5"/>
  <c r="K663" i="5"/>
  <c r="L663" i="5"/>
  <c r="M663" i="5"/>
  <c r="N663" i="5"/>
  <c r="O663" i="5"/>
  <c r="P663" i="5"/>
  <c r="A662" i="5"/>
  <c r="B662" i="5"/>
  <c r="C662" i="5"/>
  <c r="D662" i="5"/>
  <c r="E662" i="5"/>
  <c r="F662" i="5"/>
  <c r="G662" i="5"/>
  <c r="H662" i="5"/>
  <c r="I662" i="5"/>
  <c r="J662" i="5"/>
  <c r="K662" i="5"/>
  <c r="L662" i="5"/>
  <c r="M662" i="5"/>
  <c r="N662" i="5"/>
  <c r="O662" i="5"/>
  <c r="P662" i="5"/>
  <c r="A661" i="5"/>
  <c r="B661" i="5"/>
  <c r="C661" i="5"/>
  <c r="D661" i="5"/>
  <c r="E661" i="5"/>
  <c r="F661" i="5"/>
  <c r="G661" i="5"/>
  <c r="H661" i="5"/>
  <c r="I661" i="5"/>
  <c r="J661" i="5"/>
  <c r="K661" i="5"/>
  <c r="L661" i="5"/>
  <c r="M661" i="5"/>
  <c r="N661" i="5"/>
  <c r="O661" i="5"/>
  <c r="P661" i="5"/>
  <c r="A660" i="5"/>
  <c r="B660" i="5"/>
  <c r="C660" i="5"/>
  <c r="D660" i="5"/>
  <c r="E660" i="5"/>
  <c r="F660" i="5"/>
  <c r="G660" i="5"/>
  <c r="H660" i="5"/>
  <c r="I660" i="5"/>
  <c r="J660" i="5"/>
  <c r="K660" i="5"/>
  <c r="L660" i="5"/>
  <c r="M660" i="5"/>
  <c r="N660" i="5"/>
  <c r="O660" i="5"/>
  <c r="P660" i="5"/>
  <c r="A659" i="5"/>
  <c r="B659" i="5"/>
  <c r="C659" i="5"/>
  <c r="D659" i="5"/>
  <c r="E659" i="5"/>
  <c r="F659" i="5"/>
  <c r="G659" i="5"/>
  <c r="H659" i="5"/>
  <c r="I659" i="5"/>
  <c r="J659" i="5"/>
  <c r="K659" i="5"/>
  <c r="L659" i="5"/>
  <c r="M659" i="5"/>
  <c r="N659" i="5"/>
  <c r="O659" i="5"/>
  <c r="P659" i="5"/>
  <c r="A658" i="5"/>
  <c r="B658" i="5"/>
  <c r="C658" i="5"/>
  <c r="D658" i="5"/>
  <c r="E658" i="5"/>
  <c r="F658" i="5"/>
  <c r="G658" i="5"/>
  <c r="H658" i="5"/>
  <c r="I658" i="5"/>
  <c r="J658" i="5"/>
  <c r="K658" i="5"/>
  <c r="L658" i="5"/>
  <c r="M658" i="5"/>
  <c r="N658" i="5"/>
  <c r="O658" i="5"/>
  <c r="P658" i="5"/>
  <c r="A657" i="5"/>
  <c r="B657" i="5"/>
  <c r="C657" i="5"/>
  <c r="D657" i="5"/>
  <c r="E657" i="5"/>
  <c r="F657" i="5"/>
  <c r="G657" i="5"/>
  <c r="H657" i="5"/>
  <c r="I657" i="5"/>
  <c r="J657" i="5"/>
  <c r="K657" i="5"/>
  <c r="L657" i="5"/>
  <c r="M657" i="5"/>
  <c r="N657" i="5"/>
  <c r="O657" i="5"/>
  <c r="P657" i="5"/>
  <c r="A656" i="5"/>
  <c r="B656" i="5"/>
  <c r="C656" i="5"/>
  <c r="D656" i="5"/>
  <c r="E656" i="5"/>
  <c r="F656" i="5"/>
  <c r="G656" i="5"/>
  <c r="H656" i="5"/>
  <c r="I656" i="5"/>
  <c r="J656" i="5"/>
  <c r="K656" i="5"/>
  <c r="L656" i="5"/>
  <c r="M656" i="5"/>
  <c r="N656" i="5"/>
  <c r="O656" i="5"/>
  <c r="P656" i="5"/>
  <c r="A655" i="5"/>
  <c r="B655" i="5"/>
  <c r="C655" i="5"/>
  <c r="D655" i="5"/>
  <c r="E655" i="5"/>
  <c r="F655" i="5"/>
  <c r="G655" i="5"/>
  <c r="H655" i="5"/>
  <c r="I655" i="5"/>
  <c r="J655" i="5"/>
  <c r="K655" i="5"/>
  <c r="L655" i="5"/>
  <c r="M655" i="5"/>
  <c r="N655" i="5"/>
  <c r="O655" i="5"/>
  <c r="P655" i="5"/>
  <c r="A654" i="5"/>
  <c r="B654" i="5"/>
  <c r="C654" i="5"/>
  <c r="D654" i="5"/>
  <c r="E654" i="5"/>
  <c r="F654" i="5"/>
  <c r="G654" i="5"/>
  <c r="H654" i="5"/>
  <c r="I654" i="5"/>
  <c r="J654" i="5"/>
  <c r="K654" i="5"/>
  <c r="L654" i="5"/>
  <c r="M654" i="5"/>
  <c r="N654" i="5"/>
  <c r="O654" i="5"/>
  <c r="P654" i="5"/>
  <c r="A653" i="5"/>
  <c r="B653" i="5"/>
  <c r="C653" i="5"/>
  <c r="D653" i="5"/>
  <c r="E653" i="5"/>
  <c r="F653" i="5"/>
  <c r="G653" i="5"/>
  <c r="H653" i="5"/>
  <c r="I653" i="5"/>
  <c r="J653" i="5"/>
  <c r="K653" i="5"/>
  <c r="L653" i="5"/>
  <c r="M653" i="5"/>
  <c r="N653" i="5"/>
  <c r="O653" i="5"/>
  <c r="P653" i="5"/>
  <c r="A652" i="5"/>
  <c r="B652" i="5"/>
  <c r="C652" i="5"/>
  <c r="D652" i="5"/>
  <c r="E652" i="5"/>
  <c r="F652" i="5"/>
  <c r="G652" i="5"/>
  <c r="H652" i="5"/>
  <c r="I652" i="5"/>
  <c r="J652" i="5"/>
  <c r="K652" i="5"/>
  <c r="L652" i="5"/>
  <c r="M652" i="5"/>
  <c r="N652" i="5"/>
  <c r="O652" i="5"/>
  <c r="P652" i="5"/>
  <c r="A651" i="5"/>
  <c r="B651" i="5"/>
  <c r="C651" i="5"/>
  <c r="D651" i="5"/>
  <c r="E651" i="5"/>
  <c r="F651" i="5"/>
  <c r="G651" i="5"/>
  <c r="H651" i="5"/>
  <c r="I651" i="5"/>
  <c r="J651" i="5"/>
  <c r="K651" i="5"/>
  <c r="L651" i="5"/>
  <c r="M651" i="5"/>
  <c r="N651" i="5"/>
  <c r="O651" i="5"/>
  <c r="P651" i="5"/>
  <c r="A650" i="5"/>
  <c r="B650" i="5"/>
  <c r="C650" i="5"/>
  <c r="D650" i="5"/>
  <c r="E650" i="5"/>
  <c r="F650" i="5"/>
  <c r="G650" i="5"/>
  <c r="H650" i="5"/>
  <c r="I650" i="5"/>
  <c r="J650" i="5"/>
  <c r="K650" i="5"/>
  <c r="L650" i="5"/>
  <c r="M650" i="5"/>
  <c r="N650" i="5"/>
  <c r="O650" i="5"/>
  <c r="P650" i="5"/>
  <c r="A649" i="5"/>
  <c r="B649" i="5"/>
  <c r="C649" i="5"/>
  <c r="D649" i="5"/>
  <c r="E649" i="5"/>
  <c r="F649" i="5"/>
  <c r="G649" i="5"/>
  <c r="H649" i="5"/>
  <c r="I649" i="5"/>
  <c r="J649" i="5"/>
  <c r="K649" i="5"/>
  <c r="L649" i="5"/>
  <c r="M649" i="5"/>
  <c r="N649" i="5"/>
  <c r="O649" i="5"/>
  <c r="P649" i="5"/>
  <c r="A648" i="5"/>
  <c r="B648" i="5"/>
  <c r="C648" i="5"/>
  <c r="D648" i="5"/>
  <c r="E648" i="5"/>
  <c r="F648" i="5"/>
  <c r="G648" i="5"/>
  <c r="H648" i="5"/>
  <c r="I648" i="5"/>
  <c r="J648" i="5"/>
  <c r="K648" i="5"/>
  <c r="L648" i="5"/>
  <c r="M648" i="5"/>
  <c r="N648" i="5"/>
  <c r="O648" i="5"/>
  <c r="P648" i="5"/>
  <c r="A647" i="5"/>
  <c r="B647" i="5"/>
  <c r="C647" i="5"/>
  <c r="D647" i="5"/>
  <c r="E647" i="5"/>
  <c r="F647" i="5"/>
  <c r="G647" i="5"/>
  <c r="H647" i="5"/>
  <c r="I647" i="5"/>
  <c r="J647" i="5"/>
  <c r="K647" i="5"/>
  <c r="L647" i="5"/>
  <c r="M647" i="5"/>
  <c r="N647" i="5"/>
  <c r="O647" i="5"/>
  <c r="P647" i="5"/>
  <c r="A646" i="5"/>
  <c r="B646" i="5"/>
  <c r="C646" i="5"/>
  <c r="D646" i="5"/>
  <c r="E646" i="5"/>
  <c r="F646" i="5"/>
  <c r="G646" i="5"/>
  <c r="H646" i="5"/>
  <c r="I646" i="5"/>
  <c r="J646" i="5"/>
  <c r="K646" i="5"/>
  <c r="L646" i="5"/>
  <c r="M646" i="5"/>
  <c r="N646" i="5"/>
  <c r="O646" i="5"/>
  <c r="P646" i="5"/>
  <c r="A645" i="5"/>
  <c r="B645" i="5"/>
  <c r="C645" i="5"/>
  <c r="D645" i="5"/>
  <c r="E645" i="5"/>
  <c r="F645" i="5"/>
  <c r="G645" i="5"/>
  <c r="H645" i="5"/>
  <c r="I645" i="5"/>
  <c r="J645" i="5"/>
  <c r="K645" i="5"/>
  <c r="L645" i="5"/>
  <c r="M645" i="5"/>
  <c r="N645" i="5"/>
  <c r="O645" i="5"/>
  <c r="P645" i="5"/>
  <c r="A644" i="5"/>
  <c r="B644" i="5"/>
  <c r="C644" i="5"/>
  <c r="D644" i="5"/>
  <c r="E644" i="5"/>
  <c r="F644" i="5"/>
  <c r="G644" i="5"/>
  <c r="H644" i="5"/>
  <c r="I644" i="5"/>
  <c r="J644" i="5"/>
  <c r="K644" i="5"/>
  <c r="L644" i="5"/>
  <c r="M644" i="5"/>
  <c r="N644" i="5"/>
  <c r="O644" i="5"/>
  <c r="P644" i="5"/>
  <c r="A643" i="5"/>
  <c r="B643" i="5"/>
  <c r="C643" i="5"/>
  <c r="D643" i="5"/>
  <c r="E643" i="5"/>
  <c r="F643" i="5"/>
  <c r="G643" i="5"/>
  <c r="H643" i="5"/>
  <c r="I643" i="5"/>
  <c r="J643" i="5"/>
  <c r="K643" i="5"/>
  <c r="L643" i="5"/>
  <c r="M643" i="5"/>
  <c r="N643" i="5"/>
  <c r="O643" i="5"/>
  <c r="P643" i="5"/>
  <c r="A642" i="5"/>
  <c r="B642" i="5"/>
  <c r="C642" i="5"/>
  <c r="D642" i="5"/>
  <c r="E642" i="5"/>
  <c r="F642" i="5"/>
  <c r="G642" i="5"/>
  <c r="H642" i="5"/>
  <c r="I642" i="5"/>
  <c r="J642" i="5"/>
  <c r="K642" i="5"/>
  <c r="L642" i="5"/>
  <c r="M642" i="5"/>
  <c r="N642" i="5"/>
  <c r="O642" i="5"/>
  <c r="P642" i="5"/>
  <c r="A641" i="5"/>
  <c r="B641" i="5"/>
  <c r="C641" i="5"/>
  <c r="D641" i="5"/>
  <c r="E641" i="5"/>
  <c r="F641" i="5"/>
  <c r="G641" i="5"/>
  <c r="H641" i="5"/>
  <c r="I641" i="5"/>
  <c r="J641" i="5"/>
  <c r="K641" i="5"/>
  <c r="L641" i="5"/>
  <c r="M641" i="5"/>
  <c r="N641" i="5"/>
  <c r="O641" i="5"/>
  <c r="P641" i="5"/>
  <c r="A640" i="5"/>
  <c r="B640" i="5"/>
  <c r="C640" i="5"/>
  <c r="D640" i="5"/>
  <c r="E640" i="5"/>
  <c r="F640" i="5"/>
  <c r="G640" i="5"/>
  <c r="H640" i="5"/>
  <c r="I640" i="5"/>
  <c r="J640" i="5"/>
  <c r="K640" i="5"/>
  <c r="L640" i="5"/>
  <c r="M640" i="5"/>
  <c r="N640" i="5"/>
  <c r="O640" i="5"/>
  <c r="P640" i="5"/>
  <c r="A639" i="5"/>
  <c r="B639" i="5"/>
  <c r="C639" i="5"/>
  <c r="D639" i="5"/>
  <c r="E639" i="5"/>
  <c r="F639" i="5"/>
  <c r="G639" i="5"/>
  <c r="H639" i="5"/>
  <c r="I639" i="5"/>
  <c r="J639" i="5"/>
  <c r="K639" i="5"/>
  <c r="L639" i="5"/>
  <c r="M639" i="5"/>
  <c r="N639" i="5"/>
  <c r="O639" i="5"/>
  <c r="P639" i="5"/>
  <c r="A638" i="5"/>
  <c r="B638" i="5"/>
  <c r="C638" i="5"/>
  <c r="D638" i="5"/>
  <c r="E638" i="5"/>
  <c r="F638" i="5"/>
  <c r="G638" i="5"/>
  <c r="H638" i="5"/>
  <c r="I638" i="5"/>
  <c r="J638" i="5"/>
  <c r="K638" i="5"/>
  <c r="L638" i="5"/>
  <c r="M638" i="5"/>
  <c r="N638" i="5"/>
  <c r="O638" i="5"/>
  <c r="P638" i="5"/>
  <c r="A637" i="5"/>
  <c r="B637" i="5"/>
  <c r="C637" i="5"/>
  <c r="D637" i="5"/>
  <c r="E637" i="5"/>
  <c r="F637" i="5"/>
  <c r="G637" i="5"/>
  <c r="H637" i="5"/>
  <c r="I637" i="5"/>
  <c r="J637" i="5"/>
  <c r="K637" i="5"/>
  <c r="L637" i="5"/>
  <c r="M637" i="5"/>
  <c r="N637" i="5"/>
  <c r="O637" i="5"/>
  <c r="P637" i="5"/>
  <c r="A636" i="5"/>
  <c r="B636" i="5"/>
  <c r="C636" i="5"/>
  <c r="D636" i="5"/>
  <c r="E636" i="5"/>
  <c r="F636" i="5"/>
  <c r="G636" i="5"/>
  <c r="H636" i="5"/>
  <c r="I636" i="5"/>
  <c r="J636" i="5"/>
  <c r="K636" i="5"/>
  <c r="L636" i="5"/>
  <c r="M636" i="5"/>
  <c r="N636" i="5"/>
  <c r="O636" i="5"/>
  <c r="P636" i="5"/>
  <c r="A635" i="5"/>
  <c r="B635" i="5"/>
  <c r="C635" i="5"/>
  <c r="D635" i="5"/>
  <c r="E635" i="5"/>
  <c r="F635" i="5"/>
  <c r="G635" i="5"/>
  <c r="H635" i="5"/>
  <c r="I635" i="5"/>
  <c r="J635" i="5"/>
  <c r="K635" i="5"/>
  <c r="L635" i="5"/>
  <c r="M635" i="5"/>
  <c r="N635" i="5"/>
  <c r="O635" i="5"/>
  <c r="P635" i="5"/>
  <c r="A634" i="5"/>
  <c r="B634" i="5"/>
  <c r="C634" i="5"/>
  <c r="D634" i="5"/>
  <c r="E634" i="5"/>
  <c r="F634" i="5"/>
  <c r="G634" i="5"/>
  <c r="H634" i="5"/>
  <c r="I634" i="5"/>
  <c r="J634" i="5"/>
  <c r="K634" i="5"/>
  <c r="L634" i="5"/>
  <c r="M634" i="5"/>
  <c r="N634" i="5"/>
  <c r="O634" i="5"/>
  <c r="P634" i="5"/>
  <c r="A633" i="5"/>
  <c r="B633" i="5"/>
  <c r="C633" i="5"/>
  <c r="D633" i="5"/>
  <c r="E633" i="5"/>
  <c r="F633" i="5"/>
  <c r="G633" i="5"/>
  <c r="H633" i="5"/>
  <c r="I633" i="5"/>
  <c r="J633" i="5"/>
  <c r="K633" i="5"/>
  <c r="L633" i="5"/>
  <c r="M633" i="5"/>
  <c r="N633" i="5"/>
  <c r="O633" i="5"/>
  <c r="P633" i="5"/>
  <c r="A632" i="5"/>
  <c r="B632" i="5"/>
  <c r="C632" i="5"/>
  <c r="D632" i="5"/>
  <c r="E632" i="5"/>
  <c r="F632" i="5"/>
  <c r="G632" i="5"/>
  <c r="H632" i="5"/>
  <c r="I632" i="5"/>
  <c r="J632" i="5"/>
  <c r="K632" i="5"/>
  <c r="L632" i="5"/>
  <c r="M632" i="5"/>
  <c r="N632" i="5"/>
  <c r="O632" i="5"/>
  <c r="P632" i="5"/>
  <c r="A631" i="5"/>
  <c r="B631" i="5"/>
  <c r="C631" i="5"/>
  <c r="D631" i="5"/>
  <c r="E631" i="5"/>
  <c r="F631" i="5"/>
  <c r="G631" i="5"/>
  <c r="H631" i="5"/>
  <c r="I631" i="5"/>
  <c r="J631" i="5"/>
  <c r="K631" i="5"/>
  <c r="L631" i="5"/>
  <c r="M631" i="5"/>
  <c r="N631" i="5"/>
  <c r="O631" i="5"/>
  <c r="P631" i="5"/>
  <c r="A630" i="5"/>
  <c r="B630" i="5"/>
  <c r="C630" i="5"/>
  <c r="D630" i="5"/>
  <c r="E630" i="5"/>
  <c r="F630" i="5"/>
  <c r="G630" i="5"/>
  <c r="H630" i="5"/>
  <c r="I630" i="5"/>
  <c r="J630" i="5"/>
  <c r="K630" i="5"/>
  <c r="L630" i="5"/>
  <c r="M630" i="5"/>
  <c r="N630" i="5"/>
  <c r="O630" i="5"/>
  <c r="P630" i="5"/>
  <c r="A629" i="5"/>
  <c r="B629" i="5"/>
  <c r="C629" i="5"/>
  <c r="D629" i="5"/>
  <c r="E629" i="5"/>
  <c r="F629" i="5"/>
  <c r="G629" i="5"/>
  <c r="H629" i="5"/>
  <c r="I629" i="5"/>
  <c r="J629" i="5"/>
  <c r="K629" i="5"/>
  <c r="L629" i="5"/>
  <c r="M629" i="5"/>
  <c r="N629" i="5"/>
  <c r="O629" i="5"/>
  <c r="P629" i="5"/>
  <c r="A628" i="5"/>
  <c r="B628" i="5"/>
  <c r="C628" i="5"/>
  <c r="D628" i="5"/>
  <c r="E628" i="5"/>
  <c r="F628" i="5"/>
  <c r="G628" i="5"/>
  <c r="H628" i="5"/>
  <c r="I628" i="5"/>
  <c r="J628" i="5"/>
  <c r="K628" i="5"/>
  <c r="L628" i="5"/>
  <c r="M628" i="5"/>
  <c r="N628" i="5"/>
  <c r="O628" i="5"/>
  <c r="P628" i="5"/>
  <c r="A627" i="5"/>
  <c r="B627" i="5"/>
  <c r="C627" i="5"/>
  <c r="D627" i="5"/>
  <c r="E627" i="5"/>
  <c r="F627" i="5"/>
  <c r="G627" i="5"/>
  <c r="H627" i="5"/>
  <c r="I627" i="5"/>
  <c r="J627" i="5"/>
  <c r="K627" i="5"/>
  <c r="L627" i="5"/>
  <c r="M627" i="5"/>
  <c r="N627" i="5"/>
  <c r="O627" i="5"/>
  <c r="P627" i="5"/>
  <c r="A626" i="5"/>
  <c r="B626" i="5"/>
  <c r="C626" i="5"/>
  <c r="D626" i="5"/>
  <c r="E626" i="5"/>
  <c r="F626" i="5"/>
  <c r="G626" i="5"/>
  <c r="H626" i="5"/>
  <c r="I626" i="5"/>
  <c r="J626" i="5"/>
  <c r="K626" i="5"/>
  <c r="L626" i="5"/>
  <c r="M626" i="5"/>
  <c r="N626" i="5"/>
  <c r="O626" i="5"/>
  <c r="P626" i="5"/>
  <c r="A625" i="5"/>
  <c r="B625" i="5"/>
  <c r="C625" i="5"/>
  <c r="D625" i="5"/>
  <c r="E625" i="5"/>
  <c r="F625" i="5"/>
  <c r="G625" i="5"/>
  <c r="H625" i="5"/>
  <c r="I625" i="5"/>
  <c r="J625" i="5"/>
  <c r="K625" i="5"/>
  <c r="L625" i="5"/>
  <c r="M625" i="5"/>
  <c r="N625" i="5"/>
  <c r="O625" i="5"/>
  <c r="P625" i="5"/>
  <c r="C624" i="5"/>
  <c r="E624" i="5"/>
  <c r="F624" i="5"/>
  <c r="G624" i="5"/>
  <c r="H624" i="5"/>
  <c r="I624" i="5"/>
  <c r="J624" i="5"/>
  <c r="K624" i="5"/>
  <c r="L624" i="5"/>
  <c r="M624" i="5"/>
  <c r="N624" i="5"/>
  <c r="O624" i="5"/>
  <c r="P624" i="5"/>
  <c r="A624" i="5"/>
  <c r="B624" i="5"/>
  <c r="D624" i="5"/>
  <c r="A623" i="5"/>
  <c r="D623" i="5"/>
  <c r="G623" i="5"/>
  <c r="I623" i="5"/>
  <c r="N623" i="5"/>
  <c r="B623" i="5"/>
  <c r="C623" i="5"/>
  <c r="E623" i="5"/>
  <c r="F623" i="5"/>
  <c r="H623" i="5"/>
  <c r="J623" i="5"/>
  <c r="K623" i="5"/>
  <c r="L623" i="5"/>
  <c r="M623" i="5"/>
  <c r="O623" i="5"/>
  <c r="P623" i="5"/>
  <c r="D622" i="5"/>
  <c r="G622" i="5"/>
  <c r="H622" i="5"/>
  <c r="M622" i="5"/>
  <c r="A622" i="5"/>
  <c r="B622" i="5"/>
  <c r="C622" i="5"/>
  <c r="E622" i="5"/>
  <c r="F622" i="5"/>
  <c r="I622" i="5"/>
  <c r="J622" i="5"/>
  <c r="K622" i="5"/>
  <c r="L622" i="5"/>
  <c r="N622" i="5"/>
  <c r="O622" i="5"/>
  <c r="P622" i="5"/>
  <c r="D621" i="5"/>
  <c r="G621" i="5"/>
  <c r="L621" i="5"/>
  <c r="P621" i="5"/>
  <c r="A621" i="5"/>
  <c r="B621" i="5"/>
  <c r="C621" i="5"/>
  <c r="E621" i="5"/>
  <c r="F621" i="5"/>
  <c r="H621" i="5"/>
  <c r="I621" i="5"/>
  <c r="J621" i="5"/>
  <c r="K621" i="5"/>
  <c r="M621" i="5"/>
  <c r="N621" i="5"/>
  <c r="O621" i="5"/>
  <c r="B620" i="5"/>
  <c r="K620" i="5"/>
  <c r="O620" i="5"/>
  <c r="A620" i="5"/>
  <c r="C620" i="5"/>
  <c r="D620" i="5"/>
  <c r="E620" i="5"/>
  <c r="F620" i="5"/>
  <c r="G620" i="5"/>
  <c r="H620" i="5"/>
  <c r="I620" i="5"/>
  <c r="J620" i="5"/>
  <c r="L620" i="5"/>
  <c r="M620" i="5"/>
  <c r="N620" i="5"/>
  <c r="P620" i="5"/>
  <c r="A619" i="5"/>
  <c r="G619" i="5"/>
  <c r="K619" i="5"/>
  <c r="B619" i="5"/>
  <c r="C619" i="5"/>
  <c r="D619" i="5"/>
  <c r="E619" i="5"/>
  <c r="F619" i="5"/>
  <c r="H619" i="5"/>
  <c r="I619" i="5"/>
  <c r="J619" i="5"/>
  <c r="L619" i="5"/>
  <c r="M619" i="5"/>
  <c r="N619" i="5"/>
  <c r="O619" i="5"/>
  <c r="P619" i="5"/>
  <c r="B618" i="5"/>
  <c r="F618" i="5"/>
  <c r="K618" i="5"/>
  <c r="M618" i="5"/>
  <c r="A618" i="5"/>
  <c r="C618" i="5"/>
  <c r="D618" i="5"/>
  <c r="E618" i="5"/>
  <c r="G618" i="5"/>
  <c r="H618" i="5"/>
  <c r="I618" i="5"/>
  <c r="J618" i="5"/>
  <c r="L618" i="5"/>
  <c r="N618" i="5"/>
  <c r="O618" i="5"/>
  <c r="P618" i="5"/>
  <c r="H617" i="5"/>
  <c r="L617" i="5"/>
  <c r="O617" i="5"/>
  <c r="A617" i="5"/>
  <c r="B617" i="5"/>
  <c r="C617" i="5"/>
  <c r="D617" i="5"/>
  <c r="E617" i="5"/>
  <c r="F617" i="5"/>
  <c r="G617" i="5"/>
  <c r="I617" i="5"/>
  <c r="J617" i="5"/>
  <c r="K617" i="5"/>
  <c r="M617" i="5"/>
  <c r="N617" i="5"/>
  <c r="P617" i="5"/>
  <c r="A616" i="5"/>
  <c r="E616" i="5"/>
  <c r="G616" i="5"/>
  <c r="J616" i="5"/>
  <c r="N616" i="5"/>
  <c r="B616" i="5"/>
  <c r="C616" i="5"/>
  <c r="D616" i="5"/>
  <c r="F616" i="5"/>
  <c r="H616" i="5"/>
  <c r="I616" i="5"/>
  <c r="K616" i="5"/>
  <c r="L616" i="5"/>
  <c r="M616" i="5"/>
  <c r="O616" i="5"/>
  <c r="P616" i="5"/>
  <c r="C615" i="5"/>
  <c r="D615" i="5"/>
  <c r="I615" i="5"/>
  <c r="N615" i="5"/>
  <c r="A615" i="5"/>
  <c r="B615" i="5"/>
  <c r="E615" i="5"/>
  <c r="F615" i="5"/>
  <c r="G615" i="5"/>
  <c r="H615" i="5"/>
  <c r="J615" i="5"/>
  <c r="K615" i="5"/>
  <c r="L615" i="5"/>
  <c r="M615" i="5"/>
  <c r="O615" i="5"/>
  <c r="P615" i="5"/>
  <c r="D614" i="5"/>
  <c r="H614" i="5"/>
  <c r="K614" i="5"/>
  <c r="O614" i="5"/>
  <c r="A614" i="5"/>
  <c r="B614" i="5"/>
  <c r="C614" i="5"/>
  <c r="E614" i="5"/>
  <c r="F614" i="5"/>
  <c r="G614" i="5"/>
  <c r="I614" i="5"/>
  <c r="J614" i="5"/>
  <c r="L614" i="5"/>
  <c r="M614" i="5"/>
  <c r="N614" i="5"/>
  <c r="P614" i="5"/>
  <c r="E613" i="5"/>
  <c r="J613" i="5"/>
  <c r="P613" i="5"/>
  <c r="A613" i="5"/>
  <c r="B613" i="5"/>
  <c r="C613" i="5"/>
  <c r="D613" i="5"/>
  <c r="F613" i="5"/>
  <c r="G613" i="5"/>
  <c r="H613" i="5"/>
  <c r="I613" i="5"/>
  <c r="K613" i="5"/>
  <c r="L613" i="5"/>
  <c r="M613" i="5"/>
  <c r="N613" i="5"/>
  <c r="O613" i="5"/>
  <c r="B612" i="5"/>
  <c r="J612" i="5"/>
  <c r="N612" i="5"/>
  <c r="P612" i="5"/>
  <c r="A612" i="5"/>
  <c r="C612" i="5"/>
  <c r="D612" i="5"/>
  <c r="E612" i="5"/>
  <c r="F612" i="5"/>
  <c r="G612" i="5"/>
  <c r="H612" i="5"/>
  <c r="I612" i="5"/>
  <c r="K612" i="5"/>
  <c r="L612" i="5"/>
  <c r="M612" i="5"/>
  <c r="O612" i="5"/>
  <c r="E611" i="5"/>
  <c r="H611" i="5"/>
  <c r="J611" i="5"/>
  <c r="N611" i="5"/>
  <c r="P611" i="5"/>
  <c r="A611" i="5"/>
  <c r="B611" i="5"/>
  <c r="C611" i="5"/>
  <c r="D611" i="5"/>
  <c r="F611" i="5"/>
  <c r="G611" i="5"/>
  <c r="I611" i="5"/>
  <c r="K611" i="5"/>
  <c r="L611" i="5"/>
  <c r="M611" i="5"/>
  <c r="O611" i="5"/>
  <c r="E610" i="5"/>
  <c r="J610" i="5"/>
  <c r="O610" i="5"/>
  <c r="P610" i="5"/>
  <c r="A610" i="5"/>
  <c r="B610" i="5"/>
  <c r="C610" i="5"/>
  <c r="D610" i="5"/>
  <c r="F610" i="5"/>
  <c r="G610" i="5"/>
  <c r="H610" i="5"/>
  <c r="I610" i="5"/>
  <c r="K610" i="5"/>
  <c r="L610" i="5"/>
  <c r="M610" i="5"/>
  <c r="N610" i="5"/>
  <c r="C609" i="5"/>
  <c r="E609" i="5"/>
  <c r="H609" i="5"/>
  <c r="L609" i="5"/>
  <c r="O609" i="5"/>
  <c r="A609" i="5"/>
  <c r="B609" i="5"/>
  <c r="D609" i="5"/>
  <c r="F609" i="5"/>
  <c r="G609" i="5"/>
  <c r="I609" i="5"/>
  <c r="J609" i="5"/>
  <c r="K609" i="5"/>
  <c r="M609" i="5"/>
  <c r="N609" i="5"/>
  <c r="P609" i="5"/>
  <c r="B608" i="5"/>
  <c r="D608" i="5"/>
  <c r="F608" i="5"/>
  <c r="I608" i="5"/>
  <c r="L608" i="5"/>
  <c r="O608" i="5"/>
  <c r="A608" i="5"/>
  <c r="C608" i="5"/>
  <c r="E608" i="5"/>
  <c r="G608" i="5"/>
  <c r="H608" i="5"/>
  <c r="J608" i="5"/>
  <c r="K608" i="5"/>
  <c r="M608" i="5"/>
  <c r="N608" i="5"/>
  <c r="P608" i="5"/>
  <c r="A607" i="5"/>
  <c r="B607" i="5"/>
  <c r="C607" i="5"/>
  <c r="D607" i="5"/>
  <c r="E607" i="5"/>
  <c r="F607" i="5"/>
  <c r="G607" i="5"/>
  <c r="H607" i="5"/>
  <c r="I607" i="5"/>
  <c r="J607" i="5"/>
  <c r="K607" i="5"/>
  <c r="L607" i="5"/>
  <c r="M607" i="5"/>
  <c r="N607" i="5"/>
  <c r="O607" i="5"/>
  <c r="P607" i="5"/>
  <c r="A606" i="5"/>
  <c r="B606" i="5"/>
  <c r="C606" i="5"/>
  <c r="D606" i="5"/>
  <c r="E606" i="5"/>
  <c r="F606" i="5"/>
  <c r="G606" i="5"/>
  <c r="H606" i="5"/>
  <c r="I606" i="5"/>
  <c r="J606" i="5"/>
  <c r="K606" i="5"/>
  <c r="L606" i="5"/>
  <c r="M606" i="5"/>
  <c r="N606" i="5"/>
  <c r="O606" i="5"/>
  <c r="P606" i="5"/>
  <c r="P605" i="5"/>
  <c r="A605" i="5"/>
  <c r="B605" i="5"/>
  <c r="C605" i="5"/>
  <c r="D605" i="5"/>
  <c r="E605" i="5"/>
  <c r="F605" i="5"/>
  <c r="G605" i="5"/>
  <c r="H605" i="5"/>
  <c r="I605" i="5"/>
  <c r="J605" i="5"/>
  <c r="K605" i="5"/>
  <c r="L605" i="5"/>
  <c r="M605" i="5"/>
  <c r="N605" i="5"/>
  <c r="O605" i="5"/>
  <c r="A604" i="5"/>
  <c r="B604" i="5"/>
  <c r="C604" i="5"/>
  <c r="D604" i="5"/>
  <c r="E604" i="5"/>
  <c r="F604" i="5"/>
  <c r="G604" i="5"/>
  <c r="H604" i="5"/>
  <c r="I604" i="5"/>
  <c r="J604" i="5"/>
  <c r="K604" i="5"/>
  <c r="L604" i="5"/>
  <c r="M604" i="5"/>
  <c r="N604" i="5"/>
  <c r="O604" i="5"/>
  <c r="P604" i="5"/>
  <c r="B603" i="5"/>
  <c r="E603" i="5"/>
  <c r="H603" i="5"/>
  <c r="I603" i="5"/>
  <c r="K603" i="5"/>
  <c r="A603" i="5"/>
  <c r="C603" i="5"/>
  <c r="D603" i="5"/>
  <c r="F603" i="5"/>
  <c r="G603" i="5"/>
  <c r="J603" i="5"/>
  <c r="L603" i="5"/>
  <c r="M603" i="5"/>
  <c r="N603" i="5"/>
  <c r="O603" i="5"/>
  <c r="P603" i="5"/>
  <c r="E602" i="5"/>
  <c r="H602" i="5"/>
  <c r="L602" i="5"/>
  <c r="O602" i="5"/>
  <c r="P602" i="5"/>
  <c r="B602" i="5"/>
  <c r="D602" i="5"/>
  <c r="G602" i="5"/>
  <c r="I602" i="5"/>
  <c r="J602" i="5"/>
  <c r="K602" i="5"/>
  <c r="M602" i="5"/>
  <c r="N602" i="5"/>
  <c r="C602" i="5"/>
  <c r="A602" i="5"/>
  <c r="F602" i="5"/>
  <c r="E601" i="5"/>
  <c r="H601" i="5"/>
  <c r="N601" i="5"/>
  <c r="C601" i="5"/>
  <c r="L601" i="5"/>
  <c r="O601" i="5"/>
  <c r="A601" i="5"/>
  <c r="D601" i="5"/>
  <c r="G601" i="5"/>
  <c r="J601" i="5"/>
  <c r="M601" i="5"/>
  <c r="P601" i="5"/>
  <c r="B601" i="5"/>
  <c r="F601" i="5"/>
  <c r="I601" i="5"/>
  <c r="K601" i="5"/>
  <c r="E600" i="5"/>
  <c r="I600" i="5"/>
  <c r="M600" i="5"/>
  <c r="B600" i="5"/>
  <c r="D600" i="5"/>
  <c r="G600" i="5"/>
  <c r="J600" i="5"/>
  <c r="O600" i="5"/>
  <c r="A600" i="5"/>
  <c r="K600" i="5"/>
  <c r="C600" i="5"/>
  <c r="F600" i="5"/>
  <c r="H600" i="5"/>
  <c r="L600" i="5"/>
  <c r="N600" i="5"/>
  <c r="P600" i="5"/>
  <c r="A599" i="5"/>
  <c r="F599" i="5"/>
  <c r="K599" i="5"/>
  <c r="O599" i="5"/>
  <c r="E599" i="5"/>
  <c r="G599" i="5"/>
  <c r="C599" i="5"/>
  <c r="H599" i="5"/>
  <c r="I599" i="5"/>
  <c r="L599" i="5"/>
  <c r="N599" i="5"/>
  <c r="B599" i="5"/>
  <c r="D599" i="5"/>
  <c r="J599" i="5"/>
  <c r="M599" i="5"/>
  <c r="P599" i="5"/>
  <c r="C598" i="5"/>
  <c r="F598" i="5"/>
  <c r="I598" i="5"/>
  <c r="O598" i="5"/>
  <c r="A598" i="5"/>
  <c r="E598" i="5"/>
  <c r="J598" i="5"/>
  <c r="L598" i="5"/>
  <c r="N598" i="5"/>
  <c r="D598" i="5"/>
  <c r="G598" i="5"/>
  <c r="K598" i="5"/>
  <c r="P598" i="5"/>
  <c r="B598" i="5"/>
  <c r="H598" i="5"/>
  <c r="M598" i="5"/>
  <c r="A597" i="5"/>
  <c r="F597" i="5"/>
  <c r="C597" i="5"/>
  <c r="G597" i="5"/>
  <c r="I597" i="5"/>
  <c r="M597" i="5"/>
  <c r="O597" i="5"/>
  <c r="B597" i="5"/>
  <c r="D597" i="5"/>
  <c r="H597" i="5"/>
  <c r="J597" i="5"/>
  <c r="L597" i="5"/>
  <c r="P597" i="5"/>
  <c r="E597" i="5"/>
  <c r="K597" i="5"/>
  <c r="N597" i="5"/>
  <c r="A596" i="5"/>
  <c r="F596" i="5"/>
  <c r="N596" i="5"/>
  <c r="H596" i="5"/>
  <c r="K596" i="5"/>
  <c r="M596" i="5"/>
  <c r="O596" i="5"/>
  <c r="B596" i="5"/>
  <c r="D596" i="5"/>
  <c r="G596" i="5"/>
  <c r="J596" i="5"/>
  <c r="L596" i="5"/>
  <c r="C596" i="5"/>
  <c r="E596" i="5"/>
  <c r="I596" i="5"/>
  <c r="P596" i="5"/>
  <c r="D595" i="5"/>
  <c r="I595" i="5"/>
  <c r="C595" i="5"/>
  <c r="G595" i="5"/>
  <c r="J595" i="5"/>
  <c r="M595" i="5"/>
  <c r="O595" i="5"/>
  <c r="B595" i="5"/>
  <c r="E595" i="5"/>
  <c r="F595" i="5"/>
  <c r="K595" i="5"/>
  <c r="N595" i="5"/>
  <c r="A595" i="5"/>
  <c r="H595" i="5"/>
  <c r="L595" i="5"/>
  <c r="P595" i="5"/>
  <c r="B594" i="5"/>
  <c r="G594" i="5"/>
  <c r="L594" i="5"/>
  <c r="C594" i="5"/>
  <c r="E594" i="5"/>
  <c r="I594" i="5"/>
  <c r="M594" i="5"/>
  <c r="O594" i="5"/>
  <c r="A594" i="5"/>
  <c r="F594" i="5"/>
  <c r="H594" i="5"/>
  <c r="K594" i="5"/>
  <c r="N594" i="5"/>
  <c r="D594" i="5"/>
  <c r="J594" i="5"/>
  <c r="P594" i="5"/>
  <c r="A593" i="5"/>
  <c r="M593" i="5"/>
  <c r="D593" i="5"/>
  <c r="F593" i="5"/>
  <c r="L593" i="5"/>
  <c r="P593" i="5"/>
  <c r="C593" i="5"/>
  <c r="E593" i="5"/>
  <c r="H593" i="5"/>
  <c r="I593" i="5"/>
  <c r="K593" i="5"/>
  <c r="B593" i="5"/>
  <c r="G593" i="5"/>
  <c r="J593" i="5"/>
  <c r="N593" i="5"/>
  <c r="O593" i="5"/>
  <c r="A592" i="5"/>
  <c r="F592" i="5"/>
  <c r="K592" i="5"/>
  <c r="B592" i="5"/>
  <c r="D592" i="5"/>
  <c r="I592" i="5"/>
  <c r="J592" i="5"/>
  <c r="L592" i="5"/>
  <c r="O592" i="5"/>
  <c r="C592" i="5"/>
  <c r="E592" i="5"/>
  <c r="G592" i="5"/>
  <c r="M592" i="5"/>
  <c r="P592" i="5"/>
  <c r="H592" i="5"/>
  <c r="N592" i="5"/>
  <c r="E591" i="5"/>
  <c r="L591" i="5"/>
  <c r="D591" i="5"/>
  <c r="F591" i="5"/>
  <c r="I591" i="5"/>
  <c r="K591" i="5"/>
  <c r="M591" i="5"/>
  <c r="N591" i="5"/>
  <c r="B591" i="5"/>
  <c r="H591" i="5"/>
  <c r="J591" i="5"/>
  <c r="P591" i="5"/>
  <c r="A591" i="5"/>
  <c r="C591" i="5"/>
  <c r="G591" i="5"/>
  <c r="O591" i="5"/>
  <c r="H590" i="5"/>
  <c r="K590" i="5"/>
  <c r="C590" i="5"/>
  <c r="F590" i="5"/>
  <c r="I590" i="5"/>
  <c r="L590" i="5"/>
  <c r="M590" i="5"/>
  <c r="N590" i="5"/>
  <c r="P590" i="5"/>
  <c r="A590" i="5"/>
  <c r="D590" i="5"/>
  <c r="G590" i="5"/>
  <c r="B590" i="5"/>
  <c r="E590" i="5"/>
  <c r="J590" i="5"/>
  <c r="O590" i="5"/>
  <c r="I589" i="5"/>
  <c r="P589" i="5"/>
  <c r="B589" i="5"/>
  <c r="C589" i="5"/>
  <c r="G589" i="5"/>
  <c r="M589" i="5"/>
  <c r="D589" i="5"/>
  <c r="H589" i="5"/>
  <c r="K589" i="5"/>
  <c r="N589" i="5"/>
  <c r="A589" i="5"/>
  <c r="E589" i="5"/>
  <c r="F589" i="5"/>
  <c r="J589" i="5"/>
  <c r="L589" i="5"/>
  <c r="O589" i="5"/>
  <c r="C588" i="5"/>
  <c r="L588" i="5"/>
  <c r="A588" i="5"/>
  <c r="B588" i="5"/>
  <c r="E588" i="5"/>
  <c r="I588" i="5"/>
  <c r="M588" i="5"/>
  <c r="O588" i="5"/>
  <c r="D588" i="5"/>
  <c r="H588" i="5"/>
  <c r="K588" i="5"/>
  <c r="P588" i="5"/>
  <c r="F588" i="5"/>
  <c r="G588" i="5"/>
  <c r="J588" i="5"/>
  <c r="N588" i="5"/>
  <c r="I587" i="5"/>
  <c r="P587" i="5"/>
  <c r="B587" i="5"/>
  <c r="C587" i="5"/>
  <c r="E587" i="5"/>
  <c r="G587" i="5"/>
  <c r="H587" i="5"/>
  <c r="J587" i="5"/>
  <c r="M587" i="5"/>
  <c r="A587" i="5"/>
  <c r="D587" i="5"/>
  <c r="F587" i="5"/>
  <c r="K587" i="5"/>
  <c r="L587" i="5"/>
  <c r="N587" i="5"/>
  <c r="O587" i="5"/>
  <c r="B586" i="5"/>
  <c r="P586" i="5"/>
  <c r="D586" i="5"/>
  <c r="E586" i="5"/>
  <c r="H586" i="5"/>
  <c r="M586" i="5"/>
  <c r="C586" i="5"/>
  <c r="F586" i="5"/>
  <c r="J586" i="5"/>
  <c r="L586" i="5"/>
  <c r="O586" i="5"/>
  <c r="A586" i="5"/>
  <c r="G586" i="5"/>
  <c r="I586" i="5"/>
  <c r="K586" i="5"/>
  <c r="N586" i="5"/>
  <c r="G585" i="5"/>
  <c r="B585" i="5"/>
  <c r="E585" i="5"/>
  <c r="H585" i="5"/>
  <c r="I585" i="5"/>
  <c r="K585" i="5"/>
  <c r="O585" i="5"/>
  <c r="A585" i="5"/>
  <c r="C585" i="5"/>
  <c r="L585" i="5"/>
  <c r="N585" i="5"/>
  <c r="D585" i="5"/>
  <c r="F585" i="5"/>
  <c r="J585" i="5"/>
  <c r="M585" i="5"/>
  <c r="P585" i="5"/>
  <c r="B583" i="5"/>
  <c r="H583" i="5"/>
  <c r="M583" i="5"/>
  <c r="C583" i="5"/>
  <c r="D583" i="5"/>
  <c r="F583" i="5"/>
  <c r="I583" i="5"/>
  <c r="K583" i="5"/>
  <c r="P583" i="5"/>
  <c r="G583" i="5"/>
  <c r="L583" i="5"/>
  <c r="A583" i="5"/>
  <c r="E583" i="5"/>
  <c r="J583" i="5"/>
  <c r="N583" i="5"/>
  <c r="O583" i="5"/>
  <c r="G582" i="5"/>
  <c r="L582" i="5"/>
  <c r="B582" i="5"/>
  <c r="D582" i="5"/>
  <c r="H582" i="5"/>
  <c r="M582" i="5"/>
  <c r="P582" i="5"/>
  <c r="E582" i="5"/>
  <c r="J582" i="5"/>
  <c r="K582" i="5"/>
  <c r="O582" i="5"/>
  <c r="A582" i="5"/>
  <c r="C582" i="5"/>
  <c r="F582" i="5"/>
  <c r="I582" i="5"/>
  <c r="N582" i="5"/>
  <c r="A581" i="5"/>
  <c r="P581" i="5"/>
  <c r="B581" i="5"/>
  <c r="E581" i="5"/>
  <c r="G581" i="5"/>
  <c r="K581" i="5"/>
  <c r="O581" i="5"/>
  <c r="D581" i="5"/>
  <c r="I581" i="5"/>
  <c r="J581" i="5"/>
  <c r="M581" i="5"/>
  <c r="C581" i="5"/>
  <c r="F581" i="5"/>
  <c r="H581" i="5"/>
  <c r="L581" i="5"/>
  <c r="N581" i="5"/>
  <c r="B580" i="5"/>
  <c r="K580" i="5"/>
  <c r="E580" i="5"/>
  <c r="G580" i="5"/>
  <c r="L580" i="5"/>
  <c r="N580" i="5"/>
  <c r="D580" i="5"/>
  <c r="P580" i="5"/>
  <c r="A580" i="5"/>
  <c r="C580" i="5"/>
  <c r="F580" i="5"/>
  <c r="H580" i="5"/>
  <c r="I580" i="5"/>
  <c r="J580" i="5"/>
  <c r="M580" i="5"/>
  <c r="O580" i="5"/>
  <c r="B579" i="5"/>
  <c r="K579" i="5"/>
  <c r="D579" i="5"/>
  <c r="J579" i="5"/>
  <c r="M579" i="5"/>
  <c r="P579" i="5"/>
  <c r="H579" i="5"/>
  <c r="E579" i="5"/>
  <c r="L579" i="5"/>
  <c r="O579" i="5"/>
  <c r="A579" i="5"/>
  <c r="C579" i="5"/>
  <c r="F579" i="5"/>
  <c r="G579" i="5"/>
  <c r="I579" i="5"/>
  <c r="N579" i="5"/>
  <c r="B578" i="5"/>
  <c r="H578" i="5"/>
  <c r="K578" i="5"/>
  <c r="A578" i="5"/>
  <c r="E578" i="5"/>
  <c r="F578" i="5"/>
  <c r="C578" i="5"/>
  <c r="M578" i="5"/>
  <c r="D578" i="5"/>
  <c r="G578" i="5"/>
  <c r="I578" i="5"/>
  <c r="O578" i="5"/>
  <c r="P578" i="5"/>
  <c r="J578" i="5"/>
  <c r="L578" i="5"/>
  <c r="N578" i="5"/>
  <c r="A577" i="5"/>
  <c r="D577" i="5"/>
  <c r="M577" i="5"/>
  <c r="B577" i="5"/>
  <c r="H577" i="5"/>
  <c r="C577" i="5"/>
  <c r="G577" i="5"/>
  <c r="J577" i="5"/>
  <c r="L577" i="5"/>
  <c r="N577" i="5"/>
  <c r="P577" i="5"/>
  <c r="E577" i="5"/>
  <c r="F577" i="5"/>
  <c r="I577" i="5"/>
  <c r="K577" i="5"/>
  <c r="O577" i="5"/>
  <c r="K576" i="5"/>
  <c r="I576" i="5"/>
  <c r="O576" i="5"/>
  <c r="D576" i="5"/>
  <c r="F576" i="5"/>
  <c r="H576" i="5"/>
  <c r="J576" i="5"/>
  <c r="M576" i="5"/>
  <c r="P576" i="5"/>
  <c r="A576" i="5"/>
  <c r="B576" i="5"/>
  <c r="C576" i="5"/>
  <c r="E576" i="5"/>
  <c r="G576" i="5"/>
  <c r="L576" i="5"/>
  <c r="N576" i="5"/>
  <c r="G575" i="5"/>
  <c r="P575" i="5"/>
  <c r="K575" i="5"/>
  <c r="A575" i="5"/>
  <c r="C575" i="5"/>
  <c r="E575" i="5"/>
  <c r="F575" i="5"/>
  <c r="H575" i="5"/>
  <c r="J575" i="5"/>
  <c r="L575" i="5"/>
  <c r="O575" i="5"/>
  <c r="B575" i="5"/>
  <c r="D575" i="5"/>
  <c r="I575" i="5"/>
  <c r="M575" i="5"/>
  <c r="N575" i="5"/>
  <c r="E574" i="5"/>
  <c r="B574" i="5"/>
  <c r="J574" i="5"/>
  <c r="P574" i="5"/>
  <c r="D574" i="5"/>
  <c r="G574" i="5"/>
  <c r="I574" i="5"/>
  <c r="K574" i="5"/>
  <c r="M574" i="5"/>
  <c r="N574" i="5"/>
  <c r="A574" i="5"/>
  <c r="C574" i="5"/>
  <c r="F574" i="5"/>
  <c r="H574" i="5"/>
  <c r="L574" i="5"/>
  <c r="O574" i="5"/>
  <c r="I573" i="5"/>
  <c r="O573" i="5"/>
  <c r="A573" i="5"/>
  <c r="C573" i="5"/>
  <c r="F573" i="5"/>
  <c r="J573" i="5"/>
  <c r="L573" i="5"/>
  <c r="G573" i="5"/>
  <c r="P573" i="5"/>
  <c r="D573" i="5"/>
  <c r="H573" i="5"/>
  <c r="K573" i="5"/>
  <c r="N573" i="5"/>
  <c r="B573" i="5"/>
  <c r="E573" i="5"/>
  <c r="M573" i="5"/>
  <c r="M572" i="5"/>
  <c r="B572" i="5"/>
  <c r="E572" i="5"/>
  <c r="F572" i="5"/>
  <c r="I572" i="5"/>
  <c r="N572" i="5"/>
  <c r="C572" i="5"/>
  <c r="K572" i="5"/>
  <c r="A572" i="5"/>
  <c r="G572" i="5"/>
  <c r="L572" i="5"/>
  <c r="P572" i="5"/>
  <c r="D572" i="5"/>
  <c r="H572" i="5"/>
  <c r="J572" i="5"/>
  <c r="O572" i="5"/>
  <c r="I571" i="5"/>
  <c r="C571" i="5"/>
  <c r="G571" i="5"/>
  <c r="N571" i="5"/>
  <c r="P571" i="5"/>
  <c r="E571" i="5"/>
  <c r="L571" i="5"/>
  <c r="A571" i="5"/>
  <c r="H571" i="5"/>
  <c r="K571" i="5"/>
  <c r="O571" i="5"/>
  <c r="B571" i="5"/>
  <c r="D571" i="5"/>
  <c r="F571" i="5"/>
  <c r="J571" i="5"/>
  <c r="M571" i="5"/>
  <c r="A570" i="5"/>
  <c r="G570" i="5"/>
  <c r="N570" i="5"/>
  <c r="C570" i="5"/>
  <c r="E570" i="5"/>
  <c r="H570" i="5"/>
  <c r="K570" i="5"/>
  <c r="M570" i="5"/>
  <c r="P570" i="5"/>
  <c r="I570" i="5"/>
  <c r="F570" i="5"/>
  <c r="O570" i="5"/>
  <c r="B570" i="5"/>
  <c r="D570" i="5"/>
  <c r="J570" i="5"/>
  <c r="L570" i="5"/>
  <c r="J569" i="5"/>
  <c r="F569" i="5"/>
  <c r="N569" i="5"/>
  <c r="P569" i="5"/>
  <c r="B569" i="5"/>
  <c r="I569" i="5"/>
  <c r="C569" i="5"/>
  <c r="E569" i="5"/>
  <c r="G569" i="5"/>
  <c r="K569" i="5"/>
  <c r="M569" i="5"/>
  <c r="O569" i="5"/>
  <c r="A569" i="5"/>
  <c r="D569" i="5"/>
  <c r="H569" i="5"/>
  <c r="L569" i="5"/>
  <c r="E568" i="5"/>
  <c r="P568" i="5"/>
  <c r="A568" i="5"/>
  <c r="F568" i="5"/>
  <c r="K568" i="5"/>
  <c r="O568" i="5"/>
  <c r="J568" i="5"/>
  <c r="C568" i="5"/>
  <c r="H568" i="5"/>
  <c r="N568" i="5"/>
  <c r="B568" i="5"/>
  <c r="D568" i="5"/>
  <c r="G568" i="5"/>
  <c r="I568" i="5"/>
  <c r="L568" i="5"/>
  <c r="M568" i="5"/>
  <c r="C567" i="5"/>
  <c r="P567" i="5"/>
  <c r="A567" i="5"/>
  <c r="G567" i="5"/>
  <c r="I567" i="5"/>
  <c r="L567" i="5"/>
  <c r="O567" i="5"/>
  <c r="M567" i="5"/>
  <c r="B567" i="5"/>
  <c r="D567" i="5"/>
  <c r="F567" i="5"/>
  <c r="H567" i="5"/>
  <c r="J567" i="5"/>
  <c r="E567" i="5"/>
  <c r="K567" i="5"/>
  <c r="N567" i="5"/>
  <c r="A566" i="5"/>
  <c r="B566" i="5"/>
  <c r="C566" i="5"/>
  <c r="D566" i="5"/>
  <c r="E566" i="5"/>
  <c r="F566" i="5"/>
  <c r="I566" i="5"/>
  <c r="K566" i="5"/>
  <c r="N566" i="5"/>
  <c r="G566" i="5"/>
  <c r="O566" i="5"/>
  <c r="J566" i="5"/>
  <c r="M566" i="5"/>
  <c r="H566" i="5"/>
  <c r="L566" i="5"/>
  <c r="P566" i="5"/>
  <c r="A565" i="5"/>
  <c r="B565" i="5"/>
  <c r="C565" i="5"/>
  <c r="D565" i="5"/>
  <c r="E565" i="5"/>
  <c r="F565" i="5"/>
  <c r="G565" i="5"/>
  <c r="H565" i="5"/>
  <c r="I565" i="5"/>
  <c r="J565" i="5"/>
  <c r="K565" i="5"/>
  <c r="L565" i="5"/>
  <c r="M565" i="5"/>
  <c r="N565" i="5"/>
  <c r="O565" i="5"/>
  <c r="P565" i="5"/>
  <c r="A564" i="5"/>
  <c r="B564" i="5"/>
  <c r="C564" i="5"/>
  <c r="D564" i="5"/>
  <c r="E564" i="5"/>
  <c r="F564" i="5"/>
  <c r="G564" i="5"/>
  <c r="H564" i="5"/>
  <c r="I564" i="5"/>
  <c r="J564" i="5"/>
  <c r="K564" i="5"/>
  <c r="L564" i="5"/>
  <c r="M564" i="5"/>
  <c r="N564" i="5"/>
  <c r="O564" i="5"/>
  <c r="P564" i="5"/>
  <c r="A563" i="5"/>
  <c r="B563" i="5"/>
  <c r="C563" i="5"/>
  <c r="D563" i="5"/>
  <c r="E563" i="5"/>
  <c r="F563" i="5"/>
  <c r="G563" i="5"/>
  <c r="H563" i="5"/>
  <c r="I563" i="5"/>
  <c r="J563" i="5"/>
  <c r="K563" i="5"/>
  <c r="L563" i="5"/>
  <c r="M563" i="5"/>
  <c r="N563" i="5"/>
  <c r="O563" i="5"/>
  <c r="P563" i="5"/>
  <c r="A562" i="5"/>
  <c r="B562" i="5"/>
  <c r="C562" i="5"/>
  <c r="D562" i="5"/>
  <c r="E562" i="5"/>
  <c r="F562" i="5"/>
  <c r="G562" i="5"/>
  <c r="H562" i="5"/>
  <c r="I562" i="5"/>
  <c r="J562" i="5"/>
  <c r="K562" i="5"/>
  <c r="L562" i="5"/>
  <c r="M562" i="5"/>
  <c r="N562" i="5"/>
  <c r="O562" i="5"/>
  <c r="P562" i="5"/>
  <c r="A561" i="5"/>
  <c r="B561" i="5"/>
  <c r="C561" i="5"/>
  <c r="D561" i="5"/>
  <c r="E561" i="5"/>
  <c r="F561" i="5"/>
  <c r="G561" i="5"/>
  <c r="H561" i="5"/>
  <c r="I561" i="5"/>
  <c r="J561" i="5"/>
  <c r="K561" i="5"/>
  <c r="L561" i="5"/>
  <c r="M561" i="5"/>
  <c r="N561" i="5"/>
  <c r="O561" i="5"/>
  <c r="P561" i="5"/>
  <c r="A560" i="5"/>
  <c r="B560" i="5"/>
  <c r="C560" i="5"/>
  <c r="D560" i="5"/>
  <c r="E560" i="5"/>
  <c r="F560" i="5"/>
  <c r="G560" i="5"/>
  <c r="H560" i="5"/>
  <c r="I560" i="5"/>
  <c r="J560" i="5"/>
  <c r="K560" i="5"/>
  <c r="L560" i="5"/>
  <c r="M560" i="5"/>
  <c r="N560" i="5"/>
  <c r="O560" i="5"/>
  <c r="P560" i="5"/>
  <c r="A559" i="5"/>
  <c r="B559" i="5"/>
  <c r="C559" i="5"/>
  <c r="D559" i="5"/>
  <c r="E559" i="5"/>
  <c r="F559" i="5"/>
  <c r="G559" i="5"/>
  <c r="H559" i="5"/>
  <c r="I559" i="5"/>
  <c r="J559" i="5"/>
  <c r="K559" i="5"/>
  <c r="L559" i="5"/>
  <c r="M559" i="5"/>
  <c r="N559" i="5"/>
  <c r="O559" i="5"/>
  <c r="P559" i="5"/>
  <c r="A558" i="5"/>
  <c r="B558" i="5"/>
  <c r="C558" i="5"/>
  <c r="D558" i="5"/>
  <c r="E558" i="5"/>
  <c r="F558" i="5"/>
  <c r="G558" i="5"/>
  <c r="H558" i="5"/>
  <c r="I558" i="5"/>
  <c r="J558" i="5"/>
  <c r="K558" i="5"/>
  <c r="L558" i="5"/>
  <c r="M558" i="5"/>
  <c r="N558" i="5"/>
  <c r="O558" i="5"/>
  <c r="P558" i="5"/>
  <c r="A557" i="5"/>
  <c r="B557" i="5"/>
  <c r="C557" i="5"/>
  <c r="D557" i="5"/>
  <c r="E557" i="5"/>
  <c r="F557" i="5"/>
  <c r="G557" i="5"/>
  <c r="H557" i="5"/>
  <c r="I557" i="5"/>
  <c r="J557" i="5"/>
  <c r="K557" i="5"/>
  <c r="L557" i="5"/>
  <c r="M557" i="5"/>
  <c r="N557" i="5"/>
  <c r="O557" i="5"/>
  <c r="P557" i="5"/>
  <c r="A556" i="5"/>
  <c r="B556" i="5"/>
  <c r="C556" i="5"/>
  <c r="D556" i="5"/>
  <c r="E556" i="5"/>
  <c r="F556" i="5"/>
  <c r="G556" i="5"/>
  <c r="H556" i="5"/>
  <c r="I556" i="5"/>
  <c r="J556" i="5"/>
  <c r="K556" i="5"/>
  <c r="L556" i="5"/>
  <c r="M556" i="5"/>
  <c r="N556" i="5"/>
  <c r="O556" i="5"/>
  <c r="P556" i="5"/>
  <c r="A555" i="5"/>
  <c r="B555" i="5"/>
  <c r="C555" i="5"/>
  <c r="D555" i="5"/>
  <c r="E555" i="5"/>
  <c r="F555" i="5"/>
  <c r="G555" i="5"/>
  <c r="H555" i="5"/>
  <c r="I555" i="5"/>
  <c r="J555" i="5"/>
  <c r="K555" i="5"/>
  <c r="L555" i="5"/>
  <c r="M555" i="5"/>
  <c r="N555" i="5"/>
  <c r="O555" i="5"/>
  <c r="P555" i="5"/>
  <c r="A554" i="5"/>
  <c r="B554" i="5"/>
  <c r="C554" i="5"/>
  <c r="D554" i="5"/>
  <c r="E554" i="5"/>
  <c r="F554" i="5"/>
  <c r="G554" i="5"/>
  <c r="H554" i="5"/>
  <c r="I554" i="5"/>
  <c r="J554" i="5"/>
  <c r="K554" i="5"/>
  <c r="L554" i="5"/>
  <c r="M554" i="5"/>
  <c r="N554" i="5"/>
  <c r="O554" i="5"/>
  <c r="P554" i="5"/>
  <c r="A553" i="5"/>
  <c r="B553" i="5"/>
  <c r="C553" i="5"/>
  <c r="D553" i="5"/>
  <c r="E553" i="5"/>
  <c r="F553" i="5"/>
  <c r="G553" i="5"/>
  <c r="H553" i="5"/>
  <c r="I553" i="5"/>
  <c r="J553" i="5"/>
  <c r="K553" i="5"/>
  <c r="L553" i="5"/>
  <c r="M553" i="5"/>
  <c r="N553" i="5"/>
  <c r="O553" i="5"/>
  <c r="P553" i="5"/>
  <c r="A552" i="5"/>
  <c r="B552" i="5"/>
  <c r="C552" i="5"/>
  <c r="D552" i="5"/>
  <c r="E552" i="5"/>
  <c r="F552" i="5"/>
  <c r="G552" i="5"/>
  <c r="H552" i="5"/>
  <c r="I552" i="5"/>
  <c r="J552" i="5"/>
  <c r="K552" i="5"/>
  <c r="L552" i="5"/>
  <c r="M552" i="5"/>
  <c r="N552" i="5"/>
  <c r="O552" i="5"/>
  <c r="P552" i="5"/>
  <c r="A551" i="5"/>
  <c r="B551" i="5"/>
  <c r="C551" i="5"/>
  <c r="D551" i="5"/>
  <c r="E551" i="5"/>
  <c r="F551" i="5"/>
  <c r="G551" i="5"/>
  <c r="H551" i="5"/>
  <c r="I551" i="5"/>
  <c r="J551" i="5"/>
  <c r="K551" i="5"/>
  <c r="L551" i="5"/>
  <c r="M551" i="5"/>
  <c r="N551" i="5"/>
  <c r="O551" i="5"/>
  <c r="P551" i="5"/>
  <c r="A550" i="5"/>
  <c r="B550" i="5"/>
  <c r="C550" i="5"/>
  <c r="D550" i="5"/>
  <c r="E550" i="5"/>
  <c r="F550" i="5"/>
  <c r="G550" i="5"/>
  <c r="H550" i="5"/>
  <c r="I550" i="5"/>
  <c r="J550" i="5"/>
  <c r="K550" i="5"/>
  <c r="L550" i="5"/>
  <c r="M550" i="5"/>
  <c r="N550" i="5"/>
  <c r="O550" i="5"/>
  <c r="P550" i="5"/>
  <c r="A549" i="5"/>
  <c r="B549" i="5"/>
  <c r="C549" i="5"/>
  <c r="D549" i="5"/>
  <c r="E549" i="5"/>
  <c r="F549" i="5"/>
  <c r="G549" i="5"/>
  <c r="H549" i="5"/>
  <c r="I549" i="5"/>
  <c r="J549" i="5"/>
  <c r="K549" i="5"/>
  <c r="L549" i="5"/>
  <c r="M549" i="5"/>
  <c r="N549" i="5"/>
  <c r="O549" i="5"/>
  <c r="P549" i="5"/>
  <c r="A548" i="5"/>
  <c r="B548" i="5"/>
  <c r="C548" i="5"/>
  <c r="D548" i="5"/>
  <c r="E548" i="5"/>
  <c r="F548" i="5"/>
  <c r="G548" i="5"/>
  <c r="H548" i="5"/>
  <c r="I548" i="5"/>
  <c r="J548" i="5"/>
  <c r="K548" i="5"/>
  <c r="L548" i="5"/>
  <c r="M548" i="5"/>
  <c r="N548" i="5"/>
  <c r="O548" i="5"/>
  <c r="P548" i="5"/>
  <c r="A547" i="5"/>
  <c r="B547" i="5"/>
  <c r="C547" i="5"/>
  <c r="D547" i="5"/>
  <c r="E547" i="5"/>
  <c r="F547" i="5"/>
  <c r="G547" i="5"/>
  <c r="H547" i="5"/>
  <c r="I547" i="5"/>
  <c r="J547" i="5"/>
  <c r="K547" i="5"/>
  <c r="L547" i="5"/>
  <c r="M547" i="5"/>
  <c r="N547" i="5"/>
  <c r="O547" i="5"/>
  <c r="P547" i="5"/>
  <c r="A546" i="5"/>
  <c r="B546" i="5"/>
  <c r="C546" i="5"/>
  <c r="D546" i="5"/>
  <c r="E546" i="5"/>
  <c r="F546" i="5"/>
  <c r="G546" i="5"/>
  <c r="H546" i="5"/>
  <c r="I546" i="5"/>
  <c r="J546" i="5"/>
  <c r="K546" i="5"/>
  <c r="L546" i="5"/>
  <c r="M546" i="5"/>
  <c r="N546" i="5"/>
  <c r="O546" i="5"/>
  <c r="P546" i="5"/>
  <c r="A545" i="5"/>
  <c r="B545" i="5"/>
  <c r="C545" i="5"/>
  <c r="D545" i="5"/>
  <c r="E545" i="5"/>
  <c r="F545" i="5"/>
  <c r="G545" i="5"/>
  <c r="H545" i="5"/>
  <c r="I545" i="5"/>
  <c r="J545" i="5"/>
  <c r="K545" i="5"/>
  <c r="L545" i="5"/>
  <c r="M545" i="5"/>
  <c r="N545" i="5"/>
  <c r="O545" i="5"/>
  <c r="P545" i="5"/>
  <c r="A544" i="5"/>
  <c r="B544" i="5"/>
  <c r="C544" i="5"/>
  <c r="D544" i="5"/>
  <c r="E544" i="5"/>
  <c r="F544" i="5"/>
  <c r="G544" i="5"/>
  <c r="H544" i="5"/>
  <c r="I544" i="5"/>
  <c r="J544" i="5"/>
  <c r="K544" i="5"/>
  <c r="L544" i="5"/>
  <c r="M544" i="5"/>
  <c r="N544" i="5"/>
  <c r="O544" i="5"/>
  <c r="P544" i="5"/>
  <c r="A543" i="5"/>
  <c r="B543" i="5"/>
  <c r="C543" i="5"/>
  <c r="D543" i="5"/>
  <c r="E543" i="5"/>
  <c r="F543" i="5"/>
  <c r="G543" i="5"/>
  <c r="H543" i="5"/>
  <c r="I543" i="5"/>
  <c r="J543" i="5"/>
  <c r="K543" i="5"/>
  <c r="L543" i="5"/>
  <c r="M543" i="5"/>
  <c r="N543" i="5"/>
  <c r="O543" i="5"/>
  <c r="P543" i="5"/>
  <c r="A542" i="5"/>
  <c r="B542" i="5"/>
  <c r="C542" i="5"/>
  <c r="D542" i="5"/>
  <c r="E542" i="5"/>
  <c r="F542" i="5"/>
  <c r="G542" i="5"/>
  <c r="H542" i="5"/>
  <c r="I542" i="5"/>
  <c r="J542" i="5"/>
  <c r="K542" i="5"/>
  <c r="L542" i="5"/>
  <c r="M542" i="5"/>
  <c r="N542" i="5"/>
  <c r="O542" i="5"/>
  <c r="P542" i="5"/>
  <c r="A541" i="5"/>
  <c r="B541" i="5"/>
  <c r="C541" i="5"/>
  <c r="D541" i="5"/>
  <c r="E541" i="5"/>
  <c r="F541" i="5"/>
  <c r="G541" i="5"/>
  <c r="H541" i="5"/>
  <c r="I541" i="5"/>
  <c r="J541" i="5"/>
  <c r="K541" i="5"/>
  <c r="L541" i="5"/>
  <c r="M541" i="5"/>
  <c r="N541" i="5"/>
  <c r="O541" i="5"/>
  <c r="P541" i="5"/>
  <c r="A540" i="5"/>
  <c r="B540" i="5"/>
  <c r="C540" i="5"/>
  <c r="D540" i="5"/>
  <c r="E540" i="5"/>
  <c r="F540" i="5"/>
  <c r="G540" i="5"/>
  <c r="H540" i="5"/>
  <c r="I540" i="5"/>
  <c r="J540" i="5"/>
  <c r="K540" i="5"/>
  <c r="L540" i="5"/>
  <c r="M540" i="5"/>
  <c r="N540" i="5"/>
  <c r="O540" i="5"/>
  <c r="P540" i="5"/>
  <c r="A539" i="5"/>
  <c r="B539" i="5"/>
  <c r="C539" i="5"/>
  <c r="D539" i="5"/>
  <c r="E539" i="5"/>
  <c r="F539" i="5"/>
  <c r="G539" i="5"/>
  <c r="H539" i="5"/>
  <c r="I539" i="5"/>
  <c r="J539" i="5"/>
  <c r="K539" i="5"/>
  <c r="L539" i="5"/>
  <c r="M539" i="5"/>
  <c r="N539" i="5"/>
  <c r="O539" i="5"/>
  <c r="P539" i="5"/>
  <c r="A538" i="5"/>
  <c r="B538" i="5"/>
  <c r="C538" i="5"/>
  <c r="D538" i="5"/>
  <c r="E538" i="5"/>
  <c r="F538" i="5"/>
  <c r="G538" i="5"/>
  <c r="H538" i="5"/>
  <c r="I538" i="5"/>
  <c r="J538" i="5"/>
  <c r="K538" i="5"/>
  <c r="L538" i="5"/>
  <c r="M538" i="5"/>
  <c r="N538" i="5"/>
  <c r="O538" i="5"/>
  <c r="P538" i="5"/>
  <c r="A537" i="5"/>
  <c r="B537" i="5"/>
  <c r="C537" i="5"/>
  <c r="D537" i="5"/>
  <c r="E537" i="5"/>
  <c r="F537" i="5"/>
  <c r="G537" i="5"/>
  <c r="H537" i="5"/>
  <c r="I537" i="5"/>
  <c r="J537" i="5"/>
  <c r="K537" i="5"/>
  <c r="L537" i="5"/>
  <c r="M537" i="5"/>
  <c r="N537" i="5"/>
  <c r="O537" i="5"/>
  <c r="P537" i="5"/>
  <c r="A536" i="5"/>
  <c r="B536" i="5"/>
  <c r="C536" i="5"/>
  <c r="D536" i="5"/>
  <c r="E536" i="5"/>
  <c r="F536" i="5"/>
  <c r="G536" i="5"/>
  <c r="H536" i="5"/>
  <c r="I536" i="5"/>
  <c r="J536" i="5"/>
  <c r="K536" i="5"/>
  <c r="L536" i="5"/>
  <c r="M536" i="5"/>
  <c r="N536" i="5"/>
  <c r="O536" i="5"/>
  <c r="P536" i="5"/>
  <c r="A535" i="5"/>
  <c r="B535" i="5"/>
  <c r="C535" i="5"/>
  <c r="D535" i="5"/>
  <c r="E535" i="5"/>
  <c r="F535" i="5"/>
  <c r="G535" i="5"/>
  <c r="H535" i="5"/>
  <c r="I535" i="5"/>
  <c r="J535" i="5"/>
  <c r="K535" i="5"/>
  <c r="L535" i="5"/>
  <c r="M535" i="5"/>
  <c r="N535" i="5"/>
  <c r="O535" i="5"/>
  <c r="P535" i="5"/>
  <c r="A534" i="5"/>
  <c r="B534" i="5"/>
  <c r="C534" i="5"/>
  <c r="D534" i="5"/>
  <c r="E534" i="5"/>
  <c r="F534" i="5"/>
  <c r="G534" i="5"/>
  <c r="H534" i="5"/>
  <c r="I534" i="5"/>
  <c r="J534" i="5"/>
  <c r="K534" i="5"/>
  <c r="L534" i="5"/>
  <c r="M534" i="5"/>
  <c r="N534" i="5"/>
  <c r="O534" i="5"/>
  <c r="P534" i="5"/>
  <c r="A533" i="5"/>
  <c r="B533" i="5"/>
  <c r="C533" i="5"/>
  <c r="D533" i="5"/>
  <c r="E533" i="5"/>
  <c r="F533" i="5"/>
  <c r="G533" i="5"/>
  <c r="H533" i="5"/>
  <c r="I533" i="5"/>
  <c r="J533" i="5"/>
  <c r="K533" i="5"/>
  <c r="L533" i="5"/>
  <c r="M533" i="5"/>
  <c r="N533" i="5"/>
  <c r="O533" i="5"/>
  <c r="P533" i="5"/>
  <c r="A532" i="5"/>
  <c r="B532" i="5"/>
  <c r="C532" i="5"/>
  <c r="D532" i="5"/>
  <c r="E532" i="5"/>
  <c r="F532" i="5"/>
  <c r="G532" i="5"/>
  <c r="H532" i="5"/>
  <c r="I532" i="5"/>
  <c r="J532" i="5"/>
  <c r="K532" i="5"/>
  <c r="L532" i="5"/>
  <c r="M532" i="5"/>
  <c r="N532" i="5"/>
  <c r="O532" i="5"/>
  <c r="P532" i="5"/>
  <c r="A531" i="5"/>
  <c r="B531" i="5"/>
  <c r="C531" i="5"/>
  <c r="D531" i="5"/>
  <c r="E531" i="5"/>
  <c r="F531" i="5"/>
  <c r="G531" i="5"/>
  <c r="H531" i="5"/>
  <c r="I531" i="5"/>
  <c r="J531" i="5"/>
  <c r="K531" i="5"/>
  <c r="L531" i="5"/>
  <c r="M531" i="5"/>
  <c r="N531" i="5"/>
  <c r="O531" i="5"/>
  <c r="P531" i="5"/>
  <c r="A530" i="5"/>
  <c r="B530" i="5"/>
  <c r="C530" i="5"/>
  <c r="D530" i="5"/>
  <c r="E530" i="5"/>
  <c r="F530" i="5"/>
  <c r="G530" i="5"/>
  <c r="H530" i="5"/>
  <c r="I530" i="5"/>
  <c r="J530" i="5"/>
  <c r="K530" i="5"/>
  <c r="L530" i="5"/>
  <c r="M530" i="5"/>
  <c r="N530" i="5"/>
  <c r="O530" i="5"/>
  <c r="P530" i="5"/>
  <c r="A529" i="5"/>
  <c r="B529" i="5"/>
  <c r="C529" i="5"/>
  <c r="D529" i="5"/>
  <c r="E529" i="5"/>
  <c r="F529" i="5"/>
  <c r="G529" i="5"/>
  <c r="H529" i="5"/>
  <c r="I529" i="5"/>
  <c r="J529" i="5"/>
  <c r="K529" i="5"/>
  <c r="L529" i="5"/>
  <c r="M529" i="5"/>
  <c r="N529" i="5"/>
  <c r="O529" i="5"/>
  <c r="P529" i="5"/>
  <c r="A528" i="5"/>
  <c r="B528" i="5"/>
  <c r="C528" i="5"/>
  <c r="D528" i="5"/>
  <c r="E528" i="5"/>
  <c r="F528" i="5"/>
  <c r="G528" i="5"/>
  <c r="H528" i="5"/>
  <c r="I528" i="5"/>
  <c r="J528" i="5"/>
  <c r="K528" i="5"/>
  <c r="L528" i="5"/>
  <c r="M528" i="5"/>
  <c r="N528" i="5"/>
  <c r="O528" i="5"/>
  <c r="P528" i="5"/>
  <c r="A527" i="5"/>
  <c r="B527" i="5"/>
  <c r="C527" i="5"/>
  <c r="D527" i="5"/>
  <c r="E527" i="5"/>
  <c r="F527" i="5"/>
  <c r="G527" i="5"/>
  <c r="H527" i="5"/>
  <c r="I527" i="5"/>
  <c r="J527" i="5"/>
  <c r="K527" i="5"/>
  <c r="L527" i="5"/>
  <c r="M527" i="5"/>
  <c r="N527" i="5"/>
  <c r="O527" i="5"/>
  <c r="P527" i="5"/>
  <c r="A526" i="5"/>
  <c r="B526" i="5"/>
  <c r="C526" i="5"/>
  <c r="D526" i="5"/>
  <c r="E526" i="5"/>
  <c r="F526" i="5"/>
  <c r="G526" i="5"/>
  <c r="H526" i="5"/>
  <c r="I526" i="5"/>
  <c r="J526" i="5"/>
  <c r="K526" i="5"/>
  <c r="L526" i="5"/>
  <c r="M526" i="5"/>
  <c r="N526" i="5"/>
  <c r="O526" i="5"/>
  <c r="P526" i="5"/>
  <c r="A525" i="5"/>
  <c r="B525" i="5"/>
  <c r="C525" i="5"/>
  <c r="D525" i="5"/>
  <c r="E525" i="5"/>
  <c r="F525" i="5"/>
  <c r="G525" i="5"/>
  <c r="H525" i="5"/>
  <c r="I525" i="5"/>
  <c r="J525" i="5"/>
  <c r="K525" i="5"/>
  <c r="L525" i="5"/>
  <c r="M525" i="5"/>
  <c r="N525" i="5"/>
  <c r="O525" i="5"/>
  <c r="P525" i="5"/>
  <c r="A524" i="5"/>
  <c r="B524" i="5"/>
  <c r="C524" i="5"/>
  <c r="D524" i="5"/>
  <c r="E524" i="5"/>
  <c r="F524" i="5"/>
  <c r="G524" i="5"/>
  <c r="H524" i="5"/>
  <c r="I524" i="5"/>
  <c r="J524" i="5"/>
  <c r="K524" i="5"/>
  <c r="L524" i="5"/>
  <c r="M524" i="5"/>
  <c r="N524" i="5"/>
  <c r="O524" i="5"/>
  <c r="P524" i="5"/>
  <c r="A523" i="5"/>
  <c r="B523" i="5"/>
  <c r="C523" i="5"/>
  <c r="D523" i="5"/>
  <c r="E523" i="5"/>
  <c r="F523" i="5"/>
  <c r="G523" i="5"/>
  <c r="H523" i="5"/>
  <c r="I523" i="5"/>
  <c r="J523" i="5"/>
  <c r="K523" i="5"/>
  <c r="L523" i="5"/>
  <c r="M523" i="5"/>
  <c r="N523" i="5"/>
  <c r="O523" i="5"/>
  <c r="P523" i="5"/>
  <c r="A522" i="5"/>
  <c r="B522" i="5"/>
  <c r="C522" i="5"/>
  <c r="D522" i="5"/>
  <c r="E522" i="5"/>
  <c r="F522" i="5"/>
  <c r="G522" i="5"/>
  <c r="H522" i="5"/>
  <c r="I522" i="5"/>
  <c r="J522" i="5"/>
  <c r="K522" i="5"/>
  <c r="L522" i="5"/>
  <c r="M522" i="5"/>
  <c r="N522" i="5"/>
  <c r="O522" i="5"/>
  <c r="P522" i="5"/>
  <c r="A521" i="5"/>
  <c r="B521" i="5"/>
  <c r="C521" i="5"/>
  <c r="D521" i="5"/>
  <c r="E521" i="5"/>
  <c r="F521" i="5"/>
  <c r="G521" i="5"/>
  <c r="H521" i="5"/>
  <c r="I521" i="5"/>
  <c r="J521" i="5"/>
  <c r="K521" i="5"/>
  <c r="L521" i="5"/>
  <c r="M521" i="5"/>
  <c r="N521" i="5"/>
  <c r="O521" i="5"/>
  <c r="P521" i="5"/>
  <c r="A520" i="5"/>
  <c r="B520" i="5"/>
  <c r="C520" i="5"/>
  <c r="D520" i="5"/>
  <c r="E520" i="5"/>
  <c r="F520" i="5"/>
  <c r="G520" i="5"/>
  <c r="H520" i="5"/>
  <c r="I520" i="5"/>
  <c r="J520" i="5"/>
  <c r="K520" i="5"/>
  <c r="L520" i="5"/>
  <c r="M520" i="5"/>
  <c r="N520" i="5"/>
  <c r="O520" i="5"/>
  <c r="P520" i="5"/>
  <c r="A519" i="5"/>
  <c r="B519" i="5"/>
  <c r="C519" i="5"/>
  <c r="D519" i="5"/>
  <c r="E519" i="5"/>
  <c r="F519" i="5"/>
  <c r="G519" i="5"/>
  <c r="H519" i="5"/>
  <c r="I519" i="5"/>
  <c r="J519" i="5"/>
  <c r="K519" i="5"/>
  <c r="L519" i="5"/>
  <c r="M519" i="5"/>
  <c r="N519" i="5"/>
  <c r="O519" i="5"/>
  <c r="P519" i="5"/>
  <c r="A518" i="5"/>
  <c r="B518" i="5"/>
  <c r="C518" i="5"/>
  <c r="D518" i="5"/>
  <c r="E518" i="5"/>
  <c r="F518" i="5"/>
  <c r="G518" i="5"/>
  <c r="H518" i="5"/>
  <c r="I518" i="5"/>
  <c r="J518" i="5"/>
  <c r="K518" i="5"/>
  <c r="L518" i="5"/>
  <c r="M518" i="5"/>
  <c r="N518" i="5"/>
  <c r="O518" i="5"/>
  <c r="P518" i="5"/>
  <c r="A517" i="5"/>
  <c r="B517" i="5"/>
  <c r="C517" i="5"/>
  <c r="D517" i="5"/>
  <c r="E517" i="5"/>
  <c r="F517" i="5"/>
  <c r="G517" i="5"/>
  <c r="H517" i="5"/>
  <c r="I517" i="5"/>
  <c r="J517" i="5"/>
  <c r="K517" i="5"/>
  <c r="L517" i="5"/>
  <c r="M517" i="5"/>
  <c r="N517" i="5"/>
  <c r="O517" i="5"/>
  <c r="P517" i="5"/>
  <c r="A516" i="5"/>
  <c r="B516" i="5"/>
  <c r="C516" i="5"/>
  <c r="D516" i="5"/>
  <c r="E516" i="5"/>
  <c r="F516" i="5"/>
  <c r="G516" i="5"/>
  <c r="H516" i="5"/>
  <c r="I516" i="5"/>
  <c r="J516" i="5"/>
  <c r="K516" i="5"/>
  <c r="L516" i="5"/>
  <c r="M516" i="5"/>
  <c r="N516" i="5"/>
  <c r="O516" i="5"/>
  <c r="P516" i="5"/>
  <c r="A515" i="5"/>
  <c r="B515" i="5"/>
  <c r="C515" i="5"/>
  <c r="D515" i="5"/>
  <c r="E515" i="5"/>
  <c r="F515" i="5"/>
  <c r="G515" i="5"/>
  <c r="H515" i="5"/>
  <c r="I515" i="5"/>
  <c r="J515" i="5"/>
  <c r="K515" i="5"/>
  <c r="L515" i="5"/>
  <c r="M515" i="5"/>
  <c r="N515" i="5"/>
  <c r="O515" i="5"/>
  <c r="P515" i="5"/>
  <c r="A514" i="5"/>
  <c r="B514" i="5"/>
  <c r="C514" i="5"/>
  <c r="D514" i="5"/>
  <c r="E514" i="5"/>
  <c r="F514" i="5"/>
  <c r="G514" i="5"/>
  <c r="H514" i="5"/>
  <c r="I514" i="5"/>
  <c r="J514" i="5"/>
  <c r="K514" i="5"/>
  <c r="L514" i="5"/>
  <c r="M514" i="5"/>
  <c r="N514" i="5"/>
  <c r="O514" i="5"/>
  <c r="P514" i="5"/>
  <c r="A513" i="5"/>
  <c r="B513" i="5"/>
  <c r="C513" i="5"/>
  <c r="D513" i="5"/>
  <c r="E513" i="5"/>
  <c r="F513" i="5"/>
  <c r="G513" i="5"/>
  <c r="H513" i="5"/>
  <c r="I513" i="5"/>
  <c r="J513" i="5"/>
  <c r="K513" i="5"/>
  <c r="L513" i="5"/>
  <c r="M513" i="5"/>
  <c r="N513" i="5"/>
  <c r="O513" i="5"/>
  <c r="P513" i="5"/>
  <c r="A512" i="5"/>
  <c r="B512" i="5"/>
  <c r="C512" i="5"/>
  <c r="D512" i="5"/>
  <c r="E512" i="5"/>
  <c r="F512" i="5"/>
  <c r="G512" i="5"/>
  <c r="H512" i="5"/>
  <c r="I512" i="5"/>
  <c r="J512" i="5"/>
  <c r="K512" i="5"/>
  <c r="L512" i="5"/>
  <c r="M512" i="5"/>
  <c r="N512" i="5"/>
  <c r="O512" i="5"/>
  <c r="P512" i="5"/>
  <c r="A511" i="5"/>
  <c r="B511" i="5"/>
  <c r="C511" i="5"/>
  <c r="D511" i="5"/>
  <c r="E511" i="5"/>
  <c r="F511" i="5"/>
  <c r="G511" i="5"/>
  <c r="H511" i="5"/>
  <c r="I511" i="5"/>
  <c r="J511" i="5"/>
  <c r="K511" i="5"/>
  <c r="L511" i="5"/>
  <c r="M511" i="5"/>
  <c r="N511" i="5"/>
  <c r="O511" i="5"/>
  <c r="P511" i="5"/>
  <c r="A510" i="5"/>
  <c r="B510" i="5"/>
  <c r="C510" i="5"/>
  <c r="D510" i="5"/>
  <c r="E510" i="5"/>
  <c r="F510" i="5"/>
  <c r="G510" i="5"/>
  <c r="H510" i="5"/>
  <c r="I510" i="5"/>
  <c r="J510" i="5"/>
  <c r="K510" i="5"/>
  <c r="L510" i="5"/>
  <c r="M510" i="5"/>
  <c r="N510" i="5"/>
  <c r="O510" i="5"/>
  <c r="P510" i="5"/>
  <c r="A509" i="5"/>
  <c r="B509" i="5"/>
  <c r="C509" i="5"/>
  <c r="D509" i="5"/>
  <c r="E509" i="5"/>
  <c r="F509" i="5"/>
  <c r="G509" i="5"/>
  <c r="H509" i="5"/>
  <c r="I509" i="5"/>
  <c r="J509" i="5"/>
  <c r="K509" i="5"/>
  <c r="L509" i="5"/>
  <c r="M509" i="5"/>
  <c r="N509" i="5"/>
  <c r="O509" i="5"/>
  <c r="P509" i="5"/>
  <c r="A508" i="5"/>
  <c r="B508" i="5"/>
  <c r="C508" i="5"/>
  <c r="D508" i="5"/>
  <c r="E508" i="5"/>
  <c r="F508" i="5"/>
  <c r="G508" i="5"/>
  <c r="H508" i="5"/>
  <c r="I508" i="5"/>
  <c r="J508" i="5"/>
  <c r="K508" i="5"/>
  <c r="L508" i="5"/>
  <c r="M508" i="5"/>
  <c r="N508" i="5"/>
  <c r="O508" i="5"/>
  <c r="P508" i="5"/>
  <c r="A507" i="5"/>
  <c r="B507" i="5"/>
  <c r="C507" i="5"/>
  <c r="D507" i="5"/>
  <c r="E507" i="5"/>
  <c r="F507" i="5"/>
  <c r="G507" i="5"/>
  <c r="H507" i="5"/>
  <c r="I507" i="5"/>
  <c r="J507" i="5"/>
  <c r="K507" i="5"/>
  <c r="L507" i="5"/>
  <c r="M507" i="5"/>
  <c r="N507" i="5"/>
  <c r="O507" i="5"/>
  <c r="P507" i="5"/>
  <c r="A506" i="5"/>
  <c r="B506" i="5"/>
  <c r="C506" i="5"/>
  <c r="D506" i="5"/>
  <c r="E506" i="5"/>
  <c r="F506" i="5"/>
  <c r="G506" i="5"/>
  <c r="H506" i="5"/>
  <c r="I506" i="5"/>
  <c r="J506" i="5"/>
  <c r="K506" i="5"/>
  <c r="L506" i="5"/>
  <c r="M506" i="5"/>
  <c r="N506" i="5"/>
  <c r="O506" i="5"/>
  <c r="P506" i="5"/>
  <c r="A505" i="5"/>
  <c r="B505" i="5"/>
  <c r="C505" i="5"/>
  <c r="D505" i="5"/>
  <c r="E505" i="5"/>
  <c r="F505" i="5"/>
  <c r="G505" i="5"/>
  <c r="H505" i="5"/>
  <c r="I505" i="5"/>
  <c r="J505" i="5"/>
  <c r="K505" i="5"/>
  <c r="L505" i="5"/>
  <c r="M505" i="5"/>
  <c r="N505" i="5"/>
  <c r="O505" i="5"/>
  <c r="P505" i="5"/>
  <c r="A504" i="5"/>
  <c r="B504" i="5"/>
  <c r="C504" i="5"/>
  <c r="D504" i="5"/>
  <c r="E504" i="5"/>
  <c r="F504" i="5"/>
  <c r="G504" i="5"/>
  <c r="H504" i="5"/>
  <c r="I504" i="5"/>
  <c r="J504" i="5"/>
  <c r="K504" i="5"/>
  <c r="L504" i="5"/>
  <c r="M504" i="5"/>
  <c r="N504" i="5"/>
  <c r="O504" i="5"/>
  <c r="P504" i="5"/>
  <c r="A503" i="5"/>
  <c r="B503" i="5"/>
  <c r="C503" i="5"/>
  <c r="D503" i="5"/>
  <c r="E503" i="5"/>
  <c r="F503" i="5"/>
  <c r="G503" i="5"/>
  <c r="H503" i="5"/>
  <c r="I503" i="5"/>
  <c r="J503" i="5"/>
  <c r="K503" i="5"/>
  <c r="L503" i="5"/>
  <c r="M503" i="5"/>
  <c r="N503" i="5"/>
  <c r="O503" i="5"/>
  <c r="P503" i="5"/>
  <c r="A502" i="5"/>
  <c r="B502" i="5"/>
  <c r="C502" i="5"/>
  <c r="D502" i="5"/>
  <c r="E502" i="5"/>
  <c r="F502" i="5"/>
  <c r="G502" i="5"/>
  <c r="H502" i="5"/>
  <c r="I502" i="5"/>
  <c r="J502" i="5"/>
  <c r="K502" i="5"/>
  <c r="L502" i="5"/>
  <c r="M502" i="5"/>
  <c r="N502" i="5"/>
  <c r="O502" i="5"/>
  <c r="P502" i="5"/>
  <c r="A501" i="5"/>
  <c r="B501" i="5"/>
  <c r="C501" i="5"/>
  <c r="D501" i="5"/>
  <c r="E501" i="5"/>
  <c r="F501" i="5"/>
  <c r="G501" i="5"/>
  <c r="H501" i="5"/>
  <c r="I501" i="5"/>
  <c r="J501" i="5"/>
  <c r="K501" i="5"/>
  <c r="L501" i="5"/>
  <c r="M501" i="5"/>
  <c r="N501" i="5"/>
  <c r="O501" i="5"/>
  <c r="P501" i="5"/>
  <c r="A500" i="5"/>
  <c r="B500" i="5"/>
  <c r="C500" i="5"/>
  <c r="D500" i="5"/>
  <c r="E500" i="5"/>
  <c r="F500" i="5"/>
  <c r="G500" i="5"/>
  <c r="H500" i="5"/>
  <c r="I500" i="5"/>
  <c r="J500" i="5"/>
  <c r="K500" i="5"/>
  <c r="L500" i="5"/>
  <c r="M500" i="5"/>
  <c r="N500" i="5"/>
  <c r="O500" i="5"/>
  <c r="P500" i="5"/>
  <c r="A499" i="5"/>
  <c r="B499" i="5"/>
  <c r="C499" i="5"/>
  <c r="D499" i="5"/>
  <c r="E499" i="5"/>
  <c r="F499" i="5"/>
  <c r="G499" i="5"/>
  <c r="H499" i="5"/>
  <c r="I499" i="5"/>
  <c r="J499" i="5"/>
  <c r="K499" i="5"/>
  <c r="L499" i="5"/>
  <c r="M499" i="5"/>
  <c r="N499" i="5"/>
  <c r="O499" i="5"/>
  <c r="P499" i="5"/>
  <c r="A498" i="5"/>
  <c r="B498" i="5"/>
  <c r="C498" i="5"/>
  <c r="D498" i="5"/>
  <c r="E498" i="5"/>
  <c r="F498" i="5"/>
  <c r="G498" i="5"/>
  <c r="H498" i="5"/>
  <c r="I498" i="5"/>
  <c r="J498" i="5"/>
  <c r="K498" i="5"/>
  <c r="L498" i="5"/>
  <c r="M498" i="5"/>
  <c r="N498" i="5"/>
  <c r="O498" i="5"/>
  <c r="P498" i="5"/>
  <c r="A497" i="5"/>
  <c r="B497" i="5"/>
  <c r="C497" i="5"/>
  <c r="D497" i="5"/>
  <c r="E497" i="5"/>
  <c r="F497" i="5"/>
  <c r="G497" i="5"/>
  <c r="H497" i="5"/>
  <c r="I497" i="5"/>
  <c r="J497" i="5"/>
  <c r="K497" i="5"/>
  <c r="L497" i="5"/>
  <c r="M497" i="5"/>
  <c r="N497" i="5"/>
  <c r="O497" i="5"/>
  <c r="P497" i="5"/>
  <c r="A496" i="5"/>
  <c r="B496" i="5"/>
  <c r="C496" i="5"/>
  <c r="D496" i="5"/>
  <c r="E496" i="5"/>
  <c r="F496" i="5"/>
  <c r="G496" i="5"/>
  <c r="H496" i="5"/>
  <c r="I496" i="5"/>
  <c r="J496" i="5"/>
  <c r="K496" i="5"/>
  <c r="L496" i="5"/>
  <c r="M496" i="5"/>
  <c r="N496" i="5"/>
  <c r="O496" i="5"/>
  <c r="P496" i="5"/>
  <c r="A495" i="5"/>
  <c r="B495" i="5"/>
  <c r="C495" i="5"/>
  <c r="D495" i="5"/>
  <c r="E495" i="5"/>
  <c r="F495" i="5"/>
  <c r="G495" i="5"/>
  <c r="H495" i="5"/>
  <c r="I495" i="5"/>
  <c r="J495" i="5"/>
  <c r="K495" i="5"/>
  <c r="L495" i="5"/>
  <c r="M495" i="5"/>
  <c r="N495" i="5"/>
  <c r="O495" i="5"/>
  <c r="P495" i="5"/>
  <c r="A494" i="5"/>
  <c r="B494" i="5"/>
  <c r="C494" i="5"/>
  <c r="D494" i="5"/>
  <c r="E494" i="5"/>
  <c r="F494" i="5"/>
  <c r="G494" i="5"/>
  <c r="H494" i="5"/>
  <c r="I494" i="5"/>
  <c r="J494" i="5"/>
  <c r="K494" i="5"/>
  <c r="L494" i="5"/>
  <c r="M494" i="5"/>
  <c r="N494" i="5"/>
  <c r="O494" i="5"/>
  <c r="P494" i="5"/>
  <c r="A493" i="5"/>
  <c r="B493" i="5"/>
  <c r="C493" i="5"/>
  <c r="D493" i="5"/>
  <c r="E493" i="5"/>
  <c r="F493" i="5"/>
  <c r="G493" i="5"/>
  <c r="H493" i="5"/>
  <c r="I493" i="5"/>
  <c r="J493" i="5"/>
  <c r="K493" i="5"/>
  <c r="L493" i="5"/>
  <c r="M493" i="5"/>
  <c r="N493" i="5"/>
  <c r="O493" i="5"/>
  <c r="P493" i="5"/>
  <c r="A492" i="5"/>
  <c r="B492" i="5"/>
  <c r="C492" i="5"/>
  <c r="D492" i="5"/>
  <c r="E492" i="5"/>
  <c r="F492" i="5"/>
  <c r="G492" i="5"/>
  <c r="H492" i="5"/>
  <c r="I492" i="5"/>
  <c r="J492" i="5"/>
  <c r="K492" i="5"/>
  <c r="L492" i="5"/>
  <c r="M492" i="5"/>
  <c r="N492" i="5"/>
  <c r="O492" i="5"/>
  <c r="P492" i="5"/>
  <c r="A491" i="5"/>
  <c r="B491" i="5"/>
  <c r="C491" i="5"/>
  <c r="D491" i="5"/>
  <c r="E491" i="5"/>
  <c r="F491" i="5"/>
  <c r="G491" i="5"/>
  <c r="H491" i="5"/>
  <c r="I491" i="5"/>
  <c r="J491" i="5"/>
  <c r="K491" i="5"/>
  <c r="L491" i="5"/>
  <c r="M491" i="5"/>
  <c r="N491" i="5"/>
  <c r="O491" i="5"/>
  <c r="P491" i="5"/>
  <c r="A490" i="5"/>
  <c r="B490" i="5"/>
  <c r="C490" i="5"/>
  <c r="D490" i="5"/>
  <c r="E490" i="5"/>
  <c r="F490" i="5"/>
  <c r="G490" i="5"/>
  <c r="H490" i="5"/>
  <c r="I490" i="5"/>
  <c r="J490" i="5"/>
  <c r="K490" i="5"/>
  <c r="L490" i="5"/>
  <c r="M490" i="5"/>
  <c r="N490" i="5"/>
  <c r="O490" i="5"/>
  <c r="P490" i="5"/>
  <c r="A489" i="5"/>
  <c r="B489" i="5"/>
  <c r="C489" i="5"/>
  <c r="D489" i="5"/>
  <c r="E489" i="5"/>
  <c r="F489" i="5"/>
  <c r="G489" i="5"/>
  <c r="H489" i="5"/>
  <c r="I489" i="5"/>
  <c r="J489" i="5"/>
  <c r="K489" i="5"/>
  <c r="L489" i="5"/>
  <c r="M489" i="5"/>
  <c r="N489" i="5"/>
  <c r="O489" i="5"/>
  <c r="P489" i="5"/>
  <c r="A488" i="5"/>
  <c r="B488" i="5"/>
  <c r="C488" i="5"/>
  <c r="D488" i="5"/>
  <c r="E488" i="5"/>
  <c r="F488" i="5"/>
  <c r="G488" i="5"/>
  <c r="H488" i="5"/>
  <c r="I488" i="5"/>
  <c r="J488" i="5"/>
  <c r="K488" i="5"/>
  <c r="L488" i="5"/>
  <c r="M488" i="5"/>
  <c r="N488" i="5"/>
  <c r="O488" i="5"/>
  <c r="P488" i="5"/>
  <c r="A487" i="5"/>
  <c r="B487" i="5"/>
  <c r="C487" i="5"/>
  <c r="D487" i="5"/>
  <c r="E487" i="5"/>
  <c r="F487" i="5"/>
  <c r="G487" i="5"/>
  <c r="H487" i="5"/>
  <c r="I487" i="5"/>
  <c r="J487" i="5"/>
  <c r="K487" i="5"/>
  <c r="L487" i="5"/>
  <c r="M487" i="5"/>
  <c r="N487" i="5"/>
  <c r="O487" i="5"/>
  <c r="P487" i="5"/>
  <c r="A485" i="5"/>
  <c r="B485" i="5"/>
  <c r="C485" i="5"/>
  <c r="D485" i="5"/>
  <c r="E485" i="5"/>
  <c r="F485" i="5"/>
  <c r="G485" i="5"/>
  <c r="H485" i="5"/>
  <c r="I485" i="5"/>
  <c r="J485" i="5"/>
  <c r="K485" i="5"/>
  <c r="L485" i="5"/>
  <c r="M485" i="5"/>
  <c r="N485" i="5"/>
  <c r="O485" i="5"/>
  <c r="P485" i="5"/>
  <c r="A484" i="5"/>
  <c r="B484" i="5"/>
  <c r="C484" i="5"/>
  <c r="D484" i="5"/>
  <c r="E484" i="5"/>
  <c r="F484" i="5"/>
  <c r="G484" i="5"/>
  <c r="H484" i="5"/>
  <c r="I484" i="5"/>
  <c r="J484" i="5"/>
  <c r="K484" i="5"/>
  <c r="L484" i="5"/>
  <c r="M484" i="5"/>
  <c r="N484" i="5"/>
  <c r="O484" i="5"/>
  <c r="P484" i="5"/>
  <c r="A483" i="5"/>
  <c r="B483" i="5"/>
  <c r="C483" i="5"/>
  <c r="D483" i="5"/>
  <c r="E483" i="5"/>
  <c r="F483" i="5"/>
  <c r="G483" i="5"/>
  <c r="H483" i="5"/>
  <c r="I483" i="5"/>
  <c r="J483" i="5"/>
  <c r="K483" i="5"/>
  <c r="L483" i="5"/>
  <c r="M483" i="5"/>
  <c r="N483" i="5"/>
  <c r="O483" i="5"/>
  <c r="P483" i="5"/>
  <c r="A482" i="5"/>
  <c r="B482" i="5"/>
  <c r="C482" i="5"/>
  <c r="D482" i="5"/>
  <c r="E482" i="5"/>
  <c r="F482" i="5"/>
  <c r="G482" i="5"/>
  <c r="H482" i="5"/>
  <c r="I482" i="5"/>
  <c r="J482" i="5"/>
  <c r="K482" i="5"/>
  <c r="L482" i="5"/>
  <c r="M482" i="5"/>
  <c r="N482" i="5"/>
  <c r="O482" i="5"/>
  <c r="P482" i="5"/>
  <c r="A481" i="5"/>
  <c r="B481" i="5"/>
  <c r="C481" i="5"/>
  <c r="D481" i="5"/>
  <c r="E481" i="5"/>
  <c r="F481" i="5"/>
  <c r="G481" i="5"/>
  <c r="H481" i="5"/>
  <c r="I481" i="5"/>
  <c r="J481" i="5"/>
  <c r="K481" i="5"/>
  <c r="L481" i="5"/>
  <c r="M481" i="5"/>
  <c r="N481" i="5"/>
  <c r="O481" i="5"/>
  <c r="P481" i="5"/>
  <c r="A480" i="5"/>
  <c r="B480" i="5"/>
  <c r="C480" i="5"/>
  <c r="D480" i="5"/>
  <c r="E480" i="5"/>
  <c r="F480" i="5"/>
  <c r="G480" i="5"/>
  <c r="H480" i="5"/>
  <c r="I480" i="5"/>
  <c r="J480" i="5"/>
  <c r="K480" i="5"/>
  <c r="L480" i="5"/>
  <c r="M480" i="5"/>
  <c r="N480" i="5"/>
  <c r="O480" i="5"/>
  <c r="P480" i="5"/>
  <c r="A479" i="5"/>
  <c r="B479" i="5"/>
  <c r="C479" i="5"/>
  <c r="D479" i="5"/>
  <c r="E479" i="5"/>
  <c r="F479" i="5"/>
  <c r="G479" i="5"/>
  <c r="H479" i="5"/>
  <c r="I479" i="5"/>
  <c r="J479" i="5"/>
  <c r="K479" i="5"/>
  <c r="L479" i="5"/>
  <c r="M479" i="5"/>
  <c r="N479" i="5"/>
  <c r="O479" i="5"/>
  <c r="P479" i="5"/>
  <c r="A478" i="5"/>
  <c r="B478" i="5"/>
  <c r="C478" i="5"/>
  <c r="D478" i="5"/>
  <c r="E478" i="5"/>
  <c r="F478" i="5"/>
  <c r="G478" i="5"/>
  <c r="H478" i="5"/>
  <c r="I478" i="5"/>
  <c r="J478" i="5"/>
  <c r="K478" i="5"/>
  <c r="L478" i="5"/>
  <c r="M478" i="5"/>
  <c r="N478" i="5"/>
  <c r="O478" i="5"/>
  <c r="P478" i="5"/>
  <c r="A477" i="5"/>
  <c r="B477" i="5"/>
  <c r="C477" i="5"/>
  <c r="D477" i="5"/>
  <c r="E477" i="5"/>
  <c r="F477" i="5"/>
  <c r="G477" i="5"/>
  <c r="H477" i="5"/>
  <c r="I477" i="5"/>
  <c r="J477" i="5"/>
  <c r="K477" i="5"/>
  <c r="L477" i="5"/>
  <c r="M477" i="5"/>
  <c r="N477" i="5"/>
  <c r="O477" i="5"/>
  <c r="P477" i="5"/>
  <c r="A476" i="5"/>
  <c r="B476" i="5"/>
  <c r="C476" i="5"/>
  <c r="D476" i="5"/>
  <c r="E476" i="5"/>
  <c r="F476" i="5"/>
  <c r="G476" i="5"/>
  <c r="H476" i="5"/>
  <c r="I476" i="5"/>
  <c r="J476" i="5"/>
  <c r="K476" i="5"/>
  <c r="L476" i="5"/>
  <c r="M476" i="5"/>
  <c r="N476" i="5"/>
  <c r="O476" i="5"/>
  <c r="P476" i="5"/>
  <c r="A475" i="5"/>
  <c r="B475" i="5"/>
  <c r="C475" i="5"/>
  <c r="D475" i="5"/>
  <c r="E475" i="5"/>
  <c r="F475" i="5"/>
  <c r="G475" i="5"/>
  <c r="H475" i="5"/>
  <c r="I475" i="5"/>
  <c r="J475" i="5"/>
  <c r="K475" i="5"/>
  <c r="L475" i="5"/>
  <c r="M475" i="5"/>
  <c r="N475" i="5"/>
  <c r="O475" i="5"/>
  <c r="P475" i="5"/>
  <c r="A474" i="5"/>
  <c r="B474" i="5"/>
  <c r="C474" i="5"/>
  <c r="D474" i="5"/>
  <c r="E474" i="5"/>
  <c r="F474" i="5"/>
  <c r="G474" i="5"/>
  <c r="H474" i="5"/>
  <c r="I474" i="5"/>
  <c r="J474" i="5"/>
  <c r="K474" i="5"/>
  <c r="L474" i="5"/>
  <c r="M474" i="5"/>
  <c r="N474" i="5"/>
  <c r="O474" i="5"/>
  <c r="P474" i="5"/>
  <c r="A473" i="5"/>
  <c r="B473" i="5"/>
  <c r="C473" i="5"/>
  <c r="D473" i="5"/>
  <c r="E473" i="5"/>
  <c r="F473" i="5"/>
  <c r="G473" i="5"/>
  <c r="H473" i="5"/>
  <c r="I473" i="5"/>
  <c r="J473" i="5"/>
  <c r="K473" i="5"/>
  <c r="L473" i="5"/>
  <c r="M473" i="5"/>
  <c r="N473" i="5"/>
  <c r="O473" i="5"/>
  <c r="P473" i="5"/>
  <c r="A472" i="5"/>
  <c r="B472" i="5"/>
  <c r="C472" i="5"/>
  <c r="D472" i="5"/>
  <c r="E472" i="5"/>
  <c r="F472" i="5"/>
  <c r="G472" i="5"/>
  <c r="H472" i="5"/>
  <c r="I472" i="5"/>
  <c r="J472" i="5"/>
  <c r="K472" i="5"/>
  <c r="L472" i="5"/>
  <c r="M472" i="5"/>
  <c r="N472" i="5"/>
  <c r="O472" i="5"/>
  <c r="P472" i="5"/>
  <c r="A471" i="5"/>
  <c r="B471" i="5"/>
  <c r="C471" i="5"/>
  <c r="D471" i="5"/>
  <c r="E471" i="5"/>
  <c r="F471" i="5"/>
  <c r="G471" i="5"/>
  <c r="H471" i="5"/>
  <c r="I471" i="5"/>
  <c r="J471" i="5"/>
  <c r="K471" i="5"/>
  <c r="L471" i="5"/>
  <c r="M471" i="5"/>
  <c r="N471" i="5"/>
  <c r="O471" i="5"/>
  <c r="P471" i="5"/>
  <c r="A470" i="5"/>
  <c r="B470" i="5"/>
  <c r="C470" i="5"/>
  <c r="D470" i="5"/>
  <c r="E470" i="5"/>
  <c r="F470" i="5"/>
  <c r="G470" i="5"/>
  <c r="H470" i="5"/>
  <c r="I470" i="5"/>
  <c r="J470" i="5"/>
  <c r="K470" i="5"/>
  <c r="L470" i="5"/>
  <c r="M470" i="5"/>
  <c r="N470" i="5"/>
  <c r="O470" i="5"/>
  <c r="P470" i="5"/>
  <c r="A469" i="5"/>
  <c r="B469" i="5"/>
  <c r="C469" i="5"/>
  <c r="D469" i="5"/>
  <c r="E469" i="5"/>
  <c r="F469" i="5"/>
  <c r="G469" i="5"/>
  <c r="H469" i="5"/>
  <c r="I469" i="5"/>
  <c r="J469" i="5"/>
  <c r="K469" i="5"/>
  <c r="L469" i="5"/>
  <c r="M469" i="5"/>
  <c r="N469" i="5"/>
  <c r="O469" i="5"/>
  <c r="P469" i="5"/>
  <c r="A468" i="5"/>
  <c r="B468" i="5"/>
  <c r="C468" i="5"/>
  <c r="D468" i="5"/>
  <c r="E468" i="5"/>
  <c r="F468" i="5"/>
  <c r="G468" i="5"/>
  <c r="H468" i="5"/>
  <c r="I468" i="5"/>
  <c r="J468" i="5"/>
  <c r="K468" i="5"/>
  <c r="L468" i="5"/>
  <c r="M468" i="5"/>
  <c r="N468" i="5"/>
  <c r="O468" i="5"/>
  <c r="P468" i="5"/>
  <c r="A467" i="5"/>
  <c r="B467" i="5"/>
  <c r="C467" i="5"/>
  <c r="D467" i="5"/>
  <c r="E467" i="5"/>
  <c r="F467" i="5"/>
  <c r="G467" i="5"/>
  <c r="H467" i="5"/>
  <c r="I467" i="5"/>
  <c r="J467" i="5"/>
  <c r="K467" i="5"/>
  <c r="L467" i="5"/>
  <c r="M467" i="5"/>
  <c r="N467" i="5"/>
  <c r="O467" i="5"/>
  <c r="P467" i="5"/>
  <c r="A466" i="5"/>
  <c r="B466" i="5"/>
  <c r="C466" i="5"/>
  <c r="D466" i="5"/>
  <c r="E466" i="5"/>
  <c r="F466" i="5"/>
  <c r="G466" i="5"/>
  <c r="H466" i="5"/>
  <c r="I466" i="5"/>
  <c r="J466" i="5"/>
  <c r="K466" i="5"/>
  <c r="L466" i="5"/>
  <c r="M466" i="5"/>
  <c r="N466" i="5"/>
  <c r="O466" i="5"/>
  <c r="P466" i="5"/>
  <c r="A465" i="5"/>
  <c r="B465" i="5"/>
  <c r="C465" i="5"/>
  <c r="D465" i="5"/>
  <c r="E465" i="5"/>
  <c r="F465" i="5"/>
  <c r="G465" i="5"/>
  <c r="H465" i="5"/>
  <c r="I465" i="5"/>
  <c r="J465" i="5"/>
  <c r="K465" i="5"/>
  <c r="L465" i="5"/>
  <c r="M465" i="5"/>
  <c r="N465" i="5"/>
  <c r="O465" i="5"/>
  <c r="P465" i="5"/>
  <c r="A464" i="5"/>
  <c r="B464" i="5"/>
  <c r="C464" i="5"/>
  <c r="D464" i="5"/>
  <c r="E464" i="5"/>
  <c r="F464" i="5"/>
  <c r="G464" i="5"/>
  <c r="H464" i="5"/>
  <c r="I464" i="5"/>
  <c r="J464" i="5"/>
  <c r="K464" i="5"/>
  <c r="L464" i="5"/>
  <c r="M464" i="5"/>
  <c r="N464" i="5"/>
  <c r="O464" i="5"/>
  <c r="P464" i="5"/>
  <c r="A463" i="5"/>
  <c r="B463" i="5"/>
  <c r="C463" i="5"/>
  <c r="D463" i="5"/>
  <c r="E463" i="5"/>
  <c r="F463" i="5"/>
  <c r="G463" i="5"/>
  <c r="H463" i="5"/>
  <c r="I463" i="5"/>
  <c r="J463" i="5"/>
  <c r="K463" i="5"/>
  <c r="L463" i="5"/>
  <c r="M463" i="5"/>
  <c r="N463" i="5"/>
  <c r="O463" i="5"/>
  <c r="P463" i="5"/>
  <c r="A462" i="5"/>
  <c r="B462" i="5"/>
  <c r="C462" i="5"/>
  <c r="D462" i="5"/>
  <c r="E462" i="5"/>
  <c r="F462" i="5"/>
  <c r="G462" i="5"/>
  <c r="H462" i="5"/>
  <c r="I462" i="5"/>
  <c r="J462" i="5"/>
  <c r="K462" i="5"/>
  <c r="L462" i="5"/>
  <c r="M462" i="5"/>
  <c r="N462" i="5"/>
  <c r="O462" i="5"/>
  <c r="P462" i="5"/>
  <c r="A461" i="5"/>
  <c r="B461" i="5"/>
  <c r="C461" i="5"/>
  <c r="D461" i="5"/>
  <c r="E461" i="5"/>
  <c r="F461" i="5"/>
  <c r="G461" i="5"/>
  <c r="H461" i="5"/>
  <c r="I461" i="5"/>
  <c r="J461" i="5"/>
  <c r="K461" i="5"/>
  <c r="L461" i="5"/>
  <c r="M461" i="5"/>
  <c r="N461" i="5"/>
  <c r="O461" i="5"/>
  <c r="P461" i="5"/>
  <c r="A460" i="5"/>
  <c r="B460" i="5"/>
  <c r="C460" i="5"/>
  <c r="D460" i="5"/>
  <c r="E460" i="5"/>
  <c r="F460" i="5"/>
  <c r="G460" i="5"/>
  <c r="H460" i="5"/>
  <c r="I460" i="5"/>
  <c r="J460" i="5"/>
  <c r="K460" i="5"/>
  <c r="L460" i="5"/>
  <c r="M460" i="5"/>
  <c r="N460" i="5"/>
  <c r="O460" i="5"/>
  <c r="P460" i="5"/>
  <c r="A459" i="5"/>
  <c r="B459" i="5"/>
  <c r="C459" i="5"/>
  <c r="D459" i="5"/>
  <c r="E459" i="5"/>
  <c r="F459" i="5"/>
  <c r="G459" i="5"/>
  <c r="H459" i="5"/>
  <c r="I459" i="5"/>
  <c r="J459" i="5"/>
  <c r="K459" i="5"/>
  <c r="L459" i="5"/>
  <c r="M459" i="5"/>
  <c r="N459" i="5"/>
  <c r="O459" i="5"/>
  <c r="P459" i="5"/>
  <c r="A458" i="5"/>
  <c r="B458" i="5"/>
  <c r="C458" i="5"/>
  <c r="D458" i="5"/>
  <c r="E458" i="5"/>
  <c r="F458" i="5"/>
  <c r="G458" i="5"/>
  <c r="H458" i="5"/>
  <c r="I458" i="5"/>
  <c r="J458" i="5"/>
  <c r="K458" i="5"/>
  <c r="L458" i="5"/>
  <c r="M458" i="5"/>
  <c r="N458" i="5"/>
  <c r="O458" i="5"/>
  <c r="P458" i="5"/>
  <c r="A457" i="5"/>
  <c r="B457" i="5"/>
  <c r="C457" i="5"/>
  <c r="D457" i="5"/>
  <c r="E457" i="5"/>
  <c r="F457" i="5"/>
  <c r="G457" i="5"/>
  <c r="H457" i="5"/>
  <c r="I457" i="5"/>
  <c r="J457" i="5"/>
  <c r="K457" i="5"/>
  <c r="L457" i="5"/>
  <c r="M457" i="5"/>
  <c r="N457" i="5"/>
  <c r="O457" i="5"/>
  <c r="P457" i="5"/>
  <c r="A456" i="5"/>
  <c r="B456" i="5"/>
  <c r="C456" i="5"/>
  <c r="D456" i="5"/>
  <c r="E456" i="5"/>
  <c r="F456" i="5"/>
  <c r="G456" i="5"/>
  <c r="H456" i="5"/>
  <c r="I456" i="5"/>
  <c r="J456" i="5"/>
  <c r="K456" i="5"/>
  <c r="L456" i="5"/>
  <c r="M456" i="5"/>
  <c r="N456" i="5"/>
  <c r="O456" i="5"/>
  <c r="P456" i="5"/>
  <c r="A455" i="5"/>
  <c r="B455" i="5"/>
  <c r="C455" i="5"/>
  <c r="D455" i="5"/>
  <c r="E455" i="5"/>
  <c r="F455" i="5"/>
  <c r="G455" i="5"/>
  <c r="H455" i="5"/>
  <c r="I455" i="5"/>
  <c r="J455" i="5"/>
  <c r="K455" i="5"/>
  <c r="L455" i="5"/>
  <c r="M455" i="5"/>
  <c r="N455" i="5"/>
  <c r="O455" i="5"/>
  <c r="P455" i="5"/>
  <c r="A454" i="5"/>
  <c r="B454" i="5"/>
  <c r="C454" i="5"/>
  <c r="D454" i="5"/>
  <c r="E454" i="5"/>
  <c r="F454" i="5"/>
  <c r="G454" i="5"/>
  <c r="H454" i="5"/>
  <c r="I454" i="5"/>
  <c r="J454" i="5"/>
  <c r="K454" i="5"/>
  <c r="L454" i="5"/>
  <c r="M454" i="5"/>
  <c r="N454" i="5"/>
  <c r="O454" i="5"/>
  <c r="P454" i="5"/>
  <c r="A453" i="5"/>
  <c r="B453" i="5"/>
  <c r="C453" i="5"/>
  <c r="D453" i="5"/>
  <c r="E453" i="5"/>
  <c r="F453" i="5"/>
  <c r="G453" i="5"/>
  <c r="H453" i="5"/>
  <c r="I453" i="5"/>
  <c r="J453" i="5"/>
  <c r="K453" i="5"/>
  <c r="L453" i="5"/>
  <c r="M453" i="5"/>
  <c r="N453" i="5"/>
  <c r="O453" i="5"/>
  <c r="P453" i="5"/>
  <c r="A452" i="5"/>
  <c r="B452" i="5"/>
  <c r="C452" i="5"/>
  <c r="D452" i="5"/>
  <c r="E452" i="5"/>
  <c r="F452" i="5"/>
  <c r="G452" i="5"/>
  <c r="H452" i="5"/>
  <c r="I452" i="5"/>
  <c r="J452" i="5"/>
  <c r="K452" i="5"/>
  <c r="L452" i="5"/>
  <c r="M452" i="5"/>
  <c r="N452" i="5"/>
  <c r="O452" i="5"/>
  <c r="P452" i="5"/>
  <c r="A451" i="5"/>
  <c r="B451" i="5"/>
  <c r="C451" i="5"/>
  <c r="D451" i="5"/>
  <c r="E451" i="5"/>
  <c r="F451" i="5"/>
  <c r="G451" i="5"/>
  <c r="H451" i="5"/>
  <c r="I451" i="5"/>
  <c r="J451" i="5"/>
  <c r="K451" i="5"/>
  <c r="L451" i="5"/>
  <c r="M451" i="5"/>
  <c r="N451" i="5"/>
  <c r="O451" i="5"/>
  <c r="P451" i="5"/>
  <c r="A450" i="5"/>
  <c r="B450" i="5"/>
  <c r="C450" i="5"/>
  <c r="D450" i="5"/>
  <c r="E450" i="5"/>
  <c r="F450" i="5"/>
  <c r="G450" i="5"/>
  <c r="H450" i="5"/>
  <c r="I450" i="5"/>
  <c r="J450" i="5"/>
  <c r="K450" i="5"/>
  <c r="L450" i="5"/>
  <c r="M450" i="5"/>
  <c r="N450" i="5"/>
  <c r="O450" i="5"/>
  <c r="P450" i="5"/>
  <c r="A449" i="5"/>
  <c r="B449" i="5"/>
  <c r="C449" i="5"/>
  <c r="D449" i="5"/>
  <c r="E449" i="5"/>
  <c r="F449" i="5"/>
  <c r="G449" i="5"/>
  <c r="H449" i="5"/>
  <c r="I449" i="5"/>
  <c r="J449" i="5"/>
  <c r="K449" i="5"/>
  <c r="L449" i="5"/>
  <c r="M449" i="5"/>
  <c r="N449" i="5"/>
  <c r="O449" i="5"/>
  <c r="P449" i="5"/>
  <c r="A448" i="5"/>
  <c r="B448" i="5"/>
  <c r="C448" i="5"/>
  <c r="D448" i="5"/>
  <c r="E448" i="5"/>
  <c r="F448" i="5"/>
  <c r="G448" i="5"/>
  <c r="H448" i="5"/>
  <c r="I448" i="5"/>
  <c r="J448" i="5"/>
  <c r="K448" i="5"/>
  <c r="L448" i="5"/>
  <c r="M448" i="5"/>
  <c r="N448" i="5"/>
  <c r="O448" i="5"/>
  <c r="P448" i="5"/>
  <c r="A447" i="5"/>
  <c r="B447" i="5"/>
  <c r="C447" i="5"/>
  <c r="D447" i="5"/>
  <c r="E447" i="5"/>
  <c r="F447" i="5"/>
  <c r="G447" i="5"/>
  <c r="H447" i="5"/>
  <c r="I447" i="5"/>
  <c r="J447" i="5"/>
  <c r="K447" i="5"/>
  <c r="L447" i="5"/>
  <c r="M447" i="5"/>
  <c r="N447" i="5"/>
  <c r="O447" i="5"/>
  <c r="P447" i="5"/>
  <c r="A446" i="5"/>
  <c r="B446" i="5"/>
  <c r="C446" i="5"/>
  <c r="D446" i="5"/>
  <c r="E446" i="5"/>
  <c r="F446" i="5"/>
  <c r="G446" i="5"/>
  <c r="H446" i="5"/>
  <c r="I446" i="5"/>
  <c r="J446" i="5"/>
  <c r="K446" i="5"/>
  <c r="L446" i="5"/>
  <c r="M446" i="5"/>
  <c r="N446" i="5"/>
  <c r="O446" i="5"/>
  <c r="P446" i="5"/>
  <c r="A445" i="5"/>
  <c r="B445" i="5"/>
  <c r="C445" i="5"/>
  <c r="D445" i="5"/>
  <c r="E445" i="5"/>
  <c r="F445" i="5"/>
  <c r="G445" i="5"/>
  <c r="H445" i="5"/>
  <c r="I445" i="5"/>
  <c r="J445" i="5"/>
  <c r="K445" i="5"/>
  <c r="L445" i="5"/>
  <c r="M445" i="5"/>
  <c r="N445" i="5"/>
  <c r="O445" i="5"/>
  <c r="P445" i="5"/>
  <c r="A444" i="5"/>
  <c r="B444" i="5"/>
  <c r="C444" i="5"/>
  <c r="D444" i="5"/>
  <c r="E444" i="5"/>
  <c r="F444" i="5"/>
  <c r="G444" i="5"/>
  <c r="H444" i="5"/>
  <c r="I444" i="5"/>
  <c r="J444" i="5"/>
  <c r="K444" i="5"/>
  <c r="L444" i="5"/>
  <c r="M444" i="5"/>
  <c r="N444" i="5"/>
  <c r="O444" i="5"/>
  <c r="P444" i="5"/>
  <c r="A443" i="5"/>
  <c r="B443" i="5"/>
  <c r="C443" i="5"/>
  <c r="D443" i="5"/>
  <c r="E443" i="5"/>
  <c r="F443" i="5"/>
  <c r="G443" i="5"/>
  <c r="H443" i="5"/>
  <c r="I443" i="5"/>
  <c r="J443" i="5"/>
  <c r="K443" i="5"/>
  <c r="L443" i="5"/>
  <c r="M443" i="5"/>
  <c r="N443" i="5"/>
  <c r="O443" i="5"/>
  <c r="P443" i="5"/>
  <c r="A442" i="5"/>
  <c r="B442" i="5"/>
  <c r="C442" i="5"/>
  <c r="D442" i="5"/>
  <c r="E442" i="5"/>
  <c r="F442" i="5"/>
  <c r="G442" i="5"/>
  <c r="H442" i="5"/>
  <c r="I442" i="5"/>
  <c r="J442" i="5"/>
  <c r="K442" i="5"/>
  <c r="L442" i="5"/>
  <c r="M442" i="5"/>
  <c r="N442" i="5"/>
  <c r="O442" i="5"/>
  <c r="P442" i="5"/>
  <c r="A441" i="5"/>
  <c r="B441" i="5"/>
  <c r="C441" i="5"/>
  <c r="D441" i="5"/>
  <c r="E441" i="5"/>
  <c r="F441" i="5"/>
  <c r="G441" i="5"/>
  <c r="H441" i="5"/>
  <c r="I441" i="5"/>
  <c r="J441" i="5"/>
  <c r="K441" i="5"/>
  <c r="L441" i="5"/>
  <c r="M441" i="5"/>
  <c r="N441" i="5"/>
  <c r="O441" i="5"/>
  <c r="P441" i="5"/>
  <c r="A440" i="5"/>
  <c r="B440" i="5"/>
  <c r="C440" i="5"/>
  <c r="D440" i="5"/>
  <c r="E440" i="5"/>
  <c r="F440" i="5"/>
  <c r="G440" i="5"/>
  <c r="H440" i="5"/>
  <c r="I440" i="5"/>
  <c r="J440" i="5"/>
  <c r="K440" i="5"/>
  <c r="L440" i="5"/>
  <c r="M440" i="5"/>
  <c r="N440" i="5"/>
  <c r="O440" i="5"/>
  <c r="P440" i="5"/>
  <c r="A439" i="5"/>
  <c r="B439" i="5"/>
  <c r="C439" i="5"/>
  <c r="D439" i="5"/>
  <c r="E439" i="5"/>
  <c r="F439" i="5"/>
  <c r="G439" i="5"/>
  <c r="H439" i="5"/>
  <c r="I439" i="5"/>
  <c r="J439" i="5"/>
  <c r="K439" i="5"/>
  <c r="L439" i="5"/>
  <c r="M439" i="5"/>
  <c r="N439" i="5"/>
  <c r="O439" i="5"/>
  <c r="P439" i="5"/>
  <c r="A438" i="5"/>
  <c r="B438" i="5"/>
  <c r="C438" i="5"/>
  <c r="D438" i="5"/>
  <c r="E438" i="5"/>
  <c r="F438" i="5"/>
  <c r="G438" i="5"/>
  <c r="H438" i="5"/>
  <c r="I438" i="5"/>
  <c r="J438" i="5"/>
  <c r="K438" i="5"/>
  <c r="L438" i="5"/>
  <c r="M438" i="5"/>
  <c r="N438" i="5"/>
  <c r="O438" i="5"/>
  <c r="P438" i="5"/>
  <c r="A437" i="5"/>
  <c r="B437" i="5"/>
  <c r="C437" i="5"/>
  <c r="D437" i="5"/>
  <c r="E437" i="5"/>
  <c r="F437" i="5"/>
  <c r="G437" i="5"/>
  <c r="H437" i="5"/>
  <c r="I437" i="5"/>
  <c r="J437" i="5"/>
  <c r="K437" i="5"/>
  <c r="L437" i="5"/>
  <c r="M437" i="5"/>
  <c r="N437" i="5"/>
  <c r="O437" i="5"/>
  <c r="P437" i="5"/>
  <c r="A436" i="5"/>
  <c r="B436" i="5"/>
  <c r="C436" i="5"/>
  <c r="D436" i="5"/>
  <c r="E436" i="5"/>
  <c r="F436" i="5"/>
  <c r="G436" i="5"/>
  <c r="H436" i="5"/>
  <c r="I436" i="5"/>
  <c r="J436" i="5"/>
  <c r="K436" i="5"/>
  <c r="L436" i="5"/>
  <c r="M436" i="5"/>
  <c r="N436" i="5"/>
  <c r="O436" i="5"/>
  <c r="P436" i="5"/>
  <c r="A435" i="5"/>
  <c r="B435" i="5"/>
  <c r="C435" i="5"/>
  <c r="D435" i="5"/>
  <c r="E435" i="5"/>
  <c r="F435" i="5"/>
  <c r="G435" i="5"/>
  <c r="H435" i="5"/>
  <c r="I435" i="5"/>
  <c r="J435" i="5"/>
  <c r="K435" i="5"/>
  <c r="L435" i="5"/>
  <c r="M435" i="5"/>
  <c r="N435" i="5"/>
  <c r="O435" i="5"/>
  <c r="P435" i="5"/>
  <c r="A434" i="5"/>
  <c r="B434" i="5"/>
  <c r="C434" i="5"/>
  <c r="D434" i="5"/>
  <c r="E434" i="5"/>
  <c r="F434" i="5"/>
  <c r="G434" i="5"/>
  <c r="H434" i="5"/>
  <c r="I434" i="5"/>
  <c r="J434" i="5"/>
  <c r="K434" i="5"/>
  <c r="L434" i="5"/>
  <c r="M434" i="5"/>
  <c r="N434" i="5"/>
  <c r="O434" i="5"/>
  <c r="P434" i="5"/>
  <c r="A433" i="5"/>
  <c r="B433" i="5"/>
  <c r="C433" i="5"/>
  <c r="D433" i="5"/>
  <c r="E433" i="5"/>
  <c r="F433" i="5"/>
  <c r="G433" i="5"/>
  <c r="H433" i="5"/>
  <c r="I433" i="5"/>
  <c r="J433" i="5"/>
  <c r="K433" i="5"/>
  <c r="L433" i="5"/>
  <c r="M433" i="5"/>
  <c r="N433" i="5"/>
  <c r="O433" i="5"/>
  <c r="P433" i="5"/>
  <c r="A432" i="5"/>
  <c r="B432" i="5"/>
  <c r="C432" i="5"/>
  <c r="D432" i="5"/>
  <c r="E432" i="5"/>
  <c r="F432" i="5"/>
  <c r="G432" i="5"/>
  <c r="H432" i="5"/>
  <c r="I432" i="5"/>
  <c r="J432" i="5"/>
  <c r="K432" i="5"/>
  <c r="L432" i="5"/>
  <c r="M432" i="5"/>
  <c r="N432" i="5"/>
  <c r="O432" i="5"/>
  <c r="P432" i="5"/>
  <c r="A431" i="5"/>
  <c r="B431" i="5"/>
  <c r="C431" i="5"/>
  <c r="D431" i="5"/>
  <c r="E431" i="5"/>
  <c r="F431" i="5"/>
  <c r="G431" i="5"/>
  <c r="H431" i="5"/>
  <c r="I431" i="5"/>
  <c r="J431" i="5"/>
  <c r="K431" i="5"/>
  <c r="L431" i="5"/>
  <c r="M431" i="5"/>
  <c r="N431" i="5"/>
  <c r="O431" i="5"/>
  <c r="P431" i="5"/>
  <c r="A430" i="5"/>
  <c r="B430" i="5"/>
  <c r="C430" i="5"/>
  <c r="D430" i="5"/>
  <c r="E430" i="5"/>
  <c r="F430" i="5"/>
  <c r="G430" i="5"/>
  <c r="H430" i="5"/>
  <c r="I430" i="5"/>
  <c r="J430" i="5"/>
  <c r="K430" i="5"/>
  <c r="L430" i="5"/>
  <c r="M430" i="5"/>
  <c r="N430" i="5"/>
  <c r="O430" i="5"/>
  <c r="P430" i="5"/>
  <c r="A429" i="5"/>
  <c r="B429" i="5"/>
  <c r="C429" i="5"/>
  <c r="D429" i="5"/>
  <c r="E429" i="5"/>
  <c r="F429" i="5"/>
  <c r="G429" i="5"/>
  <c r="H429" i="5"/>
  <c r="I429" i="5"/>
  <c r="J429" i="5"/>
  <c r="K429" i="5"/>
  <c r="L429" i="5"/>
  <c r="M429" i="5"/>
  <c r="N429" i="5"/>
  <c r="O429" i="5"/>
  <c r="P429" i="5"/>
  <c r="A428" i="5"/>
  <c r="B428" i="5"/>
  <c r="C428" i="5"/>
  <c r="D428" i="5"/>
  <c r="E428" i="5"/>
  <c r="F428" i="5"/>
  <c r="G428" i="5"/>
  <c r="H428" i="5"/>
  <c r="I428" i="5"/>
  <c r="J428" i="5"/>
  <c r="K428" i="5"/>
  <c r="L428" i="5"/>
  <c r="M428" i="5"/>
  <c r="N428" i="5"/>
  <c r="O428" i="5"/>
  <c r="P428" i="5"/>
  <c r="A427" i="5"/>
  <c r="B427" i="5"/>
  <c r="C427" i="5"/>
  <c r="D427" i="5"/>
  <c r="E427" i="5"/>
  <c r="F427" i="5"/>
  <c r="G427" i="5"/>
  <c r="H427" i="5"/>
  <c r="I427" i="5"/>
  <c r="J427" i="5"/>
  <c r="K427" i="5"/>
  <c r="L427" i="5"/>
  <c r="M427" i="5"/>
  <c r="N427" i="5"/>
  <c r="O427" i="5"/>
  <c r="P427" i="5"/>
  <c r="A426" i="5"/>
  <c r="B426" i="5"/>
  <c r="C426" i="5"/>
  <c r="D426" i="5"/>
  <c r="E426" i="5"/>
  <c r="F426" i="5"/>
  <c r="G426" i="5"/>
  <c r="H426" i="5"/>
  <c r="I426" i="5"/>
  <c r="J426" i="5"/>
  <c r="K426" i="5"/>
  <c r="L426" i="5"/>
  <c r="M426" i="5"/>
  <c r="N426" i="5"/>
  <c r="O426" i="5"/>
  <c r="P426" i="5"/>
  <c r="A425" i="5"/>
  <c r="B425" i="5"/>
  <c r="C425" i="5"/>
  <c r="D425" i="5"/>
  <c r="E425" i="5"/>
  <c r="F425" i="5"/>
  <c r="G425" i="5"/>
  <c r="H425" i="5"/>
  <c r="I425" i="5"/>
  <c r="J425" i="5"/>
  <c r="K425" i="5"/>
  <c r="L425" i="5"/>
  <c r="M425" i="5"/>
  <c r="N425" i="5"/>
  <c r="O425" i="5"/>
  <c r="P425" i="5"/>
  <c r="A424" i="5"/>
  <c r="B424" i="5"/>
  <c r="C424" i="5"/>
  <c r="D424" i="5"/>
  <c r="E424" i="5"/>
  <c r="F424" i="5"/>
  <c r="G424" i="5"/>
  <c r="H424" i="5"/>
  <c r="I424" i="5"/>
  <c r="J424" i="5"/>
  <c r="K424" i="5"/>
  <c r="L424" i="5"/>
  <c r="M424" i="5"/>
  <c r="N424" i="5"/>
  <c r="O424" i="5"/>
  <c r="P424" i="5"/>
  <c r="A423" i="5"/>
  <c r="B423" i="5"/>
  <c r="C423" i="5"/>
  <c r="D423" i="5"/>
  <c r="E423" i="5"/>
  <c r="F423" i="5"/>
  <c r="G423" i="5"/>
  <c r="H423" i="5"/>
  <c r="I423" i="5"/>
  <c r="J423" i="5"/>
  <c r="K423" i="5"/>
  <c r="L423" i="5"/>
  <c r="M423" i="5"/>
  <c r="N423" i="5"/>
  <c r="O423" i="5"/>
  <c r="P423" i="5"/>
  <c r="A422" i="5"/>
  <c r="B422" i="5"/>
  <c r="C422" i="5"/>
  <c r="D422" i="5"/>
  <c r="E422" i="5"/>
  <c r="F422" i="5"/>
  <c r="G422" i="5"/>
  <c r="H422" i="5"/>
  <c r="I422" i="5"/>
  <c r="J422" i="5"/>
  <c r="K422" i="5"/>
  <c r="L422" i="5"/>
  <c r="M422" i="5"/>
  <c r="N422" i="5"/>
  <c r="O422" i="5"/>
  <c r="P422" i="5"/>
  <c r="A421" i="5"/>
  <c r="B421" i="5"/>
  <c r="C421" i="5"/>
  <c r="D421" i="5"/>
  <c r="E421" i="5"/>
  <c r="F421" i="5"/>
  <c r="G421" i="5"/>
  <c r="H421" i="5"/>
  <c r="I421" i="5"/>
  <c r="J421" i="5"/>
  <c r="K421" i="5"/>
  <c r="L421" i="5"/>
  <c r="M421" i="5"/>
  <c r="N421" i="5"/>
  <c r="O421" i="5"/>
  <c r="P421" i="5"/>
  <c r="A420" i="5"/>
  <c r="B420" i="5"/>
  <c r="C420" i="5"/>
  <c r="D420" i="5"/>
  <c r="E420" i="5"/>
  <c r="F420" i="5"/>
  <c r="G420" i="5"/>
  <c r="H420" i="5"/>
  <c r="I420" i="5"/>
  <c r="J420" i="5"/>
  <c r="K420" i="5"/>
  <c r="L420" i="5"/>
  <c r="M420" i="5"/>
  <c r="N420" i="5"/>
  <c r="O420" i="5"/>
  <c r="P420" i="5"/>
  <c r="A419" i="5"/>
  <c r="B419" i="5"/>
  <c r="C419" i="5"/>
  <c r="D419" i="5"/>
  <c r="E419" i="5"/>
  <c r="F419" i="5"/>
  <c r="G419" i="5"/>
  <c r="H419" i="5"/>
  <c r="I419" i="5"/>
  <c r="J419" i="5"/>
  <c r="K419" i="5"/>
  <c r="L419" i="5"/>
  <c r="M419" i="5"/>
  <c r="N419" i="5"/>
  <c r="O419" i="5"/>
  <c r="P419" i="5"/>
  <c r="A418" i="5"/>
  <c r="B418" i="5"/>
  <c r="C418" i="5"/>
  <c r="D418" i="5"/>
  <c r="E418" i="5"/>
  <c r="F418" i="5"/>
  <c r="G418" i="5"/>
  <c r="H418" i="5"/>
  <c r="I418" i="5"/>
  <c r="J418" i="5"/>
  <c r="K418" i="5"/>
  <c r="L418" i="5"/>
  <c r="M418" i="5"/>
  <c r="N418" i="5"/>
  <c r="O418" i="5"/>
  <c r="P418" i="5"/>
  <c r="A417" i="5"/>
  <c r="B417" i="5"/>
  <c r="C417" i="5"/>
  <c r="D417" i="5"/>
  <c r="E417" i="5"/>
  <c r="F417" i="5"/>
  <c r="G417" i="5"/>
  <c r="H417" i="5"/>
  <c r="I417" i="5"/>
  <c r="J417" i="5"/>
  <c r="K417" i="5"/>
  <c r="L417" i="5"/>
  <c r="M417" i="5"/>
  <c r="N417" i="5"/>
  <c r="O417" i="5"/>
  <c r="P417" i="5"/>
  <c r="A416" i="5"/>
  <c r="B416" i="5"/>
  <c r="C416" i="5"/>
  <c r="D416" i="5"/>
  <c r="E416" i="5"/>
  <c r="F416" i="5"/>
  <c r="G416" i="5"/>
  <c r="H416" i="5"/>
  <c r="I416" i="5"/>
  <c r="J416" i="5"/>
  <c r="K416" i="5"/>
  <c r="L416" i="5"/>
  <c r="M416" i="5"/>
  <c r="N416" i="5"/>
  <c r="O416" i="5"/>
  <c r="P416" i="5"/>
  <c r="A415" i="5"/>
  <c r="B415" i="5"/>
  <c r="C415" i="5"/>
  <c r="D415" i="5"/>
  <c r="E415" i="5"/>
  <c r="F415" i="5"/>
  <c r="G415" i="5"/>
  <c r="H415" i="5"/>
  <c r="I415" i="5"/>
  <c r="J415" i="5"/>
  <c r="K415" i="5"/>
  <c r="L415" i="5"/>
  <c r="M415" i="5"/>
  <c r="N415" i="5"/>
  <c r="O415" i="5"/>
  <c r="P415" i="5"/>
  <c r="A414" i="5"/>
  <c r="B414" i="5"/>
  <c r="C414" i="5"/>
  <c r="D414" i="5"/>
  <c r="E414" i="5"/>
  <c r="F414" i="5"/>
  <c r="G414" i="5"/>
  <c r="H414" i="5"/>
  <c r="I414" i="5"/>
  <c r="J414" i="5"/>
  <c r="K414" i="5"/>
  <c r="L414" i="5"/>
  <c r="M414" i="5"/>
  <c r="N414" i="5"/>
  <c r="O414" i="5"/>
  <c r="P414" i="5"/>
  <c r="A413" i="5"/>
  <c r="B413" i="5"/>
  <c r="C413" i="5"/>
  <c r="D413" i="5"/>
  <c r="E413" i="5"/>
  <c r="F413" i="5"/>
  <c r="G413" i="5"/>
  <c r="H413" i="5"/>
  <c r="I413" i="5"/>
  <c r="J413" i="5"/>
  <c r="K413" i="5"/>
  <c r="L413" i="5"/>
  <c r="M413" i="5"/>
  <c r="N413" i="5"/>
  <c r="O413" i="5"/>
  <c r="P413" i="5"/>
  <c r="A412" i="5"/>
  <c r="B412" i="5"/>
  <c r="C412" i="5"/>
  <c r="D412" i="5"/>
  <c r="E412" i="5"/>
  <c r="F412" i="5"/>
  <c r="G412" i="5"/>
  <c r="H412" i="5"/>
  <c r="I412" i="5"/>
  <c r="J412" i="5"/>
  <c r="K412" i="5"/>
  <c r="L412" i="5"/>
  <c r="M412" i="5"/>
  <c r="N412" i="5"/>
  <c r="O412" i="5"/>
  <c r="P412" i="5"/>
  <c r="A411" i="5"/>
  <c r="B411" i="5"/>
  <c r="C411" i="5"/>
  <c r="D411" i="5"/>
  <c r="E411" i="5"/>
  <c r="F411" i="5"/>
  <c r="G411" i="5"/>
  <c r="H411" i="5"/>
  <c r="I411" i="5"/>
  <c r="J411" i="5"/>
  <c r="K411" i="5"/>
  <c r="L411" i="5"/>
  <c r="M411" i="5"/>
  <c r="N411" i="5"/>
  <c r="O411" i="5"/>
  <c r="P411" i="5"/>
  <c r="A410" i="5"/>
  <c r="B410" i="5"/>
  <c r="C410" i="5"/>
  <c r="D410" i="5"/>
  <c r="E410" i="5"/>
  <c r="F410" i="5"/>
  <c r="G410" i="5"/>
  <c r="H410" i="5"/>
  <c r="I410" i="5"/>
  <c r="J410" i="5"/>
  <c r="K410" i="5"/>
  <c r="L410" i="5"/>
  <c r="M410" i="5"/>
  <c r="N410" i="5"/>
  <c r="O410" i="5"/>
  <c r="P410" i="5"/>
  <c r="A409" i="5"/>
  <c r="B409" i="5"/>
  <c r="C409" i="5"/>
  <c r="D409" i="5"/>
  <c r="E409" i="5"/>
  <c r="F409" i="5"/>
  <c r="G409" i="5"/>
  <c r="H409" i="5"/>
  <c r="I409" i="5"/>
  <c r="J409" i="5"/>
  <c r="K409" i="5"/>
  <c r="L409" i="5"/>
  <c r="M409" i="5"/>
  <c r="N409" i="5"/>
  <c r="O409" i="5"/>
  <c r="P409" i="5"/>
  <c r="A408" i="5"/>
  <c r="B408" i="5"/>
  <c r="C408" i="5"/>
  <c r="D408" i="5"/>
  <c r="E408" i="5"/>
  <c r="F408" i="5"/>
  <c r="G408" i="5"/>
  <c r="H408" i="5"/>
  <c r="I408" i="5"/>
  <c r="J408" i="5"/>
  <c r="K408" i="5"/>
  <c r="L408" i="5"/>
  <c r="M408" i="5"/>
  <c r="N408" i="5"/>
  <c r="O408" i="5"/>
  <c r="P408" i="5"/>
  <c r="A407" i="5"/>
  <c r="B407" i="5"/>
  <c r="C407" i="5"/>
  <c r="D407" i="5"/>
  <c r="E407" i="5"/>
  <c r="F407" i="5"/>
  <c r="G407" i="5"/>
  <c r="H407" i="5"/>
  <c r="I407" i="5"/>
  <c r="J407" i="5"/>
  <c r="K407" i="5"/>
  <c r="L407" i="5"/>
  <c r="M407" i="5"/>
  <c r="N407" i="5"/>
  <c r="O407" i="5"/>
  <c r="P407" i="5"/>
  <c r="A406" i="5"/>
  <c r="B406" i="5"/>
  <c r="C406" i="5"/>
  <c r="D406" i="5"/>
  <c r="E406" i="5"/>
  <c r="F406" i="5"/>
  <c r="G406" i="5"/>
  <c r="H406" i="5"/>
  <c r="I406" i="5"/>
  <c r="J406" i="5"/>
  <c r="K406" i="5"/>
  <c r="L406" i="5"/>
  <c r="M406" i="5"/>
  <c r="N406" i="5"/>
  <c r="O406" i="5"/>
  <c r="P406" i="5"/>
  <c r="A405" i="5"/>
  <c r="B405" i="5"/>
  <c r="C405" i="5"/>
  <c r="D405" i="5"/>
  <c r="E405" i="5"/>
  <c r="F405" i="5"/>
  <c r="G405" i="5"/>
  <c r="H405" i="5"/>
  <c r="I405" i="5"/>
  <c r="J405" i="5"/>
  <c r="K405" i="5"/>
  <c r="L405" i="5"/>
  <c r="M405" i="5"/>
  <c r="N405" i="5"/>
  <c r="O405" i="5"/>
  <c r="P405" i="5"/>
  <c r="A404" i="5"/>
  <c r="B404" i="5"/>
  <c r="C404" i="5"/>
  <c r="D404" i="5"/>
  <c r="E404" i="5"/>
  <c r="F404" i="5"/>
  <c r="G404" i="5"/>
  <c r="H404" i="5"/>
  <c r="I404" i="5"/>
  <c r="J404" i="5"/>
  <c r="K404" i="5"/>
  <c r="L404" i="5"/>
  <c r="M404" i="5"/>
  <c r="N404" i="5"/>
  <c r="O404" i="5"/>
  <c r="P404" i="5"/>
  <c r="A403" i="5"/>
  <c r="B403" i="5"/>
  <c r="C403" i="5"/>
  <c r="D403" i="5"/>
  <c r="E403" i="5"/>
  <c r="F403" i="5"/>
  <c r="G403" i="5"/>
  <c r="H403" i="5"/>
  <c r="I403" i="5"/>
  <c r="J403" i="5"/>
  <c r="K403" i="5"/>
  <c r="L403" i="5"/>
  <c r="M403" i="5"/>
  <c r="N403" i="5"/>
  <c r="O403" i="5"/>
  <c r="P403" i="5"/>
  <c r="A402" i="5"/>
  <c r="B402" i="5"/>
  <c r="C402" i="5"/>
  <c r="D402" i="5"/>
  <c r="E402" i="5"/>
  <c r="F402" i="5"/>
  <c r="G402" i="5"/>
  <c r="H402" i="5"/>
  <c r="I402" i="5"/>
  <c r="J402" i="5"/>
  <c r="K402" i="5"/>
  <c r="L402" i="5"/>
  <c r="M402" i="5"/>
  <c r="N402" i="5"/>
  <c r="O402" i="5"/>
  <c r="P402" i="5"/>
  <c r="A401" i="5"/>
  <c r="B401" i="5"/>
  <c r="C401" i="5"/>
  <c r="D401" i="5"/>
  <c r="E401" i="5"/>
  <c r="F401" i="5"/>
  <c r="G401" i="5"/>
  <c r="H401" i="5"/>
  <c r="I401" i="5"/>
  <c r="J401" i="5"/>
  <c r="K401" i="5"/>
  <c r="L401" i="5"/>
  <c r="M401" i="5"/>
  <c r="N401" i="5"/>
  <c r="O401" i="5"/>
  <c r="P401" i="5"/>
  <c r="A400" i="5"/>
  <c r="B400" i="5"/>
  <c r="C400" i="5"/>
  <c r="D400" i="5"/>
  <c r="E400" i="5"/>
  <c r="F400" i="5"/>
  <c r="G400" i="5"/>
  <c r="H400" i="5"/>
  <c r="I400" i="5"/>
  <c r="J400" i="5"/>
  <c r="K400" i="5"/>
  <c r="L400" i="5"/>
  <c r="M400" i="5"/>
  <c r="N400" i="5"/>
  <c r="O400" i="5"/>
  <c r="P400" i="5"/>
  <c r="A399" i="5"/>
  <c r="B399" i="5"/>
  <c r="C399" i="5"/>
  <c r="D399" i="5"/>
  <c r="E399" i="5"/>
  <c r="F399" i="5"/>
  <c r="G399" i="5"/>
  <c r="H399" i="5"/>
  <c r="I399" i="5"/>
  <c r="J399" i="5"/>
  <c r="K399" i="5"/>
  <c r="L399" i="5"/>
  <c r="M399" i="5"/>
  <c r="N399" i="5"/>
  <c r="O399" i="5"/>
  <c r="P399" i="5"/>
  <c r="B398" i="5"/>
  <c r="H398" i="5"/>
  <c r="K398" i="5"/>
  <c r="M398" i="5"/>
  <c r="N398" i="5"/>
  <c r="O398" i="5"/>
  <c r="P398" i="5"/>
  <c r="A398" i="5"/>
  <c r="C398" i="5"/>
  <c r="D398" i="5"/>
  <c r="E398" i="5"/>
  <c r="F398" i="5"/>
  <c r="G398" i="5"/>
  <c r="I398" i="5"/>
  <c r="J398" i="5"/>
  <c r="L398" i="5"/>
  <c r="C397" i="5"/>
  <c r="F397" i="5"/>
  <c r="K397" i="5"/>
  <c r="M397" i="5"/>
  <c r="P397" i="5"/>
  <c r="E397" i="5"/>
  <c r="H397" i="5"/>
  <c r="J397" i="5"/>
  <c r="L397" i="5"/>
  <c r="O397" i="5"/>
  <c r="A397" i="5"/>
  <c r="B397" i="5"/>
  <c r="D397" i="5"/>
  <c r="G397" i="5"/>
  <c r="I397" i="5"/>
  <c r="N397" i="5"/>
  <c r="B396" i="5"/>
  <c r="F396" i="5"/>
  <c r="J396" i="5"/>
  <c r="D396" i="5"/>
  <c r="E396" i="5"/>
  <c r="H396" i="5"/>
  <c r="I396" i="5"/>
  <c r="O396" i="5"/>
  <c r="A396" i="5"/>
  <c r="C396" i="5"/>
  <c r="G396" i="5"/>
  <c r="K396" i="5"/>
  <c r="L396" i="5"/>
  <c r="M396" i="5"/>
  <c r="N396" i="5"/>
  <c r="P396" i="5"/>
  <c r="B395" i="5"/>
  <c r="D395" i="5"/>
  <c r="E395" i="5"/>
  <c r="I395" i="5"/>
  <c r="M395" i="5"/>
  <c r="A395" i="5"/>
  <c r="C395" i="5"/>
  <c r="G395" i="5"/>
  <c r="J395" i="5"/>
  <c r="K395" i="5"/>
  <c r="N395" i="5"/>
  <c r="P395" i="5"/>
  <c r="F395" i="5"/>
  <c r="H395" i="5"/>
  <c r="L395" i="5"/>
  <c r="O395" i="5"/>
  <c r="A394" i="5"/>
  <c r="D394" i="5"/>
  <c r="H394" i="5"/>
  <c r="J394" i="5"/>
  <c r="N394" i="5"/>
  <c r="B394" i="5"/>
  <c r="E394" i="5"/>
  <c r="F394" i="5"/>
  <c r="L394" i="5"/>
  <c r="M394" i="5"/>
  <c r="O394" i="5"/>
  <c r="P394" i="5"/>
  <c r="C394" i="5"/>
  <c r="G394" i="5"/>
  <c r="I394" i="5"/>
  <c r="K394" i="5"/>
  <c r="C393" i="5"/>
  <c r="P393" i="5"/>
  <c r="E393" i="5"/>
  <c r="F393" i="5"/>
  <c r="H393" i="5"/>
  <c r="J393" i="5"/>
  <c r="M393" i="5"/>
  <c r="O393" i="5"/>
  <c r="A393" i="5"/>
  <c r="B393" i="5"/>
  <c r="D393" i="5"/>
  <c r="G393" i="5"/>
  <c r="I393" i="5"/>
  <c r="K393" i="5"/>
  <c r="L393" i="5"/>
  <c r="N393" i="5"/>
  <c r="F392" i="5"/>
  <c r="I392" i="5"/>
  <c r="M392" i="5"/>
  <c r="D392" i="5"/>
  <c r="E392" i="5"/>
  <c r="G392" i="5"/>
  <c r="H392" i="5"/>
  <c r="N392" i="5"/>
  <c r="P392" i="5"/>
  <c r="A392" i="5"/>
  <c r="B392" i="5"/>
  <c r="C392" i="5"/>
  <c r="J392" i="5"/>
  <c r="K392" i="5"/>
  <c r="L392" i="5"/>
  <c r="O392" i="5"/>
  <c r="A391" i="5"/>
  <c r="J391" i="5"/>
  <c r="L391" i="5"/>
  <c r="O391" i="5"/>
  <c r="C391" i="5"/>
  <c r="F391" i="5"/>
  <c r="H391" i="5"/>
  <c r="M391" i="5"/>
  <c r="N391" i="5"/>
  <c r="P391" i="5"/>
  <c r="B391" i="5"/>
  <c r="D391" i="5"/>
  <c r="E391" i="5"/>
  <c r="G391" i="5"/>
  <c r="I391" i="5"/>
  <c r="K391" i="5"/>
  <c r="A390" i="5"/>
  <c r="G390" i="5"/>
  <c r="C390" i="5"/>
  <c r="E390" i="5"/>
  <c r="I390" i="5"/>
  <c r="K390" i="5"/>
  <c r="L390" i="5"/>
  <c r="N390" i="5"/>
  <c r="O390" i="5"/>
  <c r="B390" i="5"/>
  <c r="D390" i="5"/>
  <c r="F390" i="5"/>
  <c r="H390" i="5"/>
  <c r="J390" i="5"/>
  <c r="M390" i="5"/>
  <c r="P390" i="5"/>
  <c r="E388" i="5"/>
  <c r="M388" i="5"/>
  <c r="A388" i="5"/>
  <c r="C388" i="5"/>
  <c r="G388" i="5"/>
  <c r="J388" i="5"/>
  <c r="N388" i="5"/>
  <c r="O388" i="5"/>
  <c r="P388" i="5"/>
  <c r="B388" i="5"/>
  <c r="D388" i="5"/>
  <c r="F388" i="5"/>
  <c r="H388" i="5"/>
  <c r="I388" i="5"/>
  <c r="K388" i="5"/>
  <c r="L388" i="5"/>
  <c r="A387" i="5"/>
  <c r="G387" i="5"/>
  <c r="N387" i="5"/>
  <c r="B387" i="5"/>
  <c r="C387" i="5"/>
  <c r="E387" i="5"/>
  <c r="F387" i="5"/>
  <c r="H387" i="5"/>
  <c r="I387" i="5"/>
  <c r="L387" i="5"/>
  <c r="O387" i="5"/>
  <c r="P387" i="5"/>
  <c r="D387" i="5"/>
  <c r="J387" i="5"/>
  <c r="K387" i="5"/>
  <c r="M387" i="5"/>
  <c r="C386" i="5"/>
  <c r="J386" i="5"/>
  <c r="B386" i="5"/>
  <c r="D386" i="5"/>
  <c r="G386" i="5"/>
  <c r="H386" i="5"/>
  <c r="L386" i="5"/>
  <c r="N386" i="5"/>
  <c r="P386" i="5"/>
  <c r="A386" i="5"/>
  <c r="E386" i="5"/>
  <c r="F386" i="5"/>
  <c r="I386" i="5"/>
  <c r="K386" i="5"/>
  <c r="M386" i="5"/>
  <c r="O386" i="5"/>
  <c r="B385" i="5"/>
  <c r="G385" i="5"/>
  <c r="J385" i="5"/>
  <c r="N385" i="5"/>
  <c r="D385" i="5"/>
  <c r="F385" i="5"/>
  <c r="I385" i="5"/>
  <c r="L385" i="5"/>
  <c r="O385" i="5"/>
  <c r="A385" i="5"/>
  <c r="C385" i="5"/>
  <c r="E385" i="5"/>
  <c r="H385" i="5"/>
  <c r="K385" i="5"/>
  <c r="M385" i="5"/>
  <c r="P385" i="5"/>
  <c r="B384" i="5"/>
  <c r="K384" i="5"/>
  <c r="D384" i="5"/>
  <c r="F384" i="5"/>
  <c r="H384" i="5"/>
  <c r="L384" i="5"/>
  <c r="M384" i="5"/>
  <c r="N384" i="5"/>
  <c r="O384" i="5"/>
  <c r="A384" i="5"/>
  <c r="C384" i="5"/>
  <c r="E384" i="5"/>
  <c r="G384" i="5"/>
  <c r="I384" i="5"/>
  <c r="J384" i="5"/>
  <c r="P384" i="5"/>
  <c r="B383" i="5"/>
  <c r="H383" i="5"/>
  <c r="J383" i="5"/>
  <c r="A383" i="5"/>
  <c r="C383" i="5"/>
  <c r="E383" i="5"/>
  <c r="F383" i="5"/>
  <c r="I383" i="5"/>
  <c r="K383" i="5"/>
  <c r="M383" i="5"/>
  <c r="O383" i="5"/>
  <c r="P383" i="5"/>
  <c r="D383" i="5"/>
  <c r="G383" i="5"/>
  <c r="L383" i="5"/>
  <c r="N383" i="5"/>
  <c r="C382" i="5"/>
  <c r="L382" i="5"/>
  <c r="A382" i="5"/>
  <c r="D382" i="5"/>
  <c r="F382" i="5"/>
  <c r="H382" i="5"/>
  <c r="I382" i="5"/>
  <c r="P382" i="5"/>
  <c r="B382" i="5"/>
  <c r="E382" i="5"/>
  <c r="G382" i="5"/>
  <c r="J382" i="5"/>
  <c r="K382" i="5"/>
  <c r="M382" i="5"/>
  <c r="N382" i="5"/>
  <c r="O382" i="5"/>
  <c r="E381" i="5"/>
  <c r="K381" i="5"/>
  <c r="O381" i="5"/>
  <c r="A381" i="5"/>
  <c r="C381" i="5"/>
  <c r="D381" i="5"/>
  <c r="G381" i="5"/>
  <c r="I381" i="5"/>
  <c r="J381" i="5"/>
  <c r="M381" i="5"/>
  <c r="N381" i="5"/>
  <c r="B381" i="5"/>
  <c r="F381" i="5"/>
  <c r="H381" i="5"/>
  <c r="L381" i="5"/>
  <c r="P381" i="5"/>
  <c r="B380" i="5"/>
  <c r="M380" i="5"/>
  <c r="F380" i="5"/>
  <c r="L380" i="5"/>
  <c r="C380" i="5"/>
  <c r="I380" i="5"/>
  <c r="A380" i="5"/>
  <c r="E380" i="5"/>
  <c r="J380" i="5"/>
  <c r="N380" i="5"/>
  <c r="D380" i="5"/>
  <c r="H380" i="5"/>
  <c r="O380" i="5"/>
  <c r="G380" i="5"/>
  <c r="K380" i="5"/>
  <c r="P380" i="5"/>
  <c r="I379" i="5"/>
  <c r="B379" i="5"/>
  <c r="H379" i="5"/>
  <c r="N379" i="5"/>
  <c r="A379" i="5"/>
  <c r="D379" i="5"/>
  <c r="J379" i="5"/>
  <c r="M379" i="5"/>
  <c r="G379" i="5"/>
  <c r="O379" i="5"/>
  <c r="E379" i="5"/>
  <c r="L379" i="5"/>
  <c r="C379" i="5"/>
  <c r="F379" i="5"/>
  <c r="K379" i="5"/>
  <c r="P379" i="5"/>
  <c r="P378" i="5"/>
  <c r="D378" i="5"/>
  <c r="N378" i="5"/>
  <c r="E378" i="5"/>
  <c r="L378" i="5"/>
  <c r="I378" i="5"/>
  <c r="O378" i="5"/>
  <c r="C378" i="5"/>
  <c r="F378" i="5"/>
  <c r="M378" i="5"/>
  <c r="A378" i="5"/>
  <c r="K378" i="5"/>
  <c r="H378" i="5"/>
  <c r="J378" i="5"/>
  <c r="B378" i="5"/>
  <c r="G378" i="5"/>
  <c r="P377" i="5"/>
  <c r="A377" i="5"/>
  <c r="C377" i="5"/>
  <c r="H377" i="5"/>
  <c r="M377" i="5"/>
  <c r="D377" i="5"/>
  <c r="L377" i="5"/>
  <c r="O377" i="5"/>
  <c r="E377" i="5"/>
  <c r="J377" i="5"/>
  <c r="G377" i="5"/>
  <c r="F377" i="5"/>
  <c r="I377" i="5"/>
  <c r="N377" i="5"/>
  <c r="B377" i="5"/>
  <c r="K377" i="5"/>
  <c r="D376" i="5"/>
  <c r="M376" i="5"/>
  <c r="B376" i="5"/>
  <c r="F376" i="5"/>
  <c r="N376" i="5"/>
  <c r="E376" i="5"/>
  <c r="I376" i="5"/>
  <c r="K376" i="5"/>
  <c r="O376" i="5"/>
  <c r="A376" i="5"/>
  <c r="J376" i="5"/>
  <c r="C376" i="5"/>
  <c r="H376" i="5"/>
  <c r="G376" i="5"/>
  <c r="L376" i="5"/>
  <c r="P376" i="5"/>
  <c r="F375" i="5"/>
  <c r="H375" i="5"/>
  <c r="L375" i="5"/>
  <c r="N375" i="5"/>
  <c r="C375" i="5"/>
  <c r="D375" i="5"/>
  <c r="J375" i="5"/>
  <c r="P375" i="5"/>
  <c r="A375" i="5"/>
  <c r="I375" i="5"/>
  <c r="B375" i="5"/>
  <c r="K375" i="5"/>
  <c r="E375" i="5"/>
  <c r="G375" i="5"/>
  <c r="M375" i="5"/>
  <c r="O375" i="5"/>
  <c r="B374" i="5"/>
  <c r="D374" i="5"/>
  <c r="H374" i="5"/>
  <c r="P374" i="5"/>
  <c r="N374" i="5"/>
  <c r="F374" i="5"/>
  <c r="E374" i="5"/>
  <c r="I374" i="5"/>
  <c r="M374" i="5"/>
  <c r="L374" i="5"/>
  <c r="A374" i="5"/>
  <c r="C374" i="5"/>
  <c r="J374" i="5"/>
  <c r="G374" i="5"/>
  <c r="K374" i="5"/>
  <c r="O374" i="5"/>
  <c r="C373" i="5"/>
  <c r="H373" i="5"/>
  <c r="L373" i="5"/>
  <c r="B373" i="5"/>
  <c r="D373" i="5"/>
  <c r="G373" i="5"/>
  <c r="K373" i="5"/>
  <c r="N373" i="5"/>
  <c r="A373" i="5"/>
  <c r="J373" i="5"/>
  <c r="P373" i="5"/>
  <c r="E373" i="5"/>
  <c r="I373" i="5"/>
  <c r="O373" i="5"/>
  <c r="F373" i="5"/>
  <c r="M373" i="5"/>
  <c r="J372" i="5"/>
  <c r="D372" i="5"/>
  <c r="F372" i="5"/>
  <c r="M372" i="5"/>
  <c r="B372" i="5"/>
  <c r="E372" i="5"/>
  <c r="O372" i="5"/>
  <c r="I372" i="5"/>
  <c r="A372" i="5"/>
  <c r="C372" i="5"/>
  <c r="N372" i="5"/>
  <c r="K372" i="5"/>
  <c r="H372" i="5"/>
  <c r="L372" i="5"/>
  <c r="G372" i="5"/>
  <c r="P372" i="5"/>
  <c r="E371" i="5"/>
  <c r="J371" i="5"/>
  <c r="D371" i="5"/>
  <c r="L371" i="5"/>
  <c r="N371" i="5"/>
  <c r="I371" i="5"/>
  <c r="M371" i="5"/>
  <c r="C371" i="5"/>
  <c r="G371" i="5"/>
  <c r="A371" i="5"/>
  <c r="F371" i="5"/>
  <c r="H371" i="5"/>
  <c r="P371" i="5"/>
  <c r="B371" i="5"/>
  <c r="K371" i="5"/>
  <c r="O371" i="5"/>
  <c r="K370" i="5"/>
  <c r="A370" i="5"/>
  <c r="G370" i="5"/>
  <c r="P370" i="5"/>
  <c r="D370" i="5"/>
  <c r="E370" i="5"/>
  <c r="L370" i="5"/>
  <c r="N370" i="5"/>
  <c r="B370" i="5"/>
  <c r="H370" i="5"/>
  <c r="O370" i="5"/>
  <c r="J370" i="5"/>
  <c r="C370" i="5"/>
  <c r="M370" i="5"/>
  <c r="F370" i="5"/>
  <c r="I370" i="5"/>
  <c r="F369" i="5"/>
  <c r="C369" i="5"/>
  <c r="J369" i="5"/>
  <c r="D369" i="5"/>
  <c r="L369" i="5"/>
  <c r="O369" i="5"/>
  <c r="P369" i="5"/>
  <c r="A369" i="5"/>
  <c r="E369" i="5"/>
  <c r="G369" i="5"/>
  <c r="K369" i="5"/>
  <c r="N369" i="5"/>
  <c r="I369" i="5"/>
  <c r="B369" i="5"/>
  <c r="H369" i="5"/>
  <c r="M369" i="5"/>
  <c r="J368" i="5"/>
  <c r="B368" i="5"/>
  <c r="E368" i="5"/>
  <c r="H368" i="5"/>
  <c r="O368" i="5"/>
  <c r="G368" i="5"/>
  <c r="N368" i="5"/>
  <c r="A368" i="5"/>
  <c r="P368" i="5"/>
  <c r="D368" i="5"/>
  <c r="K368" i="5"/>
  <c r="F368" i="5"/>
  <c r="M368" i="5"/>
  <c r="C368" i="5"/>
  <c r="I368" i="5"/>
  <c r="L368" i="5"/>
  <c r="E367" i="5"/>
  <c r="B367" i="5"/>
  <c r="K367" i="5"/>
  <c r="C367" i="5"/>
  <c r="F367" i="5"/>
  <c r="I367" i="5"/>
  <c r="P367" i="5"/>
  <c r="O367" i="5"/>
  <c r="A367" i="5"/>
  <c r="J367" i="5"/>
  <c r="M367" i="5"/>
  <c r="G367" i="5"/>
  <c r="D367" i="5"/>
  <c r="H367" i="5"/>
  <c r="L367" i="5"/>
  <c r="N367" i="5"/>
  <c r="H366" i="5"/>
  <c r="A366" i="5"/>
  <c r="E366" i="5"/>
  <c r="J366" i="5"/>
  <c r="O366" i="5"/>
  <c r="B366" i="5"/>
  <c r="F366" i="5"/>
  <c r="K366" i="5"/>
  <c r="N366" i="5"/>
  <c r="C366" i="5"/>
  <c r="P366" i="5"/>
  <c r="D366" i="5"/>
  <c r="I366" i="5"/>
  <c r="M366" i="5"/>
  <c r="G366" i="5"/>
  <c r="L366" i="5"/>
  <c r="F365" i="5"/>
  <c r="N365" i="5"/>
  <c r="D365" i="5"/>
  <c r="M365" i="5"/>
  <c r="O365" i="5"/>
  <c r="E365" i="5"/>
  <c r="H365" i="5"/>
  <c r="I365" i="5"/>
  <c r="B365" i="5"/>
  <c r="G365" i="5"/>
  <c r="J365" i="5"/>
  <c r="P365" i="5"/>
  <c r="A365" i="5"/>
  <c r="L365" i="5"/>
  <c r="C365" i="5"/>
  <c r="K365" i="5"/>
  <c r="C364" i="5"/>
  <c r="M364" i="5"/>
  <c r="A364" i="5"/>
  <c r="E364" i="5"/>
  <c r="G364" i="5"/>
  <c r="J364" i="5"/>
  <c r="H364" i="5"/>
  <c r="L364" i="5"/>
  <c r="P364" i="5"/>
  <c r="F364" i="5"/>
  <c r="O364" i="5"/>
  <c r="B364" i="5"/>
  <c r="I364" i="5"/>
  <c r="D364" i="5"/>
  <c r="K364" i="5"/>
  <c r="N364" i="5"/>
  <c r="B363" i="5"/>
  <c r="K363" i="5"/>
  <c r="C363" i="5"/>
  <c r="F363" i="5"/>
  <c r="D363" i="5"/>
  <c r="J363" i="5"/>
  <c r="O363" i="5"/>
  <c r="G363" i="5"/>
  <c r="L363" i="5"/>
  <c r="A363" i="5"/>
  <c r="I363" i="5"/>
  <c r="M363" i="5"/>
  <c r="E363" i="5"/>
  <c r="P363" i="5"/>
  <c r="H363" i="5"/>
  <c r="N363" i="5"/>
  <c r="I362" i="5"/>
  <c r="E362" i="5"/>
  <c r="K362" i="5"/>
  <c r="P362" i="5"/>
  <c r="C362" i="5"/>
  <c r="M362" i="5"/>
  <c r="B362" i="5"/>
  <c r="G362" i="5"/>
  <c r="O362" i="5"/>
  <c r="D362" i="5"/>
  <c r="H362" i="5"/>
  <c r="L362" i="5"/>
  <c r="A362" i="5"/>
  <c r="F362" i="5"/>
  <c r="J362" i="5"/>
  <c r="N362" i="5"/>
  <c r="H361" i="5"/>
  <c r="P361" i="5"/>
  <c r="I361" i="5"/>
  <c r="N361" i="5"/>
  <c r="D361" i="5"/>
  <c r="O361" i="5"/>
  <c r="A361" i="5"/>
  <c r="G361" i="5"/>
  <c r="K361" i="5"/>
  <c r="B361" i="5"/>
  <c r="E361" i="5"/>
  <c r="J361" i="5"/>
  <c r="C361" i="5"/>
  <c r="L361" i="5"/>
  <c r="F361" i="5"/>
  <c r="M361" i="5"/>
  <c r="M360" i="5"/>
  <c r="F360" i="5"/>
  <c r="I360" i="5"/>
  <c r="P360" i="5"/>
  <c r="E360" i="5"/>
  <c r="K360" i="5"/>
  <c r="C360" i="5"/>
  <c r="G360" i="5"/>
  <c r="N360" i="5"/>
  <c r="D360" i="5"/>
  <c r="J360" i="5"/>
  <c r="L360" i="5"/>
  <c r="B360" i="5"/>
  <c r="A360" i="5"/>
  <c r="H360" i="5"/>
  <c r="O360" i="5"/>
  <c r="A359" i="5"/>
  <c r="O359" i="5"/>
  <c r="H359" i="5"/>
  <c r="N359" i="5"/>
  <c r="D359" i="5"/>
  <c r="I359" i="5"/>
  <c r="B359" i="5"/>
  <c r="G359" i="5"/>
  <c r="L359" i="5"/>
  <c r="E359" i="5"/>
  <c r="P359" i="5"/>
  <c r="C359" i="5"/>
  <c r="F359" i="5"/>
  <c r="K359" i="5"/>
  <c r="J359" i="5"/>
  <c r="M359" i="5"/>
  <c r="A358" i="5"/>
  <c r="H358" i="5"/>
  <c r="L358" i="5"/>
  <c r="O358" i="5"/>
  <c r="B358" i="5"/>
  <c r="E358" i="5"/>
  <c r="I358" i="5"/>
  <c r="N358" i="5"/>
  <c r="D358" i="5"/>
  <c r="K358" i="5"/>
  <c r="F358" i="5"/>
  <c r="M358" i="5"/>
  <c r="P358" i="5"/>
  <c r="C358" i="5"/>
  <c r="J358" i="5"/>
  <c r="G358" i="5"/>
  <c r="C357" i="5"/>
  <c r="I357" i="5"/>
  <c r="E357" i="5"/>
  <c r="K357" i="5"/>
  <c r="O357" i="5"/>
  <c r="A357" i="5"/>
  <c r="M357" i="5"/>
  <c r="G357" i="5"/>
  <c r="B357" i="5"/>
  <c r="J357" i="5"/>
  <c r="N357" i="5"/>
  <c r="F357" i="5"/>
  <c r="P357" i="5"/>
  <c r="D357" i="5"/>
  <c r="H357" i="5"/>
  <c r="L357" i="5"/>
  <c r="B356" i="5"/>
  <c r="I356" i="5"/>
  <c r="H356" i="5"/>
  <c r="F356" i="5"/>
  <c r="J356" i="5"/>
  <c r="O356" i="5"/>
  <c r="G356" i="5"/>
  <c r="M356" i="5"/>
  <c r="A356" i="5"/>
  <c r="E356" i="5"/>
  <c r="L356" i="5"/>
  <c r="D356" i="5"/>
  <c r="P356" i="5"/>
  <c r="C356" i="5"/>
  <c r="K356" i="5"/>
  <c r="N356" i="5"/>
  <c r="H355" i="5"/>
  <c r="D355" i="5"/>
  <c r="G355" i="5"/>
  <c r="N355" i="5"/>
  <c r="I355" i="5"/>
  <c r="O355" i="5"/>
  <c r="A355" i="5"/>
  <c r="E355" i="5"/>
  <c r="L355" i="5"/>
  <c r="J355" i="5"/>
  <c r="K355" i="5"/>
  <c r="C355" i="5"/>
  <c r="F355" i="5"/>
  <c r="M355" i="5"/>
  <c r="B355" i="5"/>
  <c r="P355" i="5"/>
  <c r="D354" i="5"/>
  <c r="L354" i="5"/>
  <c r="C354" i="5"/>
  <c r="J354" i="5"/>
  <c r="K354" i="5"/>
  <c r="G354" i="5"/>
  <c r="O354" i="5"/>
  <c r="E354" i="5"/>
  <c r="M354" i="5"/>
  <c r="B354" i="5"/>
  <c r="H354" i="5"/>
  <c r="N354" i="5"/>
  <c r="P354" i="5"/>
  <c r="A354" i="5"/>
  <c r="F354" i="5"/>
  <c r="I354" i="5"/>
  <c r="A353" i="5"/>
  <c r="J353" i="5"/>
  <c r="E353" i="5"/>
  <c r="I353" i="5"/>
  <c r="C353" i="5"/>
  <c r="K353" i="5"/>
  <c r="P353" i="5"/>
  <c r="B353" i="5"/>
  <c r="G353" i="5"/>
  <c r="N353" i="5"/>
  <c r="H353" i="5"/>
  <c r="M353" i="5"/>
  <c r="F353" i="5"/>
  <c r="O353" i="5"/>
  <c r="D353" i="5"/>
  <c r="L353" i="5"/>
  <c r="B352" i="5"/>
  <c r="H352" i="5"/>
  <c r="C352" i="5"/>
  <c r="I352" i="5"/>
  <c r="M352" i="5"/>
  <c r="F352" i="5"/>
  <c r="K352" i="5"/>
  <c r="O352" i="5"/>
  <c r="A352" i="5"/>
  <c r="G352" i="5"/>
  <c r="J352" i="5"/>
  <c r="D352" i="5"/>
  <c r="N352" i="5"/>
  <c r="E352" i="5"/>
  <c r="L352" i="5"/>
  <c r="P352" i="5"/>
  <c r="M351" i="5"/>
  <c r="F351" i="5"/>
  <c r="H351" i="5"/>
  <c r="N351" i="5"/>
  <c r="J351" i="5"/>
  <c r="D351" i="5"/>
  <c r="A351" i="5"/>
  <c r="K351" i="5"/>
  <c r="O351" i="5"/>
  <c r="C351" i="5"/>
  <c r="E351" i="5"/>
  <c r="I351" i="5"/>
  <c r="L351" i="5"/>
  <c r="B351" i="5"/>
  <c r="G351" i="5"/>
  <c r="P351" i="5"/>
  <c r="L350" i="5"/>
  <c r="A350" i="5"/>
  <c r="F350" i="5"/>
  <c r="K350" i="5"/>
  <c r="O350" i="5"/>
  <c r="B350" i="5"/>
  <c r="M350" i="5"/>
  <c r="E350" i="5"/>
  <c r="J350" i="5"/>
  <c r="P350" i="5"/>
  <c r="H350" i="5"/>
  <c r="C350" i="5"/>
  <c r="G350" i="5"/>
  <c r="I350" i="5"/>
  <c r="D350" i="5"/>
  <c r="N350" i="5"/>
  <c r="B349" i="5"/>
  <c r="C349" i="5"/>
  <c r="H349" i="5"/>
  <c r="N349" i="5"/>
  <c r="E349" i="5"/>
  <c r="J349" i="5"/>
  <c r="O349" i="5"/>
  <c r="K349" i="5"/>
  <c r="F349" i="5"/>
  <c r="A349" i="5"/>
  <c r="G349" i="5"/>
  <c r="M349" i="5"/>
  <c r="P349" i="5"/>
  <c r="D349" i="5"/>
  <c r="I349" i="5"/>
  <c r="L349" i="5"/>
  <c r="E348" i="5"/>
  <c r="I348" i="5"/>
  <c r="J348" i="5"/>
  <c r="N348" i="5"/>
  <c r="F348" i="5"/>
  <c r="O348" i="5"/>
  <c r="C348" i="5"/>
  <c r="L348" i="5"/>
  <c r="P348" i="5"/>
  <c r="B348" i="5"/>
  <c r="D348" i="5"/>
  <c r="G348" i="5"/>
  <c r="M348" i="5"/>
  <c r="A348" i="5"/>
  <c r="H348" i="5"/>
  <c r="K348" i="5"/>
  <c r="M347" i="5"/>
  <c r="B347" i="5"/>
  <c r="F347" i="5"/>
  <c r="O347" i="5"/>
  <c r="C347" i="5"/>
  <c r="G347" i="5"/>
  <c r="I347" i="5"/>
  <c r="K347" i="5"/>
  <c r="N347" i="5"/>
  <c r="A347" i="5"/>
  <c r="D347" i="5"/>
  <c r="J347" i="5"/>
  <c r="E347" i="5"/>
  <c r="H347" i="5"/>
  <c r="L347" i="5"/>
  <c r="P347" i="5"/>
  <c r="A346" i="5"/>
  <c r="B346" i="5"/>
  <c r="C346" i="5"/>
  <c r="D346" i="5"/>
  <c r="E346" i="5"/>
  <c r="F346" i="5"/>
  <c r="G346" i="5"/>
  <c r="H346" i="5"/>
  <c r="I346" i="5"/>
  <c r="J346" i="5"/>
  <c r="K346" i="5"/>
  <c r="L346" i="5"/>
  <c r="M346" i="5"/>
  <c r="N346" i="5"/>
  <c r="O346" i="5"/>
  <c r="P346" i="5"/>
  <c r="A345" i="5"/>
  <c r="B345" i="5"/>
  <c r="C345" i="5"/>
  <c r="D345" i="5"/>
  <c r="E345" i="5"/>
  <c r="F345" i="5"/>
  <c r="G345" i="5"/>
  <c r="H345" i="5"/>
  <c r="I345" i="5"/>
  <c r="J345" i="5"/>
  <c r="K345" i="5"/>
  <c r="L345" i="5"/>
  <c r="M345" i="5"/>
  <c r="N345" i="5"/>
  <c r="O345" i="5"/>
  <c r="P345" i="5"/>
  <c r="A344" i="5"/>
  <c r="B344" i="5"/>
  <c r="C344" i="5"/>
  <c r="D344" i="5"/>
  <c r="E344" i="5"/>
  <c r="F344" i="5"/>
  <c r="G344" i="5"/>
  <c r="H344" i="5"/>
  <c r="I344" i="5"/>
  <c r="J344" i="5"/>
  <c r="K344" i="5"/>
  <c r="L344" i="5"/>
  <c r="M344" i="5"/>
  <c r="N344" i="5"/>
  <c r="O344" i="5"/>
  <c r="P344" i="5"/>
  <c r="A343" i="5"/>
  <c r="B343" i="5"/>
  <c r="C343" i="5"/>
  <c r="D343" i="5"/>
  <c r="E343" i="5"/>
  <c r="F343" i="5"/>
  <c r="G343" i="5"/>
  <c r="H343" i="5"/>
  <c r="I343" i="5"/>
  <c r="J343" i="5"/>
  <c r="K343" i="5"/>
  <c r="L343" i="5"/>
  <c r="M343" i="5"/>
  <c r="N343" i="5"/>
  <c r="O343" i="5"/>
  <c r="P343" i="5"/>
  <c r="A342" i="5"/>
  <c r="B342" i="5"/>
  <c r="C342" i="5"/>
  <c r="D342" i="5"/>
  <c r="E342" i="5"/>
  <c r="F342" i="5"/>
  <c r="G342" i="5"/>
  <c r="H342" i="5"/>
  <c r="I342" i="5"/>
  <c r="J342" i="5"/>
  <c r="K342" i="5"/>
  <c r="L342" i="5"/>
  <c r="M342" i="5"/>
  <c r="N342" i="5"/>
  <c r="O342" i="5"/>
  <c r="P342" i="5"/>
  <c r="A341" i="5"/>
  <c r="B341" i="5"/>
  <c r="C341" i="5"/>
  <c r="D341" i="5"/>
  <c r="E341" i="5"/>
  <c r="F341" i="5"/>
  <c r="G341" i="5"/>
  <c r="H341" i="5"/>
  <c r="I341" i="5"/>
  <c r="J341" i="5"/>
  <c r="K341" i="5"/>
  <c r="L341" i="5"/>
  <c r="M341" i="5"/>
  <c r="N341" i="5"/>
  <c r="O341" i="5"/>
  <c r="P341" i="5"/>
  <c r="A340" i="5"/>
  <c r="B340" i="5"/>
  <c r="C340" i="5"/>
  <c r="D340" i="5"/>
  <c r="E340" i="5"/>
  <c r="F340" i="5"/>
  <c r="G340" i="5"/>
  <c r="H340" i="5"/>
  <c r="I340" i="5"/>
  <c r="J340" i="5"/>
  <c r="K340" i="5"/>
  <c r="L340" i="5"/>
  <c r="M340" i="5"/>
  <c r="N340" i="5"/>
  <c r="O340" i="5"/>
  <c r="P340" i="5"/>
  <c r="A339" i="5"/>
  <c r="B339" i="5"/>
  <c r="C339" i="5"/>
  <c r="D339" i="5"/>
  <c r="E339" i="5"/>
  <c r="F339" i="5"/>
  <c r="G339" i="5"/>
  <c r="H339" i="5"/>
  <c r="I339" i="5"/>
  <c r="J339" i="5"/>
  <c r="K339" i="5"/>
  <c r="L339" i="5"/>
  <c r="M339" i="5"/>
  <c r="N339" i="5"/>
  <c r="O339" i="5"/>
  <c r="P339" i="5"/>
  <c r="A338" i="5"/>
  <c r="B338" i="5"/>
  <c r="C338" i="5"/>
  <c r="D338" i="5"/>
  <c r="E338" i="5"/>
  <c r="F338" i="5"/>
  <c r="G338" i="5"/>
  <c r="H338" i="5"/>
  <c r="I338" i="5"/>
  <c r="J338" i="5"/>
  <c r="K338" i="5"/>
  <c r="L338" i="5"/>
  <c r="M338" i="5"/>
  <c r="N338" i="5"/>
  <c r="O338" i="5"/>
  <c r="P338" i="5"/>
  <c r="A337" i="5"/>
  <c r="B337" i="5"/>
  <c r="C337" i="5"/>
  <c r="D337" i="5"/>
  <c r="E337" i="5"/>
  <c r="F337" i="5"/>
  <c r="G337" i="5"/>
  <c r="H337" i="5"/>
  <c r="I337" i="5"/>
  <c r="J337" i="5"/>
  <c r="K337" i="5"/>
  <c r="L337" i="5"/>
  <c r="M337" i="5"/>
  <c r="N337" i="5"/>
  <c r="O337" i="5"/>
  <c r="P337" i="5"/>
  <c r="A336" i="5"/>
  <c r="B336" i="5"/>
  <c r="C336" i="5"/>
  <c r="D336" i="5"/>
  <c r="E336" i="5"/>
  <c r="F336" i="5"/>
  <c r="G336" i="5"/>
  <c r="H336" i="5"/>
  <c r="I336" i="5"/>
  <c r="J336" i="5"/>
  <c r="K336" i="5"/>
  <c r="L336" i="5"/>
  <c r="M336" i="5"/>
  <c r="N336" i="5"/>
  <c r="O336" i="5"/>
  <c r="P336" i="5"/>
  <c r="A335" i="5"/>
  <c r="B335" i="5"/>
  <c r="C335" i="5"/>
  <c r="D335" i="5"/>
  <c r="E335" i="5"/>
  <c r="F335" i="5"/>
  <c r="G335" i="5"/>
  <c r="H335" i="5"/>
  <c r="I335" i="5"/>
  <c r="J335" i="5"/>
  <c r="K335" i="5"/>
  <c r="L335" i="5"/>
  <c r="M335" i="5"/>
  <c r="N335" i="5"/>
  <c r="O335" i="5"/>
  <c r="P335" i="5"/>
  <c r="A334" i="5"/>
  <c r="B334" i="5"/>
  <c r="C334" i="5"/>
  <c r="D334" i="5"/>
  <c r="E334" i="5"/>
  <c r="F334" i="5"/>
  <c r="G334" i="5"/>
  <c r="H334" i="5"/>
  <c r="I334" i="5"/>
  <c r="J334" i="5"/>
  <c r="K334" i="5"/>
  <c r="L334" i="5"/>
  <c r="M334" i="5"/>
  <c r="N334" i="5"/>
  <c r="O334" i="5"/>
  <c r="P334" i="5"/>
  <c r="A333" i="5"/>
  <c r="B333" i="5"/>
  <c r="C333" i="5"/>
  <c r="D333" i="5"/>
  <c r="E333" i="5"/>
  <c r="F333" i="5"/>
  <c r="G333" i="5"/>
  <c r="H333" i="5"/>
  <c r="I333" i="5"/>
  <c r="J333" i="5"/>
  <c r="K333" i="5"/>
  <c r="L333" i="5"/>
  <c r="M333" i="5"/>
  <c r="N333" i="5"/>
  <c r="O333" i="5"/>
  <c r="P333" i="5"/>
  <c r="A332" i="5"/>
  <c r="B332" i="5"/>
  <c r="C332" i="5"/>
  <c r="D332" i="5"/>
  <c r="E332" i="5"/>
  <c r="F332" i="5"/>
  <c r="G332" i="5"/>
  <c r="H332" i="5"/>
  <c r="I332" i="5"/>
  <c r="J332" i="5"/>
  <c r="K332" i="5"/>
  <c r="L332" i="5"/>
  <c r="M332" i="5"/>
  <c r="N332" i="5"/>
  <c r="O332" i="5"/>
  <c r="P332" i="5"/>
  <c r="A331" i="5"/>
  <c r="B331" i="5"/>
  <c r="C331" i="5"/>
  <c r="D331" i="5"/>
  <c r="E331" i="5"/>
  <c r="F331" i="5"/>
  <c r="G331" i="5"/>
  <c r="H331" i="5"/>
  <c r="I331" i="5"/>
  <c r="J331" i="5"/>
  <c r="K331" i="5"/>
  <c r="L331" i="5"/>
  <c r="M331" i="5"/>
  <c r="N331" i="5"/>
  <c r="O331" i="5"/>
  <c r="P331" i="5"/>
  <c r="A330" i="5"/>
  <c r="B330" i="5"/>
  <c r="C330" i="5"/>
  <c r="D330" i="5"/>
  <c r="E330" i="5"/>
  <c r="F330" i="5"/>
  <c r="G330" i="5"/>
  <c r="H330" i="5"/>
  <c r="I330" i="5"/>
  <c r="J330" i="5"/>
  <c r="K330" i="5"/>
  <c r="L330" i="5"/>
  <c r="M330" i="5"/>
  <c r="N330" i="5"/>
  <c r="O330" i="5"/>
  <c r="P330" i="5"/>
  <c r="A329" i="5"/>
  <c r="B329" i="5"/>
  <c r="C329" i="5"/>
  <c r="D329" i="5"/>
  <c r="E329" i="5"/>
  <c r="F329" i="5"/>
  <c r="G329" i="5"/>
  <c r="H329" i="5"/>
  <c r="I329" i="5"/>
  <c r="J329" i="5"/>
  <c r="K329" i="5"/>
  <c r="L329" i="5"/>
  <c r="M329" i="5"/>
  <c r="N329" i="5"/>
  <c r="O329" i="5"/>
  <c r="P329" i="5"/>
  <c r="A328" i="5"/>
  <c r="B328" i="5"/>
  <c r="C328" i="5"/>
  <c r="D328" i="5"/>
  <c r="E328" i="5"/>
  <c r="F328" i="5"/>
  <c r="G328" i="5"/>
  <c r="H328" i="5"/>
  <c r="I328" i="5"/>
  <c r="J328" i="5"/>
  <c r="K328" i="5"/>
  <c r="L328" i="5"/>
  <c r="M328" i="5"/>
  <c r="N328" i="5"/>
  <c r="O328" i="5"/>
  <c r="P328" i="5"/>
  <c r="A327" i="5"/>
  <c r="B327" i="5"/>
  <c r="C327" i="5"/>
  <c r="D327" i="5"/>
  <c r="E327" i="5"/>
  <c r="F327" i="5"/>
  <c r="G327" i="5"/>
  <c r="H327" i="5"/>
  <c r="I327" i="5"/>
  <c r="J327" i="5"/>
  <c r="K327" i="5"/>
  <c r="L327" i="5"/>
  <c r="M327" i="5"/>
  <c r="N327" i="5"/>
  <c r="O327" i="5"/>
  <c r="P327" i="5"/>
  <c r="A326" i="5"/>
  <c r="B326" i="5"/>
  <c r="C326" i="5"/>
  <c r="D326" i="5"/>
  <c r="E326" i="5"/>
  <c r="F326" i="5"/>
  <c r="G326" i="5"/>
  <c r="H326" i="5"/>
  <c r="I326" i="5"/>
  <c r="J326" i="5"/>
  <c r="K326" i="5"/>
  <c r="L326" i="5"/>
  <c r="M326" i="5"/>
  <c r="N326" i="5"/>
  <c r="O326" i="5"/>
  <c r="P326" i="5"/>
  <c r="A325" i="5"/>
  <c r="B325" i="5"/>
  <c r="C325" i="5"/>
  <c r="D325" i="5"/>
  <c r="E325" i="5"/>
  <c r="F325" i="5"/>
  <c r="G325" i="5"/>
  <c r="H325" i="5"/>
  <c r="I325" i="5"/>
  <c r="J325" i="5"/>
  <c r="K325" i="5"/>
  <c r="L325" i="5"/>
  <c r="M325" i="5"/>
  <c r="N325" i="5"/>
  <c r="O325" i="5"/>
  <c r="P325" i="5"/>
  <c r="A324" i="5"/>
  <c r="B324" i="5"/>
  <c r="C324" i="5"/>
  <c r="D324" i="5"/>
  <c r="E324" i="5"/>
  <c r="F324" i="5"/>
  <c r="G324" i="5"/>
  <c r="H324" i="5"/>
  <c r="I324" i="5"/>
  <c r="J324" i="5"/>
  <c r="K324" i="5"/>
  <c r="L324" i="5"/>
  <c r="M324" i="5"/>
  <c r="N324" i="5"/>
  <c r="O324" i="5"/>
  <c r="P324" i="5"/>
  <c r="A323" i="5"/>
  <c r="B323" i="5"/>
  <c r="C323" i="5"/>
  <c r="D323" i="5"/>
  <c r="E323" i="5"/>
  <c r="F323" i="5"/>
  <c r="G323" i="5"/>
  <c r="H323" i="5"/>
  <c r="I323" i="5"/>
  <c r="J323" i="5"/>
  <c r="K323" i="5"/>
  <c r="L323" i="5"/>
  <c r="M323" i="5"/>
  <c r="N323" i="5"/>
  <c r="O323" i="5"/>
  <c r="P323" i="5"/>
  <c r="A322" i="5"/>
  <c r="B322" i="5"/>
  <c r="C322" i="5"/>
  <c r="D322" i="5"/>
  <c r="E322" i="5"/>
  <c r="F322" i="5"/>
  <c r="G322" i="5"/>
  <c r="H322" i="5"/>
  <c r="I322" i="5"/>
  <c r="J322" i="5"/>
  <c r="K322" i="5"/>
  <c r="L322" i="5"/>
  <c r="M322" i="5"/>
  <c r="N322" i="5"/>
  <c r="O322" i="5"/>
  <c r="P322" i="5"/>
  <c r="A321" i="5"/>
  <c r="B321" i="5"/>
  <c r="C321" i="5"/>
  <c r="D321" i="5"/>
  <c r="E321" i="5"/>
  <c r="F321" i="5"/>
  <c r="G321" i="5"/>
  <c r="H321" i="5"/>
  <c r="I321" i="5"/>
  <c r="J321" i="5"/>
  <c r="K321" i="5"/>
  <c r="L321" i="5"/>
  <c r="M321" i="5"/>
  <c r="N321" i="5"/>
  <c r="O321" i="5"/>
  <c r="P321" i="5"/>
  <c r="A320" i="5"/>
  <c r="B320" i="5"/>
  <c r="C320" i="5"/>
  <c r="D320" i="5"/>
  <c r="E320" i="5"/>
  <c r="F320" i="5"/>
  <c r="G320" i="5"/>
  <c r="H320" i="5"/>
  <c r="I320" i="5"/>
  <c r="J320" i="5"/>
  <c r="K320" i="5"/>
  <c r="L320" i="5"/>
  <c r="M320" i="5"/>
  <c r="N320" i="5"/>
  <c r="O320" i="5"/>
  <c r="P320" i="5"/>
  <c r="A319" i="5"/>
  <c r="B319" i="5"/>
  <c r="C319" i="5"/>
  <c r="D319" i="5"/>
  <c r="E319" i="5"/>
  <c r="F319" i="5"/>
  <c r="G319" i="5"/>
  <c r="H319" i="5"/>
  <c r="I319" i="5"/>
  <c r="J319" i="5"/>
  <c r="K319" i="5"/>
  <c r="L319" i="5"/>
  <c r="M319" i="5"/>
  <c r="N319" i="5"/>
  <c r="O319" i="5"/>
  <c r="P319" i="5"/>
  <c r="A318" i="5"/>
  <c r="B318" i="5"/>
  <c r="C318" i="5"/>
  <c r="D318" i="5"/>
  <c r="E318" i="5"/>
  <c r="F318" i="5"/>
  <c r="G318" i="5"/>
  <c r="H318" i="5"/>
  <c r="I318" i="5"/>
  <c r="J318" i="5"/>
  <c r="K318" i="5"/>
  <c r="L318" i="5"/>
  <c r="M318" i="5"/>
  <c r="N318" i="5"/>
  <c r="O318" i="5"/>
  <c r="P318" i="5"/>
  <c r="A317" i="5"/>
  <c r="B317" i="5"/>
  <c r="C317" i="5"/>
  <c r="D317" i="5"/>
  <c r="E317" i="5"/>
  <c r="F317" i="5"/>
  <c r="G317" i="5"/>
  <c r="H317" i="5"/>
  <c r="I317" i="5"/>
  <c r="J317" i="5"/>
  <c r="K317" i="5"/>
  <c r="L317" i="5"/>
  <c r="M317" i="5"/>
  <c r="N317" i="5"/>
  <c r="O317" i="5"/>
  <c r="P317" i="5"/>
  <c r="A316" i="5"/>
  <c r="B316" i="5"/>
  <c r="C316" i="5"/>
  <c r="D316" i="5"/>
  <c r="E316" i="5"/>
  <c r="F316" i="5"/>
  <c r="G316" i="5"/>
  <c r="H316" i="5"/>
  <c r="I316" i="5"/>
  <c r="J316" i="5"/>
  <c r="K316" i="5"/>
  <c r="L316" i="5"/>
  <c r="M316" i="5"/>
  <c r="N316" i="5"/>
  <c r="O316" i="5"/>
  <c r="P316" i="5"/>
  <c r="A315" i="5"/>
  <c r="B315" i="5"/>
  <c r="C315" i="5"/>
  <c r="D315" i="5"/>
  <c r="E315" i="5"/>
  <c r="F315" i="5"/>
  <c r="G315" i="5"/>
  <c r="H315" i="5"/>
  <c r="I315" i="5"/>
  <c r="J315" i="5"/>
  <c r="K315" i="5"/>
  <c r="L315" i="5"/>
  <c r="M315" i="5"/>
  <c r="N315" i="5"/>
  <c r="O315" i="5"/>
  <c r="P315" i="5"/>
  <c r="A314" i="5"/>
  <c r="B314" i="5"/>
  <c r="C314" i="5"/>
  <c r="D314" i="5"/>
  <c r="E314" i="5"/>
  <c r="F314" i="5"/>
  <c r="G314" i="5"/>
  <c r="H314" i="5"/>
  <c r="I314" i="5"/>
  <c r="J314" i="5"/>
  <c r="K314" i="5"/>
  <c r="L314" i="5"/>
  <c r="M314" i="5"/>
  <c r="N314" i="5"/>
  <c r="O314" i="5"/>
  <c r="P314" i="5"/>
  <c r="A313" i="5"/>
  <c r="B313" i="5"/>
  <c r="C313" i="5"/>
  <c r="D313" i="5"/>
  <c r="E313" i="5"/>
  <c r="F313" i="5"/>
  <c r="G313" i="5"/>
  <c r="H313" i="5"/>
  <c r="I313" i="5"/>
  <c r="J313" i="5"/>
  <c r="K313" i="5"/>
  <c r="L313" i="5"/>
  <c r="M313" i="5"/>
  <c r="N313" i="5"/>
  <c r="O313" i="5"/>
  <c r="P313" i="5"/>
  <c r="A312" i="5"/>
  <c r="B312" i="5"/>
  <c r="C312" i="5"/>
  <c r="D312" i="5"/>
  <c r="E312" i="5"/>
  <c r="F312" i="5"/>
  <c r="G312" i="5"/>
  <c r="H312" i="5"/>
  <c r="I312" i="5"/>
  <c r="J312" i="5"/>
  <c r="K312" i="5"/>
  <c r="L312" i="5"/>
  <c r="M312" i="5"/>
  <c r="N312" i="5"/>
  <c r="O312" i="5"/>
  <c r="P312" i="5"/>
  <c r="A311" i="5"/>
  <c r="B311" i="5"/>
  <c r="C311" i="5"/>
  <c r="D311" i="5"/>
  <c r="E311" i="5"/>
  <c r="F311" i="5"/>
  <c r="G311" i="5"/>
  <c r="H311" i="5"/>
  <c r="I311" i="5"/>
  <c r="J311" i="5"/>
  <c r="K311" i="5"/>
  <c r="L311" i="5"/>
  <c r="M311" i="5"/>
  <c r="N311" i="5"/>
  <c r="O311" i="5"/>
  <c r="P311" i="5"/>
  <c r="A310" i="5"/>
  <c r="B310" i="5"/>
  <c r="C310" i="5"/>
  <c r="D310" i="5"/>
  <c r="E310" i="5"/>
  <c r="F310" i="5"/>
  <c r="G310" i="5"/>
  <c r="H310" i="5"/>
  <c r="I310" i="5"/>
  <c r="J310" i="5"/>
  <c r="K310" i="5"/>
  <c r="L310" i="5"/>
  <c r="M310" i="5"/>
  <c r="N310" i="5"/>
  <c r="O310" i="5"/>
  <c r="P310" i="5"/>
  <c r="A309" i="5"/>
  <c r="B309" i="5"/>
  <c r="C309" i="5"/>
  <c r="D309" i="5"/>
  <c r="E309" i="5"/>
  <c r="F309" i="5"/>
  <c r="G309" i="5"/>
  <c r="H309" i="5"/>
  <c r="I309" i="5"/>
  <c r="J309" i="5"/>
  <c r="K309" i="5"/>
  <c r="L309" i="5"/>
  <c r="M309" i="5"/>
  <c r="N309" i="5"/>
  <c r="O309" i="5"/>
  <c r="P309" i="5"/>
  <c r="A308" i="5"/>
  <c r="B308" i="5"/>
  <c r="C308" i="5"/>
  <c r="D308" i="5"/>
  <c r="E308" i="5"/>
  <c r="F308" i="5"/>
  <c r="G308" i="5"/>
  <c r="H308" i="5"/>
  <c r="I308" i="5"/>
  <c r="J308" i="5"/>
  <c r="K308" i="5"/>
  <c r="L308" i="5"/>
  <c r="M308" i="5"/>
  <c r="N308" i="5"/>
  <c r="O308" i="5"/>
  <c r="P308" i="5"/>
  <c r="A307" i="5"/>
  <c r="B307" i="5"/>
  <c r="C307" i="5"/>
  <c r="D307" i="5"/>
  <c r="E307" i="5"/>
  <c r="F307" i="5"/>
  <c r="G307" i="5"/>
  <c r="H307" i="5"/>
  <c r="I307" i="5"/>
  <c r="J307" i="5"/>
  <c r="K307" i="5"/>
  <c r="L307" i="5"/>
  <c r="M307" i="5"/>
  <c r="N307" i="5"/>
  <c r="O307" i="5"/>
  <c r="P307" i="5"/>
  <c r="A306" i="5"/>
  <c r="B306" i="5"/>
  <c r="C306" i="5"/>
  <c r="D306" i="5"/>
  <c r="E306" i="5"/>
  <c r="F306" i="5"/>
  <c r="G306" i="5"/>
  <c r="H306" i="5"/>
  <c r="I306" i="5"/>
  <c r="J306" i="5"/>
  <c r="K306" i="5"/>
  <c r="L306" i="5"/>
  <c r="M306" i="5"/>
  <c r="N306" i="5"/>
  <c r="O306" i="5"/>
  <c r="P306" i="5"/>
  <c r="A305" i="5"/>
  <c r="B305" i="5"/>
  <c r="C305" i="5"/>
  <c r="D305" i="5"/>
  <c r="E305" i="5"/>
  <c r="F305" i="5"/>
  <c r="G305" i="5"/>
  <c r="H305" i="5"/>
  <c r="I305" i="5"/>
  <c r="J305" i="5"/>
  <c r="K305" i="5"/>
  <c r="L305" i="5"/>
  <c r="M305" i="5"/>
  <c r="N305" i="5"/>
  <c r="O305" i="5"/>
  <c r="P305" i="5"/>
  <c r="A304" i="5"/>
  <c r="B304" i="5"/>
  <c r="C304" i="5"/>
  <c r="D304" i="5"/>
  <c r="E304" i="5"/>
  <c r="F304" i="5"/>
  <c r="G304" i="5"/>
  <c r="H304" i="5"/>
  <c r="I304" i="5"/>
  <c r="J304" i="5"/>
  <c r="K304" i="5"/>
  <c r="L304" i="5"/>
  <c r="M304" i="5"/>
  <c r="N304" i="5"/>
  <c r="O304" i="5"/>
  <c r="P304" i="5"/>
  <c r="A303" i="5"/>
  <c r="B303" i="5"/>
  <c r="C303" i="5"/>
  <c r="D303" i="5"/>
  <c r="E303" i="5"/>
  <c r="F303" i="5"/>
  <c r="G303" i="5"/>
  <c r="H303" i="5"/>
  <c r="I303" i="5"/>
  <c r="J303" i="5"/>
  <c r="K303" i="5"/>
  <c r="L303" i="5"/>
  <c r="M303" i="5"/>
  <c r="N303" i="5"/>
  <c r="O303" i="5"/>
  <c r="P303" i="5"/>
  <c r="A302" i="5"/>
  <c r="B302" i="5"/>
  <c r="C302" i="5"/>
  <c r="D302" i="5"/>
  <c r="E302" i="5"/>
  <c r="F302" i="5"/>
  <c r="G302" i="5"/>
  <c r="H302" i="5"/>
  <c r="I302" i="5"/>
  <c r="J302" i="5"/>
  <c r="K302" i="5"/>
  <c r="L302" i="5"/>
  <c r="M302" i="5"/>
  <c r="N302" i="5"/>
  <c r="O302" i="5"/>
  <c r="P302" i="5"/>
  <c r="A301" i="5"/>
  <c r="B301" i="5"/>
  <c r="C301" i="5"/>
  <c r="D301" i="5"/>
  <c r="E301" i="5"/>
  <c r="F301" i="5"/>
  <c r="G301" i="5"/>
  <c r="H301" i="5"/>
  <c r="I301" i="5"/>
  <c r="J301" i="5"/>
  <c r="K301" i="5"/>
  <c r="L301" i="5"/>
  <c r="M301" i="5"/>
  <c r="N301" i="5"/>
  <c r="O301" i="5"/>
  <c r="P301" i="5"/>
  <c r="A300" i="5"/>
  <c r="B300" i="5"/>
  <c r="C300" i="5"/>
  <c r="D300" i="5"/>
  <c r="E300" i="5"/>
  <c r="F300" i="5"/>
  <c r="G300" i="5"/>
  <c r="H300" i="5"/>
  <c r="I300" i="5"/>
  <c r="J300" i="5"/>
  <c r="K300" i="5"/>
  <c r="L300" i="5"/>
  <c r="M300" i="5"/>
  <c r="N300" i="5"/>
  <c r="O300" i="5"/>
  <c r="P300" i="5"/>
  <c r="A299" i="5"/>
  <c r="B299" i="5"/>
  <c r="C299" i="5"/>
  <c r="D299" i="5"/>
  <c r="E299" i="5"/>
  <c r="F299" i="5"/>
  <c r="G299" i="5"/>
  <c r="H299" i="5"/>
  <c r="I299" i="5"/>
  <c r="J299" i="5"/>
  <c r="K299" i="5"/>
  <c r="L299" i="5"/>
  <c r="M299" i="5"/>
  <c r="N299" i="5"/>
  <c r="O299" i="5"/>
  <c r="P299" i="5"/>
  <c r="A298" i="5"/>
  <c r="B298" i="5"/>
  <c r="C298" i="5"/>
  <c r="D298" i="5"/>
  <c r="E298" i="5"/>
  <c r="F298" i="5"/>
  <c r="G298" i="5"/>
  <c r="H298" i="5"/>
  <c r="I298" i="5"/>
  <c r="J298" i="5"/>
  <c r="K298" i="5"/>
  <c r="L298" i="5"/>
  <c r="M298" i="5"/>
  <c r="N298" i="5"/>
  <c r="O298" i="5"/>
  <c r="P298" i="5"/>
  <c r="A297" i="5"/>
  <c r="B297" i="5"/>
  <c r="C297" i="5"/>
  <c r="D297" i="5"/>
  <c r="E297" i="5"/>
  <c r="F297" i="5"/>
  <c r="G297" i="5"/>
  <c r="H297" i="5"/>
  <c r="I297" i="5"/>
  <c r="J297" i="5"/>
  <c r="K297" i="5"/>
  <c r="L297" i="5"/>
  <c r="M297" i="5"/>
  <c r="N297" i="5"/>
  <c r="O297" i="5"/>
  <c r="P297" i="5"/>
  <c r="A296" i="5"/>
  <c r="B296" i="5"/>
  <c r="C296" i="5"/>
  <c r="D296" i="5"/>
  <c r="E296" i="5"/>
  <c r="F296" i="5"/>
  <c r="G296" i="5"/>
  <c r="H296" i="5"/>
  <c r="I296" i="5"/>
  <c r="J296" i="5"/>
  <c r="K296" i="5"/>
  <c r="L296" i="5"/>
  <c r="M296" i="5"/>
  <c r="N296" i="5"/>
  <c r="O296" i="5"/>
  <c r="P296" i="5"/>
  <c r="A295" i="5"/>
  <c r="B295" i="5"/>
  <c r="C295" i="5"/>
  <c r="D295" i="5"/>
  <c r="E295" i="5"/>
  <c r="F295" i="5"/>
  <c r="G295" i="5"/>
  <c r="H295" i="5"/>
  <c r="I295" i="5"/>
  <c r="J295" i="5"/>
  <c r="K295" i="5"/>
  <c r="L295" i="5"/>
  <c r="M295" i="5"/>
  <c r="N295" i="5"/>
  <c r="O295" i="5"/>
  <c r="P295" i="5"/>
  <c r="A294" i="5"/>
  <c r="B294" i="5"/>
  <c r="C294" i="5"/>
  <c r="D294" i="5"/>
  <c r="E294" i="5"/>
  <c r="F294" i="5"/>
  <c r="G294" i="5"/>
  <c r="H294" i="5"/>
  <c r="I294" i="5"/>
  <c r="J294" i="5"/>
  <c r="K294" i="5"/>
  <c r="L294" i="5"/>
  <c r="M294" i="5"/>
  <c r="N294" i="5"/>
  <c r="O294" i="5"/>
  <c r="P294" i="5"/>
  <c r="A293" i="5"/>
  <c r="B293" i="5"/>
  <c r="C293" i="5"/>
  <c r="D293" i="5"/>
  <c r="E293" i="5"/>
  <c r="F293" i="5"/>
  <c r="G293" i="5"/>
  <c r="H293" i="5"/>
  <c r="I293" i="5"/>
  <c r="J293" i="5"/>
  <c r="K293" i="5"/>
  <c r="L293" i="5"/>
  <c r="M293" i="5"/>
  <c r="N293" i="5"/>
  <c r="O293" i="5"/>
  <c r="P293" i="5"/>
  <c r="A292" i="5"/>
  <c r="B292" i="5"/>
  <c r="C292" i="5"/>
  <c r="D292" i="5"/>
  <c r="E292" i="5"/>
  <c r="F292" i="5"/>
  <c r="G292" i="5"/>
  <c r="H292" i="5"/>
  <c r="I292" i="5"/>
  <c r="J292" i="5"/>
  <c r="K292" i="5"/>
  <c r="L292" i="5"/>
  <c r="M292" i="5"/>
  <c r="N292" i="5"/>
  <c r="O292" i="5"/>
  <c r="P292" i="5"/>
  <c r="G290" i="5"/>
  <c r="O290" i="5"/>
  <c r="F290" i="5"/>
  <c r="H290" i="5"/>
  <c r="A290" i="5"/>
  <c r="E290" i="5"/>
  <c r="K290" i="5"/>
  <c r="P290" i="5"/>
  <c r="C290" i="5"/>
  <c r="D290" i="5"/>
  <c r="I290" i="5"/>
  <c r="L290" i="5"/>
  <c r="N290" i="5"/>
  <c r="B290" i="5"/>
  <c r="J290" i="5"/>
  <c r="M290" i="5"/>
  <c r="D289" i="5"/>
  <c r="I289" i="5"/>
  <c r="P289" i="5"/>
  <c r="C289" i="5"/>
  <c r="O289" i="5"/>
  <c r="A289" i="5"/>
  <c r="E289" i="5"/>
  <c r="K289" i="5"/>
  <c r="N289" i="5"/>
  <c r="H289" i="5"/>
  <c r="B289" i="5"/>
  <c r="G289" i="5"/>
  <c r="L289" i="5"/>
  <c r="F289" i="5"/>
  <c r="J289" i="5"/>
  <c r="M289" i="5"/>
  <c r="M288" i="5"/>
  <c r="O288" i="5"/>
  <c r="F288" i="5"/>
  <c r="D288" i="5"/>
  <c r="L288" i="5"/>
  <c r="C288" i="5"/>
  <c r="I288" i="5"/>
  <c r="H288" i="5"/>
  <c r="A288" i="5"/>
  <c r="E288" i="5"/>
  <c r="J288" i="5"/>
  <c r="N288" i="5"/>
  <c r="P288" i="5"/>
  <c r="B288" i="5"/>
  <c r="G288" i="5"/>
  <c r="K288" i="5"/>
  <c r="G287" i="5"/>
  <c r="P287" i="5"/>
  <c r="F287" i="5"/>
  <c r="I287" i="5"/>
  <c r="A287" i="5"/>
  <c r="L287" i="5"/>
  <c r="C287" i="5"/>
  <c r="M287" i="5"/>
  <c r="O287" i="5"/>
  <c r="D287" i="5"/>
  <c r="J287" i="5"/>
  <c r="N287" i="5"/>
  <c r="B287" i="5"/>
  <c r="E287" i="5"/>
  <c r="H287" i="5"/>
  <c r="K287" i="5"/>
  <c r="J286" i="5"/>
  <c r="N286" i="5"/>
  <c r="A286" i="5"/>
  <c r="E286" i="5"/>
  <c r="L286" i="5"/>
  <c r="F286" i="5"/>
  <c r="I286" i="5"/>
  <c r="M286" i="5"/>
  <c r="D286" i="5"/>
  <c r="G286" i="5"/>
  <c r="O286" i="5"/>
  <c r="C286" i="5"/>
  <c r="H286" i="5"/>
  <c r="K286" i="5"/>
  <c r="B286" i="5"/>
  <c r="P286" i="5"/>
  <c r="A285" i="5"/>
  <c r="G285" i="5"/>
  <c r="L285" i="5"/>
  <c r="N285" i="5"/>
  <c r="D285" i="5"/>
  <c r="I285" i="5"/>
  <c r="K285" i="5"/>
  <c r="M285" i="5"/>
  <c r="F285" i="5"/>
  <c r="J285" i="5"/>
  <c r="P285" i="5"/>
  <c r="B285" i="5"/>
  <c r="E285" i="5"/>
  <c r="C285" i="5"/>
  <c r="H285" i="5"/>
  <c r="O285" i="5"/>
  <c r="B284" i="5"/>
  <c r="F284" i="5"/>
  <c r="J284" i="5"/>
  <c r="E284" i="5"/>
  <c r="I284" i="5"/>
  <c r="L284" i="5"/>
  <c r="O284" i="5"/>
  <c r="A284" i="5"/>
  <c r="H284" i="5"/>
  <c r="C284" i="5"/>
  <c r="G284" i="5"/>
  <c r="N284" i="5"/>
  <c r="P284" i="5"/>
  <c r="M284" i="5"/>
  <c r="D284" i="5"/>
  <c r="K284" i="5"/>
  <c r="F283" i="5"/>
  <c r="P283" i="5"/>
  <c r="J283" i="5"/>
  <c r="D283" i="5"/>
  <c r="G283" i="5"/>
  <c r="N283" i="5"/>
  <c r="C283" i="5"/>
  <c r="B283" i="5"/>
  <c r="E283" i="5"/>
  <c r="K283" i="5"/>
  <c r="M283" i="5"/>
  <c r="O283" i="5"/>
  <c r="A283" i="5"/>
  <c r="H283" i="5"/>
  <c r="I283" i="5"/>
  <c r="L283" i="5"/>
  <c r="M282" i="5"/>
  <c r="P282" i="5"/>
  <c r="C282" i="5"/>
  <c r="A282" i="5"/>
  <c r="D282" i="5"/>
  <c r="I282" i="5"/>
  <c r="O282" i="5"/>
  <c r="B282" i="5"/>
  <c r="H282" i="5"/>
  <c r="E282" i="5"/>
  <c r="G282" i="5"/>
  <c r="J282" i="5"/>
  <c r="L282" i="5"/>
  <c r="K282" i="5"/>
  <c r="F282" i="5"/>
  <c r="N282" i="5"/>
  <c r="A281" i="5"/>
  <c r="C281" i="5"/>
  <c r="N281" i="5"/>
  <c r="J281" i="5"/>
  <c r="D281" i="5"/>
  <c r="G281" i="5"/>
  <c r="L281" i="5"/>
  <c r="B281" i="5"/>
  <c r="K281" i="5"/>
  <c r="M281" i="5"/>
  <c r="P281" i="5"/>
  <c r="F281" i="5"/>
  <c r="H281" i="5"/>
  <c r="O281" i="5"/>
  <c r="E281" i="5"/>
  <c r="I281" i="5"/>
  <c r="J280" i="5"/>
  <c r="D280" i="5"/>
  <c r="I280" i="5"/>
  <c r="N280" i="5"/>
  <c r="B280" i="5"/>
  <c r="E280" i="5"/>
  <c r="K280" i="5"/>
  <c r="P280" i="5"/>
  <c r="F280" i="5"/>
  <c r="A280" i="5"/>
  <c r="G280" i="5"/>
  <c r="M280" i="5"/>
  <c r="C280" i="5"/>
  <c r="H280" i="5"/>
  <c r="L280" i="5"/>
  <c r="O280" i="5"/>
  <c r="E279" i="5"/>
  <c r="N279" i="5"/>
  <c r="A279" i="5"/>
  <c r="G279" i="5"/>
  <c r="C279" i="5"/>
  <c r="H279" i="5"/>
  <c r="K279" i="5"/>
  <c r="F279" i="5"/>
  <c r="I279" i="5"/>
  <c r="D279" i="5"/>
  <c r="L279" i="5"/>
  <c r="P279" i="5"/>
  <c r="B279" i="5"/>
  <c r="J279" i="5"/>
  <c r="M279" i="5"/>
  <c r="O279" i="5"/>
  <c r="P278" i="5"/>
  <c r="C278" i="5"/>
  <c r="L278" i="5"/>
  <c r="A278" i="5"/>
  <c r="F278" i="5"/>
  <c r="J278" i="5"/>
  <c r="I278" i="5"/>
  <c r="H278" i="5"/>
  <c r="M278" i="5"/>
  <c r="G278" i="5"/>
  <c r="N278" i="5"/>
  <c r="B278" i="5"/>
  <c r="E278" i="5"/>
  <c r="O278" i="5"/>
  <c r="D278" i="5"/>
  <c r="K278" i="5"/>
  <c r="F277" i="5"/>
  <c r="M277" i="5"/>
  <c r="A277" i="5"/>
  <c r="I277" i="5"/>
  <c r="E277" i="5"/>
  <c r="K277" i="5"/>
  <c r="J277" i="5"/>
  <c r="B277" i="5"/>
  <c r="G277" i="5"/>
  <c r="N277" i="5"/>
  <c r="C277" i="5"/>
  <c r="O277" i="5"/>
  <c r="D277" i="5"/>
  <c r="L277" i="5"/>
  <c r="H277" i="5"/>
  <c r="P277" i="5"/>
  <c r="E276" i="5"/>
  <c r="H276" i="5"/>
  <c r="L276" i="5"/>
  <c r="G276" i="5"/>
  <c r="A276" i="5"/>
  <c r="C276" i="5"/>
  <c r="K276" i="5"/>
  <c r="P276" i="5"/>
  <c r="N276" i="5"/>
  <c r="J276" i="5"/>
  <c r="F276" i="5"/>
  <c r="I276" i="5"/>
  <c r="B276" i="5"/>
  <c r="M276" i="5"/>
  <c r="D276" i="5"/>
  <c r="O276" i="5"/>
  <c r="E275" i="5"/>
  <c r="J275" i="5"/>
  <c r="L275" i="5"/>
  <c r="P275" i="5"/>
  <c r="H275" i="5"/>
  <c r="M275" i="5"/>
  <c r="D275" i="5"/>
  <c r="B275" i="5"/>
  <c r="O275" i="5"/>
  <c r="A275" i="5"/>
  <c r="K275" i="5"/>
  <c r="C275" i="5"/>
  <c r="G275" i="5"/>
  <c r="F275" i="5"/>
  <c r="I275" i="5"/>
  <c r="N275" i="5"/>
  <c r="D274" i="5"/>
  <c r="I274" i="5"/>
  <c r="B274" i="5"/>
  <c r="M274" i="5"/>
  <c r="A274" i="5"/>
  <c r="K274" i="5"/>
  <c r="O274" i="5"/>
  <c r="N274" i="5"/>
  <c r="F274" i="5"/>
  <c r="C274" i="5"/>
  <c r="G274" i="5"/>
  <c r="J274" i="5"/>
  <c r="E274" i="5"/>
  <c r="H274" i="5"/>
  <c r="L274" i="5"/>
  <c r="P274" i="5"/>
  <c r="A273" i="5"/>
  <c r="B273" i="5"/>
  <c r="C273" i="5"/>
  <c r="D273" i="5"/>
  <c r="E273" i="5"/>
  <c r="F273" i="5"/>
  <c r="G273" i="5"/>
  <c r="H273" i="5"/>
  <c r="I273" i="5"/>
  <c r="J273" i="5"/>
  <c r="K273" i="5"/>
  <c r="L273" i="5"/>
  <c r="M273" i="5"/>
  <c r="O273" i="5"/>
  <c r="N273" i="5"/>
  <c r="P273" i="5"/>
  <c r="A272" i="5"/>
  <c r="B272" i="5"/>
  <c r="C272" i="5"/>
  <c r="D272" i="5"/>
  <c r="E272" i="5"/>
  <c r="F272" i="5"/>
  <c r="G272" i="5"/>
  <c r="H272" i="5"/>
  <c r="I272" i="5"/>
  <c r="J272" i="5"/>
  <c r="K272" i="5"/>
  <c r="L272" i="5"/>
  <c r="M272" i="5"/>
  <c r="N272" i="5"/>
  <c r="O272" i="5"/>
  <c r="P272" i="5"/>
  <c r="A271" i="5"/>
  <c r="B271" i="5"/>
  <c r="C271" i="5"/>
  <c r="D271" i="5"/>
  <c r="E271" i="5"/>
  <c r="F271" i="5"/>
  <c r="G271" i="5"/>
  <c r="H271" i="5"/>
  <c r="I271" i="5"/>
  <c r="J271" i="5"/>
  <c r="K271" i="5"/>
  <c r="L271" i="5"/>
  <c r="M271" i="5"/>
  <c r="N271" i="5"/>
  <c r="O271" i="5"/>
  <c r="P271" i="5"/>
  <c r="A270" i="5"/>
  <c r="B270" i="5"/>
  <c r="C270" i="5"/>
  <c r="D270" i="5"/>
  <c r="E270" i="5"/>
  <c r="F270" i="5"/>
  <c r="G270" i="5"/>
  <c r="H270" i="5"/>
  <c r="I270" i="5"/>
  <c r="J270" i="5"/>
  <c r="K270" i="5"/>
  <c r="L270" i="5"/>
  <c r="M270" i="5"/>
  <c r="N270" i="5"/>
  <c r="O270" i="5"/>
  <c r="P270" i="5"/>
  <c r="A269" i="5"/>
  <c r="B269" i="5"/>
  <c r="C269" i="5"/>
  <c r="D269" i="5"/>
  <c r="E269" i="5"/>
  <c r="F269" i="5"/>
  <c r="G269" i="5"/>
  <c r="H269" i="5"/>
  <c r="I269" i="5"/>
  <c r="J269" i="5"/>
  <c r="K269" i="5"/>
  <c r="L269" i="5"/>
  <c r="M269" i="5"/>
  <c r="N269" i="5"/>
  <c r="O269" i="5"/>
  <c r="P269" i="5"/>
  <c r="A268" i="5"/>
  <c r="B268" i="5"/>
  <c r="C268" i="5"/>
  <c r="D268" i="5"/>
  <c r="E268" i="5"/>
  <c r="F268" i="5"/>
  <c r="G268" i="5"/>
  <c r="H268" i="5"/>
  <c r="I268" i="5"/>
  <c r="J268" i="5"/>
  <c r="K268" i="5"/>
  <c r="L268" i="5"/>
  <c r="M268" i="5"/>
  <c r="N268" i="5"/>
  <c r="O268" i="5"/>
  <c r="P268" i="5"/>
  <c r="A267" i="5"/>
  <c r="B267" i="5"/>
  <c r="C267" i="5"/>
  <c r="D267" i="5"/>
  <c r="E267" i="5"/>
  <c r="F267" i="5"/>
  <c r="G267" i="5"/>
  <c r="H267" i="5"/>
  <c r="I267" i="5"/>
  <c r="J267" i="5"/>
  <c r="K267" i="5"/>
  <c r="L267" i="5"/>
  <c r="M267" i="5"/>
  <c r="N267" i="5"/>
  <c r="O267" i="5"/>
  <c r="P267" i="5"/>
  <c r="A266" i="5"/>
  <c r="B266" i="5"/>
  <c r="C266" i="5"/>
  <c r="D266" i="5"/>
  <c r="E266" i="5"/>
  <c r="F266" i="5"/>
  <c r="G266" i="5"/>
  <c r="H266" i="5"/>
  <c r="I266" i="5"/>
  <c r="J266" i="5"/>
  <c r="K266" i="5"/>
  <c r="L266" i="5"/>
  <c r="M266" i="5"/>
  <c r="N266" i="5"/>
  <c r="O266" i="5"/>
  <c r="P266" i="5"/>
  <c r="A265" i="5"/>
  <c r="B265" i="5"/>
  <c r="C265" i="5"/>
  <c r="D265" i="5"/>
  <c r="E265" i="5"/>
  <c r="F265" i="5"/>
  <c r="G265" i="5"/>
  <c r="H265" i="5"/>
  <c r="I265" i="5"/>
  <c r="J265" i="5"/>
  <c r="K265" i="5"/>
  <c r="L265" i="5"/>
  <c r="M265" i="5"/>
  <c r="N265" i="5"/>
  <c r="O265" i="5"/>
  <c r="P265" i="5"/>
  <c r="A264" i="5"/>
  <c r="B264" i="5"/>
  <c r="C264" i="5"/>
  <c r="D264" i="5"/>
  <c r="E264" i="5"/>
  <c r="F264" i="5"/>
  <c r="G264" i="5"/>
  <c r="H264" i="5"/>
  <c r="I264" i="5"/>
  <c r="J264" i="5"/>
  <c r="K264" i="5"/>
  <c r="L264" i="5"/>
  <c r="M264" i="5"/>
  <c r="N264" i="5"/>
  <c r="O264" i="5"/>
  <c r="P264" i="5"/>
  <c r="A263" i="5"/>
  <c r="B263" i="5"/>
  <c r="C263" i="5"/>
  <c r="D263" i="5"/>
  <c r="E263" i="5"/>
  <c r="F263" i="5"/>
  <c r="G263" i="5"/>
  <c r="H263" i="5"/>
  <c r="I263" i="5"/>
  <c r="J263" i="5"/>
  <c r="K263" i="5"/>
  <c r="L263" i="5"/>
  <c r="M263" i="5"/>
  <c r="N263" i="5"/>
  <c r="O263" i="5"/>
  <c r="P263" i="5"/>
  <c r="A262" i="5"/>
  <c r="B262" i="5"/>
  <c r="C262" i="5"/>
  <c r="D262" i="5"/>
  <c r="E262" i="5"/>
  <c r="F262" i="5"/>
  <c r="G262" i="5"/>
  <c r="H262" i="5"/>
  <c r="I262" i="5"/>
  <c r="J262" i="5"/>
  <c r="K262" i="5"/>
  <c r="L262" i="5"/>
  <c r="M262" i="5"/>
  <c r="N262" i="5"/>
  <c r="O262" i="5"/>
  <c r="P262" i="5"/>
  <c r="A261" i="5"/>
  <c r="B261" i="5"/>
  <c r="C261" i="5"/>
  <c r="D261" i="5"/>
  <c r="E261" i="5"/>
  <c r="F261" i="5"/>
  <c r="G261" i="5"/>
  <c r="H261" i="5"/>
  <c r="I261" i="5"/>
  <c r="J261" i="5"/>
  <c r="K261" i="5"/>
  <c r="L261" i="5"/>
  <c r="M261" i="5"/>
  <c r="N261" i="5"/>
  <c r="O261" i="5"/>
  <c r="P261" i="5"/>
  <c r="A260" i="5"/>
  <c r="B260" i="5"/>
  <c r="C260" i="5"/>
  <c r="D260" i="5"/>
  <c r="E260" i="5"/>
  <c r="F260" i="5"/>
  <c r="G260" i="5"/>
  <c r="H260" i="5"/>
  <c r="I260" i="5"/>
  <c r="J260" i="5"/>
  <c r="K260" i="5"/>
  <c r="L260" i="5"/>
  <c r="M260" i="5"/>
  <c r="N260" i="5"/>
  <c r="O260" i="5"/>
  <c r="P260" i="5"/>
  <c r="A259" i="5"/>
  <c r="B259" i="5"/>
  <c r="C259" i="5"/>
  <c r="D259" i="5"/>
  <c r="E259" i="5"/>
  <c r="F259" i="5"/>
  <c r="G259" i="5"/>
  <c r="H259" i="5"/>
  <c r="I259" i="5"/>
  <c r="J259" i="5"/>
  <c r="K259" i="5"/>
  <c r="L259" i="5"/>
  <c r="M259" i="5"/>
  <c r="N259" i="5"/>
  <c r="O259" i="5"/>
  <c r="P259" i="5"/>
  <c r="A258" i="5"/>
  <c r="B258" i="5"/>
  <c r="C258" i="5"/>
  <c r="D258" i="5"/>
  <c r="E258" i="5"/>
  <c r="F258" i="5"/>
  <c r="G258" i="5"/>
  <c r="H258" i="5"/>
  <c r="I258" i="5"/>
  <c r="J258" i="5"/>
  <c r="K258" i="5"/>
  <c r="L258" i="5"/>
  <c r="M258" i="5"/>
  <c r="N258" i="5"/>
  <c r="O258" i="5"/>
  <c r="P258" i="5"/>
  <c r="A257" i="5"/>
  <c r="B257" i="5"/>
  <c r="C257" i="5"/>
  <c r="D257" i="5"/>
  <c r="E257" i="5"/>
  <c r="F257" i="5"/>
  <c r="G257" i="5"/>
  <c r="H257" i="5"/>
  <c r="I257" i="5"/>
  <c r="J257" i="5"/>
  <c r="K257" i="5"/>
  <c r="L257" i="5"/>
  <c r="M257" i="5"/>
  <c r="N257" i="5"/>
  <c r="O257" i="5"/>
  <c r="P257" i="5"/>
  <c r="A256" i="5"/>
  <c r="B256" i="5"/>
  <c r="C256" i="5"/>
  <c r="D256" i="5"/>
  <c r="E256" i="5"/>
  <c r="F256" i="5"/>
  <c r="G256" i="5"/>
  <c r="H256" i="5"/>
  <c r="I256" i="5"/>
  <c r="J256" i="5"/>
  <c r="K256" i="5"/>
  <c r="L256" i="5"/>
  <c r="M256" i="5"/>
  <c r="N256" i="5"/>
  <c r="O256" i="5"/>
  <c r="P256" i="5"/>
  <c r="A255" i="5"/>
  <c r="B255" i="5"/>
  <c r="C255" i="5"/>
  <c r="D255" i="5"/>
  <c r="E255" i="5"/>
  <c r="F255" i="5"/>
  <c r="G255" i="5"/>
  <c r="H255" i="5"/>
  <c r="I255" i="5"/>
  <c r="J255" i="5"/>
  <c r="K255" i="5"/>
  <c r="L255" i="5"/>
  <c r="M255" i="5"/>
  <c r="N255" i="5"/>
  <c r="O255" i="5"/>
  <c r="P255" i="5"/>
  <c r="A254" i="5"/>
  <c r="B254" i="5"/>
  <c r="C254" i="5"/>
  <c r="D254" i="5"/>
  <c r="E254" i="5"/>
  <c r="F254" i="5"/>
  <c r="G254" i="5"/>
  <c r="H254" i="5"/>
  <c r="I254" i="5"/>
  <c r="J254" i="5"/>
  <c r="K254" i="5"/>
  <c r="L254" i="5"/>
  <c r="M254" i="5"/>
  <c r="N254" i="5"/>
  <c r="O254" i="5"/>
  <c r="P254" i="5"/>
  <c r="A253" i="5"/>
  <c r="B253" i="5"/>
  <c r="C253" i="5"/>
  <c r="D253" i="5"/>
  <c r="E253" i="5"/>
  <c r="F253" i="5"/>
  <c r="G253" i="5"/>
  <c r="H253" i="5"/>
  <c r="I253" i="5"/>
  <c r="J253" i="5"/>
  <c r="K253" i="5"/>
  <c r="L253" i="5"/>
  <c r="M253" i="5"/>
  <c r="N253" i="5"/>
  <c r="O253" i="5"/>
  <c r="P253" i="5"/>
  <c r="A252" i="5"/>
  <c r="B252" i="5"/>
  <c r="C252" i="5"/>
  <c r="D252" i="5"/>
  <c r="E252" i="5"/>
  <c r="F252" i="5"/>
  <c r="G252" i="5"/>
  <c r="H252" i="5"/>
  <c r="I252" i="5"/>
  <c r="J252" i="5"/>
  <c r="K252" i="5"/>
  <c r="L252" i="5"/>
  <c r="M252" i="5"/>
  <c r="N252" i="5"/>
  <c r="O252" i="5"/>
  <c r="P252" i="5"/>
  <c r="A251" i="5"/>
  <c r="B251" i="5"/>
  <c r="C251" i="5"/>
  <c r="D251" i="5"/>
  <c r="E251" i="5"/>
  <c r="F251" i="5"/>
  <c r="G251" i="5"/>
  <c r="H251" i="5"/>
  <c r="I251" i="5"/>
  <c r="J251" i="5"/>
  <c r="K251" i="5"/>
  <c r="L251" i="5"/>
  <c r="M251" i="5"/>
  <c r="N251" i="5"/>
  <c r="O251" i="5"/>
  <c r="P251" i="5"/>
  <c r="A250" i="5"/>
  <c r="B250" i="5"/>
  <c r="C250" i="5"/>
  <c r="D250" i="5"/>
  <c r="E250" i="5"/>
  <c r="F250" i="5"/>
  <c r="G250" i="5"/>
  <c r="H250" i="5"/>
  <c r="I250" i="5"/>
  <c r="J250" i="5"/>
  <c r="K250" i="5"/>
  <c r="L250" i="5"/>
  <c r="M250" i="5"/>
  <c r="N250" i="5"/>
  <c r="O250" i="5"/>
  <c r="P250" i="5"/>
  <c r="A249" i="5"/>
  <c r="B249" i="5"/>
  <c r="C249" i="5"/>
  <c r="D249" i="5"/>
  <c r="E249" i="5"/>
  <c r="F249" i="5"/>
  <c r="G249" i="5"/>
  <c r="H249" i="5"/>
  <c r="I249" i="5"/>
  <c r="J249" i="5"/>
  <c r="K249" i="5"/>
  <c r="L249" i="5"/>
  <c r="M249" i="5"/>
  <c r="N249" i="5"/>
  <c r="O249" i="5"/>
  <c r="P249" i="5"/>
  <c r="A248" i="5"/>
  <c r="B248" i="5"/>
  <c r="C248" i="5"/>
  <c r="D248" i="5"/>
  <c r="E248" i="5"/>
  <c r="F248" i="5"/>
  <c r="G248" i="5"/>
  <c r="H248" i="5"/>
  <c r="I248" i="5"/>
  <c r="J248" i="5"/>
  <c r="K248" i="5"/>
  <c r="L248" i="5"/>
  <c r="M248" i="5"/>
  <c r="N248" i="5"/>
  <c r="O248" i="5"/>
  <c r="P248" i="5"/>
  <c r="A247" i="5"/>
  <c r="B247" i="5"/>
  <c r="C247" i="5"/>
  <c r="D247" i="5"/>
  <c r="E247" i="5"/>
  <c r="F247" i="5"/>
  <c r="G247" i="5"/>
  <c r="H247" i="5"/>
  <c r="I247" i="5"/>
  <c r="J247" i="5"/>
  <c r="K247" i="5"/>
  <c r="L247" i="5"/>
  <c r="M247" i="5"/>
  <c r="N247" i="5"/>
  <c r="O247" i="5"/>
  <c r="P247" i="5"/>
  <c r="A246" i="5"/>
  <c r="B246" i="5"/>
  <c r="C246" i="5"/>
  <c r="D246" i="5"/>
  <c r="E246" i="5"/>
  <c r="F246" i="5"/>
  <c r="G246" i="5"/>
  <c r="H246" i="5"/>
  <c r="I246" i="5"/>
  <c r="J246" i="5"/>
  <c r="K246" i="5"/>
  <c r="L246" i="5"/>
  <c r="M246" i="5"/>
  <c r="N246" i="5"/>
  <c r="O246" i="5"/>
  <c r="P246" i="5"/>
  <c r="A245" i="5"/>
  <c r="B245" i="5"/>
  <c r="C245" i="5"/>
  <c r="D245" i="5"/>
  <c r="E245" i="5"/>
  <c r="F245" i="5"/>
  <c r="G245" i="5"/>
  <c r="H245" i="5"/>
  <c r="I245" i="5"/>
  <c r="J245" i="5"/>
  <c r="K245" i="5"/>
  <c r="L245" i="5"/>
  <c r="M245" i="5"/>
  <c r="N245" i="5"/>
  <c r="O245" i="5"/>
  <c r="P245" i="5"/>
  <c r="A244" i="5"/>
  <c r="B244" i="5"/>
  <c r="C244" i="5"/>
  <c r="D244" i="5"/>
  <c r="E244" i="5"/>
  <c r="F244" i="5"/>
  <c r="G244" i="5"/>
  <c r="H244" i="5"/>
  <c r="I244" i="5"/>
  <c r="J244" i="5"/>
  <c r="K244" i="5"/>
  <c r="L244" i="5"/>
  <c r="M244" i="5"/>
  <c r="N244" i="5"/>
  <c r="O244" i="5"/>
  <c r="P244" i="5"/>
  <c r="A243" i="5"/>
  <c r="B243" i="5"/>
  <c r="C243" i="5"/>
  <c r="D243" i="5"/>
  <c r="E243" i="5"/>
  <c r="F243" i="5"/>
  <c r="G243" i="5"/>
  <c r="H243" i="5"/>
  <c r="I243" i="5"/>
  <c r="J243" i="5"/>
  <c r="K243" i="5"/>
  <c r="L243" i="5"/>
  <c r="M243" i="5"/>
  <c r="N243" i="5"/>
  <c r="O243" i="5"/>
  <c r="P243" i="5"/>
  <c r="A242" i="5"/>
  <c r="B242" i="5"/>
  <c r="C242" i="5"/>
  <c r="D242" i="5"/>
  <c r="E242" i="5"/>
  <c r="F242" i="5"/>
  <c r="G242" i="5"/>
  <c r="H242" i="5"/>
  <c r="I242" i="5"/>
  <c r="J242" i="5"/>
  <c r="K242" i="5"/>
  <c r="L242" i="5"/>
  <c r="M242" i="5"/>
  <c r="N242" i="5"/>
  <c r="O242" i="5"/>
  <c r="P242" i="5"/>
  <c r="A241" i="5"/>
  <c r="B241" i="5"/>
  <c r="C241" i="5"/>
  <c r="D241" i="5"/>
  <c r="E241" i="5"/>
  <c r="F241" i="5"/>
  <c r="G241" i="5"/>
  <c r="H241" i="5"/>
  <c r="I241" i="5"/>
  <c r="J241" i="5"/>
  <c r="K241" i="5"/>
  <c r="L241" i="5"/>
  <c r="M241" i="5"/>
  <c r="N241" i="5"/>
  <c r="O241" i="5"/>
  <c r="P241" i="5"/>
  <c r="A240" i="5"/>
  <c r="B240" i="5"/>
  <c r="C240" i="5"/>
  <c r="D240" i="5"/>
  <c r="E240" i="5"/>
  <c r="F240" i="5"/>
  <c r="G240" i="5"/>
  <c r="H240" i="5"/>
  <c r="I240" i="5"/>
  <c r="J240" i="5"/>
  <c r="K240" i="5"/>
  <c r="L240" i="5"/>
  <c r="M240" i="5"/>
  <c r="N240" i="5"/>
  <c r="O240" i="5"/>
  <c r="P240" i="5"/>
  <c r="A239" i="5"/>
  <c r="B239" i="5"/>
  <c r="C239" i="5"/>
  <c r="D239" i="5"/>
  <c r="E239" i="5"/>
  <c r="F239" i="5"/>
  <c r="G239" i="5"/>
  <c r="H239" i="5"/>
  <c r="I239" i="5"/>
  <c r="J239" i="5"/>
  <c r="K239" i="5"/>
  <c r="L239" i="5"/>
  <c r="M239" i="5"/>
  <c r="N239" i="5"/>
  <c r="O239" i="5"/>
  <c r="P239" i="5"/>
  <c r="A238" i="5"/>
  <c r="B238" i="5"/>
  <c r="C238" i="5"/>
  <c r="D238" i="5"/>
  <c r="E238" i="5"/>
  <c r="F238" i="5"/>
  <c r="G238" i="5"/>
  <c r="H238" i="5"/>
  <c r="I238" i="5"/>
  <c r="J238" i="5"/>
  <c r="K238" i="5"/>
  <c r="L238" i="5"/>
  <c r="M238" i="5"/>
  <c r="N238" i="5"/>
  <c r="O238" i="5"/>
  <c r="P238" i="5"/>
  <c r="A237" i="5"/>
  <c r="B237" i="5"/>
  <c r="C237" i="5"/>
  <c r="D237" i="5"/>
  <c r="E237" i="5"/>
  <c r="F237" i="5"/>
  <c r="G237" i="5"/>
  <c r="H237" i="5"/>
  <c r="I237" i="5"/>
  <c r="J237" i="5"/>
  <c r="K237" i="5"/>
  <c r="L237" i="5"/>
  <c r="M237" i="5"/>
  <c r="N237" i="5"/>
  <c r="O237" i="5"/>
  <c r="P237" i="5"/>
  <c r="A236" i="5"/>
  <c r="B236" i="5"/>
  <c r="C236" i="5"/>
  <c r="D236" i="5"/>
  <c r="E236" i="5"/>
  <c r="F236" i="5"/>
  <c r="G236" i="5"/>
  <c r="H236" i="5"/>
  <c r="I236" i="5"/>
  <c r="J236" i="5"/>
  <c r="K236" i="5"/>
  <c r="L236" i="5"/>
  <c r="M236" i="5"/>
  <c r="N236" i="5"/>
  <c r="O236" i="5"/>
  <c r="P236" i="5"/>
  <c r="A235" i="5"/>
  <c r="B235" i="5"/>
  <c r="C235" i="5"/>
  <c r="D235" i="5"/>
  <c r="E235" i="5"/>
  <c r="F235" i="5"/>
  <c r="G235" i="5"/>
  <c r="H235" i="5"/>
  <c r="I235" i="5"/>
  <c r="J235" i="5"/>
  <c r="K235" i="5"/>
  <c r="L235" i="5"/>
  <c r="M235" i="5"/>
  <c r="N235" i="5"/>
  <c r="O235" i="5"/>
  <c r="P235" i="5"/>
  <c r="A234" i="5"/>
  <c r="B234" i="5"/>
  <c r="C234" i="5"/>
  <c r="D234" i="5"/>
  <c r="E234" i="5"/>
  <c r="F234" i="5"/>
  <c r="G234" i="5"/>
  <c r="H234" i="5"/>
  <c r="I234" i="5"/>
  <c r="J234" i="5"/>
  <c r="K234" i="5"/>
  <c r="L234" i="5"/>
  <c r="M234" i="5"/>
  <c r="N234" i="5"/>
  <c r="O234" i="5"/>
  <c r="P234" i="5"/>
  <c r="A233" i="5"/>
  <c r="B233" i="5"/>
  <c r="C233" i="5"/>
  <c r="D233" i="5"/>
  <c r="E233" i="5"/>
  <c r="F233" i="5"/>
  <c r="G233" i="5"/>
  <c r="H233" i="5"/>
  <c r="I233" i="5"/>
  <c r="J233" i="5"/>
  <c r="K233" i="5"/>
  <c r="L233" i="5"/>
  <c r="M233" i="5"/>
  <c r="N233" i="5"/>
  <c r="O233" i="5"/>
  <c r="P233" i="5"/>
  <c r="A232" i="5"/>
  <c r="B232" i="5"/>
  <c r="C232" i="5"/>
  <c r="D232" i="5"/>
  <c r="E232" i="5"/>
  <c r="F232" i="5"/>
  <c r="G232" i="5"/>
  <c r="H232" i="5"/>
  <c r="I232" i="5"/>
  <c r="J232" i="5"/>
  <c r="K232" i="5"/>
  <c r="L232" i="5"/>
  <c r="M232" i="5"/>
  <c r="N232" i="5"/>
  <c r="O232" i="5"/>
  <c r="P232" i="5"/>
  <c r="C231" i="5"/>
  <c r="D231" i="5"/>
  <c r="E231" i="5"/>
  <c r="F231" i="5"/>
  <c r="G231" i="5"/>
  <c r="H231" i="5"/>
  <c r="I231" i="5"/>
  <c r="J231" i="5"/>
  <c r="K231" i="5"/>
  <c r="L231" i="5"/>
  <c r="M231" i="5"/>
  <c r="N231" i="5"/>
  <c r="O231" i="5"/>
  <c r="P231" i="5"/>
  <c r="A231" i="5"/>
  <c r="B231" i="5"/>
  <c r="E230" i="5"/>
  <c r="J230" i="5"/>
  <c r="C230" i="5"/>
  <c r="N230" i="5"/>
  <c r="D230" i="5"/>
  <c r="H230" i="5"/>
  <c r="O230" i="5"/>
  <c r="B230" i="5"/>
  <c r="I230" i="5"/>
  <c r="L230" i="5"/>
  <c r="G230" i="5"/>
  <c r="M230" i="5"/>
  <c r="F230" i="5"/>
  <c r="A230" i="5"/>
  <c r="K230" i="5"/>
  <c r="P230" i="5"/>
  <c r="J229" i="5"/>
  <c r="O229" i="5"/>
  <c r="E229" i="5"/>
  <c r="N229" i="5"/>
  <c r="I229" i="5"/>
  <c r="K229" i="5"/>
  <c r="C229" i="5"/>
  <c r="D229" i="5"/>
  <c r="L229" i="5"/>
  <c r="B229" i="5"/>
  <c r="G229" i="5"/>
  <c r="P229" i="5"/>
  <c r="A229" i="5"/>
  <c r="H229" i="5"/>
  <c r="F229" i="5"/>
  <c r="M229" i="5"/>
  <c r="D228" i="5"/>
  <c r="J228" i="5"/>
  <c r="O228" i="5"/>
  <c r="E228" i="5"/>
  <c r="P228" i="5"/>
  <c r="F228" i="5"/>
  <c r="K228" i="5"/>
  <c r="M228" i="5"/>
  <c r="C228" i="5"/>
  <c r="A228" i="5"/>
  <c r="H228" i="5"/>
  <c r="N228" i="5"/>
  <c r="I228" i="5"/>
  <c r="B228" i="5"/>
  <c r="G228" i="5"/>
  <c r="L228" i="5"/>
  <c r="B227" i="5"/>
  <c r="M227" i="5"/>
  <c r="A227" i="5"/>
  <c r="E227" i="5"/>
  <c r="J227" i="5"/>
  <c r="P227" i="5"/>
  <c r="D227" i="5"/>
  <c r="I227" i="5"/>
  <c r="G227" i="5"/>
  <c r="N227" i="5"/>
  <c r="K227" i="5"/>
  <c r="H227" i="5"/>
  <c r="C227" i="5"/>
  <c r="F227" i="5"/>
  <c r="L227" i="5"/>
  <c r="O227" i="5"/>
  <c r="A226" i="5"/>
  <c r="D226" i="5"/>
  <c r="H226" i="5"/>
  <c r="M226" i="5"/>
  <c r="E226" i="5"/>
  <c r="J226" i="5"/>
  <c r="L226" i="5"/>
  <c r="B226" i="5"/>
  <c r="I226" i="5"/>
  <c r="C226" i="5"/>
  <c r="N226" i="5"/>
  <c r="G226" i="5"/>
  <c r="P226" i="5"/>
  <c r="F226" i="5"/>
  <c r="K226" i="5"/>
  <c r="O226" i="5"/>
  <c r="G225" i="5"/>
  <c r="M225" i="5"/>
  <c r="J225" i="5"/>
  <c r="E225" i="5"/>
  <c r="L225" i="5"/>
  <c r="B225" i="5"/>
  <c r="H225" i="5"/>
  <c r="K225" i="5"/>
  <c r="O225" i="5"/>
  <c r="F225" i="5"/>
  <c r="P225" i="5"/>
  <c r="A225" i="5"/>
  <c r="C225" i="5"/>
  <c r="D225" i="5"/>
  <c r="I225" i="5"/>
  <c r="N225" i="5"/>
  <c r="L224" i="5"/>
  <c r="B224" i="5"/>
  <c r="N224" i="5"/>
  <c r="F224" i="5"/>
  <c r="D224" i="5"/>
  <c r="H224" i="5"/>
  <c r="P224" i="5"/>
  <c r="C224" i="5"/>
  <c r="K224" i="5"/>
  <c r="E224" i="5"/>
  <c r="M224" i="5"/>
  <c r="I224" i="5"/>
  <c r="A224" i="5"/>
  <c r="G224" i="5"/>
  <c r="J224" i="5"/>
  <c r="O224" i="5"/>
  <c r="K223" i="5"/>
  <c r="N223" i="5"/>
  <c r="M223" i="5"/>
  <c r="D223" i="5"/>
  <c r="F223" i="5"/>
  <c r="H223" i="5"/>
  <c r="O223" i="5"/>
  <c r="J223" i="5"/>
  <c r="A223" i="5"/>
  <c r="G223" i="5"/>
  <c r="I223" i="5"/>
  <c r="C223" i="5"/>
  <c r="P223" i="5"/>
  <c r="B223" i="5"/>
  <c r="E223" i="5"/>
  <c r="L223" i="5"/>
  <c r="A222" i="5"/>
  <c r="E222" i="5"/>
  <c r="K222" i="5"/>
  <c r="O222" i="5"/>
  <c r="B222" i="5"/>
  <c r="L222" i="5"/>
  <c r="C222" i="5"/>
  <c r="H222" i="5"/>
  <c r="M222" i="5"/>
  <c r="N222" i="5"/>
  <c r="P222" i="5"/>
  <c r="I222" i="5"/>
  <c r="G222" i="5"/>
  <c r="D222" i="5"/>
  <c r="J222" i="5"/>
  <c r="F222" i="5"/>
  <c r="F221" i="5"/>
  <c r="J221" i="5"/>
  <c r="A221" i="5"/>
  <c r="E221" i="5"/>
  <c r="O221" i="5"/>
  <c r="G221" i="5"/>
  <c r="L221" i="5"/>
  <c r="N221" i="5"/>
  <c r="K221" i="5"/>
  <c r="H221" i="5"/>
  <c r="C221" i="5"/>
  <c r="B221" i="5"/>
  <c r="I221" i="5"/>
  <c r="M221" i="5"/>
  <c r="P221" i="5"/>
  <c r="D221" i="5"/>
  <c r="A220" i="5"/>
  <c r="N220" i="5"/>
  <c r="D220" i="5"/>
  <c r="G220" i="5"/>
  <c r="F220" i="5"/>
  <c r="I220" i="5"/>
  <c r="E220" i="5"/>
  <c r="C220" i="5"/>
  <c r="M220" i="5"/>
  <c r="K220" i="5"/>
  <c r="J220" i="5"/>
  <c r="P220" i="5"/>
  <c r="B220" i="5"/>
  <c r="H220" i="5"/>
  <c r="L220" i="5"/>
  <c r="O220" i="5"/>
  <c r="B219" i="5"/>
  <c r="H219" i="5"/>
  <c r="O219" i="5"/>
  <c r="C219" i="5"/>
  <c r="M219" i="5"/>
  <c r="I219" i="5"/>
  <c r="F219" i="5"/>
  <c r="L219" i="5"/>
  <c r="A219" i="5"/>
  <c r="K219" i="5"/>
  <c r="N219" i="5"/>
  <c r="E219" i="5"/>
  <c r="D219" i="5"/>
  <c r="P219" i="5"/>
  <c r="G219" i="5"/>
  <c r="J219" i="5"/>
  <c r="C218" i="5"/>
  <c r="E218" i="5"/>
  <c r="J218" i="5"/>
  <c r="O218" i="5"/>
  <c r="F218" i="5"/>
  <c r="K218" i="5"/>
  <c r="G218" i="5"/>
  <c r="M218" i="5"/>
  <c r="P218" i="5"/>
  <c r="L218" i="5"/>
  <c r="I218" i="5"/>
  <c r="B218" i="5"/>
  <c r="A218" i="5"/>
  <c r="D218" i="5"/>
  <c r="H218" i="5"/>
  <c r="N218" i="5"/>
  <c r="A217" i="5"/>
  <c r="L217" i="5"/>
  <c r="D217" i="5"/>
  <c r="M217" i="5"/>
  <c r="I217" i="5"/>
  <c r="K217" i="5"/>
  <c r="P217" i="5"/>
  <c r="F217" i="5"/>
  <c r="O217" i="5"/>
  <c r="H217" i="5"/>
  <c r="N217" i="5"/>
  <c r="E217" i="5"/>
  <c r="B217" i="5"/>
  <c r="C217" i="5"/>
  <c r="G217" i="5"/>
  <c r="J217" i="5"/>
  <c r="A216" i="5"/>
  <c r="E216" i="5"/>
  <c r="B216" i="5"/>
  <c r="I216" i="5"/>
  <c r="H216" i="5"/>
  <c r="K216" i="5"/>
  <c r="C216" i="5"/>
  <c r="P216" i="5"/>
  <c r="D216" i="5"/>
  <c r="N216" i="5"/>
  <c r="G216" i="5"/>
  <c r="M216" i="5"/>
  <c r="F216" i="5"/>
  <c r="J216" i="5"/>
  <c r="L216" i="5"/>
  <c r="O216" i="5"/>
  <c r="C215" i="5"/>
  <c r="I215" i="5"/>
  <c r="H215" i="5"/>
  <c r="O215" i="5"/>
  <c r="A215" i="5"/>
  <c r="G215" i="5"/>
  <c r="L215" i="5"/>
  <c r="K215" i="5"/>
  <c r="B215" i="5"/>
  <c r="J215" i="5"/>
  <c r="D215" i="5"/>
  <c r="N215" i="5"/>
  <c r="F215" i="5"/>
  <c r="M215" i="5"/>
  <c r="E215" i="5"/>
  <c r="P215" i="5"/>
  <c r="F214" i="5"/>
  <c r="L214" i="5"/>
  <c r="O214" i="5"/>
  <c r="B214" i="5"/>
  <c r="P214" i="5"/>
  <c r="H214" i="5"/>
  <c r="A214" i="5"/>
  <c r="G214" i="5"/>
  <c r="M214" i="5"/>
  <c r="K214" i="5"/>
  <c r="E214" i="5"/>
  <c r="J214" i="5"/>
  <c r="D214" i="5"/>
  <c r="N214" i="5"/>
  <c r="C214" i="5"/>
  <c r="I214" i="5"/>
  <c r="D213" i="5"/>
  <c r="P213" i="5"/>
  <c r="G213" i="5"/>
  <c r="L213" i="5"/>
  <c r="M213" i="5"/>
  <c r="B213" i="5"/>
  <c r="F213" i="5"/>
  <c r="I213" i="5"/>
  <c r="C213" i="5"/>
  <c r="O213" i="5"/>
  <c r="H213" i="5"/>
  <c r="K213" i="5"/>
  <c r="A213" i="5"/>
  <c r="E213" i="5"/>
  <c r="J213" i="5"/>
  <c r="N213" i="5"/>
  <c r="C212" i="5"/>
  <c r="K212" i="5"/>
  <c r="A212" i="5"/>
  <c r="I212" i="5"/>
  <c r="P212" i="5"/>
  <c r="D212" i="5"/>
  <c r="G212" i="5"/>
  <c r="N212" i="5"/>
  <c r="M212" i="5"/>
  <c r="J212" i="5"/>
  <c r="B212" i="5"/>
  <c r="L212" i="5"/>
  <c r="O212" i="5"/>
  <c r="F212" i="5"/>
  <c r="E212" i="5"/>
  <c r="H212" i="5"/>
  <c r="B211" i="5"/>
  <c r="D211" i="5"/>
  <c r="O211" i="5"/>
  <c r="K211" i="5"/>
  <c r="E211" i="5"/>
  <c r="H211" i="5"/>
  <c r="C211" i="5"/>
  <c r="F211" i="5"/>
  <c r="P211" i="5"/>
  <c r="M211" i="5"/>
  <c r="G211" i="5"/>
  <c r="J211" i="5"/>
  <c r="I211" i="5"/>
  <c r="L211" i="5"/>
  <c r="A211" i="5"/>
  <c r="N211" i="5"/>
  <c r="G210" i="5"/>
  <c r="I210" i="5"/>
  <c r="L210" i="5"/>
  <c r="J210" i="5"/>
  <c r="F210" i="5"/>
  <c r="K210" i="5"/>
  <c r="M210" i="5"/>
  <c r="A210" i="5"/>
  <c r="O210" i="5"/>
  <c r="E210" i="5"/>
  <c r="B210" i="5"/>
  <c r="C210" i="5"/>
  <c r="N210" i="5"/>
  <c r="P210" i="5"/>
  <c r="D210" i="5"/>
  <c r="H210" i="5"/>
  <c r="F209" i="5"/>
  <c r="N209" i="5"/>
  <c r="B209" i="5"/>
  <c r="J209" i="5"/>
  <c r="I209" i="5"/>
  <c r="A209" i="5"/>
  <c r="G209" i="5"/>
  <c r="P209" i="5"/>
  <c r="M209" i="5"/>
  <c r="D209" i="5"/>
  <c r="H209" i="5"/>
  <c r="E209" i="5"/>
  <c r="K209" i="5"/>
  <c r="L209" i="5"/>
  <c r="C209" i="5"/>
  <c r="O209" i="5"/>
  <c r="A208" i="5"/>
  <c r="B208" i="5"/>
  <c r="N208" i="5"/>
  <c r="I208" i="5"/>
  <c r="O208" i="5"/>
  <c r="D208" i="5"/>
  <c r="H208" i="5"/>
  <c r="L208" i="5"/>
  <c r="M208" i="5"/>
  <c r="P208" i="5"/>
  <c r="J208" i="5"/>
  <c r="G208" i="5"/>
  <c r="E208" i="5"/>
  <c r="C208" i="5"/>
  <c r="K208" i="5"/>
  <c r="F208" i="5"/>
  <c r="E207" i="5"/>
  <c r="F207" i="5"/>
  <c r="N207" i="5"/>
  <c r="D207" i="5"/>
  <c r="K207" i="5"/>
  <c r="C207" i="5"/>
  <c r="J207" i="5"/>
  <c r="O207" i="5"/>
  <c r="B207" i="5"/>
  <c r="P207" i="5"/>
  <c r="I207" i="5"/>
  <c r="A207" i="5"/>
  <c r="M207" i="5"/>
  <c r="G207" i="5"/>
  <c r="L207" i="5"/>
  <c r="H207" i="5"/>
  <c r="B206" i="5"/>
  <c r="J206" i="5"/>
  <c r="D206" i="5"/>
  <c r="F206" i="5"/>
  <c r="A206" i="5"/>
  <c r="G206" i="5"/>
  <c r="O206" i="5"/>
  <c r="M206" i="5"/>
  <c r="I206" i="5"/>
  <c r="C206" i="5"/>
  <c r="H206" i="5"/>
  <c r="L206" i="5"/>
  <c r="P206" i="5"/>
  <c r="E206" i="5"/>
  <c r="K206" i="5"/>
  <c r="N206" i="5"/>
  <c r="F205" i="5"/>
  <c r="B205" i="5"/>
  <c r="E205" i="5"/>
  <c r="P205" i="5"/>
  <c r="C205" i="5"/>
  <c r="G205" i="5"/>
  <c r="O205" i="5"/>
  <c r="D205" i="5"/>
  <c r="K205" i="5"/>
  <c r="J205" i="5"/>
  <c r="I205" i="5"/>
  <c r="N205" i="5"/>
  <c r="L205" i="5"/>
  <c r="A205" i="5"/>
  <c r="H205" i="5"/>
  <c r="M205" i="5"/>
  <c r="I204" i="5"/>
  <c r="J204" i="5"/>
  <c r="K204" i="5"/>
  <c r="D204" i="5"/>
  <c r="P204" i="5"/>
  <c r="C204" i="5"/>
  <c r="H204" i="5"/>
  <c r="E204" i="5"/>
  <c r="N204" i="5"/>
  <c r="A204" i="5"/>
  <c r="O204" i="5"/>
  <c r="F204" i="5"/>
  <c r="G204" i="5"/>
  <c r="M204" i="5"/>
  <c r="B204" i="5"/>
  <c r="L204" i="5"/>
  <c r="G203" i="5"/>
  <c r="L203" i="5"/>
  <c r="C203" i="5"/>
  <c r="J203" i="5"/>
  <c r="N203" i="5"/>
  <c r="D203" i="5"/>
  <c r="F203" i="5"/>
  <c r="K203" i="5"/>
  <c r="B203" i="5"/>
  <c r="E203" i="5"/>
  <c r="M203" i="5"/>
  <c r="A203" i="5"/>
  <c r="H203" i="5"/>
  <c r="I203" i="5"/>
  <c r="P203" i="5"/>
  <c r="O203" i="5"/>
  <c r="G202" i="5"/>
  <c r="K202" i="5"/>
  <c r="P202" i="5"/>
  <c r="E202" i="5"/>
  <c r="O202" i="5"/>
  <c r="B202" i="5"/>
  <c r="H202" i="5"/>
  <c r="M202" i="5"/>
  <c r="A202" i="5"/>
  <c r="L202" i="5"/>
  <c r="N202" i="5"/>
  <c r="D202" i="5"/>
  <c r="J202" i="5"/>
  <c r="I202" i="5"/>
  <c r="C202" i="5"/>
  <c r="F202" i="5"/>
  <c r="A201" i="5"/>
  <c r="K201" i="5"/>
  <c r="N201" i="5"/>
  <c r="E201" i="5"/>
  <c r="D201" i="5"/>
  <c r="H201" i="5"/>
  <c r="G201" i="5"/>
  <c r="M201" i="5"/>
  <c r="P201" i="5"/>
  <c r="I201" i="5"/>
  <c r="O201" i="5"/>
  <c r="B201" i="5"/>
  <c r="F201" i="5"/>
  <c r="J201" i="5"/>
  <c r="C201" i="5"/>
  <c r="L201" i="5"/>
  <c r="A200" i="5"/>
  <c r="B200" i="5"/>
  <c r="C200" i="5"/>
  <c r="D200" i="5"/>
  <c r="E200" i="5"/>
  <c r="F200" i="5"/>
  <c r="G200" i="5"/>
  <c r="H200" i="5"/>
  <c r="I200" i="5"/>
  <c r="J200" i="5"/>
  <c r="K200" i="5"/>
  <c r="N200" i="5"/>
  <c r="P200" i="5"/>
  <c r="L200" i="5"/>
  <c r="M200" i="5"/>
  <c r="O200" i="5"/>
  <c r="A199" i="5"/>
  <c r="B199" i="5"/>
  <c r="C199" i="5"/>
  <c r="D199" i="5"/>
  <c r="E199" i="5"/>
  <c r="F199" i="5"/>
  <c r="G199" i="5"/>
  <c r="H199" i="5"/>
  <c r="I199" i="5"/>
  <c r="J199" i="5"/>
  <c r="K199" i="5"/>
  <c r="L199" i="5"/>
  <c r="M199" i="5"/>
  <c r="N199" i="5"/>
  <c r="O199" i="5"/>
  <c r="P199" i="5"/>
  <c r="A198" i="5"/>
  <c r="B198" i="5"/>
  <c r="C198" i="5"/>
  <c r="D198" i="5"/>
  <c r="E198" i="5"/>
  <c r="F198" i="5"/>
  <c r="G198" i="5"/>
  <c r="H198" i="5"/>
  <c r="I198" i="5"/>
  <c r="J198" i="5"/>
  <c r="K198" i="5"/>
  <c r="L198" i="5"/>
  <c r="M198" i="5"/>
  <c r="N198" i="5"/>
  <c r="O198" i="5"/>
  <c r="P198" i="5"/>
  <c r="A197" i="5"/>
  <c r="B197" i="5"/>
  <c r="C197" i="5"/>
  <c r="D197" i="5"/>
  <c r="E197" i="5"/>
  <c r="F197" i="5"/>
  <c r="G197" i="5"/>
  <c r="H197" i="5"/>
  <c r="I197" i="5"/>
  <c r="J197" i="5"/>
  <c r="K197" i="5"/>
  <c r="L197" i="5"/>
  <c r="M197" i="5"/>
  <c r="N197" i="5"/>
  <c r="O197" i="5"/>
  <c r="P197" i="5"/>
  <c r="A196" i="5"/>
  <c r="B196" i="5"/>
  <c r="C196" i="5"/>
  <c r="D196" i="5"/>
  <c r="E196" i="5"/>
  <c r="F196" i="5"/>
  <c r="G196" i="5"/>
  <c r="H196" i="5"/>
  <c r="I196" i="5"/>
  <c r="J196" i="5"/>
  <c r="K196" i="5"/>
  <c r="L196" i="5"/>
  <c r="M196" i="5"/>
  <c r="N196" i="5"/>
  <c r="O196" i="5"/>
  <c r="P196" i="5"/>
  <c r="A195" i="5"/>
  <c r="B195" i="5"/>
  <c r="C195" i="5"/>
  <c r="D195" i="5"/>
  <c r="E195" i="5"/>
  <c r="F195" i="5"/>
  <c r="G195" i="5"/>
  <c r="H195" i="5"/>
  <c r="I195" i="5"/>
  <c r="J195" i="5"/>
  <c r="K195" i="5"/>
  <c r="L195" i="5"/>
  <c r="M195" i="5"/>
  <c r="N195" i="5"/>
  <c r="O195" i="5"/>
  <c r="P195" i="5"/>
  <c r="A193" i="5"/>
  <c r="B193" i="5"/>
  <c r="C193" i="5"/>
  <c r="D193" i="5"/>
  <c r="E193" i="5"/>
  <c r="F193" i="5"/>
  <c r="G193" i="5"/>
  <c r="H193" i="5"/>
  <c r="I193" i="5"/>
  <c r="J193" i="5"/>
  <c r="K193" i="5"/>
  <c r="L193" i="5"/>
  <c r="M193" i="5"/>
  <c r="N193" i="5"/>
  <c r="O193" i="5"/>
  <c r="P193" i="5"/>
  <c r="A192" i="5"/>
  <c r="B192" i="5"/>
  <c r="C192" i="5"/>
  <c r="D192" i="5"/>
  <c r="E192" i="5"/>
  <c r="F192" i="5"/>
  <c r="G192" i="5"/>
  <c r="H192" i="5"/>
  <c r="I192" i="5"/>
  <c r="J192" i="5"/>
  <c r="K192" i="5"/>
  <c r="L192" i="5"/>
  <c r="M192" i="5"/>
  <c r="N192" i="5"/>
  <c r="O192" i="5"/>
  <c r="P192" i="5"/>
  <c r="A191" i="5"/>
  <c r="B191" i="5"/>
  <c r="C191" i="5"/>
  <c r="D191" i="5"/>
  <c r="E191" i="5"/>
  <c r="F191" i="5"/>
  <c r="G191" i="5"/>
  <c r="H191" i="5"/>
  <c r="I191" i="5"/>
  <c r="J191" i="5"/>
  <c r="K191" i="5"/>
  <c r="L191" i="5"/>
  <c r="M191" i="5"/>
  <c r="N191" i="5"/>
  <c r="O191" i="5"/>
  <c r="P191" i="5"/>
  <c r="A190" i="5"/>
  <c r="B190" i="5"/>
  <c r="C190" i="5"/>
  <c r="D190" i="5"/>
  <c r="E190" i="5"/>
  <c r="F190" i="5"/>
  <c r="G190" i="5"/>
  <c r="H190" i="5"/>
  <c r="I190" i="5"/>
  <c r="J190" i="5"/>
  <c r="K190" i="5"/>
  <c r="L190" i="5"/>
  <c r="M190" i="5"/>
  <c r="N190" i="5"/>
  <c r="O190" i="5"/>
  <c r="P190" i="5"/>
  <c r="A189" i="5"/>
  <c r="B189" i="5"/>
  <c r="C189" i="5"/>
  <c r="D189" i="5"/>
  <c r="E189" i="5"/>
  <c r="F189" i="5"/>
  <c r="G189" i="5"/>
  <c r="H189" i="5"/>
  <c r="I189" i="5"/>
  <c r="J189" i="5"/>
  <c r="K189" i="5"/>
  <c r="L189" i="5"/>
  <c r="M189" i="5"/>
  <c r="N189" i="5"/>
  <c r="O189" i="5"/>
  <c r="P189" i="5"/>
  <c r="A188" i="5"/>
  <c r="B188" i="5"/>
  <c r="C188" i="5"/>
  <c r="D188" i="5"/>
  <c r="E188" i="5"/>
  <c r="F188" i="5"/>
  <c r="G188" i="5"/>
  <c r="H188" i="5"/>
  <c r="I188" i="5"/>
  <c r="J188" i="5"/>
  <c r="K188" i="5"/>
  <c r="L188" i="5"/>
  <c r="M188" i="5"/>
  <c r="N188" i="5"/>
  <c r="O188" i="5"/>
  <c r="P188" i="5"/>
  <c r="A187" i="5"/>
  <c r="B187" i="5"/>
  <c r="C187" i="5"/>
  <c r="D187" i="5"/>
  <c r="E187" i="5"/>
  <c r="F187" i="5"/>
  <c r="G187" i="5"/>
  <c r="H187" i="5"/>
  <c r="I187" i="5"/>
  <c r="J187" i="5"/>
  <c r="K187" i="5"/>
  <c r="L187" i="5"/>
  <c r="M187" i="5"/>
  <c r="N187" i="5"/>
  <c r="O187" i="5"/>
  <c r="P187" i="5"/>
  <c r="A186" i="5"/>
  <c r="B186" i="5"/>
  <c r="C186" i="5"/>
  <c r="D186" i="5"/>
  <c r="E186" i="5"/>
  <c r="F186" i="5"/>
  <c r="G186" i="5"/>
  <c r="H186" i="5"/>
  <c r="I186" i="5"/>
  <c r="J186" i="5"/>
  <c r="K186" i="5"/>
  <c r="L186" i="5"/>
  <c r="M186" i="5"/>
  <c r="N186" i="5"/>
  <c r="O186" i="5"/>
  <c r="P186" i="5"/>
  <c r="A185" i="5"/>
  <c r="B185" i="5"/>
  <c r="C185" i="5"/>
  <c r="D185" i="5"/>
  <c r="E185" i="5"/>
  <c r="F185" i="5"/>
  <c r="G185" i="5"/>
  <c r="H185" i="5"/>
  <c r="I185" i="5"/>
  <c r="J185" i="5"/>
  <c r="K185" i="5"/>
  <c r="L185" i="5"/>
  <c r="M185" i="5"/>
  <c r="N185" i="5"/>
  <c r="O185" i="5"/>
  <c r="P185" i="5"/>
  <c r="A184" i="5"/>
  <c r="B184" i="5"/>
  <c r="C184" i="5"/>
  <c r="D184" i="5"/>
  <c r="E184" i="5"/>
  <c r="F184" i="5"/>
  <c r="G184" i="5"/>
  <c r="H184" i="5"/>
  <c r="I184" i="5"/>
  <c r="J184" i="5"/>
  <c r="K184" i="5"/>
  <c r="L184" i="5"/>
  <c r="M184" i="5"/>
  <c r="N184" i="5"/>
  <c r="O184" i="5"/>
  <c r="P184" i="5"/>
  <c r="A183" i="5"/>
  <c r="B183" i="5"/>
  <c r="C183" i="5"/>
  <c r="D183" i="5"/>
  <c r="E183" i="5"/>
  <c r="F183" i="5"/>
  <c r="G183" i="5"/>
  <c r="H183" i="5"/>
  <c r="I183" i="5"/>
  <c r="J183" i="5"/>
  <c r="K183" i="5"/>
  <c r="L183" i="5"/>
  <c r="M183" i="5"/>
  <c r="N183" i="5"/>
  <c r="O183" i="5"/>
  <c r="P183" i="5"/>
  <c r="A182" i="5"/>
  <c r="B182" i="5"/>
  <c r="C182" i="5"/>
  <c r="D182" i="5"/>
  <c r="E182" i="5"/>
  <c r="F182" i="5"/>
  <c r="G182" i="5"/>
  <c r="H182" i="5"/>
  <c r="I182" i="5"/>
  <c r="J182" i="5"/>
  <c r="K182" i="5"/>
  <c r="L182" i="5"/>
  <c r="M182" i="5"/>
  <c r="N182" i="5"/>
  <c r="O182" i="5"/>
  <c r="P182" i="5"/>
  <c r="A181" i="5"/>
  <c r="B181" i="5"/>
  <c r="C181" i="5"/>
  <c r="D181" i="5"/>
  <c r="E181" i="5"/>
  <c r="F181" i="5"/>
  <c r="G181" i="5"/>
  <c r="H181" i="5"/>
  <c r="I181" i="5"/>
  <c r="J181" i="5"/>
  <c r="K181" i="5"/>
  <c r="L181" i="5"/>
  <c r="M181" i="5"/>
  <c r="N181" i="5"/>
  <c r="O181" i="5"/>
  <c r="P181" i="5"/>
  <c r="A180" i="5"/>
  <c r="B180" i="5"/>
  <c r="C180" i="5"/>
  <c r="D180" i="5"/>
  <c r="E180" i="5"/>
  <c r="F180" i="5"/>
  <c r="G180" i="5"/>
  <c r="H180" i="5"/>
  <c r="I180" i="5"/>
  <c r="J180" i="5"/>
  <c r="K180" i="5"/>
  <c r="L180" i="5"/>
  <c r="M180" i="5"/>
  <c r="N180" i="5"/>
  <c r="O180" i="5"/>
  <c r="P180" i="5"/>
  <c r="A179" i="5"/>
  <c r="B179" i="5"/>
  <c r="C179" i="5"/>
  <c r="D179" i="5"/>
  <c r="E179" i="5"/>
  <c r="F179" i="5"/>
  <c r="G179" i="5"/>
  <c r="H179" i="5"/>
  <c r="I179" i="5"/>
  <c r="J179" i="5"/>
  <c r="K179" i="5"/>
  <c r="L179" i="5"/>
  <c r="M179" i="5"/>
  <c r="N179" i="5"/>
  <c r="O179" i="5"/>
  <c r="P179" i="5"/>
  <c r="A178" i="5"/>
  <c r="B178" i="5"/>
  <c r="C178" i="5"/>
  <c r="D178" i="5"/>
  <c r="E178" i="5"/>
  <c r="F178" i="5"/>
  <c r="G178" i="5"/>
  <c r="H178" i="5"/>
  <c r="I178" i="5"/>
  <c r="J178" i="5"/>
  <c r="K178" i="5"/>
  <c r="L178" i="5"/>
  <c r="M178" i="5"/>
  <c r="N178" i="5"/>
  <c r="O178" i="5"/>
  <c r="P178" i="5"/>
  <c r="A177" i="5"/>
  <c r="B177" i="5"/>
  <c r="C177" i="5"/>
  <c r="D177" i="5"/>
  <c r="E177" i="5"/>
  <c r="F177" i="5"/>
  <c r="G177" i="5"/>
  <c r="H177" i="5"/>
  <c r="I177" i="5"/>
  <c r="J177" i="5"/>
  <c r="K177" i="5"/>
  <c r="L177" i="5"/>
  <c r="M177" i="5"/>
  <c r="N177" i="5"/>
  <c r="O177" i="5"/>
  <c r="P177" i="5"/>
  <c r="A176" i="5"/>
  <c r="B176" i="5"/>
  <c r="C176" i="5"/>
  <c r="D176" i="5"/>
  <c r="E176" i="5"/>
  <c r="F176" i="5"/>
  <c r="G176" i="5"/>
  <c r="H176" i="5"/>
  <c r="I176" i="5"/>
  <c r="J176" i="5"/>
  <c r="K176" i="5"/>
  <c r="L176" i="5"/>
  <c r="M176" i="5"/>
  <c r="N176" i="5"/>
  <c r="O176" i="5"/>
  <c r="P176" i="5"/>
  <c r="A175" i="5"/>
  <c r="B175" i="5"/>
  <c r="C175" i="5"/>
  <c r="D175" i="5"/>
  <c r="E175" i="5"/>
  <c r="F175" i="5"/>
  <c r="G175" i="5"/>
  <c r="H175" i="5"/>
  <c r="I175" i="5"/>
  <c r="J175" i="5"/>
  <c r="K175" i="5"/>
  <c r="L175" i="5"/>
  <c r="M175" i="5"/>
  <c r="N175" i="5"/>
  <c r="O175" i="5"/>
  <c r="P175" i="5"/>
  <c r="A174" i="5"/>
  <c r="B174" i="5"/>
  <c r="C174" i="5"/>
  <c r="D174" i="5"/>
  <c r="E174" i="5"/>
  <c r="F174" i="5"/>
  <c r="G174" i="5"/>
  <c r="H174" i="5"/>
  <c r="I174" i="5"/>
  <c r="J174" i="5"/>
  <c r="K174" i="5"/>
  <c r="L174" i="5"/>
  <c r="M174" i="5"/>
  <c r="N174" i="5"/>
  <c r="O174" i="5"/>
  <c r="P174" i="5"/>
  <c r="A173" i="5"/>
  <c r="B173" i="5"/>
  <c r="C173" i="5"/>
  <c r="D173" i="5"/>
  <c r="E173" i="5"/>
  <c r="F173" i="5"/>
  <c r="G173" i="5"/>
  <c r="H173" i="5"/>
  <c r="I173" i="5"/>
  <c r="J173" i="5"/>
  <c r="K173" i="5"/>
  <c r="L173" i="5"/>
  <c r="M173" i="5"/>
  <c r="N173" i="5"/>
  <c r="O173" i="5"/>
  <c r="P173" i="5"/>
  <c r="A172" i="5"/>
  <c r="B172" i="5"/>
  <c r="C172" i="5"/>
  <c r="D172" i="5"/>
  <c r="E172" i="5"/>
  <c r="F172" i="5"/>
  <c r="G172" i="5"/>
  <c r="H172" i="5"/>
  <c r="I172" i="5"/>
  <c r="J172" i="5"/>
  <c r="K172" i="5"/>
  <c r="L172" i="5"/>
  <c r="M172" i="5"/>
  <c r="N172" i="5"/>
  <c r="O172" i="5"/>
  <c r="P172" i="5"/>
  <c r="A171" i="5"/>
  <c r="B171" i="5"/>
  <c r="C171" i="5"/>
  <c r="D171" i="5"/>
  <c r="E171" i="5"/>
  <c r="F171" i="5"/>
  <c r="G171" i="5"/>
  <c r="H171" i="5"/>
  <c r="I171" i="5"/>
  <c r="J171" i="5"/>
  <c r="K171" i="5"/>
  <c r="L171" i="5"/>
  <c r="M171" i="5"/>
  <c r="N171" i="5"/>
  <c r="O171" i="5"/>
  <c r="P171" i="5"/>
  <c r="A170" i="5"/>
  <c r="B170" i="5"/>
  <c r="C170" i="5"/>
  <c r="D170" i="5"/>
  <c r="E170" i="5"/>
  <c r="F170" i="5"/>
  <c r="G170" i="5"/>
  <c r="H170" i="5"/>
  <c r="I170" i="5"/>
  <c r="J170" i="5"/>
  <c r="K170" i="5"/>
  <c r="L170" i="5"/>
  <c r="M170" i="5"/>
  <c r="N170" i="5"/>
  <c r="O170" i="5"/>
  <c r="P170" i="5"/>
  <c r="A169" i="5"/>
  <c r="B169" i="5"/>
  <c r="C169" i="5"/>
  <c r="D169" i="5"/>
  <c r="E169" i="5"/>
  <c r="F169" i="5"/>
  <c r="G169" i="5"/>
  <c r="H169" i="5"/>
  <c r="I169" i="5"/>
  <c r="J169" i="5"/>
  <c r="K169" i="5"/>
  <c r="L169" i="5"/>
  <c r="M169" i="5"/>
  <c r="N169" i="5"/>
  <c r="O169" i="5"/>
  <c r="P169" i="5"/>
  <c r="A168" i="5"/>
  <c r="B168" i="5"/>
  <c r="C168" i="5"/>
  <c r="D168" i="5"/>
  <c r="E168" i="5"/>
  <c r="F168" i="5"/>
  <c r="G168" i="5"/>
  <c r="H168" i="5"/>
  <c r="I168" i="5"/>
  <c r="J168" i="5"/>
  <c r="K168" i="5"/>
  <c r="L168" i="5"/>
  <c r="M168" i="5"/>
  <c r="N168" i="5"/>
  <c r="O168" i="5"/>
  <c r="P168" i="5"/>
  <c r="A167" i="5"/>
  <c r="B167" i="5"/>
  <c r="C167" i="5"/>
  <c r="D167" i="5"/>
  <c r="E167" i="5"/>
  <c r="F167" i="5"/>
  <c r="G167" i="5"/>
  <c r="H167" i="5"/>
  <c r="I167" i="5"/>
  <c r="J167" i="5"/>
  <c r="K167" i="5"/>
  <c r="L167" i="5"/>
  <c r="M167" i="5"/>
  <c r="N167" i="5"/>
  <c r="O167" i="5"/>
  <c r="P167" i="5"/>
  <c r="A166" i="5"/>
  <c r="B166" i="5"/>
  <c r="C166" i="5"/>
  <c r="D166" i="5"/>
  <c r="E166" i="5"/>
  <c r="F166" i="5"/>
  <c r="G166" i="5"/>
  <c r="H166" i="5"/>
  <c r="I166" i="5"/>
  <c r="J166" i="5"/>
  <c r="K166" i="5"/>
  <c r="L166" i="5"/>
  <c r="M166" i="5"/>
  <c r="N166" i="5"/>
  <c r="O166" i="5"/>
  <c r="P166" i="5"/>
  <c r="A165" i="5"/>
  <c r="B165" i="5"/>
  <c r="C165" i="5"/>
  <c r="D165" i="5"/>
  <c r="E165" i="5"/>
  <c r="F165" i="5"/>
  <c r="G165" i="5"/>
  <c r="H165" i="5"/>
  <c r="I165" i="5"/>
  <c r="J165" i="5"/>
  <c r="K165" i="5"/>
  <c r="L165" i="5"/>
  <c r="M165" i="5"/>
  <c r="N165" i="5"/>
  <c r="O165" i="5"/>
  <c r="P165" i="5"/>
  <c r="A164" i="5"/>
  <c r="B164" i="5"/>
  <c r="C164" i="5"/>
  <c r="D164" i="5"/>
  <c r="E164" i="5"/>
  <c r="F164" i="5"/>
  <c r="G164" i="5"/>
  <c r="H164" i="5"/>
  <c r="I164" i="5"/>
  <c r="J164" i="5"/>
  <c r="K164" i="5"/>
  <c r="L164" i="5"/>
  <c r="M164" i="5"/>
  <c r="N164" i="5"/>
  <c r="O164" i="5"/>
  <c r="P164" i="5"/>
  <c r="A163" i="5"/>
  <c r="B163" i="5"/>
  <c r="C163" i="5"/>
  <c r="D163" i="5"/>
  <c r="E163" i="5"/>
  <c r="F163" i="5"/>
  <c r="G163" i="5"/>
  <c r="H163" i="5"/>
  <c r="I163" i="5"/>
  <c r="J163" i="5"/>
  <c r="K163" i="5"/>
  <c r="L163" i="5"/>
  <c r="M163" i="5"/>
  <c r="N163" i="5"/>
  <c r="O163" i="5"/>
  <c r="P163" i="5"/>
  <c r="A162" i="5"/>
  <c r="B162" i="5"/>
  <c r="C162" i="5"/>
  <c r="D162" i="5"/>
  <c r="E162" i="5"/>
  <c r="F162" i="5"/>
  <c r="G162" i="5"/>
  <c r="H162" i="5"/>
  <c r="I162" i="5"/>
  <c r="J162" i="5"/>
  <c r="K162" i="5"/>
  <c r="L162" i="5"/>
  <c r="M162" i="5"/>
  <c r="N162" i="5"/>
  <c r="O162" i="5"/>
  <c r="P162" i="5"/>
  <c r="A161" i="5"/>
  <c r="B161" i="5"/>
  <c r="C161" i="5"/>
  <c r="D161" i="5"/>
  <c r="E161" i="5"/>
  <c r="F161" i="5"/>
  <c r="G161" i="5"/>
  <c r="H161" i="5"/>
  <c r="I161" i="5"/>
  <c r="J161" i="5"/>
  <c r="K161" i="5"/>
  <c r="L161" i="5"/>
  <c r="M161" i="5"/>
  <c r="N161" i="5"/>
  <c r="O161" i="5"/>
  <c r="P161" i="5"/>
  <c r="A160" i="5"/>
  <c r="B160" i="5"/>
  <c r="C160" i="5"/>
  <c r="D160" i="5"/>
  <c r="E160" i="5"/>
  <c r="F160" i="5"/>
  <c r="G160" i="5"/>
  <c r="H160" i="5"/>
  <c r="I160" i="5"/>
  <c r="J160" i="5"/>
  <c r="K160" i="5"/>
  <c r="L160" i="5"/>
  <c r="M160" i="5"/>
  <c r="N160" i="5"/>
  <c r="O160" i="5"/>
  <c r="P160" i="5"/>
  <c r="A159" i="5"/>
  <c r="B159" i="5"/>
  <c r="C159" i="5"/>
  <c r="D159" i="5"/>
  <c r="E159" i="5"/>
  <c r="F159" i="5"/>
  <c r="G159" i="5"/>
  <c r="H159" i="5"/>
  <c r="I159" i="5"/>
  <c r="J159" i="5"/>
  <c r="K159" i="5"/>
  <c r="L159" i="5"/>
  <c r="M159" i="5"/>
  <c r="N159" i="5"/>
  <c r="O159" i="5"/>
  <c r="P159" i="5"/>
  <c r="A158" i="5"/>
  <c r="B158" i="5"/>
  <c r="C158" i="5"/>
  <c r="D158" i="5"/>
  <c r="E158" i="5"/>
  <c r="F158" i="5"/>
  <c r="G158" i="5"/>
  <c r="H158" i="5"/>
  <c r="I158" i="5"/>
  <c r="J158" i="5"/>
  <c r="K158" i="5"/>
  <c r="L158" i="5"/>
  <c r="M158" i="5"/>
  <c r="N158" i="5"/>
  <c r="O158" i="5"/>
  <c r="P158" i="5"/>
  <c r="A157" i="5"/>
  <c r="B157" i="5"/>
  <c r="C157" i="5"/>
  <c r="D157" i="5"/>
  <c r="E157" i="5"/>
  <c r="F157" i="5"/>
  <c r="G157" i="5"/>
  <c r="H157" i="5"/>
  <c r="I157" i="5"/>
  <c r="J157" i="5"/>
  <c r="K157" i="5"/>
  <c r="L157" i="5"/>
  <c r="M157" i="5"/>
  <c r="N157" i="5"/>
  <c r="O157" i="5"/>
  <c r="P157" i="5"/>
  <c r="A156" i="5"/>
  <c r="B156" i="5"/>
  <c r="C156" i="5"/>
  <c r="D156" i="5"/>
  <c r="E156" i="5"/>
  <c r="F156" i="5"/>
  <c r="G156" i="5"/>
  <c r="H156" i="5"/>
  <c r="I156" i="5"/>
  <c r="J156" i="5"/>
  <c r="K156" i="5"/>
  <c r="L156" i="5"/>
  <c r="M156" i="5"/>
  <c r="N156" i="5"/>
  <c r="O156" i="5"/>
  <c r="P156" i="5"/>
  <c r="A155" i="5"/>
  <c r="B155" i="5"/>
  <c r="C155" i="5"/>
  <c r="D155" i="5"/>
  <c r="E155" i="5"/>
  <c r="F155" i="5"/>
  <c r="G155" i="5"/>
  <c r="H155" i="5"/>
  <c r="I155" i="5"/>
  <c r="J155" i="5"/>
  <c r="K155" i="5"/>
  <c r="L155" i="5"/>
  <c r="M155" i="5"/>
  <c r="N155" i="5"/>
  <c r="O155" i="5"/>
  <c r="P155" i="5"/>
  <c r="A154" i="5"/>
  <c r="B154" i="5"/>
  <c r="C154" i="5"/>
  <c r="D154" i="5"/>
  <c r="E154" i="5"/>
  <c r="F154" i="5"/>
  <c r="G154" i="5"/>
  <c r="H154" i="5"/>
  <c r="I154" i="5"/>
  <c r="J154" i="5"/>
  <c r="K154" i="5"/>
  <c r="L154" i="5"/>
  <c r="M154" i="5"/>
  <c r="N154" i="5"/>
  <c r="O154" i="5"/>
  <c r="P154" i="5"/>
  <c r="A153" i="5"/>
  <c r="B153" i="5"/>
  <c r="C153" i="5"/>
  <c r="D153" i="5"/>
  <c r="E153" i="5"/>
  <c r="F153" i="5"/>
  <c r="G153" i="5"/>
  <c r="H153" i="5"/>
  <c r="I153" i="5"/>
  <c r="J153" i="5"/>
  <c r="K153" i="5"/>
  <c r="L153" i="5"/>
  <c r="M153" i="5"/>
  <c r="N153" i="5"/>
  <c r="O153" i="5"/>
  <c r="P153" i="5"/>
  <c r="A152" i="5"/>
  <c r="B152" i="5"/>
  <c r="C152" i="5"/>
  <c r="D152" i="5"/>
  <c r="E152" i="5"/>
  <c r="F152" i="5"/>
  <c r="G152" i="5"/>
  <c r="H152" i="5"/>
  <c r="I152" i="5"/>
  <c r="J152" i="5"/>
  <c r="K152" i="5"/>
  <c r="L152" i="5"/>
  <c r="M152" i="5"/>
  <c r="N152" i="5"/>
  <c r="O152" i="5"/>
  <c r="P152" i="5"/>
  <c r="F151" i="5"/>
  <c r="G151" i="5"/>
  <c r="H151" i="5"/>
  <c r="I151" i="5"/>
  <c r="J151" i="5"/>
  <c r="K151" i="5"/>
  <c r="L151" i="5"/>
  <c r="M151" i="5"/>
  <c r="N151" i="5"/>
  <c r="O151" i="5"/>
  <c r="P151" i="5"/>
  <c r="D151" i="5"/>
  <c r="C151" i="5"/>
  <c r="A151" i="5"/>
  <c r="B151" i="5"/>
  <c r="E151" i="5"/>
  <c r="B150" i="5"/>
  <c r="P150" i="5"/>
  <c r="O150" i="5"/>
  <c r="C150" i="5"/>
  <c r="M150" i="5"/>
  <c r="H150" i="5"/>
  <c r="F150" i="5"/>
  <c r="I150" i="5"/>
  <c r="N150" i="5"/>
  <c r="E150" i="5"/>
  <c r="J150" i="5"/>
  <c r="A150" i="5"/>
  <c r="K150" i="5"/>
  <c r="D150" i="5"/>
  <c r="G150" i="5"/>
  <c r="L150" i="5"/>
  <c r="G149" i="5"/>
  <c r="K149" i="5"/>
  <c r="P149" i="5"/>
  <c r="B149" i="5"/>
  <c r="J149" i="5"/>
  <c r="N149" i="5"/>
  <c r="D149" i="5"/>
  <c r="I149" i="5"/>
  <c r="C149" i="5"/>
  <c r="M149" i="5"/>
  <c r="F149" i="5"/>
  <c r="A149" i="5"/>
  <c r="H149" i="5"/>
  <c r="E149" i="5"/>
  <c r="L149" i="5"/>
  <c r="O149" i="5"/>
  <c r="C148" i="5"/>
  <c r="L148" i="5"/>
  <c r="G148" i="5"/>
  <c r="M148" i="5"/>
  <c r="I148" i="5"/>
  <c r="K148" i="5"/>
  <c r="P148" i="5"/>
  <c r="H148" i="5"/>
  <c r="N148" i="5"/>
  <c r="E148" i="5"/>
  <c r="B148" i="5"/>
  <c r="J148" i="5"/>
  <c r="F148" i="5"/>
  <c r="O148" i="5"/>
  <c r="A148" i="5"/>
  <c r="D148" i="5"/>
  <c r="G147" i="5"/>
  <c r="H147" i="5"/>
  <c r="C147" i="5"/>
  <c r="L147" i="5"/>
  <c r="P147" i="5"/>
  <c r="E147" i="5"/>
  <c r="M147" i="5"/>
  <c r="A147" i="5"/>
  <c r="I147" i="5"/>
  <c r="F147" i="5"/>
  <c r="N147" i="5"/>
  <c r="B147" i="5"/>
  <c r="K147" i="5"/>
  <c r="D147" i="5"/>
  <c r="J147" i="5"/>
  <c r="O147" i="5"/>
  <c r="B146" i="5"/>
  <c r="E146" i="5"/>
  <c r="M146" i="5"/>
  <c r="K146" i="5"/>
  <c r="D146" i="5"/>
  <c r="O146" i="5"/>
  <c r="P146" i="5"/>
  <c r="C146" i="5"/>
  <c r="G146" i="5"/>
  <c r="N146" i="5"/>
  <c r="H146" i="5"/>
  <c r="A146" i="5"/>
  <c r="J146" i="5"/>
  <c r="F146" i="5"/>
  <c r="I146" i="5"/>
  <c r="L146" i="5"/>
  <c r="E145" i="5"/>
  <c r="D145" i="5"/>
  <c r="I145" i="5"/>
  <c r="P145" i="5"/>
  <c r="A145" i="5"/>
  <c r="M145" i="5"/>
  <c r="K145" i="5"/>
  <c r="F145" i="5"/>
  <c r="O145" i="5"/>
  <c r="B145" i="5"/>
  <c r="G145" i="5"/>
  <c r="L145" i="5"/>
  <c r="J145" i="5"/>
  <c r="N145" i="5"/>
  <c r="C145" i="5"/>
  <c r="H145" i="5"/>
  <c r="N144" i="5"/>
  <c r="A144" i="5"/>
  <c r="E144" i="5"/>
  <c r="L144" i="5"/>
  <c r="B144" i="5"/>
  <c r="H144" i="5"/>
  <c r="J144" i="5"/>
  <c r="F144" i="5"/>
  <c r="M144" i="5"/>
  <c r="D144" i="5"/>
  <c r="I144" i="5"/>
  <c r="C144" i="5"/>
  <c r="K144" i="5"/>
  <c r="O144" i="5"/>
  <c r="G144" i="5"/>
  <c r="P144" i="5"/>
  <c r="K143" i="5"/>
  <c r="C143" i="5"/>
  <c r="G143" i="5"/>
  <c r="J143" i="5"/>
  <c r="O143" i="5"/>
  <c r="A143" i="5"/>
  <c r="D143" i="5"/>
  <c r="E143" i="5"/>
  <c r="N143" i="5"/>
  <c r="B143" i="5"/>
  <c r="H143" i="5"/>
  <c r="P143" i="5"/>
  <c r="I143" i="5"/>
  <c r="F143" i="5"/>
  <c r="L143" i="5"/>
  <c r="M143" i="5"/>
  <c r="E142" i="5"/>
  <c r="J142" i="5"/>
  <c r="P142" i="5"/>
  <c r="D142" i="5"/>
  <c r="M142" i="5"/>
  <c r="C142" i="5"/>
  <c r="L142" i="5"/>
  <c r="N142" i="5"/>
  <c r="A142" i="5"/>
  <c r="K142" i="5"/>
  <c r="B142" i="5"/>
  <c r="F142" i="5"/>
  <c r="I142" i="5"/>
  <c r="G142" i="5"/>
  <c r="H142" i="5"/>
  <c r="O142" i="5"/>
  <c r="E141" i="5"/>
  <c r="J141" i="5"/>
  <c r="M141" i="5"/>
  <c r="A141" i="5"/>
  <c r="I141" i="5"/>
  <c r="N141" i="5"/>
  <c r="L141" i="5"/>
  <c r="C141" i="5"/>
  <c r="F141" i="5"/>
  <c r="H141" i="5"/>
  <c r="B141" i="5"/>
  <c r="K141" i="5"/>
  <c r="G141" i="5"/>
  <c r="P141" i="5"/>
  <c r="D141" i="5"/>
  <c r="O141" i="5"/>
  <c r="H140" i="5"/>
  <c r="P140" i="5"/>
  <c r="C140" i="5"/>
  <c r="J140" i="5"/>
  <c r="F140" i="5"/>
  <c r="L140" i="5"/>
  <c r="D140" i="5"/>
  <c r="G140" i="5"/>
  <c r="K140" i="5"/>
  <c r="A140" i="5"/>
  <c r="B140" i="5"/>
  <c r="E140" i="5"/>
  <c r="I140" i="5"/>
  <c r="M140" i="5"/>
  <c r="N140" i="5"/>
  <c r="O140" i="5"/>
  <c r="A139" i="5"/>
  <c r="B139" i="5"/>
  <c r="L139" i="5"/>
  <c r="G139" i="5"/>
  <c r="N139" i="5"/>
  <c r="D139" i="5"/>
  <c r="O139" i="5"/>
  <c r="E139" i="5"/>
  <c r="H139" i="5"/>
  <c r="K139" i="5"/>
  <c r="P139" i="5"/>
  <c r="I139" i="5"/>
  <c r="C139" i="5"/>
  <c r="M139" i="5"/>
  <c r="F139" i="5"/>
  <c r="J139" i="5"/>
  <c r="F138" i="5"/>
  <c r="D138" i="5"/>
  <c r="P138" i="5"/>
  <c r="A138" i="5"/>
  <c r="G138" i="5"/>
  <c r="L138" i="5"/>
  <c r="N138" i="5"/>
  <c r="B138" i="5"/>
  <c r="K138" i="5"/>
  <c r="O138" i="5"/>
  <c r="J138" i="5"/>
  <c r="H138" i="5"/>
  <c r="C138" i="5"/>
  <c r="M138" i="5"/>
  <c r="E138" i="5"/>
  <c r="I138" i="5"/>
  <c r="A137" i="5"/>
  <c r="N137" i="5"/>
  <c r="E137" i="5"/>
  <c r="P137" i="5"/>
  <c r="K137" i="5"/>
  <c r="B137" i="5"/>
  <c r="I137" i="5"/>
  <c r="C137" i="5"/>
  <c r="H137" i="5"/>
  <c r="D137" i="5"/>
  <c r="G137" i="5"/>
  <c r="F137" i="5"/>
  <c r="L137" i="5"/>
  <c r="J137" i="5"/>
  <c r="O137" i="5"/>
  <c r="M137" i="5"/>
  <c r="F136" i="5"/>
  <c r="O136" i="5"/>
  <c r="E136" i="5"/>
  <c r="N136" i="5"/>
  <c r="L136" i="5"/>
  <c r="I136" i="5"/>
  <c r="C136" i="5"/>
  <c r="K136" i="5"/>
  <c r="J136" i="5"/>
  <c r="H136" i="5"/>
  <c r="M136" i="5"/>
  <c r="B136" i="5"/>
  <c r="A136" i="5"/>
  <c r="G136" i="5"/>
  <c r="P136" i="5"/>
  <c r="D136" i="5"/>
  <c r="I135" i="5"/>
  <c r="F135" i="5"/>
  <c r="A135" i="5"/>
  <c r="H135" i="5"/>
  <c r="L135" i="5"/>
  <c r="C135" i="5"/>
  <c r="B135" i="5"/>
  <c r="O135" i="5"/>
  <c r="N135" i="5"/>
  <c r="M135" i="5"/>
  <c r="P135" i="5"/>
  <c r="D135" i="5"/>
  <c r="E135" i="5"/>
  <c r="J135" i="5"/>
  <c r="G135" i="5"/>
  <c r="K135" i="5"/>
  <c r="L134" i="5"/>
  <c r="F134" i="5"/>
  <c r="K134" i="5"/>
  <c r="I134" i="5"/>
  <c r="O134" i="5"/>
  <c r="A134" i="5"/>
  <c r="H134" i="5"/>
  <c r="P134" i="5"/>
  <c r="E134" i="5"/>
  <c r="N134" i="5"/>
  <c r="C134" i="5"/>
  <c r="D134" i="5"/>
  <c r="G134" i="5"/>
  <c r="J134" i="5"/>
  <c r="B134" i="5"/>
  <c r="M134" i="5"/>
  <c r="B133" i="5"/>
  <c r="J133" i="5"/>
  <c r="K133" i="5"/>
  <c r="A133" i="5"/>
  <c r="L133" i="5"/>
  <c r="D133" i="5"/>
  <c r="G133" i="5"/>
  <c r="E133" i="5"/>
  <c r="H133" i="5"/>
  <c r="M133" i="5"/>
  <c r="P133" i="5"/>
  <c r="F133" i="5"/>
  <c r="C133" i="5"/>
  <c r="I133" i="5"/>
  <c r="O133" i="5"/>
  <c r="N133" i="5"/>
  <c r="B132" i="5"/>
  <c r="J132" i="5"/>
  <c r="I132" i="5"/>
  <c r="P132" i="5"/>
  <c r="A132" i="5"/>
  <c r="C132" i="5"/>
  <c r="F132" i="5"/>
  <c r="M132" i="5"/>
  <c r="D132" i="5"/>
  <c r="E132" i="5"/>
  <c r="K132" i="5"/>
  <c r="O132" i="5"/>
  <c r="H132" i="5"/>
  <c r="L132" i="5"/>
  <c r="G132" i="5"/>
  <c r="N132" i="5"/>
  <c r="P131" i="5"/>
  <c r="B131" i="5"/>
  <c r="C131" i="5"/>
  <c r="H131" i="5"/>
  <c r="O131" i="5"/>
  <c r="D131" i="5"/>
  <c r="E131" i="5"/>
  <c r="L131" i="5"/>
  <c r="G131" i="5"/>
  <c r="I131" i="5"/>
  <c r="J131" i="5"/>
  <c r="A131" i="5"/>
  <c r="K131" i="5"/>
  <c r="M131" i="5"/>
  <c r="F131" i="5"/>
  <c r="N131" i="5"/>
  <c r="F130" i="5"/>
  <c r="H130" i="5"/>
  <c r="K130" i="5"/>
  <c r="N130" i="5"/>
  <c r="E130" i="5"/>
  <c r="I130" i="5"/>
  <c r="M130" i="5"/>
  <c r="C130" i="5"/>
  <c r="G130" i="5"/>
  <c r="O130" i="5"/>
  <c r="A130" i="5"/>
  <c r="D130" i="5"/>
  <c r="J130" i="5"/>
  <c r="B130" i="5"/>
  <c r="L130" i="5"/>
  <c r="P130" i="5"/>
  <c r="I129" i="5"/>
  <c r="D129" i="5"/>
  <c r="O129" i="5"/>
  <c r="A129" i="5"/>
  <c r="N129" i="5"/>
  <c r="F129" i="5"/>
  <c r="M129" i="5"/>
  <c r="G129" i="5"/>
  <c r="L129" i="5"/>
  <c r="K129" i="5"/>
  <c r="B129" i="5"/>
  <c r="C129" i="5"/>
  <c r="H129" i="5"/>
  <c r="P129" i="5"/>
  <c r="E129" i="5"/>
  <c r="J129" i="5"/>
  <c r="G128" i="5"/>
  <c r="A128" i="5"/>
  <c r="H128" i="5"/>
  <c r="J128" i="5"/>
  <c r="O128" i="5"/>
  <c r="B128" i="5"/>
  <c r="M128" i="5"/>
  <c r="C128" i="5"/>
  <c r="I128" i="5"/>
  <c r="F128" i="5"/>
  <c r="L128" i="5"/>
  <c r="E128" i="5"/>
  <c r="P128" i="5"/>
  <c r="K128" i="5"/>
  <c r="D128" i="5"/>
  <c r="N128" i="5"/>
  <c r="A127" i="5"/>
  <c r="B127" i="5"/>
  <c r="C127" i="5"/>
  <c r="D127" i="5"/>
  <c r="E127" i="5"/>
  <c r="F127" i="5"/>
  <c r="G127" i="5"/>
  <c r="H127" i="5"/>
  <c r="K127" i="5"/>
  <c r="J127" i="5"/>
  <c r="M127" i="5"/>
  <c r="I127" i="5"/>
  <c r="O127" i="5"/>
  <c r="P127" i="5"/>
  <c r="L127" i="5"/>
  <c r="N127" i="5"/>
  <c r="A126" i="5"/>
  <c r="B126" i="5"/>
  <c r="C126" i="5"/>
  <c r="D126" i="5"/>
  <c r="E126" i="5"/>
  <c r="F126" i="5"/>
  <c r="G126" i="5"/>
  <c r="H126" i="5"/>
  <c r="I126" i="5"/>
  <c r="J126" i="5"/>
  <c r="K126" i="5"/>
  <c r="L126" i="5"/>
  <c r="M126" i="5"/>
  <c r="N126" i="5"/>
  <c r="O126" i="5"/>
  <c r="P126" i="5"/>
  <c r="A125" i="5"/>
  <c r="B125" i="5"/>
  <c r="C125" i="5"/>
  <c r="D125" i="5"/>
  <c r="E125" i="5"/>
  <c r="F125" i="5"/>
  <c r="G125" i="5"/>
  <c r="H125" i="5"/>
  <c r="I125" i="5"/>
  <c r="J125" i="5"/>
  <c r="K125" i="5"/>
  <c r="L125" i="5"/>
  <c r="M125" i="5"/>
  <c r="N125" i="5"/>
  <c r="O125" i="5"/>
  <c r="P125" i="5"/>
  <c r="A124" i="5"/>
  <c r="B124" i="5"/>
  <c r="C124" i="5"/>
  <c r="D124" i="5"/>
  <c r="E124" i="5"/>
  <c r="F124" i="5"/>
  <c r="G124" i="5"/>
  <c r="H124" i="5"/>
  <c r="I124" i="5"/>
  <c r="J124" i="5"/>
  <c r="K124" i="5"/>
  <c r="L124" i="5"/>
  <c r="M124" i="5"/>
  <c r="N124" i="5"/>
  <c r="O124" i="5"/>
  <c r="P124" i="5"/>
  <c r="A123" i="5"/>
  <c r="B123" i="5"/>
  <c r="C123" i="5"/>
  <c r="D123" i="5"/>
  <c r="E123" i="5"/>
  <c r="F123" i="5"/>
  <c r="G123" i="5"/>
  <c r="H123" i="5"/>
  <c r="I123" i="5"/>
  <c r="J123" i="5"/>
  <c r="K123" i="5"/>
  <c r="L123" i="5"/>
  <c r="M123" i="5"/>
  <c r="N123" i="5"/>
  <c r="O123" i="5"/>
  <c r="P123" i="5"/>
  <c r="A122" i="5"/>
  <c r="B122" i="5"/>
  <c r="C122" i="5"/>
  <c r="D122" i="5"/>
  <c r="E122" i="5"/>
  <c r="F122" i="5"/>
  <c r="G122" i="5"/>
  <c r="H122" i="5"/>
  <c r="I122" i="5"/>
  <c r="J122" i="5"/>
  <c r="K122" i="5"/>
  <c r="L122" i="5"/>
  <c r="M122" i="5"/>
  <c r="N122" i="5"/>
  <c r="O122" i="5"/>
  <c r="P122" i="5"/>
  <c r="A121" i="5"/>
  <c r="B121" i="5"/>
  <c r="C121" i="5"/>
  <c r="D121" i="5"/>
  <c r="E121" i="5"/>
  <c r="F121" i="5"/>
  <c r="G121" i="5"/>
  <c r="H121" i="5"/>
  <c r="I121" i="5"/>
  <c r="J121" i="5"/>
  <c r="K121" i="5"/>
  <c r="L121" i="5"/>
  <c r="M121" i="5"/>
  <c r="N121" i="5"/>
  <c r="O121" i="5"/>
  <c r="P121" i="5"/>
  <c r="A120" i="5"/>
  <c r="B120" i="5"/>
  <c r="C120" i="5"/>
  <c r="D120" i="5"/>
  <c r="E120" i="5"/>
  <c r="F120" i="5"/>
  <c r="G120" i="5"/>
  <c r="H120" i="5"/>
  <c r="I120" i="5"/>
  <c r="J120" i="5"/>
  <c r="K120" i="5"/>
  <c r="L120" i="5"/>
  <c r="M120" i="5"/>
  <c r="N120" i="5"/>
  <c r="O120" i="5"/>
  <c r="P120" i="5"/>
  <c r="A119" i="5"/>
  <c r="B119" i="5"/>
  <c r="C119" i="5"/>
  <c r="D119" i="5"/>
  <c r="E119" i="5"/>
  <c r="F119" i="5"/>
  <c r="G119" i="5"/>
  <c r="H119" i="5"/>
  <c r="I119" i="5"/>
  <c r="J119" i="5"/>
  <c r="K119" i="5"/>
  <c r="L119" i="5"/>
  <c r="M119" i="5"/>
  <c r="N119" i="5"/>
  <c r="O119" i="5"/>
  <c r="P119" i="5"/>
  <c r="A118" i="5"/>
  <c r="B118" i="5"/>
  <c r="C118" i="5"/>
  <c r="D118" i="5"/>
  <c r="E118" i="5"/>
  <c r="F118" i="5"/>
  <c r="G118" i="5"/>
  <c r="H118" i="5"/>
  <c r="I118" i="5"/>
  <c r="J118" i="5"/>
  <c r="K118" i="5"/>
  <c r="L118" i="5"/>
  <c r="M118" i="5"/>
  <c r="N118" i="5"/>
  <c r="O118" i="5"/>
  <c r="P118" i="5"/>
  <c r="A117" i="5"/>
  <c r="B117" i="5"/>
  <c r="C117" i="5"/>
  <c r="D117" i="5"/>
  <c r="E117" i="5"/>
  <c r="F117" i="5"/>
  <c r="G117" i="5"/>
  <c r="H117" i="5"/>
  <c r="I117" i="5"/>
  <c r="J117" i="5"/>
  <c r="K117" i="5"/>
  <c r="L117" i="5"/>
  <c r="M117" i="5"/>
  <c r="N117" i="5"/>
  <c r="O117" i="5"/>
  <c r="P117" i="5"/>
  <c r="A116" i="5"/>
  <c r="B116" i="5"/>
  <c r="C116" i="5"/>
  <c r="D116" i="5"/>
  <c r="E116" i="5"/>
  <c r="F116" i="5"/>
  <c r="G116" i="5"/>
  <c r="H116" i="5"/>
  <c r="I116" i="5"/>
  <c r="J116" i="5"/>
  <c r="K116" i="5"/>
  <c r="L116" i="5"/>
  <c r="M116" i="5"/>
  <c r="N116" i="5"/>
  <c r="O116" i="5"/>
  <c r="P116" i="5"/>
  <c r="A115" i="5"/>
  <c r="B115" i="5"/>
  <c r="C115" i="5"/>
  <c r="D115" i="5"/>
  <c r="E115" i="5"/>
  <c r="F115" i="5"/>
  <c r="G115" i="5"/>
  <c r="H115" i="5"/>
  <c r="I115" i="5"/>
  <c r="J115" i="5"/>
  <c r="K115" i="5"/>
  <c r="L115" i="5"/>
  <c r="M115" i="5"/>
  <c r="N115" i="5"/>
  <c r="O115" i="5"/>
  <c r="P115" i="5"/>
  <c r="A114" i="5"/>
  <c r="B114" i="5"/>
  <c r="C114" i="5"/>
  <c r="D114" i="5"/>
  <c r="E114" i="5"/>
  <c r="F114" i="5"/>
  <c r="G114" i="5"/>
  <c r="H114" i="5"/>
  <c r="I114" i="5"/>
  <c r="J114" i="5"/>
  <c r="K114" i="5"/>
  <c r="L114" i="5"/>
  <c r="M114" i="5"/>
  <c r="N114" i="5"/>
  <c r="O114" i="5"/>
  <c r="P114" i="5"/>
  <c r="A113" i="5"/>
  <c r="B113" i="5"/>
  <c r="C113" i="5"/>
  <c r="D113" i="5"/>
  <c r="E113" i="5"/>
  <c r="F113" i="5"/>
  <c r="G113" i="5"/>
  <c r="H113" i="5"/>
  <c r="I113" i="5"/>
  <c r="J113" i="5"/>
  <c r="K113" i="5"/>
  <c r="L113" i="5"/>
  <c r="M113" i="5"/>
  <c r="N113" i="5"/>
  <c r="O113" i="5"/>
  <c r="P113" i="5"/>
  <c r="A112" i="5"/>
  <c r="B112" i="5"/>
  <c r="C112" i="5"/>
  <c r="D112" i="5"/>
  <c r="E112" i="5"/>
  <c r="F112" i="5"/>
  <c r="G112" i="5"/>
  <c r="H112" i="5"/>
  <c r="I112" i="5"/>
  <c r="J112" i="5"/>
  <c r="K112" i="5"/>
  <c r="L112" i="5"/>
  <c r="M112" i="5"/>
  <c r="N112" i="5"/>
  <c r="O112" i="5"/>
  <c r="P112" i="5"/>
  <c r="A111" i="5"/>
  <c r="B111" i="5"/>
  <c r="C111" i="5"/>
  <c r="D111" i="5"/>
  <c r="E111" i="5"/>
  <c r="F111" i="5"/>
  <c r="G111" i="5"/>
  <c r="H111" i="5"/>
  <c r="I111" i="5"/>
  <c r="J111" i="5"/>
  <c r="K111" i="5"/>
  <c r="L111" i="5"/>
  <c r="M111" i="5"/>
  <c r="N111" i="5"/>
  <c r="O111" i="5"/>
  <c r="P111" i="5"/>
  <c r="A110" i="5"/>
  <c r="B110" i="5"/>
  <c r="C110" i="5"/>
  <c r="D110" i="5"/>
  <c r="E110" i="5"/>
  <c r="F110" i="5"/>
  <c r="G110" i="5"/>
  <c r="H110" i="5"/>
  <c r="I110" i="5"/>
  <c r="J110" i="5"/>
  <c r="K110" i="5"/>
  <c r="L110" i="5"/>
  <c r="M110" i="5"/>
  <c r="N110" i="5"/>
  <c r="O110" i="5"/>
  <c r="P110" i="5"/>
  <c r="A109" i="5"/>
  <c r="B109" i="5"/>
  <c r="C109" i="5"/>
  <c r="D109" i="5"/>
  <c r="E109" i="5"/>
  <c r="F109" i="5"/>
  <c r="G109" i="5"/>
  <c r="H109" i="5"/>
  <c r="I109" i="5"/>
  <c r="J109" i="5"/>
  <c r="K109" i="5"/>
  <c r="L109" i="5"/>
  <c r="M109" i="5"/>
  <c r="N109" i="5"/>
  <c r="O109" i="5"/>
  <c r="P109" i="5"/>
  <c r="A108" i="5"/>
  <c r="B108" i="5"/>
  <c r="C108" i="5"/>
  <c r="D108" i="5"/>
  <c r="E108" i="5"/>
  <c r="F108" i="5"/>
  <c r="G108" i="5"/>
  <c r="H108" i="5"/>
  <c r="I108" i="5"/>
  <c r="J108" i="5"/>
  <c r="K108" i="5"/>
  <c r="L108" i="5"/>
  <c r="M108" i="5"/>
  <c r="N108" i="5"/>
  <c r="O108" i="5"/>
  <c r="P108" i="5"/>
  <c r="A107" i="5"/>
  <c r="B107" i="5"/>
  <c r="C107" i="5"/>
  <c r="D107" i="5"/>
  <c r="E107" i="5"/>
  <c r="F107" i="5"/>
  <c r="G107" i="5"/>
  <c r="H107" i="5"/>
  <c r="I107" i="5"/>
  <c r="J107" i="5"/>
  <c r="K107" i="5"/>
  <c r="L107" i="5"/>
  <c r="M107" i="5"/>
  <c r="N107" i="5"/>
  <c r="O107" i="5"/>
  <c r="P107" i="5"/>
  <c r="A106" i="5"/>
  <c r="B106" i="5"/>
  <c r="C106" i="5"/>
  <c r="D106" i="5"/>
  <c r="E106" i="5"/>
  <c r="F106" i="5"/>
  <c r="G106" i="5"/>
  <c r="H106" i="5"/>
  <c r="I106" i="5"/>
  <c r="J106" i="5"/>
  <c r="K106" i="5"/>
  <c r="L106" i="5"/>
  <c r="M106" i="5"/>
  <c r="N106" i="5"/>
  <c r="O106" i="5"/>
  <c r="P106" i="5"/>
  <c r="A105" i="5"/>
  <c r="B105" i="5"/>
  <c r="C105" i="5"/>
  <c r="D105" i="5"/>
  <c r="E105" i="5"/>
  <c r="F105" i="5"/>
  <c r="G105" i="5"/>
  <c r="H105" i="5"/>
  <c r="I105" i="5"/>
  <c r="J105" i="5"/>
  <c r="K105" i="5"/>
  <c r="L105" i="5"/>
  <c r="M105" i="5"/>
  <c r="N105" i="5"/>
  <c r="O105" i="5"/>
  <c r="P105" i="5"/>
  <c r="A104" i="5"/>
  <c r="B104" i="5"/>
  <c r="C104" i="5"/>
  <c r="D104" i="5"/>
  <c r="E104" i="5"/>
  <c r="F104" i="5"/>
  <c r="G104" i="5"/>
  <c r="H104" i="5"/>
  <c r="I104" i="5"/>
  <c r="J104" i="5"/>
  <c r="K104" i="5"/>
  <c r="L104" i="5"/>
  <c r="M104" i="5"/>
  <c r="N104" i="5"/>
  <c r="O104" i="5"/>
  <c r="P104" i="5"/>
  <c r="A103" i="5"/>
  <c r="B103" i="5"/>
  <c r="C103" i="5"/>
  <c r="D103" i="5"/>
  <c r="E103" i="5"/>
  <c r="F103" i="5"/>
  <c r="G103" i="5"/>
  <c r="H103" i="5"/>
  <c r="I103" i="5"/>
  <c r="J103" i="5"/>
  <c r="K103" i="5"/>
  <c r="L103" i="5"/>
  <c r="M103" i="5"/>
  <c r="N103" i="5"/>
  <c r="O103" i="5"/>
  <c r="P103" i="5"/>
  <c r="A102" i="5"/>
  <c r="B102" i="5"/>
  <c r="C102" i="5"/>
  <c r="D102" i="5"/>
  <c r="E102" i="5"/>
  <c r="F102" i="5"/>
  <c r="G102" i="5"/>
  <c r="H102" i="5"/>
  <c r="I102" i="5"/>
  <c r="J102" i="5"/>
  <c r="K102" i="5"/>
  <c r="L102" i="5"/>
  <c r="M102" i="5"/>
  <c r="N102" i="5"/>
  <c r="O102" i="5"/>
  <c r="P102" i="5"/>
  <c r="A101" i="5"/>
  <c r="B101" i="5"/>
  <c r="C101" i="5"/>
  <c r="D101" i="5"/>
  <c r="E101" i="5"/>
  <c r="F101" i="5"/>
  <c r="G101" i="5"/>
  <c r="H101" i="5"/>
  <c r="I101" i="5"/>
  <c r="J101" i="5"/>
  <c r="K101" i="5"/>
  <c r="L101" i="5"/>
  <c r="M101" i="5"/>
  <c r="N101" i="5"/>
  <c r="O101" i="5"/>
  <c r="P101" i="5"/>
  <c r="A100" i="5"/>
  <c r="B100" i="5"/>
  <c r="C100" i="5"/>
  <c r="D100" i="5"/>
  <c r="E100" i="5"/>
  <c r="F100" i="5"/>
  <c r="G100" i="5"/>
  <c r="H100" i="5"/>
  <c r="I100" i="5"/>
  <c r="J100" i="5"/>
  <c r="K100" i="5"/>
  <c r="L100" i="5"/>
  <c r="M100" i="5"/>
  <c r="N100" i="5"/>
  <c r="O100" i="5"/>
  <c r="P100" i="5"/>
  <c r="A99" i="5"/>
  <c r="B99" i="5"/>
  <c r="C99" i="5"/>
  <c r="D99" i="5"/>
  <c r="E99" i="5"/>
  <c r="F99" i="5"/>
  <c r="G99" i="5"/>
  <c r="H99" i="5"/>
  <c r="I99" i="5"/>
  <c r="J99" i="5"/>
  <c r="K99" i="5"/>
  <c r="L99" i="5"/>
  <c r="M99" i="5"/>
  <c r="N99" i="5"/>
  <c r="O99" i="5"/>
  <c r="P99" i="5"/>
  <c r="A98" i="5"/>
  <c r="B98" i="5"/>
  <c r="C98" i="5"/>
  <c r="D98" i="5"/>
  <c r="E98" i="5"/>
  <c r="F98" i="5"/>
  <c r="G98" i="5"/>
  <c r="H98" i="5"/>
  <c r="I98" i="5"/>
  <c r="J98" i="5"/>
  <c r="K98" i="5"/>
  <c r="L98" i="5"/>
  <c r="M98" i="5"/>
  <c r="N98" i="5"/>
  <c r="O98" i="5"/>
  <c r="P98" i="5"/>
  <c r="A97" i="5"/>
  <c r="B97" i="5"/>
  <c r="C97" i="5"/>
  <c r="D97" i="5"/>
  <c r="E97" i="5"/>
  <c r="F97" i="5"/>
  <c r="G97" i="5"/>
  <c r="H97" i="5"/>
  <c r="I97" i="5"/>
  <c r="J97" i="5"/>
  <c r="K97" i="5"/>
  <c r="L97" i="5"/>
  <c r="M97" i="5"/>
  <c r="N97" i="5"/>
  <c r="O97" i="5"/>
  <c r="P97" i="5"/>
  <c r="A95" i="5"/>
  <c r="B95" i="5"/>
  <c r="C95" i="5"/>
  <c r="D95" i="5"/>
  <c r="E95" i="5"/>
  <c r="F95" i="5"/>
  <c r="G95" i="5"/>
  <c r="H95" i="5"/>
  <c r="I95" i="5"/>
  <c r="J95" i="5"/>
  <c r="K95" i="5"/>
  <c r="L95" i="5"/>
  <c r="M95" i="5"/>
  <c r="N95" i="5"/>
  <c r="O95" i="5"/>
  <c r="P95" i="5"/>
  <c r="A94" i="5"/>
  <c r="B94" i="5"/>
  <c r="C94" i="5"/>
  <c r="D94" i="5"/>
  <c r="E94" i="5"/>
  <c r="F94" i="5"/>
  <c r="G94" i="5"/>
  <c r="H94" i="5"/>
  <c r="I94" i="5"/>
  <c r="J94" i="5"/>
  <c r="K94" i="5"/>
  <c r="L94" i="5"/>
  <c r="M94" i="5"/>
  <c r="N94" i="5"/>
  <c r="O94" i="5"/>
  <c r="P94" i="5"/>
  <c r="A93" i="5"/>
  <c r="B93" i="5"/>
  <c r="C93" i="5"/>
  <c r="D93" i="5"/>
  <c r="E93" i="5"/>
  <c r="F93" i="5"/>
  <c r="G93" i="5"/>
  <c r="H93" i="5"/>
  <c r="I93" i="5"/>
  <c r="J93" i="5"/>
  <c r="K93" i="5"/>
  <c r="L93" i="5"/>
  <c r="M93" i="5"/>
  <c r="N93" i="5"/>
  <c r="O93" i="5"/>
  <c r="P93" i="5"/>
  <c r="A92" i="5"/>
  <c r="B92" i="5"/>
  <c r="C92" i="5"/>
  <c r="D92" i="5"/>
  <c r="E92" i="5"/>
  <c r="F92" i="5"/>
  <c r="G92" i="5"/>
  <c r="H92" i="5"/>
  <c r="I92" i="5"/>
  <c r="J92" i="5"/>
  <c r="K92" i="5"/>
  <c r="L92" i="5"/>
  <c r="M92" i="5"/>
  <c r="N92" i="5"/>
  <c r="O92" i="5"/>
  <c r="P92" i="5"/>
  <c r="A91" i="5"/>
  <c r="B91" i="5"/>
  <c r="C91" i="5"/>
  <c r="D91" i="5"/>
  <c r="E91" i="5"/>
  <c r="F91" i="5"/>
  <c r="G91" i="5"/>
  <c r="H91" i="5"/>
  <c r="I91" i="5"/>
  <c r="J91" i="5"/>
  <c r="K91" i="5"/>
  <c r="L91" i="5"/>
  <c r="M91" i="5"/>
  <c r="N91" i="5"/>
  <c r="O91" i="5"/>
  <c r="P91" i="5"/>
  <c r="A90" i="5"/>
  <c r="B90" i="5"/>
  <c r="C90" i="5"/>
  <c r="D90" i="5"/>
  <c r="E90" i="5"/>
  <c r="F90" i="5"/>
  <c r="G90" i="5"/>
  <c r="H90" i="5"/>
  <c r="I90" i="5"/>
  <c r="J90" i="5"/>
  <c r="K90" i="5"/>
  <c r="L90" i="5"/>
  <c r="M90" i="5"/>
  <c r="N90" i="5"/>
  <c r="O90" i="5"/>
  <c r="P90" i="5"/>
  <c r="A89" i="5"/>
  <c r="B89" i="5"/>
  <c r="C89" i="5"/>
  <c r="D89" i="5"/>
  <c r="E89" i="5"/>
  <c r="F89" i="5"/>
  <c r="G89" i="5"/>
  <c r="H89" i="5"/>
  <c r="I89" i="5"/>
  <c r="J89" i="5"/>
  <c r="K89" i="5"/>
  <c r="L89" i="5"/>
  <c r="M89" i="5"/>
  <c r="N89" i="5"/>
  <c r="O89" i="5"/>
  <c r="P89" i="5"/>
  <c r="A88" i="5"/>
  <c r="B88" i="5"/>
  <c r="C88" i="5"/>
  <c r="D88" i="5"/>
  <c r="E88" i="5"/>
  <c r="F88" i="5"/>
  <c r="G88" i="5"/>
  <c r="H88" i="5"/>
  <c r="I88" i="5"/>
  <c r="J88" i="5"/>
  <c r="K88" i="5"/>
  <c r="L88" i="5"/>
  <c r="M88" i="5"/>
  <c r="N88" i="5"/>
  <c r="O88" i="5"/>
  <c r="P88" i="5"/>
  <c r="A87" i="5"/>
  <c r="B87" i="5"/>
  <c r="C87" i="5"/>
  <c r="D87" i="5"/>
  <c r="E87" i="5"/>
  <c r="F87" i="5"/>
  <c r="G87" i="5"/>
  <c r="H87" i="5"/>
  <c r="I87" i="5"/>
  <c r="J87" i="5"/>
  <c r="K87" i="5"/>
  <c r="L87" i="5"/>
  <c r="M87" i="5"/>
  <c r="N87" i="5"/>
  <c r="O87" i="5"/>
  <c r="P87" i="5"/>
  <c r="A86" i="5"/>
  <c r="B86" i="5"/>
  <c r="C86" i="5"/>
  <c r="D86" i="5"/>
  <c r="E86" i="5"/>
  <c r="F86" i="5"/>
  <c r="G86" i="5"/>
  <c r="H86" i="5"/>
  <c r="I86" i="5"/>
  <c r="J86" i="5"/>
  <c r="K86" i="5"/>
  <c r="L86" i="5"/>
  <c r="M86" i="5"/>
  <c r="N86" i="5"/>
  <c r="O86" i="5"/>
  <c r="P86" i="5"/>
  <c r="A85" i="5"/>
  <c r="B85" i="5"/>
  <c r="C85" i="5"/>
  <c r="D85" i="5"/>
  <c r="E85" i="5"/>
  <c r="F85" i="5"/>
  <c r="G85" i="5"/>
  <c r="H85" i="5"/>
  <c r="I85" i="5"/>
  <c r="J85" i="5"/>
  <c r="K85" i="5"/>
  <c r="L85" i="5"/>
  <c r="M85" i="5"/>
  <c r="N85" i="5"/>
  <c r="O85" i="5"/>
  <c r="P85" i="5"/>
  <c r="A84" i="5"/>
  <c r="B84" i="5"/>
  <c r="C84" i="5"/>
  <c r="D84" i="5"/>
  <c r="E84" i="5"/>
  <c r="F84" i="5"/>
  <c r="G84" i="5"/>
  <c r="H84" i="5"/>
  <c r="I84" i="5"/>
  <c r="J84" i="5"/>
  <c r="K84" i="5"/>
  <c r="L84" i="5"/>
  <c r="M84" i="5"/>
  <c r="N84" i="5"/>
  <c r="O84" i="5"/>
  <c r="P84" i="5"/>
  <c r="A83" i="5"/>
  <c r="B83" i="5"/>
  <c r="C83" i="5"/>
  <c r="D83" i="5"/>
  <c r="E83" i="5"/>
  <c r="F83" i="5"/>
  <c r="G83" i="5"/>
  <c r="H83" i="5"/>
  <c r="I83" i="5"/>
  <c r="J83" i="5"/>
  <c r="K83" i="5"/>
  <c r="L83" i="5"/>
  <c r="M83" i="5"/>
  <c r="N83" i="5"/>
  <c r="O83" i="5"/>
  <c r="P83" i="5"/>
  <c r="A82" i="5"/>
  <c r="B82" i="5"/>
  <c r="C82" i="5"/>
  <c r="D82" i="5"/>
  <c r="E82" i="5"/>
  <c r="F82" i="5"/>
  <c r="G82" i="5"/>
  <c r="H82" i="5"/>
  <c r="I82" i="5"/>
  <c r="J82" i="5"/>
  <c r="K82" i="5"/>
  <c r="L82" i="5"/>
  <c r="M82" i="5"/>
  <c r="N82" i="5"/>
  <c r="O82" i="5"/>
  <c r="P82" i="5"/>
  <c r="A81" i="5"/>
  <c r="B81" i="5"/>
  <c r="C81" i="5"/>
  <c r="D81" i="5"/>
  <c r="E81" i="5"/>
  <c r="F81" i="5"/>
  <c r="G81" i="5"/>
  <c r="H81" i="5"/>
  <c r="I81" i="5"/>
  <c r="J81" i="5"/>
  <c r="K81" i="5"/>
  <c r="L81" i="5"/>
  <c r="M81" i="5"/>
  <c r="N81" i="5"/>
  <c r="O81" i="5"/>
  <c r="P81" i="5"/>
  <c r="A80" i="5"/>
  <c r="B80" i="5"/>
  <c r="C80" i="5"/>
  <c r="D80" i="5"/>
  <c r="E80" i="5"/>
  <c r="F80" i="5"/>
  <c r="G80" i="5"/>
  <c r="H80" i="5"/>
  <c r="I80" i="5"/>
  <c r="J80" i="5"/>
  <c r="K80" i="5"/>
  <c r="L80" i="5"/>
  <c r="M80" i="5"/>
  <c r="N80" i="5"/>
  <c r="O80" i="5"/>
  <c r="P80" i="5"/>
  <c r="A79" i="5"/>
  <c r="B79" i="5"/>
  <c r="C79" i="5"/>
  <c r="D79" i="5"/>
  <c r="E79" i="5"/>
  <c r="F79" i="5"/>
  <c r="G79" i="5"/>
  <c r="H79" i="5"/>
  <c r="I79" i="5"/>
  <c r="J79" i="5"/>
  <c r="K79" i="5"/>
  <c r="L79" i="5"/>
  <c r="M79" i="5"/>
  <c r="N79" i="5"/>
  <c r="O79" i="5"/>
  <c r="P79" i="5"/>
  <c r="A78" i="5"/>
  <c r="B78" i="5"/>
  <c r="C78" i="5"/>
  <c r="D78" i="5"/>
  <c r="E78" i="5"/>
  <c r="F78" i="5"/>
  <c r="G78" i="5"/>
  <c r="H78" i="5"/>
  <c r="I78" i="5"/>
  <c r="J78" i="5"/>
  <c r="K78" i="5"/>
  <c r="L78" i="5"/>
  <c r="M78" i="5"/>
  <c r="N78" i="5"/>
  <c r="O78" i="5"/>
  <c r="P78" i="5"/>
  <c r="A77" i="5"/>
  <c r="B77" i="5"/>
  <c r="C77" i="5"/>
  <c r="D77" i="5"/>
  <c r="E77" i="5"/>
  <c r="F77" i="5"/>
  <c r="G77" i="5"/>
  <c r="H77" i="5"/>
  <c r="I77" i="5"/>
  <c r="J77" i="5"/>
  <c r="K77" i="5"/>
  <c r="L77" i="5"/>
  <c r="M77" i="5"/>
  <c r="N77" i="5"/>
  <c r="O77" i="5"/>
  <c r="P77" i="5"/>
  <c r="A76" i="5"/>
  <c r="B76" i="5"/>
  <c r="C76" i="5"/>
  <c r="D76" i="5"/>
  <c r="E76" i="5"/>
  <c r="F76" i="5"/>
  <c r="G76" i="5"/>
  <c r="H76" i="5"/>
  <c r="I76" i="5"/>
  <c r="J76" i="5"/>
  <c r="K76" i="5"/>
  <c r="L76" i="5"/>
  <c r="M76" i="5"/>
  <c r="N76" i="5"/>
  <c r="O76" i="5"/>
  <c r="P76" i="5"/>
  <c r="A75" i="5"/>
  <c r="B75" i="5"/>
  <c r="C75" i="5"/>
  <c r="D75" i="5"/>
  <c r="E75" i="5"/>
  <c r="F75" i="5"/>
  <c r="G75" i="5"/>
  <c r="H75" i="5"/>
  <c r="I75" i="5"/>
  <c r="J75" i="5"/>
  <c r="K75" i="5"/>
  <c r="L75" i="5"/>
  <c r="M75" i="5"/>
  <c r="N75" i="5"/>
  <c r="O75" i="5"/>
  <c r="P75" i="5"/>
  <c r="A74" i="5"/>
  <c r="B74" i="5"/>
  <c r="C74" i="5"/>
  <c r="D74" i="5"/>
  <c r="E74" i="5"/>
  <c r="F74" i="5"/>
  <c r="G74" i="5"/>
  <c r="H74" i="5"/>
  <c r="I74" i="5"/>
  <c r="J74" i="5"/>
  <c r="K74" i="5"/>
  <c r="L74" i="5"/>
  <c r="M74" i="5"/>
  <c r="N74" i="5"/>
  <c r="O74" i="5"/>
  <c r="P74" i="5"/>
  <c r="A73" i="5"/>
  <c r="B73" i="5"/>
  <c r="C73" i="5"/>
  <c r="D73" i="5"/>
  <c r="E73" i="5"/>
  <c r="F73" i="5"/>
  <c r="G73" i="5"/>
  <c r="H73" i="5"/>
  <c r="I73" i="5"/>
  <c r="J73" i="5"/>
  <c r="K73" i="5"/>
  <c r="L73" i="5"/>
  <c r="M73" i="5"/>
  <c r="N73" i="5"/>
  <c r="O73" i="5"/>
  <c r="P73" i="5"/>
  <c r="A72" i="5"/>
  <c r="B72" i="5"/>
  <c r="C72" i="5"/>
  <c r="D72" i="5"/>
  <c r="E72" i="5"/>
  <c r="F72" i="5"/>
  <c r="G72" i="5"/>
  <c r="H72" i="5"/>
  <c r="I72" i="5"/>
  <c r="J72" i="5"/>
  <c r="K72" i="5"/>
  <c r="L72" i="5"/>
  <c r="M72" i="5"/>
  <c r="N72" i="5"/>
  <c r="O72" i="5"/>
  <c r="P72" i="5"/>
  <c r="A71" i="5"/>
  <c r="B71" i="5"/>
  <c r="C71" i="5"/>
  <c r="D71" i="5"/>
  <c r="E71" i="5"/>
  <c r="F71" i="5"/>
  <c r="G71" i="5"/>
  <c r="H71" i="5"/>
  <c r="I71" i="5"/>
  <c r="J71" i="5"/>
  <c r="K71" i="5"/>
  <c r="L71" i="5"/>
  <c r="M71" i="5"/>
  <c r="N71" i="5"/>
  <c r="O71" i="5"/>
  <c r="P71" i="5"/>
  <c r="A70" i="5"/>
  <c r="B70" i="5"/>
  <c r="C70" i="5"/>
  <c r="D70" i="5"/>
  <c r="E70" i="5"/>
  <c r="F70" i="5"/>
  <c r="G70" i="5"/>
  <c r="H70" i="5"/>
  <c r="I70" i="5"/>
  <c r="J70" i="5"/>
  <c r="K70" i="5"/>
  <c r="L70" i="5"/>
  <c r="M70" i="5"/>
  <c r="N70" i="5"/>
  <c r="O70" i="5"/>
  <c r="P70" i="5"/>
  <c r="A69" i="5"/>
  <c r="B69" i="5"/>
  <c r="C69" i="5"/>
  <c r="D69" i="5"/>
  <c r="E69" i="5"/>
  <c r="F69" i="5"/>
  <c r="G69" i="5"/>
  <c r="H69" i="5"/>
  <c r="I69" i="5"/>
  <c r="J69" i="5"/>
  <c r="K69" i="5"/>
  <c r="L69" i="5"/>
  <c r="M69" i="5"/>
  <c r="N69" i="5"/>
  <c r="O69" i="5"/>
  <c r="P69" i="5"/>
  <c r="A68" i="5"/>
  <c r="B68" i="5"/>
  <c r="C68" i="5"/>
  <c r="D68" i="5"/>
  <c r="E68" i="5"/>
  <c r="F68" i="5"/>
  <c r="G68" i="5"/>
  <c r="H68" i="5"/>
  <c r="I68" i="5"/>
  <c r="J68" i="5"/>
  <c r="K68" i="5"/>
  <c r="L68" i="5"/>
  <c r="M68" i="5"/>
  <c r="N68" i="5"/>
  <c r="O68" i="5"/>
  <c r="P68" i="5"/>
  <c r="A67" i="5"/>
  <c r="B67" i="5"/>
  <c r="C67" i="5"/>
  <c r="D67" i="5"/>
  <c r="E67" i="5"/>
  <c r="F67" i="5"/>
  <c r="G67" i="5"/>
  <c r="H67" i="5"/>
  <c r="I67" i="5"/>
  <c r="J67" i="5"/>
  <c r="K67" i="5"/>
  <c r="L67" i="5"/>
  <c r="M67" i="5"/>
  <c r="N67" i="5"/>
  <c r="O67" i="5"/>
  <c r="P67" i="5"/>
  <c r="A66" i="5"/>
  <c r="B66" i="5"/>
  <c r="C66" i="5"/>
  <c r="D66" i="5"/>
  <c r="E66" i="5"/>
  <c r="F66" i="5"/>
  <c r="G66" i="5"/>
  <c r="H66" i="5"/>
  <c r="I66" i="5"/>
  <c r="J66" i="5"/>
  <c r="K66" i="5"/>
  <c r="L66" i="5"/>
  <c r="M66" i="5"/>
  <c r="N66" i="5"/>
  <c r="O66" i="5"/>
  <c r="P66" i="5"/>
  <c r="A65" i="5"/>
  <c r="B65" i="5"/>
  <c r="C65" i="5"/>
  <c r="D65" i="5"/>
  <c r="E65" i="5"/>
  <c r="F65" i="5"/>
  <c r="G65" i="5"/>
  <c r="H65" i="5"/>
  <c r="I65" i="5"/>
  <c r="J65" i="5"/>
  <c r="K65" i="5"/>
  <c r="L65" i="5"/>
  <c r="M65" i="5"/>
  <c r="N65" i="5"/>
  <c r="O65" i="5"/>
  <c r="P65" i="5"/>
  <c r="A64" i="5"/>
  <c r="B64" i="5"/>
  <c r="C64" i="5"/>
  <c r="D64" i="5"/>
  <c r="E64" i="5"/>
  <c r="F64" i="5"/>
  <c r="G64" i="5"/>
  <c r="H64" i="5"/>
  <c r="I64" i="5"/>
  <c r="J64" i="5"/>
  <c r="K64" i="5"/>
  <c r="L64" i="5"/>
  <c r="M64" i="5"/>
  <c r="N64" i="5"/>
  <c r="O64" i="5"/>
  <c r="P64" i="5"/>
  <c r="A63" i="5"/>
  <c r="B63" i="5"/>
  <c r="C63" i="5"/>
  <c r="D63" i="5"/>
  <c r="E63" i="5"/>
  <c r="F63" i="5"/>
  <c r="G63" i="5"/>
  <c r="H63" i="5"/>
  <c r="I63" i="5"/>
  <c r="J63" i="5"/>
  <c r="K63" i="5"/>
  <c r="L63" i="5"/>
  <c r="M63" i="5"/>
  <c r="N63" i="5"/>
  <c r="O63" i="5"/>
  <c r="P63" i="5"/>
  <c r="A62" i="5"/>
  <c r="B62" i="5"/>
  <c r="C62" i="5"/>
  <c r="D62" i="5"/>
  <c r="E62" i="5"/>
  <c r="F62" i="5"/>
  <c r="G62" i="5"/>
  <c r="H62" i="5"/>
  <c r="I62" i="5"/>
  <c r="J62" i="5"/>
  <c r="K62" i="5"/>
  <c r="L62" i="5"/>
  <c r="M62" i="5"/>
  <c r="N62" i="5"/>
  <c r="O62" i="5"/>
  <c r="P62" i="5"/>
  <c r="A61" i="5"/>
  <c r="B61" i="5"/>
  <c r="C61" i="5"/>
  <c r="D61" i="5"/>
  <c r="E61" i="5"/>
  <c r="F61" i="5"/>
  <c r="G61" i="5"/>
  <c r="H61" i="5"/>
  <c r="I61" i="5"/>
  <c r="J61" i="5"/>
  <c r="K61" i="5"/>
  <c r="L61" i="5"/>
  <c r="M61" i="5"/>
  <c r="N61" i="5"/>
  <c r="O61" i="5"/>
  <c r="P61" i="5"/>
  <c r="A60" i="5"/>
  <c r="B60" i="5"/>
  <c r="C60" i="5"/>
  <c r="D60" i="5"/>
  <c r="E60" i="5"/>
  <c r="F60" i="5"/>
  <c r="G60" i="5"/>
  <c r="H60" i="5"/>
  <c r="I60" i="5"/>
  <c r="J60" i="5"/>
  <c r="K60" i="5"/>
  <c r="L60" i="5"/>
  <c r="M60" i="5"/>
  <c r="N60" i="5"/>
  <c r="O60" i="5"/>
  <c r="P60" i="5"/>
  <c r="A59" i="5"/>
  <c r="B59" i="5"/>
  <c r="C59" i="5"/>
  <c r="D59" i="5"/>
  <c r="E59" i="5"/>
  <c r="F59" i="5"/>
  <c r="G59" i="5"/>
  <c r="H59" i="5"/>
  <c r="I59" i="5"/>
  <c r="J59" i="5"/>
  <c r="K59" i="5"/>
  <c r="L59" i="5"/>
  <c r="M59" i="5"/>
  <c r="N59" i="5"/>
  <c r="O59" i="5"/>
  <c r="P59" i="5"/>
  <c r="A58" i="5"/>
  <c r="B58" i="5"/>
  <c r="C58" i="5"/>
  <c r="D58" i="5"/>
  <c r="E58" i="5"/>
  <c r="F58" i="5"/>
  <c r="G58" i="5"/>
  <c r="H58" i="5"/>
  <c r="I58" i="5"/>
  <c r="J58" i="5"/>
  <c r="K58" i="5"/>
  <c r="L58" i="5"/>
  <c r="M58" i="5"/>
  <c r="N58" i="5"/>
  <c r="O58" i="5"/>
  <c r="P58" i="5"/>
  <c r="A57" i="5"/>
  <c r="B57" i="5"/>
  <c r="C57" i="5"/>
  <c r="D57" i="5"/>
  <c r="E57" i="5"/>
  <c r="F57" i="5"/>
  <c r="G57" i="5"/>
  <c r="H57" i="5"/>
  <c r="I57" i="5"/>
  <c r="J57" i="5"/>
  <c r="K57" i="5"/>
  <c r="L57" i="5"/>
  <c r="M57" i="5"/>
  <c r="N57" i="5"/>
  <c r="O57" i="5"/>
  <c r="P57" i="5"/>
  <c r="A56" i="5"/>
  <c r="B56" i="5"/>
  <c r="C56" i="5"/>
  <c r="D56" i="5"/>
  <c r="E56" i="5"/>
  <c r="F56" i="5"/>
  <c r="G56" i="5"/>
  <c r="H56" i="5"/>
  <c r="I56" i="5"/>
  <c r="J56" i="5"/>
  <c r="K56" i="5"/>
  <c r="L56" i="5"/>
  <c r="M56" i="5"/>
  <c r="N56" i="5"/>
  <c r="O56" i="5"/>
  <c r="P56" i="5"/>
  <c r="A55" i="5"/>
  <c r="B55" i="5"/>
  <c r="C55" i="5"/>
  <c r="D55" i="5"/>
  <c r="E55" i="5"/>
  <c r="F55" i="5"/>
  <c r="G55" i="5"/>
  <c r="H55" i="5"/>
  <c r="I55" i="5"/>
  <c r="J55" i="5"/>
  <c r="K55" i="5"/>
  <c r="L55" i="5"/>
  <c r="M55" i="5"/>
  <c r="N55" i="5"/>
  <c r="O55" i="5"/>
  <c r="P55" i="5"/>
  <c r="A54" i="5"/>
  <c r="B54" i="5"/>
  <c r="C54" i="5"/>
  <c r="D54" i="5"/>
  <c r="E54" i="5"/>
  <c r="F54" i="5"/>
  <c r="G54" i="5"/>
  <c r="H54" i="5"/>
  <c r="I54" i="5"/>
  <c r="J54" i="5"/>
  <c r="K54" i="5"/>
  <c r="L54" i="5"/>
  <c r="M54" i="5"/>
  <c r="N54" i="5"/>
  <c r="O54" i="5"/>
  <c r="P54" i="5"/>
  <c r="A53" i="5"/>
  <c r="B53" i="5"/>
  <c r="C53" i="5"/>
  <c r="D53" i="5"/>
  <c r="E53" i="5"/>
  <c r="F53" i="5"/>
  <c r="G53" i="5"/>
  <c r="H53" i="5"/>
  <c r="I53" i="5"/>
  <c r="J53" i="5"/>
  <c r="K53" i="5"/>
  <c r="L53" i="5"/>
  <c r="M53" i="5"/>
  <c r="N53" i="5"/>
  <c r="O53" i="5"/>
  <c r="P53" i="5"/>
  <c r="A52" i="5"/>
  <c r="B52" i="5"/>
  <c r="C52" i="5"/>
  <c r="D52" i="5"/>
  <c r="E52" i="5"/>
  <c r="F52" i="5"/>
  <c r="G52" i="5"/>
  <c r="H52" i="5"/>
  <c r="I52" i="5"/>
  <c r="J52" i="5"/>
  <c r="K52" i="5"/>
  <c r="L52" i="5"/>
  <c r="M52" i="5"/>
  <c r="N52" i="5"/>
  <c r="O52" i="5"/>
  <c r="P52" i="5"/>
  <c r="A51" i="5"/>
  <c r="B51" i="5"/>
  <c r="C51" i="5"/>
  <c r="D51" i="5"/>
  <c r="E51" i="5"/>
  <c r="F51" i="5"/>
  <c r="G51" i="5"/>
  <c r="H51" i="5"/>
  <c r="I51" i="5"/>
  <c r="J51" i="5"/>
  <c r="K51" i="5"/>
  <c r="L51" i="5"/>
  <c r="M51" i="5"/>
  <c r="N51" i="5"/>
  <c r="O51" i="5"/>
  <c r="P51" i="5"/>
  <c r="A50" i="5"/>
  <c r="B50" i="5"/>
  <c r="C50" i="5"/>
  <c r="D50" i="5"/>
  <c r="E50" i="5"/>
  <c r="F50" i="5"/>
  <c r="G50" i="5"/>
  <c r="H50" i="5"/>
  <c r="I50" i="5"/>
  <c r="J50" i="5"/>
  <c r="K50" i="5"/>
  <c r="L50" i="5"/>
  <c r="M50" i="5"/>
  <c r="N50" i="5"/>
  <c r="O50" i="5"/>
  <c r="P50" i="5"/>
  <c r="A49" i="5"/>
  <c r="B49" i="5"/>
  <c r="C49" i="5"/>
  <c r="D49" i="5"/>
  <c r="E49" i="5"/>
  <c r="F49" i="5"/>
  <c r="G49" i="5"/>
  <c r="H49" i="5"/>
  <c r="I49" i="5"/>
  <c r="J49" i="5"/>
  <c r="K49" i="5"/>
  <c r="L49" i="5"/>
  <c r="M49" i="5"/>
  <c r="N49" i="5"/>
  <c r="O49" i="5"/>
  <c r="P49" i="5"/>
  <c r="A48" i="5"/>
  <c r="B48" i="5"/>
  <c r="C48" i="5"/>
  <c r="D48" i="5"/>
  <c r="E48" i="5"/>
  <c r="F48" i="5"/>
  <c r="G48" i="5"/>
  <c r="H48" i="5"/>
  <c r="I48" i="5"/>
  <c r="J48" i="5"/>
  <c r="K48" i="5"/>
  <c r="L48" i="5"/>
  <c r="M48" i="5"/>
  <c r="N48" i="5"/>
  <c r="O48" i="5"/>
  <c r="P48" i="5"/>
  <c r="A47" i="5"/>
  <c r="B47" i="5"/>
  <c r="C47" i="5"/>
  <c r="D47" i="5"/>
  <c r="E47" i="5"/>
  <c r="F47" i="5"/>
  <c r="G47" i="5"/>
  <c r="H47" i="5"/>
  <c r="I47" i="5"/>
  <c r="J47" i="5"/>
  <c r="K47" i="5"/>
  <c r="L47" i="5"/>
  <c r="M47" i="5"/>
  <c r="N47" i="5"/>
  <c r="O47" i="5"/>
  <c r="P47" i="5"/>
  <c r="A46" i="5"/>
  <c r="B46" i="5"/>
  <c r="C46" i="5"/>
  <c r="D46" i="5"/>
  <c r="E46" i="5"/>
  <c r="F46" i="5"/>
  <c r="G46" i="5"/>
  <c r="H46" i="5"/>
  <c r="I46" i="5"/>
  <c r="J46" i="5"/>
  <c r="K46" i="5"/>
  <c r="L46" i="5"/>
  <c r="M46" i="5"/>
  <c r="N46" i="5"/>
  <c r="O46" i="5"/>
  <c r="P46" i="5"/>
  <c r="A45" i="5"/>
  <c r="B45" i="5"/>
  <c r="C45" i="5"/>
  <c r="D45" i="5"/>
  <c r="E45" i="5"/>
  <c r="F45" i="5"/>
  <c r="G45" i="5"/>
  <c r="H45" i="5"/>
  <c r="I45" i="5"/>
  <c r="J45" i="5"/>
  <c r="K45" i="5"/>
  <c r="L45" i="5"/>
  <c r="M45" i="5"/>
  <c r="N45" i="5"/>
  <c r="O45" i="5"/>
  <c r="P45" i="5"/>
  <c r="A44" i="5"/>
  <c r="B44" i="5"/>
  <c r="C44" i="5"/>
  <c r="D44" i="5"/>
  <c r="E44" i="5"/>
  <c r="F44" i="5"/>
  <c r="G44" i="5"/>
  <c r="H44" i="5"/>
  <c r="I44" i="5"/>
  <c r="J44" i="5"/>
  <c r="K44" i="5"/>
  <c r="L44" i="5"/>
  <c r="M44" i="5"/>
  <c r="N44" i="5"/>
  <c r="O44" i="5"/>
  <c r="P44" i="5"/>
  <c r="A43" i="5"/>
  <c r="B43" i="5"/>
  <c r="C43" i="5"/>
  <c r="D43" i="5"/>
  <c r="E43" i="5"/>
  <c r="F43" i="5"/>
  <c r="G43" i="5"/>
  <c r="H43" i="5"/>
  <c r="I43" i="5"/>
  <c r="J43" i="5"/>
  <c r="K43" i="5"/>
  <c r="L43" i="5"/>
  <c r="M43" i="5"/>
  <c r="N43" i="5"/>
  <c r="O43" i="5"/>
  <c r="P43" i="5"/>
  <c r="A42" i="5"/>
  <c r="B42" i="5"/>
  <c r="C42" i="5"/>
  <c r="D42" i="5"/>
  <c r="E42" i="5"/>
  <c r="F42" i="5"/>
  <c r="G42" i="5"/>
  <c r="H42" i="5"/>
  <c r="I42" i="5"/>
  <c r="J42" i="5"/>
  <c r="K42" i="5"/>
  <c r="L42" i="5"/>
  <c r="M42" i="5"/>
  <c r="N42" i="5"/>
  <c r="O42" i="5"/>
  <c r="P42" i="5"/>
  <c r="A41" i="5"/>
  <c r="B41" i="5"/>
  <c r="C41" i="5"/>
  <c r="D41" i="5"/>
  <c r="E41" i="5"/>
  <c r="F41" i="5"/>
  <c r="G41" i="5"/>
  <c r="H41" i="5"/>
  <c r="I41" i="5"/>
  <c r="J41" i="5"/>
  <c r="K41" i="5"/>
  <c r="L41" i="5"/>
  <c r="M41" i="5"/>
  <c r="N41" i="5"/>
  <c r="O41" i="5"/>
  <c r="P41" i="5"/>
  <c r="A40" i="5"/>
  <c r="B40" i="5"/>
  <c r="C40" i="5"/>
  <c r="D40" i="5"/>
  <c r="E40" i="5"/>
  <c r="F40" i="5"/>
  <c r="G40" i="5"/>
  <c r="H40" i="5"/>
  <c r="I40" i="5"/>
  <c r="J40" i="5"/>
  <c r="K40" i="5"/>
  <c r="L40" i="5"/>
  <c r="M40" i="5"/>
  <c r="N40" i="5"/>
  <c r="O40" i="5"/>
  <c r="P40" i="5"/>
  <c r="A39" i="5"/>
  <c r="B39" i="5"/>
  <c r="C39" i="5"/>
  <c r="D39" i="5"/>
  <c r="E39" i="5"/>
  <c r="F39" i="5"/>
  <c r="G39" i="5"/>
  <c r="H39" i="5"/>
  <c r="I39" i="5"/>
  <c r="J39" i="5"/>
  <c r="K39" i="5"/>
  <c r="L39" i="5"/>
  <c r="M39" i="5"/>
  <c r="N39" i="5"/>
  <c r="O39" i="5"/>
  <c r="P39" i="5"/>
  <c r="A38" i="5"/>
  <c r="B38" i="5"/>
  <c r="C38" i="5"/>
  <c r="D38" i="5"/>
  <c r="E38" i="5"/>
  <c r="F38" i="5"/>
  <c r="G38" i="5"/>
  <c r="H38" i="5"/>
  <c r="I38" i="5"/>
  <c r="J38" i="5"/>
  <c r="K38" i="5"/>
  <c r="L38" i="5"/>
  <c r="M38" i="5"/>
  <c r="N38" i="5"/>
  <c r="O38" i="5"/>
  <c r="P38" i="5"/>
  <c r="A37" i="5"/>
  <c r="B37" i="5"/>
  <c r="C37" i="5"/>
  <c r="D37" i="5"/>
  <c r="E37" i="5"/>
  <c r="F37" i="5"/>
  <c r="G37" i="5"/>
  <c r="H37" i="5"/>
  <c r="I37" i="5"/>
  <c r="J37" i="5"/>
  <c r="K37" i="5"/>
  <c r="L37" i="5"/>
  <c r="M37" i="5"/>
  <c r="N37" i="5"/>
  <c r="O37" i="5"/>
  <c r="P37" i="5"/>
  <c r="A36" i="5"/>
  <c r="B36" i="5"/>
  <c r="C36" i="5"/>
  <c r="D36" i="5"/>
  <c r="E36" i="5"/>
  <c r="F36" i="5"/>
  <c r="G36" i="5"/>
  <c r="H36" i="5"/>
  <c r="I36" i="5"/>
  <c r="J36" i="5"/>
  <c r="K36" i="5"/>
  <c r="L36" i="5"/>
  <c r="M36" i="5"/>
  <c r="N36" i="5"/>
  <c r="O36" i="5"/>
  <c r="P36" i="5"/>
  <c r="A35" i="5"/>
  <c r="B35" i="5"/>
  <c r="C35" i="5"/>
  <c r="D35" i="5"/>
  <c r="E35" i="5"/>
  <c r="F35" i="5"/>
  <c r="G35" i="5"/>
  <c r="H35" i="5"/>
  <c r="I35" i="5"/>
  <c r="J35" i="5"/>
  <c r="K35" i="5"/>
  <c r="L35" i="5"/>
  <c r="M35" i="5"/>
  <c r="N35" i="5"/>
  <c r="O35" i="5"/>
  <c r="P35" i="5"/>
  <c r="A34" i="5"/>
  <c r="B34" i="5"/>
  <c r="C34" i="5"/>
  <c r="D34" i="5"/>
  <c r="E34" i="5"/>
  <c r="F34" i="5"/>
  <c r="G34" i="5"/>
  <c r="H34" i="5"/>
  <c r="I34" i="5"/>
  <c r="J34" i="5"/>
  <c r="K34" i="5"/>
  <c r="L34" i="5"/>
  <c r="M34" i="5"/>
  <c r="N34" i="5"/>
  <c r="O34" i="5"/>
  <c r="P34" i="5"/>
  <c r="A33" i="5"/>
  <c r="B33" i="5"/>
  <c r="C33" i="5"/>
  <c r="D33" i="5"/>
  <c r="E33" i="5"/>
  <c r="F33" i="5"/>
  <c r="G33" i="5"/>
  <c r="H33" i="5"/>
  <c r="I33" i="5"/>
  <c r="J33" i="5"/>
  <c r="K33" i="5"/>
  <c r="L33" i="5"/>
  <c r="M33" i="5"/>
  <c r="N33" i="5"/>
  <c r="O33" i="5"/>
  <c r="P33" i="5"/>
  <c r="A32" i="5"/>
  <c r="B32" i="5"/>
  <c r="C32" i="5"/>
  <c r="D32" i="5"/>
  <c r="E32" i="5"/>
  <c r="F32" i="5"/>
  <c r="G32" i="5"/>
  <c r="H32" i="5"/>
  <c r="I32" i="5"/>
  <c r="J32" i="5"/>
  <c r="K32" i="5"/>
  <c r="L32" i="5"/>
  <c r="M32" i="5"/>
  <c r="N32" i="5"/>
  <c r="O32" i="5"/>
  <c r="P32" i="5"/>
  <c r="A31" i="5"/>
  <c r="B31" i="5"/>
  <c r="C31" i="5"/>
  <c r="D31" i="5"/>
  <c r="E31" i="5"/>
  <c r="F31" i="5"/>
  <c r="G31" i="5"/>
  <c r="H31" i="5"/>
  <c r="I31" i="5"/>
  <c r="J31" i="5"/>
  <c r="K31" i="5"/>
  <c r="L31" i="5"/>
  <c r="M31" i="5"/>
  <c r="N31" i="5"/>
  <c r="O31" i="5"/>
  <c r="P31" i="5"/>
  <c r="A30" i="5"/>
  <c r="B30" i="5"/>
  <c r="C30" i="5"/>
  <c r="D30" i="5"/>
  <c r="E30" i="5"/>
  <c r="F30" i="5"/>
  <c r="G30" i="5"/>
  <c r="H30" i="5"/>
  <c r="I30" i="5"/>
  <c r="J30" i="5"/>
  <c r="K30" i="5"/>
  <c r="L30" i="5"/>
  <c r="M30" i="5"/>
  <c r="N30" i="5"/>
  <c r="O30" i="5"/>
  <c r="P30" i="5"/>
  <c r="A29" i="5"/>
  <c r="B29" i="5"/>
  <c r="C29" i="5"/>
  <c r="D29" i="5"/>
  <c r="E29" i="5"/>
  <c r="F29" i="5"/>
  <c r="G29" i="5"/>
  <c r="H29" i="5"/>
  <c r="I29" i="5"/>
  <c r="J29" i="5"/>
  <c r="K29" i="5"/>
  <c r="L29" i="5"/>
  <c r="M29" i="5"/>
  <c r="N29" i="5"/>
  <c r="O29" i="5"/>
  <c r="P29" i="5"/>
  <c r="A28" i="5"/>
  <c r="B28" i="5"/>
  <c r="C28" i="5"/>
  <c r="D28" i="5"/>
  <c r="E28" i="5"/>
  <c r="F28" i="5"/>
  <c r="G28" i="5"/>
  <c r="H28" i="5"/>
  <c r="I28" i="5"/>
  <c r="J28" i="5"/>
  <c r="K28" i="5"/>
  <c r="L28" i="5"/>
  <c r="M28" i="5"/>
  <c r="N28" i="5"/>
  <c r="O28" i="5"/>
  <c r="P28" i="5"/>
  <c r="A27" i="5"/>
  <c r="B27" i="5"/>
  <c r="C27" i="5"/>
  <c r="D27" i="5"/>
  <c r="E27" i="5"/>
  <c r="F27" i="5"/>
  <c r="G27" i="5"/>
  <c r="H27" i="5"/>
  <c r="I27" i="5"/>
  <c r="J27" i="5"/>
  <c r="K27" i="5"/>
  <c r="L27" i="5"/>
  <c r="M27" i="5"/>
  <c r="N27" i="5"/>
  <c r="O27" i="5"/>
  <c r="P27" i="5"/>
  <c r="A26" i="5"/>
  <c r="B26" i="5"/>
  <c r="C26" i="5"/>
  <c r="D26" i="5"/>
  <c r="E26" i="5"/>
  <c r="F26" i="5"/>
  <c r="G26" i="5"/>
  <c r="H26" i="5"/>
  <c r="I26" i="5"/>
  <c r="J26" i="5"/>
  <c r="K26" i="5"/>
  <c r="L26" i="5"/>
  <c r="M26" i="5"/>
  <c r="N26" i="5"/>
  <c r="O26" i="5"/>
  <c r="P26" i="5"/>
  <c r="A25" i="5"/>
  <c r="B25" i="5"/>
  <c r="C25" i="5"/>
  <c r="D25" i="5"/>
  <c r="E25" i="5"/>
  <c r="F25" i="5"/>
  <c r="G25" i="5"/>
  <c r="H25" i="5"/>
  <c r="I25" i="5"/>
  <c r="J25" i="5"/>
  <c r="K25" i="5"/>
  <c r="L25" i="5"/>
  <c r="M25" i="5"/>
  <c r="N25" i="5"/>
  <c r="O25" i="5"/>
  <c r="P25" i="5"/>
  <c r="A24" i="5"/>
  <c r="B24" i="5"/>
  <c r="D24" i="5"/>
  <c r="F24" i="5"/>
  <c r="H24" i="5"/>
  <c r="J24" i="5"/>
  <c r="L24" i="5"/>
  <c r="N24" i="5"/>
  <c r="C24" i="5"/>
  <c r="E24" i="5"/>
  <c r="G24" i="5"/>
  <c r="I24" i="5"/>
  <c r="K24" i="5"/>
  <c r="M24" i="5"/>
  <c r="O24" i="5"/>
  <c r="P24" i="5"/>
  <c r="A23" i="5"/>
  <c r="C23" i="5"/>
  <c r="D23" i="5"/>
  <c r="H23" i="5"/>
  <c r="J23" i="5"/>
  <c r="K23" i="5"/>
  <c r="M23" i="5"/>
  <c r="O23" i="5"/>
  <c r="B23" i="5"/>
  <c r="E23" i="5"/>
  <c r="F23" i="5"/>
  <c r="G23" i="5"/>
  <c r="I23" i="5"/>
  <c r="L23" i="5"/>
  <c r="N23" i="5"/>
  <c r="P23" i="5"/>
  <c r="A22" i="5"/>
  <c r="C22" i="5"/>
  <c r="D22" i="5"/>
  <c r="E22" i="5"/>
  <c r="J22" i="5"/>
  <c r="L22" i="5"/>
  <c r="M22" i="5"/>
  <c r="O22" i="5"/>
  <c r="B22" i="5"/>
  <c r="F22" i="5"/>
  <c r="G22" i="5"/>
  <c r="H22" i="5"/>
  <c r="I22" i="5"/>
  <c r="K22" i="5"/>
  <c r="N22" i="5"/>
  <c r="P22" i="5"/>
  <c r="A21" i="5"/>
  <c r="B21" i="5"/>
  <c r="D21" i="5"/>
  <c r="F21" i="5"/>
  <c r="G21" i="5"/>
  <c r="I21" i="5"/>
  <c r="K21" i="5"/>
  <c r="O21" i="5"/>
  <c r="C21" i="5"/>
  <c r="E21" i="5"/>
  <c r="H21" i="5"/>
  <c r="J21" i="5"/>
  <c r="L21" i="5"/>
  <c r="M21" i="5"/>
  <c r="N21" i="5"/>
  <c r="P21" i="5"/>
  <c r="A20" i="5"/>
  <c r="D20" i="5"/>
  <c r="F20" i="5"/>
  <c r="H20" i="5"/>
  <c r="J20" i="5"/>
  <c r="K20" i="5"/>
  <c r="M20" i="5"/>
  <c r="O20" i="5"/>
  <c r="B20" i="5"/>
  <c r="C20" i="5"/>
  <c r="E20" i="5"/>
  <c r="G20" i="5"/>
  <c r="I20" i="5"/>
  <c r="L20" i="5"/>
  <c r="N20" i="5"/>
  <c r="P20" i="5"/>
  <c r="B19" i="5"/>
  <c r="C19" i="5"/>
  <c r="D19" i="5"/>
  <c r="F19" i="5"/>
  <c r="G19" i="5"/>
  <c r="I19" i="5"/>
  <c r="K19" i="5"/>
  <c r="O19" i="5"/>
  <c r="A19" i="5"/>
  <c r="E19" i="5"/>
  <c r="H19" i="5"/>
  <c r="J19" i="5"/>
  <c r="L19" i="5"/>
  <c r="M19" i="5"/>
  <c r="N19" i="5"/>
  <c r="P19" i="5"/>
  <c r="B18" i="5"/>
  <c r="C18" i="5"/>
  <c r="F18" i="5"/>
  <c r="I18" i="5"/>
  <c r="J18" i="5"/>
  <c r="L18" i="5"/>
  <c r="M18" i="5"/>
  <c r="N18" i="5"/>
  <c r="A18" i="5"/>
  <c r="D18" i="5"/>
  <c r="E18" i="5"/>
  <c r="G18" i="5"/>
  <c r="H18" i="5"/>
  <c r="K18" i="5"/>
  <c r="O18" i="5"/>
  <c r="P18" i="5"/>
  <c r="B17" i="5"/>
  <c r="D17" i="5"/>
  <c r="F17" i="5"/>
  <c r="G17" i="5"/>
  <c r="H17" i="5"/>
  <c r="I17" i="5"/>
  <c r="J17" i="5"/>
  <c r="K17" i="5"/>
  <c r="L17" i="5"/>
  <c r="M17" i="5"/>
  <c r="P17" i="5"/>
  <c r="A17" i="5"/>
  <c r="C17" i="5"/>
  <c r="E17" i="5"/>
  <c r="N17" i="5"/>
  <c r="O17" i="5"/>
  <c r="A16" i="5"/>
  <c r="D16" i="5"/>
  <c r="E16" i="5"/>
  <c r="F16" i="5"/>
  <c r="G16" i="5"/>
  <c r="I16" i="5"/>
  <c r="J16" i="5"/>
  <c r="M16" i="5"/>
  <c r="O16" i="5"/>
  <c r="B16" i="5"/>
  <c r="C16" i="5"/>
  <c r="H16" i="5"/>
  <c r="K16" i="5"/>
  <c r="L16" i="5"/>
  <c r="N16" i="5"/>
  <c r="P16" i="5"/>
  <c r="A15" i="5"/>
  <c r="B15" i="5"/>
  <c r="C15" i="5"/>
  <c r="D15" i="5"/>
  <c r="E15" i="5"/>
  <c r="F15" i="5"/>
  <c r="G15" i="5"/>
  <c r="H15" i="5"/>
  <c r="I15" i="5"/>
  <c r="J15" i="5"/>
  <c r="K15" i="5"/>
  <c r="L15" i="5"/>
  <c r="M15" i="5"/>
  <c r="N15" i="5"/>
  <c r="O15" i="5"/>
  <c r="P15" i="5"/>
  <c r="A14" i="5"/>
  <c r="B14" i="5"/>
  <c r="C14" i="5"/>
  <c r="D14" i="5"/>
  <c r="E14" i="5"/>
  <c r="F14" i="5"/>
  <c r="G14" i="5"/>
  <c r="H14" i="5"/>
  <c r="I14" i="5"/>
  <c r="J14" i="5"/>
  <c r="K14" i="5"/>
  <c r="L14" i="5"/>
  <c r="M14" i="5"/>
  <c r="N14" i="5"/>
  <c r="O14" i="5"/>
  <c r="P14" i="5"/>
  <c r="A13" i="5"/>
  <c r="B13" i="5"/>
  <c r="C13" i="5"/>
  <c r="D13" i="5"/>
  <c r="E13" i="5"/>
  <c r="F13" i="5"/>
  <c r="G13" i="5"/>
  <c r="H13" i="5"/>
  <c r="I13" i="5"/>
  <c r="J13" i="5"/>
  <c r="K13" i="5"/>
  <c r="L13" i="5"/>
  <c r="M13" i="5"/>
  <c r="N13" i="5"/>
  <c r="O13" i="5"/>
  <c r="P13" i="5"/>
  <c r="A12" i="5"/>
  <c r="B12" i="5"/>
  <c r="C12" i="5"/>
  <c r="D12" i="5"/>
  <c r="E12" i="5"/>
  <c r="F12" i="5"/>
  <c r="G12" i="5"/>
  <c r="H12" i="5"/>
  <c r="I12" i="5"/>
  <c r="J12" i="5"/>
  <c r="K12" i="5"/>
  <c r="L12" i="5"/>
  <c r="M12" i="5"/>
  <c r="N12" i="5"/>
  <c r="O12" i="5"/>
  <c r="P12" i="5"/>
  <c r="A11" i="5"/>
  <c r="B11" i="5"/>
  <c r="C11" i="5"/>
  <c r="D11" i="5"/>
  <c r="E11" i="5"/>
  <c r="F11" i="5"/>
  <c r="G11" i="5"/>
  <c r="H11" i="5"/>
  <c r="I11" i="5"/>
  <c r="J11" i="5"/>
  <c r="K11" i="5"/>
  <c r="L11" i="5"/>
  <c r="M11" i="5"/>
  <c r="N11" i="5"/>
  <c r="O11" i="5"/>
  <c r="P11" i="5"/>
  <c r="A10" i="5"/>
  <c r="C10" i="5"/>
  <c r="E10" i="5"/>
  <c r="H10" i="5"/>
  <c r="I10" i="5"/>
  <c r="J10" i="5"/>
  <c r="K10" i="5"/>
  <c r="L10" i="5"/>
  <c r="M10" i="5"/>
  <c r="N10" i="5"/>
  <c r="O10" i="5"/>
  <c r="P10" i="5"/>
  <c r="B10" i="5"/>
  <c r="D10" i="5"/>
  <c r="F10" i="5"/>
  <c r="G10" i="5"/>
  <c r="D9" i="5"/>
  <c r="F9" i="5"/>
  <c r="H9" i="5"/>
  <c r="J9" i="5"/>
  <c r="L9" i="5"/>
  <c r="M9" i="5"/>
  <c r="N9" i="5"/>
  <c r="P9" i="5"/>
  <c r="A9" i="5"/>
  <c r="B9" i="5"/>
  <c r="C9" i="5"/>
  <c r="E9" i="5"/>
  <c r="G9" i="5"/>
  <c r="I9" i="5"/>
  <c r="K9" i="5"/>
  <c r="O9" i="5"/>
  <c r="A8" i="5"/>
  <c r="B8" i="5"/>
  <c r="C8" i="5"/>
  <c r="D8" i="5"/>
  <c r="E8" i="5"/>
  <c r="G8" i="5"/>
  <c r="H8" i="5"/>
  <c r="I8" i="5"/>
  <c r="K8" i="5"/>
  <c r="L8" i="5"/>
  <c r="P8" i="5"/>
  <c r="F8" i="5"/>
  <c r="J8" i="5"/>
  <c r="M8" i="5"/>
  <c r="N8" i="5"/>
  <c r="O8" i="5"/>
  <c r="B7" i="5"/>
  <c r="C7" i="5"/>
  <c r="D7" i="5"/>
  <c r="E7" i="5"/>
  <c r="F7" i="5"/>
  <c r="H7" i="5"/>
  <c r="M7" i="5"/>
  <c r="N7" i="5"/>
  <c r="P7" i="5"/>
  <c r="A7" i="5"/>
  <c r="G7" i="5"/>
  <c r="I7" i="5"/>
  <c r="J7" i="5"/>
  <c r="K7" i="5"/>
  <c r="L7" i="5"/>
  <c r="O7" i="5"/>
  <c r="A6" i="5"/>
  <c r="C6" i="5"/>
  <c r="D6" i="5"/>
  <c r="G6" i="5"/>
  <c r="H6" i="5"/>
  <c r="I6" i="5"/>
  <c r="K6" i="5"/>
  <c r="L6" i="5"/>
  <c r="M6" i="5"/>
  <c r="P6" i="5"/>
  <c r="B6" i="5"/>
  <c r="E6" i="5"/>
  <c r="F6" i="5"/>
  <c r="J6" i="5"/>
  <c r="N6" i="5"/>
  <c r="O6" i="5"/>
  <c r="A5" i="5"/>
  <c r="C5" i="5"/>
  <c r="F5" i="5"/>
  <c r="H5" i="5"/>
  <c r="I5" i="5"/>
  <c r="K5" i="5"/>
  <c r="L5" i="5"/>
  <c r="N5" i="5"/>
  <c r="O5" i="5"/>
  <c r="B5" i="5"/>
  <c r="D5" i="5"/>
  <c r="E5" i="5"/>
  <c r="G5" i="5"/>
  <c r="J5" i="5"/>
  <c r="M5" i="5"/>
  <c r="P5" i="5"/>
  <c r="C42" i="3"/>
  <c r="C18" i="6"/>
  <c r="E10" i="6"/>
  <c r="C36" i="3"/>
  <c r="C37" i="3"/>
  <c r="A2" i="7"/>
  <c r="E36" i="3"/>
  <c r="E37" i="3"/>
  <c r="A2" i="6"/>
  <c r="H389" i="5"/>
  <c r="M389" i="5"/>
  <c r="B389" i="5"/>
  <c r="F389" i="5"/>
  <c r="I389" i="5"/>
  <c r="K389" i="5"/>
  <c r="N389" i="5"/>
  <c r="O389" i="5"/>
  <c r="A389" i="5"/>
  <c r="C389" i="5"/>
  <c r="D389" i="5"/>
  <c r="E389" i="5"/>
  <c r="G389" i="5"/>
  <c r="J389" i="5"/>
  <c r="L389" i="5"/>
  <c r="P389" i="5"/>
  <c r="A779" i="5"/>
  <c r="B779" i="5"/>
  <c r="C779" i="5"/>
  <c r="D779" i="5"/>
  <c r="E779" i="5"/>
  <c r="F779" i="5"/>
  <c r="G779" i="5"/>
  <c r="H779" i="5"/>
  <c r="I779" i="5"/>
  <c r="J779" i="5"/>
  <c r="K779" i="5"/>
  <c r="L779" i="5"/>
  <c r="M779" i="5"/>
  <c r="N779" i="5"/>
  <c r="O779" i="5"/>
  <c r="P779" i="5"/>
  <c r="A486" i="5"/>
  <c r="B486" i="5"/>
  <c r="C486" i="5"/>
  <c r="D486" i="5"/>
  <c r="E486" i="5"/>
  <c r="F486" i="5"/>
  <c r="G486" i="5"/>
  <c r="H486" i="5"/>
  <c r="I486" i="5"/>
  <c r="J486" i="5"/>
  <c r="K486" i="5"/>
  <c r="L486" i="5"/>
  <c r="M486" i="5"/>
  <c r="N486" i="5"/>
  <c r="O486" i="5"/>
  <c r="P486" i="5"/>
  <c r="A194" i="5"/>
  <c r="B194" i="5"/>
  <c r="C194" i="5"/>
  <c r="D194" i="5"/>
  <c r="E194" i="5"/>
  <c r="F194" i="5"/>
  <c r="G194" i="5"/>
  <c r="H194" i="5"/>
  <c r="I194" i="5"/>
  <c r="J194" i="5"/>
  <c r="K194" i="5"/>
  <c r="L194" i="5"/>
  <c r="M194" i="5"/>
  <c r="N194" i="5"/>
  <c r="O194" i="5"/>
  <c r="P194" i="5"/>
  <c r="A96" i="5"/>
  <c r="B96" i="5"/>
  <c r="C96" i="5"/>
  <c r="D96" i="5"/>
  <c r="E96" i="5"/>
  <c r="F96" i="5"/>
  <c r="G96" i="5"/>
  <c r="H96" i="5"/>
  <c r="I96" i="5"/>
  <c r="J96" i="5"/>
  <c r="K96" i="5"/>
  <c r="L96" i="5"/>
  <c r="M96" i="5"/>
  <c r="N96" i="5"/>
  <c r="O96" i="5"/>
  <c r="P96" i="5"/>
  <c r="J584" i="5"/>
  <c r="M584" i="5"/>
  <c r="F584" i="5"/>
  <c r="H584" i="5"/>
  <c r="K584" i="5"/>
  <c r="N584" i="5"/>
  <c r="C584" i="5"/>
  <c r="E584" i="5"/>
  <c r="P584" i="5"/>
  <c r="A584" i="5"/>
  <c r="B584" i="5"/>
  <c r="D584" i="5"/>
  <c r="G584" i="5"/>
  <c r="I584" i="5"/>
  <c r="L584" i="5"/>
  <c r="O584" i="5"/>
  <c r="H291" i="5"/>
  <c r="K291" i="5"/>
  <c r="O291" i="5"/>
  <c r="P291" i="5"/>
  <c r="A291" i="5"/>
  <c r="G291" i="5"/>
  <c r="D291" i="5"/>
  <c r="I291" i="5"/>
  <c r="M291" i="5"/>
  <c r="C291" i="5"/>
  <c r="F291" i="5"/>
  <c r="J291" i="5"/>
  <c r="N291" i="5"/>
  <c r="B291" i="5"/>
  <c r="E291" i="5"/>
  <c r="L291" i="5"/>
  <c r="E974" i="5"/>
  <c r="F974" i="5"/>
  <c r="M974" i="5"/>
  <c r="P974" i="5"/>
  <c r="H974" i="5"/>
  <c r="L974" i="5"/>
  <c r="B974" i="5"/>
  <c r="N974" i="5"/>
  <c r="D974" i="5"/>
  <c r="A974" i="5"/>
  <c r="G974" i="5"/>
  <c r="J974" i="5"/>
  <c r="C974" i="5"/>
  <c r="I974" i="5"/>
  <c r="K974" i="5"/>
  <c r="O974" i="5"/>
  <c r="I4" i="4"/>
  <c r="L4" i="4"/>
  <c r="L3" i="4"/>
  <c r="K3" i="4"/>
  <c r="F3" i="4"/>
  <c r="L2" i="4"/>
  <c r="I2" i="4"/>
  <c r="K2" i="4"/>
  <c r="G2" i="4"/>
  <c r="H5" i="8" s="1"/>
  <c r="F2" i="4"/>
  <c r="P4" i="5" l="1"/>
  <c r="N4" i="5"/>
  <c r="K4" i="5"/>
  <c r="J4" i="5"/>
  <c r="H4" i="5"/>
  <c r="G4" i="5"/>
  <c r="F4" i="5"/>
  <c r="D4" i="5"/>
  <c r="A4" i="5"/>
  <c r="O4" i="5"/>
  <c r="M4" i="5"/>
  <c r="L4" i="5"/>
  <c r="I4" i="5"/>
  <c r="E4" i="5"/>
  <c r="C4" i="5"/>
  <c r="B4" i="5"/>
  <c r="J4" i="4"/>
  <c r="C41" i="3"/>
  <c r="C5" i="8"/>
  <c r="D5" i="8" s="1"/>
  <c r="C17" i="6"/>
  <c r="C6" i="6"/>
  <c r="C9" i="6"/>
  <c r="C7" i="6"/>
  <c r="O2" i="5"/>
  <c r="L2" i="5"/>
  <c r="K2" i="5"/>
  <c r="H2" i="5"/>
  <c r="F2" i="5"/>
  <c r="E2" i="5"/>
  <c r="C2" i="5"/>
  <c r="P2" i="5"/>
  <c r="N2" i="5"/>
  <c r="M2" i="5"/>
  <c r="J2" i="5"/>
  <c r="I2" i="5"/>
  <c r="G2" i="5"/>
  <c r="D2" i="5"/>
  <c r="B2" i="5"/>
  <c r="A2" i="5"/>
  <c r="J2" i="4"/>
  <c r="C26" i="6"/>
  <c r="C25" i="6"/>
  <c r="C24" i="6"/>
  <c r="C27" i="6"/>
  <c r="I3" i="4"/>
  <c r="C8" i="6" s="1"/>
  <c r="D10" i="6" l="1"/>
  <c r="D6" i="6"/>
  <c r="F5" i="8" s="1"/>
  <c r="E6" i="6"/>
  <c r="F6" i="6"/>
  <c r="G6" i="6"/>
  <c r="H6" i="6"/>
  <c r="I6" i="6"/>
  <c r="C10" i="6"/>
  <c r="A13" i="6"/>
  <c r="F9" i="6"/>
  <c r="A14" i="6"/>
  <c r="D9" i="6"/>
  <c r="E5" i="8" s="1"/>
  <c r="E9" i="6"/>
  <c r="G9" i="6"/>
  <c r="H9" i="6"/>
  <c r="I9" i="6"/>
  <c r="E7" i="6"/>
  <c r="F7" i="6"/>
  <c r="G7" i="6"/>
  <c r="D7" i="6"/>
  <c r="H7" i="6"/>
  <c r="I7" i="6"/>
  <c r="F8" i="6"/>
  <c r="D8" i="6"/>
  <c r="G8" i="6"/>
  <c r="I8" i="6"/>
  <c r="E8" i="6"/>
  <c r="H8" i="6"/>
  <c r="J3" i="4"/>
  <c r="B3" i="5"/>
  <c r="D3" i="5"/>
  <c r="E3" i="5"/>
  <c r="F3" i="5"/>
  <c r="G3" i="5"/>
  <c r="H3" i="5"/>
  <c r="L3" i="5"/>
  <c r="N3" i="5"/>
  <c r="P3" i="5"/>
  <c r="A3" i="5"/>
  <c r="C3" i="5"/>
  <c r="I3" i="5"/>
  <c r="J3" i="5"/>
  <c r="K3" i="5"/>
  <c r="M3" i="5"/>
  <c r="O3" i="5"/>
  <c r="C20" i="6" l="1"/>
  <c r="C1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Copilot Adoption Audit</author>
  </authors>
  <commentList>
    <comment ref="A1" authorId="0" shapeId="0" xr:uid="{00000000-0006-0000-0100-000001000000}">
      <text>
        <r>
          <rPr>
            <sz val="11"/>
            <color theme="1"/>
            <rFont val="Calibri"/>
            <family val="2"/>
            <scheme val="minor"/>
          </rPr>
          <t>Column order does not matter.
Rows 2 to 4 are examples only - one heavy user, one middling, one drifting. Delete them before you paste a real export.
This workbook finds every column it needs by matching the header text in row 1, so it does not matter which columns the admin switched on or what order the export produced them in. Paste the export exactly as it came, headers included, starting at A1.
Check the column-detection block on Setup after pasting: every line should read FOUND.</t>
        </r>
      </text>
    </comment>
  </commentList>
</comments>
</file>

<file path=xl/sharedStrings.xml><?xml version="1.0" encoding="utf-8"?>
<sst xmlns="http://schemas.openxmlformats.org/spreadsheetml/2006/main" count="376" uniqueCount="317">
  <si>
    <t>Copilot Adoption Audit - workbook</t>
  </si>
  <si>
    <t>Paste one Microsoft Copilot usage report export into the Paste Export tab. Everything else computes itself.</t>
  </si>
  <si>
    <t>Where the data comes from</t>
  </si>
  <si>
    <t>Report</t>
  </si>
  <si>
    <t>Microsoft Copilot usage report - the user-level table.</t>
  </si>
  <si>
    <t>Portal</t>
  </si>
  <si>
    <t>Microsoft 365 admin center - admin.microsoft.com</t>
  </si>
  <si>
    <t>Navigation</t>
  </si>
  <si>
    <t>Reports &gt; Usage &gt; Microsoft Copilot &gt; Copilot &gt; the Usage tab. If Reports is not in the navigation menu, choose Show all first.</t>
  </si>
  <si>
    <t>Period</t>
  </si>
  <si>
    <t>7 / 28 / 90 / 180 days. Take 180 for a full read, or 90 if you are working at small-tenant thresholds. Do not use 7 or 28 - they show you noise and call it a trend.</t>
  </si>
  <si>
    <t>Role</t>
  </si>
  <si>
    <t>Reports Reader is sufficient. Not Global Administrator.</t>
  </si>
  <si>
    <t>Before exporting</t>
  </si>
  <si>
    <t>Scroll to the user-level table and choose Choose columns, then switch on everything. The default column set is not enough.</t>
  </si>
  <si>
    <t>What you take</t>
  </si>
  <si>
    <t>The Export button on the user-level table. One CSV, one row per licensed user.</t>
  </si>
  <si>
    <t>The wrong Export</t>
  </si>
  <si>
    <t>The ellipsis menu on each individual chart also offers an Export. That gives you the chart's aggregate, not the user detail, and it is the mistake almost everyone makes the first time. You want the Export on the table.</t>
  </si>
  <si>
    <t>How to use this workbook</t>
  </si>
  <si>
    <t>1</t>
  </si>
  <si>
    <t>Open the CSV. Select everything including the header row, and copy.</t>
  </si>
  <si>
    <t>2</t>
  </si>
  <si>
    <t>Paste at cell A1 of the Paste Export tab - headers included. Delete the three example rows first; they are there to show the expected shape.</t>
  </si>
  <si>
    <t>3</t>
  </si>
  <si>
    <t>Fill in the four yellow cells on Setup: customer name, report period in days, refresh date, and a mode override if you want one.</t>
  </si>
  <si>
    <t>4</t>
  </si>
  <si>
    <t>Check the column-detection block on Setup. Every line should read FOUND.</t>
  </si>
  <si>
    <t>5</t>
  </si>
  <si>
    <t>Read Segments. That is the deliverable. Analysis is the per-user working, Chart is the scatter, Book Ranking is the portfolio view.</t>
  </si>
  <si>
    <t>The two modes</t>
  </si>
  <si>
    <t>LARGE (60+ rows)</t>
  </si>
  <si>
    <t>Thresholds are this tenant's own medians - median active days and median prompts. The scatter chart is meaningful.</t>
  </si>
  <si>
    <t>SMALL (under 60)</t>
  </si>
  <si>
    <t>Thresholds are fixed: 9 active days, and 15 prompts per week across the period. A median computed on thirty rows moves when one person takes annual leave. Do not use the chart in this mode - read the ranked list on Analysis.</t>
  </si>
  <si>
    <t>Override</t>
  </si>
  <si>
    <t>Set Setup C7 to SMALL or LARGE to force a mode. Leave it blank to let the row count decide. Whichever mode produced the numbers is stamped on the Segments subtitle - it will be the first question anyone asks six months later.</t>
  </si>
  <si>
    <t>Three rules this workbook enforces for you</t>
  </si>
  <si>
    <t>n&lt;5 suppression</t>
  </si>
  <si>
    <t>No percentage, median or rate is reported for any band with fewer than five people in it. Those cells read 'n&lt;5 not reported'. The raw count is still shown.</t>
  </si>
  <si>
    <t>Zero-guarding</t>
  </si>
  <si>
    <t>Prompts per active day divides by a column that is legitimately zero, and a log axis cannot plot zero prompts. Rates are wrapped, plot depth is floored at 1, and the excluded count is stated on Setup and on the chart caption.</t>
  </si>
  <si>
    <t>Correlational only</t>
  </si>
  <si>
    <t>This measures where the tool has not been made useful yet. It does not measure effort, contribution, productivity or performance. Say that in the room before the table goes on the screen, every time.</t>
  </si>
  <si>
    <t>Legend</t>
  </si>
  <si>
    <t>Yellow fill</t>
  </si>
  <si>
    <t>Cells you edit. Everything else is a formula - do not overtype it.</t>
  </si>
  <si>
    <t>Blue text</t>
  </si>
  <si>
    <t>A typed value rather than a calculation.</t>
  </si>
  <si>
    <t>Green text</t>
  </si>
  <si>
    <t>A link to a result on another sheet in this workbook.</t>
  </si>
  <si>
    <t>Capacity</t>
  </si>
  <si>
    <t>1,000 users. Every formula range runs to row 1001. To extend, select the last row of Analysis and Calc, fill down as far as you need, and widen the Setup, Segments and Chart ranges to match. Twenty tenants of a few hundred seats each fit as they are.</t>
  </si>
  <si>
    <t>Before you paste a customer's file anywhere</t>
  </si>
  <si>
    <t>This is employee data. Get written permission, leave Microsoft's anonymization on, and decide where the file lives and when it is destroyed before the first one lands.</t>
  </si>
  <si>
    <t>User name</t>
  </si>
  <si>
    <t>Display name</t>
  </si>
  <si>
    <t>Prompts submitted (any app)</t>
  </si>
  <si>
    <t>Copilot Chat (work) prompts submitted</t>
  </si>
  <si>
    <t>Copilot Chat (web) prompts submitted</t>
  </si>
  <si>
    <t>Active Days</t>
  </si>
  <si>
    <t>Last activity date (UTC)</t>
  </si>
  <si>
    <t>Last activity date of Teams Copilot (UTC)</t>
  </si>
  <si>
    <t>Last activity date of Word Copilot (UTC)</t>
  </si>
  <si>
    <t>Last activity date of Excel Copilot (UTC)</t>
  </si>
  <si>
    <t>Last activity date of PowerPoint Copilot (UTC)</t>
  </si>
  <si>
    <t>Last activity date of Outlook Copilot (UTC)</t>
  </si>
  <si>
    <t>Last activity date of OneNote Copilot (UTC)</t>
  </si>
  <si>
    <t>Last activity date of Loop Copilot (UTC)</t>
  </si>
  <si>
    <t>Last activity date of Copilot Chat (work) (UTC)</t>
  </si>
  <si>
    <t>Last activity date of Copilot Chat (web) (UTC)</t>
  </si>
  <si>
    <t>Last activity date of Microsoft 365 App (UTC)</t>
  </si>
  <si>
    <t>Last activity date of Microsoft Edge (UTC)</t>
  </si>
  <si>
    <t>A1B2C3D4E5F60718</t>
  </si>
  <si>
    <t>9F8E7D6C5B4A3928</t>
  </si>
  <si>
    <t>2026-08-25</t>
  </si>
  <si>
    <t>2026-08-22</t>
  </si>
  <si>
    <t>2026-08-19</t>
  </si>
  <si>
    <t>2026-08-11</t>
  </si>
  <si>
    <t>2026-07-30</t>
  </si>
  <si>
    <t>2026-08-06</t>
  </si>
  <si>
    <t>2026-08-24</t>
  </si>
  <si>
    <t>2026-08-21</t>
  </si>
  <si>
    <t>11223344556677AA</t>
  </si>
  <si>
    <t>BBCCDDEEFF001122</t>
  </si>
  <si>
    <t>2026-08-18</t>
  </si>
  <si>
    <t>2026-08-13</t>
  </si>
  <si>
    <t>DEADBEEF01234567</t>
  </si>
  <si>
    <t>0123456789ABCDEF</t>
  </si>
  <si>
    <t>2026-06-12</t>
  </si>
  <si>
    <t>2026-05-28</t>
  </si>
  <si>
    <t>2026-05-21</t>
  </si>
  <si>
    <t>2026-06-02</t>
  </si>
  <si>
    <t>2026-06-11</t>
  </si>
  <si>
    <t>The three rows above are EXAMPLES ONLY - one heavy user, one middling, one drifting. Delete them before you paste a real export. Paste at A1, headers included.</t>
  </si>
  <si>
    <t>Setup</t>
  </si>
  <si>
    <t>Fill in the yellow cells. Everything else is a formula.</t>
  </si>
  <si>
    <t>1 - Inputs</t>
  </si>
  <si>
    <t>Customer name</t>
  </si>
  <si>
    <t>Example Customer Ltd</t>
  </si>
  <si>
    <t>The name that appears on the Segments subtitle.</t>
  </si>
  <si>
    <t>Report period (days)</t>
  </si>
  <si>
    <t>7, 28, 90 or 180. Drives the SMALL-mode depth line.</t>
  </si>
  <si>
    <t>Report refresh date (UTC)</t>
  </si>
  <si>
    <t>2026-08-26</t>
  </si>
  <si>
    <t>Shown at the top of the usage report. Type it as text if you prefer.</t>
  </si>
  <si>
    <t>Mode override (SMALL / LARGE / blank)</t>
  </si>
  <si>
    <t>Leave blank to let the row count decide.</t>
  </si>
  <si>
    <t>2 - Detected from the pasted data</t>
  </si>
  <si>
    <t>Rows detected</t>
  </si>
  <si>
    <t>COUNTA over the first column of the paste area. Capacity 1,000 rows.</t>
  </si>
  <si>
    <t>Automatic mode</t>
  </si>
  <si>
    <t>Sixty rows is where a median stops moving when one person takes leave.</t>
  </si>
  <si>
    <t>Mode in use</t>
  </si>
  <si>
    <t>This is stamped on the Segments subtitle so the numbers are traceable.</t>
  </si>
  <si>
    <t>3 - Column detection (by header text, never by position)</t>
  </si>
  <si>
    <t>Each line matches the exact Microsoft header string against row 1 of Paste Export. Nothing in this workbook refers to a column letter of the pasted data.</t>
  </si>
  <si>
    <t>Field</t>
  </si>
  <si>
    <t>Header text matched</t>
  </si>
  <si>
    <t>Column</t>
  </si>
  <si>
    <t>Status</t>
  </si>
  <si>
    <t>User</t>
  </si>
  <si>
    <t>Prompts (depth axis)</t>
  </si>
  <si>
    <t>Web prompts</t>
  </si>
  <si>
    <t>Active days (frequency axis)</t>
  </si>
  <si>
    <t>Last activity</t>
  </si>
  <si>
    <t>Surface 1 - Teams</t>
  </si>
  <si>
    <t>Surface 2 - Word</t>
  </si>
  <si>
    <t>Surface 3 - Excel</t>
  </si>
  <si>
    <t>Surface 4 - PowerPoint</t>
  </si>
  <si>
    <t>Surface 5 - Outlook</t>
  </si>
  <si>
    <t>Surface 6 - OneNote</t>
  </si>
  <si>
    <t>Surface 7 - Loop</t>
  </si>
  <si>
    <t>Surface 8 - Microsoft 365 App</t>
  </si>
  <si>
    <t>4 - Thresholds</t>
  </si>
  <si>
    <t>Frequency line - active days</t>
  </si>
  <si>
    <t>Depth line - prompts</t>
  </si>
  <si>
    <t>Band mapping: high frequency + high depth = Embedded. High frequency + low depth = Loyal but shallow. Low frequency + high depth = Project-driven. Low + low = Drifting.</t>
  </si>
  <si>
    <t>5 - Disclosure counters (say these out loud)</t>
  </si>
  <si>
    <t>Never-active users</t>
  </si>
  <si>
    <t>Zero prompts and zero active days. The most defensible number here.</t>
  </si>
  <si>
    <t>Excluded from the chart (zero prompts)</t>
  </si>
  <si>
    <t>A log axis cannot render zero. These are plotted at 1 - state the count on the slide.</t>
  </si>
  <si>
    <t>Surfaces counted per user</t>
  </si>
  <si>
    <t>8</t>
  </si>
  <si>
    <t>Teams, Word, Excel, PowerPoint, Outlook, OneNote, Loop and the Microsoft 365 App. Edge and the two chat entry points are chat surfaces, not application surfaces, and are excluded from the count.</t>
  </si>
  <si>
    <t>#</t>
  </si>
  <si>
    <t>Active days</t>
  </si>
  <si>
    <t>Prompts</t>
  </si>
  <si>
    <t>Prompts / active day</t>
  </si>
  <si>
    <t>Web share of prompts</t>
  </si>
  <si>
    <t>Surfaces touched</t>
  </si>
  <si>
    <t>Band</t>
  </si>
  <si>
    <t>Drifting split</t>
  </si>
  <si>
    <t>Plot depth</t>
  </si>
  <si>
    <t>Never active</t>
  </si>
  <si>
    <t>Embedded - Prompts</t>
  </si>
  <si>
    <t>Loyal but shallow - Prompts</t>
  </si>
  <si>
    <t>Project-driven - Prompts</t>
  </si>
  <si>
    <t>Drifting - Prompts</t>
  </si>
  <si>
    <t>Embedded - Active days</t>
  </si>
  <si>
    <t>Loyal but shallow - Active days</t>
  </si>
  <si>
    <t>Project-driven - Active days</t>
  </si>
  <si>
    <t>Drifting - Active days</t>
  </si>
  <si>
    <t>Embedded - Prompts / active day</t>
  </si>
  <si>
    <t>Loyal but shallow - Prompts / active day</t>
  </si>
  <si>
    <t>Project-driven - Prompts / active day</t>
  </si>
  <si>
    <t>Drifting - Prompts / active day</t>
  </si>
  <si>
    <t>Embedded - Surfaces</t>
  </si>
  <si>
    <t>Loyal but shallow - Surfaces</t>
  </si>
  <si>
    <t>Project-driven - Surfaces</t>
  </si>
  <si>
    <t>Drifting - Surfaces</t>
  </si>
  <si>
    <t>Segments</t>
  </si>
  <si>
    <t>Relationships shown are correlational. This measures where the tool has not been made useful yet - not effort, contribution or value.</t>
  </si>
  <si>
    <t>Threshold rule</t>
  </si>
  <si>
    <t>Users</t>
  </si>
  <si>
    <t>% of users</t>
  </si>
  <si>
    <t>% of all prompts</t>
  </si>
  <si>
    <t>Median prompts</t>
  </si>
  <si>
    <t>Median active days</t>
  </si>
  <si>
    <t>Median prompts / active day</t>
  </si>
  <si>
    <t>Median surfaces</t>
  </si>
  <si>
    <t>What it means</t>
  </si>
  <si>
    <t>Embedded</t>
  </si>
  <si>
    <t>Active days &gt;= frequency line AND prompts &gt;= depth line</t>
  </si>
  <si>
    <t>Frequent and deep. This is where the return is concentrated, and it is usually thinner than anyone expects. Check agent access before anyone proposes building agents.</t>
  </si>
  <si>
    <t>Loyal but shallow</t>
  </si>
  <si>
    <t>Active days &gt;= frequency line AND prompts &lt; depth line</t>
  </si>
  <si>
    <t>Present more often than the threshold, running a low rate per active day. Months of loyalty to a single use case. The highest conversion rate you will find: sell a second use case, not a mindset.</t>
  </si>
  <si>
    <t>Project-driven</t>
  </si>
  <si>
    <t>Active days &lt; frequency line AND prompts &gt;= depth line</t>
  </si>
  <si>
    <t>Rare visits, deep sessions. Capable and not yet embedded in anything weekly. Workflow embedding, and check their grounding -- this band skews to ungrounded chat.</t>
  </si>
  <si>
    <t>Drifting</t>
  </si>
  <si>
    <t>Active days &lt; frequency line AND prompts &lt; depth line</t>
  </si>
  <si>
    <t>Fails both lines. Split it before you act on it: people who tried several surfaces and stopped are recoverable with use-case design; people who never started may be a licensing error.</t>
  </si>
  <si>
    <t>All bands</t>
  </si>
  <si>
    <t>Should equal the rows detected on Setup.</t>
  </si>
  <si>
    <t>The finding</t>
  </si>
  <si>
    <t>Licence exposure - four numbers, and they are never merged</t>
  </si>
  <si>
    <t>Never active (zero prompts and zero active days)</t>
  </si>
  <si>
    <t>Zero prompts (excluded from the chart)</t>
  </si>
  <si>
    <t>Drifting - never started (under 3 surfaces touched)</t>
  </si>
  <si>
    <t>Drifting - tried and stopped (3 or more surfaces touched)</t>
  </si>
  <si>
    <t>These four overlap and they are not a wasted-licence total. Do not add them together and do not put a single number on a slide. Reconcile the row count against currently assigned licences under Billing &gt; Licenses first: the table shows everyone who held a Copilot licence at any point in the window, including people whose licence was removed.</t>
  </si>
  <si>
    <t>The realistic ceiling - prompts per active day, in this tenant</t>
  </si>
  <si>
    <t>Median</t>
  </si>
  <si>
    <t>75th percentile</t>
  </si>
  <si>
    <t>95th percentile</t>
  </si>
  <si>
    <t>Maximum</t>
  </si>
  <si>
    <t>Frequency against depth</t>
  </si>
  <si>
    <t>Every point is one user. Horizontal position is how often they used Copilot Chat; vertical position is how much. The two threshold lines are on Setup - change them there and the whole population re-sorts.</t>
  </si>
  <si>
    <t>Book ranking - one row per Copilot customer</t>
  </si>
  <si>
    <t>Row 5 reads this workbook's own result in green. Rows 6 and below are yellow: one row per customer, filled in from that customer's copy of this workbook. Sort by never-active share descending and filter to renewals inside two quarters, and you have your priority list.</t>
  </si>
  <si>
    <t>Customer</t>
  </si>
  <si>
    <t>Licensed users</t>
  </si>
  <si>
    <t>Never active %</t>
  </si>
  <si>
    <t>Drifting %</t>
  </si>
  <si>
    <t>Embedded %</t>
  </si>
  <si>
    <t>Embedded with no agent use</t>
  </si>
  <si>
    <t>Web-only users</t>
  </si>
  <si>
    <t>Months to renewal</t>
  </si>
  <si>
    <t>Next play</t>
  </si>
  <si>
    <t>Owner</t>
  </si>
  <si>
    <t>Date agreed</t>
  </si>
  <si>
    <t>G comes from the agents usage report, not from this export - the two reports do not share a window, so state both. I to L come from your own systems.</t>
  </si>
  <si>
    <t>Next play - one of four: use-case design by job role (Drifting), a second use case in thirty minutes (Loyal but shallow), workflow embedding plus a grounding conversation (Project-driven), agent access rather than agent authorship (Embedded). Assign an owner and a date or the exercise stays interesting and never becomes revenue.</t>
  </si>
  <si>
    <t>Rows are only comparable if they were produced in the same mode. The mode is stamped on each workbook's Segments subtitle - record it if you mix tenant sizes.</t>
  </si>
  <si>
    <t>Reference</t>
  </si>
  <si>
    <t>The offline twin of Sections 8, 9 and 13 of the Copilot Adoption Audit page. Microsoft's reporting surface changes frequently - re-verify column names, report paths and window lengths before you re-deliver.</t>
  </si>
  <si>
    <t>The five reports</t>
  </si>
  <si>
    <t>Microsoft Copilot usage report - user-level table</t>
  </si>
  <si>
    <t>7 / 28 / 90 / 180 days. Take 180 for a full read, or 90 if you are working at small-tenant thresholds. Do not use 7 or 28.</t>
  </si>
  <si>
    <t>Reports Reader, or any of: Usage Summary Reports Reader, AI Administrator, Exchange / SharePoint / Teams / Teams Communications Administrator, User Experience Success Manager, Global Administrator.</t>
  </si>
  <si>
    <t>Scroll to the user-level table, choose Choose columns and switch on everything, then use the Export on the table. The ellipsis Export on each chart gives you the chart's aggregate, not the user detail.</t>
  </si>
  <si>
    <t>Microsoft Copilot agents usage report</t>
  </si>
  <si>
    <t>Reports &gt; Usage &gt; Microsoft Copilot &gt; Agents</t>
  </si>
  <si>
    <t>7 or 30 days only. Not 90, not 180.</t>
  </si>
  <si>
    <t>Same roles as the usage report. Names are concealed here too.</t>
  </si>
  <si>
    <t>Three tables: user details, agent details, and a user-and-agent pair view. The pair view tells you whether your champions have ever been given an agent.</t>
  </si>
  <si>
    <t>Microsoft Copilot readiness report</t>
  </si>
  <si>
    <t>Reports &gt; Usage &gt; Microsoft Copilot &gt; Readiness</t>
  </si>
  <si>
    <t>Snapshot of eligibility and assignment rather than a rolling window.</t>
  </si>
  <si>
    <t>Same roles as the usage report.</t>
  </si>
  <si>
    <t>Who is eligible, who is licensed, where the gaps are. Use it when the tenant is not far enough along to have a distribution worth plotting.</t>
  </si>
  <si>
    <t>Microsoft Copilot Dashboard - Viva Insights</t>
  </si>
  <si>
    <t>Microsoft Viva Insights. Quickest route in is the Recommendations card inside the Copilot usage report.</t>
  </si>
  <si>
    <t>Viva Insights &gt; Copilot Dashboard</t>
  </si>
  <si>
    <t>Rolling windows set by the dashboard. Processing starts once at least one Copilot licence is assigned and takes up to seven days.</t>
  </si>
  <si>
    <t>Available with one or more Copilot licences. No paid Viva Insights licence required to view.</t>
  </si>
  <si>
    <t>Nothing, for this method. Read it to know what your customer has already been shown. Agent insights, benchmarks, group-level metrics, intelligent summaries and delegation are switched off below fifty Copilot licences.</t>
  </si>
  <si>
    <t>Microsoft 365 usage reports (overview)</t>
  </si>
  <si>
    <t>Reports &gt; Usage</t>
  </si>
  <si>
    <t>7 / 30 / 90 / 180 days depending on the report.</t>
  </si>
  <si>
    <t>Reports Reader is sufficient.</t>
  </si>
  <si>
    <t>The landing page the Copilot report sits behind. Also where the concealment behaviour that applies to every report is documented.</t>
  </si>
  <si>
    <t>The concealment setting</t>
  </si>
  <si>
    <t>What it does</t>
  </si>
  <si>
    <t>Conceals user, group and site names in every Microsoft 365 usage report. It is on by default, and every band, segment size and chart in this method works perfectly against hashes.</t>
  </si>
  <si>
    <t>Path</t>
  </si>
  <si>
    <t>Settings &gt; Org Settings &gt; Services &gt; Reports &gt; "Conceal user, group, and site names in all reports"</t>
  </si>
  <si>
    <t>Global Administrator - a materially bigger ask than Reports Reader, and the reason to avoid needing it.</t>
  </si>
  <si>
    <t>Scope</t>
  </si>
  <si>
    <t>Tenant-wide and retroactive across every usage report, including Graph, Power BI and the Teams admin center. Not scoped to your export.</t>
  </si>
  <si>
    <t>Audit</t>
  </si>
  <si>
    <t>Showing identifiable user information is a logged event in the Microsoft Purview audit log. Someone will see it.</t>
  </si>
  <si>
    <t>The better ask</t>
  </si>
  <si>
    <t>Have the customer's admin add a department or job-family column on their side and hand you the file with identities already stripped. It succeeds far more often and leaves nothing to explain.</t>
  </si>
  <si>
    <t>If you would rather script it than click it</t>
  </si>
  <si>
    <t>Graph call</t>
  </si>
  <si>
    <t>GET https://graph.microsoft.com/v1.0/copilot/reports/getMicrosoft365CopilotUsageUserDetail(period='D180', version='v2')</t>
  </si>
  <si>
    <t>Permission</t>
  </si>
  <si>
    <t>Reports.Read.All - delegated or application. The response is a CSV stream.</t>
  </si>
  <si>
    <t>The version trap</t>
  </si>
  <si>
    <t>Version 1 - the default if you omit the parameter - contains no prompt counts and no active days. Both axes of this method are missing from it. You must pass version='v2'. Period values differ by version too: v1 accepts D7 D30 D90 D180 ALL, v2 accepts D7 D28 D90 D180 ALL.</t>
  </si>
  <si>
    <t>The ten traps, one line each</t>
  </si>
  <si>
    <t>01  Active Days is a chat measure, not an all-app measure</t>
  </si>
  <si>
    <t>Microsoft counts days the user submitted prompts to Copilot Chat. Call the frequency axis chat frequency, and cross-check the Drifting band against the per-app last-activity columns before calling anyone dormant.</t>
  </si>
  <si>
    <t>02  Not every Copilot action counts as a prompt</t>
  </si>
  <si>
    <t>Edit with Word counts toward Copilot Chat (work) prompts; Edit with Excel and Edit with PowerPoint do not. Teams Intelligent Recap, Interpreter and Facilitator count as active usage without generating a prompt. Prompt count is not a measure of effort.</t>
  </si>
  <si>
    <t>03  The denominator includes people who are no longer licensed</t>
  </si>
  <si>
    <t>The user-level table shows everyone who held a Copilot licence at any point in the past 180 days. Reconcile the row count against assigned licences under Billing &gt; Licenses before computing any rate.</t>
  </si>
  <si>
    <t>04  The agent report and the usage report do not share a window</t>
  </si>
  <si>
    <t>Usage report: 7, 28, 90 or 180 days. Agents usage report: 7 or 30 days only. Never put an agent percentage and a usage percentage on one slide as though they covered the same period.</t>
  </si>
  <si>
    <t>05  The agent report changed what it counts</t>
  </si>
  <si>
    <t>The superseded report counted only agents your organisation built. The current one includes Microsoft and third-party agents and breaks usage down by creator type, so the same tenant looks far more agentic for reasons that have nothing to do with adoption.</t>
  </si>
  <si>
    <t>06  The data moves after you have exported it</t>
  </si>
  <si>
    <t>Activity typically appears within 48 hours and the previous three days are re-validated and backfilled on a rolling basis. Stamp every output with the refresh date and the window.</t>
  </si>
  <si>
    <t>07  A blank last-activity date is not always inactivity</t>
  </si>
  <si>
    <t>If a user used Copilot within 24 hours of licence assignment and never again, the last-activity date can be empty. Treat blank-with-nonzero-prompts as a data artefact, not as a user.</t>
  </si>
  <si>
    <t>08  Anonymized rows cannot be joined, and deleted users vanish</t>
  </si>
  <si>
    <t>With concealment on -- the default -- the principal-name column is a hash. Usage data for a deleted account is removed within 30 days, so totals will not reconcile across a period covering a departure.</t>
  </si>
  <si>
    <t>09  The audit log is not a usage report</t>
  </si>
  <si>
    <t>Microsoft states that Purview audit data is not intended as a basis for usage reporting and will not reconcile with the official reports. Use the usage report or the Copilot Dashboard.</t>
  </si>
  <si>
    <t>10  Zero is not plottable, and it is not divisible either</t>
  </si>
  <si>
    <t>A log depth axis cannot render zero prompts, and prompts-per-active-day divides by a column that is legitimately zero for much of the population. This workbook plots zero-prompt users at 1 and counts them on Setup and on the Chart caption. Say the excluded count out loud.</t>
  </si>
  <si>
    <t>The meta-trap</t>
  </si>
  <si>
    <t>Nine of the ten make your numbers look worse than reality if you ignore them. An unexamined export systematically over-states failure - and the admin in the room who knows these definitions will dismantle you.</t>
  </si>
  <si>
    <t>Sources</t>
  </si>
  <si>
    <t>Microsoft Copilot usage report</t>
  </si>
  <si>
    <t>https://learn.microsoft.com/en-us/microsoft-365/admin/activity-reports/microsoft-365-copilot-usage</t>
  </si>
  <si>
    <t>Microsoft 365 admin center usage reports overview</t>
  </si>
  <si>
    <t>https://learn.microsoft.com/en-us/microsoft-365/admin/activity-reports/activity-reports</t>
  </si>
  <si>
    <t>Graph API: getMicrosoft365CopilotUsageUserDetail</t>
  </si>
  <si>
    <t>https://learn.microsoft.com/en-us/microsoft-365/copilot/extensibility/api/admin-settings/reports/copilotreportroot-getmicrosoft365copilotusageuserdetail</t>
  </si>
  <si>
    <t>Copilot Agents usage report (preview)</t>
  </si>
  <si>
    <t>https://learn.microsoft.com/en-us/microsoft-365/admin/activity-reports/microsoft-365-copilot-agents-new</t>
  </si>
  <si>
    <t>Copilot Agent usage report (deprecated)</t>
  </si>
  <si>
    <t>https://learn.microsoft.com/en-us/microsoft-365/admin/activity-reports/microsoft-365-copilot-agents</t>
  </si>
  <si>
    <t>Copilot Dashboard in Viva Insights</t>
  </si>
  <si>
    <t>https://learn.microsoft.com/en-us/viva/insights/org-team-insights/copilot-dashboard</t>
  </si>
  <si>
    <t>https://learn.microsoft.com/en-us/microsoft-365/admin/activity-reports/microsoft-365-copilot-readiness</t>
  </si>
  <si>
    <t>Call Microsoft Graph from a Cloud Solution Provider application</t>
  </si>
  <si>
    <t>https://learn.microsoft.com/en-us/graph/auth-cloudsolutionprovider</t>
  </si>
  <si>
    <t>Granular delegated admin privileges (GDAP) introduction</t>
  </si>
  <si>
    <t>https://learn.microsoft.com/en-us/partner-center/customers/gdap-introduction</t>
  </si>
  <si>
    <t>Authorization for APIs to read Microsoft 365 usage reports</t>
  </si>
  <si>
    <t>https://learn.microsoft.com/en-us/graph/reportroot-authorization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</si>
</sst>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1"/>
      <color theme="1"/>
      <name val="Calibri"/>
      <family val="2"/>
      <scheme val="minor"/>
    </font>
    <font>
      <b/>
      <sz val="14"/>
      <color rgb="FF003057"/>
      <name val="Arial"/>
    </font>
    <font>
      <i/>
      <sz val="10"/>
      <color rgb="FF6B7280"/>
      <name val="Arial"/>
    </font>
    <font>
      <b/>
      <sz val="11"/>
      <color rgb="FF0F7C8A"/>
      <name val="Arial"/>
    </font>
    <font>
      <b/>
      <sz val="10"/>
      <color rgb="FF003057"/>
      <name val="Arial"/>
    </font>
    <font>
      <sz val="10"/>
      <color rgb="FF000000"/>
      <name val="Arial"/>
    </font>
    <font>
      <b/>
      <sz val="10"/>
      <color rgb="FFC00000"/>
      <name val="Arial"/>
    </font>
    <font>
      <sz val="10"/>
      <color rgb="FFC00000"/>
      <name val="Arial"/>
    </font>
    <font>
      <b/>
      <sz val="10"/>
      <color rgb="FF000000"/>
      <name val="Arial"/>
    </font>
    <font>
      <b/>
      <sz val="10"/>
      <color rgb="FF0000FF"/>
      <name val="Arial"/>
    </font>
    <font>
      <b/>
      <sz val="10"/>
      <color rgb="FF008000"/>
      <name val="Arial"/>
    </font>
    <font>
      <b/>
      <sz val="9"/>
      <color rgb="FFFFFFFF"/>
      <name val="Arial"/>
    </font>
    <font>
      <sz val="10"/>
      <color rgb="FF0000FF"/>
      <name val="Arial"/>
    </font>
    <font>
      <sz val="9"/>
      <color rgb="FF6B7280"/>
      <name val="Arial"/>
    </font>
    <font>
      <i/>
      <sz val="9"/>
      <color rgb="FF6B7280"/>
      <name val="Arial"/>
    </font>
    <font>
      <b/>
      <sz val="9"/>
      <color rgb="FF000000"/>
      <name val="Arial"/>
    </font>
    <font>
      <sz val="10"/>
      <name val="Arial"/>
    </font>
    <font>
      <b/>
      <sz val="8"/>
      <color rgb="FFFFFFFF"/>
      <name val="Arial"/>
    </font>
    <font>
      <sz val="9"/>
      <name val="Arial"/>
    </font>
    <font>
      <i/>
      <sz val="11"/>
      <color rgb="FF6B7280"/>
      <name val="Arial"/>
    </font>
    <font>
      <sz val="9"/>
      <color rgb="FF000000"/>
      <name val="Arial"/>
    </font>
    <font>
      <sz val="10"/>
      <color rgb="FF003057"/>
      <name val="Arial"/>
    </font>
    <font>
      <sz val="9"/>
      <color rgb="FFC00000"/>
      <name val="Arial"/>
    </font>
    <font>
      <b/>
      <sz val="11"/>
      <color rgb="FFC00000"/>
      <name val="Arial"/>
    </font>
    <font>
      <b/>
      <sz val="9"/>
      <color rgb="FF6B7280"/>
      <name val="Arial"/>
    </font>
    <font>
      <b/>
      <sz val="9"/>
      <color rgb="FFC00000"/>
      <name val="Arial"/>
    </font>
    <font>
      <b/>
      <sz val="9"/>
      <color rgb="FF003057"/>
      <name val="Arial"/>
    </font>
  </fonts>
  <fills count="4">
    <fill>
      <patternFill patternType="none"/>
    </fill>
    <fill>
      <patternFill patternType="gray125"/>
    </fill>
    <fill>
      <patternFill patternType="solid">
        <fgColor rgb="FFFFFF00"/>
      </patternFill>
    </fill>
    <fill>
      <patternFill patternType="solid">
        <fgColor rgb="FF003057"/>
      </patternFill>
    </fill>
  </fills>
  <borders count="1">
    <border>
      <left/>
      <right/>
      <top/>
      <bottom/>
      <diagonal/>
    </border>
  </borders>
  <cellStyleXfs count="1">
    <xf numFmtId="0" fontId="0" fillId="0" borderId="0"/>
  </cellStyleXfs>
  <cellXfs count="60">
    <xf numFmtId="0" fontId="0" fillId="0" borderId="0" xfId="0"/>
    <xf numFmtId="0" fontId="1"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2" borderId="0" xfId="0" applyFont="1" applyFill="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3" borderId="0" xfId="0" applyFont="1" applyFill="1" applyAlignment="1">
      <alignment vertical="center" wrapText="1"/>
    </xf>
    <xf numFmtId="0" fontId="12" fillId="2" borderId="0" xfId="0" applyFont="1" applyFill="1"/>
    <xf numFmtId="0" fontId="6" fillId="0" borderId="0" xfId="0" applyFont="1" applyAlignment="1">
      <alignment vertical="top"/>
    </xf>
    <xf numFmtId="0" fontId="2" fillId="0" borderId="0" xfId="0" applyFont="1" applyAlignment="1">
      <alignment vertical="top"/>
    </xf>
    <xf numFmtId="0" fontId="4" fillId="0" borderId="0" xfId="0" applyFont="1" applyAlignment="1">
      <alignment vertical="top"/>
    </xf>
    <xf numFmtId="0" fontId="12" fillId="2" borderId="0" xfId="0" applyFont="1" applyFill="1" applyAlignment="1">
      <alignment vertical="top"/>
    </xf>
    <xf numFmtId="0" fontId="13" fillId="0" borderId="0" xfId="0" applyFont="1" applyAlignment="1">
      <alignment vertical="top"/>
    </xf>
    <xf numFmtId="1" fontId="12" fillId="2" borderId="0" xfId="0" applyNumberFormat="1" applyFont="1" applyFill="1" applyAlignment="1">
      <alignment vertical="top"/>
    </xf>
    <xf numFmtId="1" fontId="5" fillId="0" borderId="0" xfId="0" applyNumberFormat="1" applyFont="1" applyAlignment="1">
      <alignment vertical="top"/>
    </xf>
    <xf numFmtId="0" fontId="5" fillId="0" borderId="0" xfId="0" applyFont="1" applyAlignment="1">
      <alignment vertical="top"/>
    </xf>
    <xf numFmtId="0" fontId="8" fillId="0" borderId="0" xfId="0" applyFont="1" applyAlignment="1">
      <alignment vertical="top"/>
    </xf>
    <xf numFmtId="0" fontId="13" fillId="0" borderId="0" xfId="0" applyFont="1" applyAlignment="1">
      <alignment vertical="top" wrapText="1"/>
    </xf>
    <xf numFmtId="0" fontId="15" fillId="0" borderId="0" xfId="0" applyFont="1" applyAlignment="1">
      <alignment vertical="top"/>
    </xf>
    <xf numFmtId="164" fontId="5" fillId="0" borderId="0" xfId="0" applyNumberFormat="1" applyFont="1" applyAlignment="1">
      <alignment vertical="top"/>
    </xf>
    <xf numFmtId="1" fontId="16" fillId="0" borderId="0" xfId="0" applyNumberFormat="1" applyFont="1"/>
    <xf numFmtId="0" fontId="16" fillId="0" borderId="0" xfId="0" applyFont="1"/>
    <xf numFmtId="164" fontId="16" fillId="0" borderId="0" xfId="0" applyNumberFormat="1" applyFont="1"/>
    <xf numFmtId="165" fontId="16" fillId="0" borderId="0" xfId="0" applyNumberFormat="1" applyFont="1"/>
    <xf numFmtId="0" fontId="17" fillId="3" borderId="0" xfId="0" applyFont="1" applyFill="1" applyAlignment="1">
      <alignment vertical="center" wrapText="1"/>
    </xf>
    <xf numFmtId="0" fontId="18" fillId="0" borderId="0" xfId="0" applyFont="1"/>
    <xf numFmtId="0" fontId="19" fillId="0" borderId="0" xfId="0" applyFont="1" applyAlignment="1">
      <alignment vertical="top"/>
    </xf>
    <xf numFmtId="0" fontId="4" fillId="0" borderId="0" xfId="0" applyFont="1" applyAlignment="1">
      <alignment vertical="center"/>
    </xf>
    <xf numFmtId="0" fontId="13" fillId="0" borderId="0" xfId="0" applyFont="1" applyAlignment="1">
      <alignment vertical="center" wrapText="1"/>
    </xf>
    <xf numFmtId="1" fontId="5" fillId="0" borderId="0" xfId="0" applyNumberFormat="1" applyFont="1" applyAlignment="1">
      <alignment vertical="center"/>
    </xf>
    <xf numFmtId="165" fontId="5" fillId="0" borderId="0" xfId="0" applyNumberFormat="1" applyFont="1" applyAlignment="1">
      <alignment vertical="center"/>
    </xf>
    <xf numFmtId="164" fontId="5" fillId="0" borderId="0" xfId="0" applyNumberFormat="1" applyFont="1" applyAlignment="1">
      <alignment vertical="center"/>
    </xf>
    <xf numFmtId="0" fontId="20" fillId="0" borderId="0" xfId="0" applyFont="1" applyAlignment="1">
      <alignment vertical="center" wrapText="1"/>
    </xf>
    <xf numFmtId="1" fontId="8" fillId="0" borderId="0" xfId="0" applyNumberFormat="1" applyFont="1" applyAlignment="1">
      <alignment vertical="top"/>
    </xf>
    <xf numFmtId="165" fontId="8" fillId="0" borderId="0" xfId="0" applyNumberFormat="1" applyFont="1" applyAlignment="1">
      <alignment vertical="top"/>
    </xf>
    <xf numFmtId="0" fontId="22" fillId="0" borderId="0" xfId="0" applyFont="1" applyAlignment="1">
      <alignment vertical="top" wrapText="1"/>
    </xf>
    <xf numFmtId="0" fontId="21" fillId="0" borderId="0" xfId="0" applyFont="1" applyAlignment="1">
      <alignment vertical="top"/>
    </xf>
    <xf numFmtId="164" fontId="8" fillId="0" borderId="0" xfId="0" applyNumberFormat="1" applyFont="1" applyAlignment="1">
      <alignment vertical="top"/>
    </xf>
    <xf numFmtId="0" fontId="23" fillId="0" borderId="0" xfId="0" applyFont="1" applyAlignment="1">
      <alignment vertical="top"/>
    </xf>
    <xf numFmtId="0" fontId="10" fillId="0" borderId="0" xfId="0" applyFont="1" applyAlignment="1">
      <alignment vertical="top"/>
    </xf>
    <xf numFmtId="1" fontId="10" fillId="0" borderId="0" xfId="0" applyNumberFormat="1" applyFont="1" applyAlignment="1">
      <alignment vertical="top"/>
    </xf>
    <xf numFmtId="165" fontId="10" fillId="0" borderId="0" xfId="0" applyNumberFormat="1" applyFont="1" applyAlignment="1">
      <alignment vertical="top"/>
    </xf>
    <xf numFmtId="165" fontId="12" fillId="2" borderId="0" xfId="0" applyNumberFormat="1" applyFont="1" applyFill="1" applyAlignment="1">
      <alignment vertical="top"/>
    </xf>
    <xf numFmtId="0" fontId="24" fillId="0" borderId="0" xfId="0" applyFont="1" applyAlignment="1">
      <alignment vertical="top"/>
    </xf>
    <xf numFmtId="0" fontId="20" fillId="0" borderId="0" xfId="0" applyFont="1" applyAlignment="1">
      <alignment vertical="top" wrapText="1"/>
    </xf>
    <xf numFmtId="0" fontId="25" fillId="0" borderId="0" xfId="0" applyFont="1" applyAlignment="1">
      <alignment vertical="top"/>
    </xf>
    <xf numFmtId="0" fontId="26" fillId="0" borderId="0" xfId="0" applyFont="1" applyAlignment="1">
      <alignment vertical="top" wrapText="1"/>
    </xf>
    <xf numFmtId="0" fontId="2" fillId="0" borderId="0" xfId="0" applyFont="1" applyAlignment="1">
      <alignment vertical="top" wrapText="1"/>
    </xf>
    <xf numFmtId="0" fontId="0" fillId="0" borderId="0" xfId="0"/>
    <xf numFmtId="0" fontId="14" fillId="0" borderId="0" xfId="0" applyFont="1" applyAlignment="1">
      <alignment vertical="top" wrapText="1"/>
    </xf>
    <xf numFmtId="0" fontId="6" fillId="0" borderId="0" xfId="0" applyFont="1" applyAlignment="1">
      <alignment vertical="top" wrapText="1"/>
    </xf>
    <xf numFmtId="0" fontId="21" fillId="0" borderId="0" xfId="0" applyFont="1" applyAlignment="1">
      <alignment vertical="top" wrapText="1"/>
    </xf>
    <xf numFmtId="0" fontId="5" fillId="0" borderId="0" xfId="0" applyFont="1" applyAlignment="1">
      <alignment vertical="top" wrapText="1"/>
    </xf>
    <xf numFmtId="0" fontId="22" fillId="0" borderId="0" xfId="0" applyFont="1" applyAlignment="1">
      <alignment vertical="top" wrapText="1"/>
    </xf>
    <xf numFmtId="0" fontId="1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Chat frequency against depth</a:t>
            </a:r>
          </a:p>
        </c:rich>
      </c:tx>
      <c:overlay val="1"/>
    </c:title>
    <c:autoTitleDeleted val="0"/>
    <c:plotArea>
      <c:layout/>
      <c:scatterChart>
        <c:scatterStyle val="lineMarker"/>
        <c:varyColors val="1"/>
        <c:ser>
          <c:idx val="0"/>
          <c:order val="0"/>
          <c:tx>
            <c:v>Users</c:v>
          </c:tx>
          <c:spPr>
            <a:ln>
              <a:noFill/>
              <a:prstDash val="solid"/>
            </a:ln>
          </c:spPr>
          <c:marker>
            <c:symbol val="circle"/>
            <c:size val="4"/>
            <c:spPr>
              <a:ln>
                <a:prstDash val="solid"/>
              </a:ln>
            </c:spPr>
          </c:marker>
          <c:xVal>
            <c:strRef>
              <c:f>Analysis!$C$2:$C$1001</c:f>
              <c:strCache>
                <c:ptCount val="3"/>
                <c:pt idx="0">
                  <c:v>47</c:v>
                </c:pt>
                <c:pt idx="1">
                  <c:v>31</c:v>
                </c:pt>
                <c:pt idx="2">
                  <c:v>3</c:v>
                </c:pt>
              </c:strCache>
            </c:strRef>
          </c:xVal>
          <c:yVal>
            <c:numRef>
              <c:f>Analysis!$K$2:$K$1001</c:f>
              <c:numCache>
                <c:formatCode>0</c:formatCode>
                <c:ptCount val="1000"/>
                <c:pt idx="0">
                  <c:v>612</c:v>
                </c:pt>
                <c:pt idx="1">
                  <c:v>96</c:v>
                </c:pt>
                <c:pt idx="2">
                  <c:v>11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yVal>
          <c:smooth val="1"/>
          <c:extLst>
            <c:ext xmlns:c16="http://schemas.microsoft.com/office/drawing/2014/chart" uri="{C3380CC4-5D6E-409C-BE32-E72D297353CC}">
              <c16:uniqueId val="{00000000-535E-4734-B641-1BD444DF8355}"/>
            </c:ext>
          </c:extLst>
        </c:ser>
        <c:dLbls>
          <c:showLegendKey val="0"/>
          <c:showVal val="0"/>
          <c:showCatName val="0"/>
          <c:showSerName val="0"/>
          <c:showPercent val="0"/>
          <c:showBubbleSize val="0"/>
        </c:dLbls>
        <c:axId val="10"/>
        <c:axId val="20"/>
      </c:scatterChart>
      <c:valAx>
        <c:axId val="10"/>
        <c:scaling>
          <c:orientation val="minMax"/>
        </c:scaling>
        <c:delete val="1"/>
        <c:axPos val="b"/>
        <c:title>
          <c:tx>
            <c:rich>
              <a:bodyPr/>
              <a:lstStyle/>
              <a:p>
                <a:pPr>
                  <a:defRPr/>
                </a:pPr>
                <a:r>
                  <a:t>Active days (chat frequency)</a:t>
                </a:r>
              </a:p>
            </c:rich>
          </c:tx>
          <c:overlay val="1"/>
        </c:title>
        <c:majorTickMark val="none"/>
        <c:minorTickMark val="none"/>
        <c:tickLblPos val="nextTo"/>
        <c:crossAx val="20"/>
        <c:crosses val="autoZero"/>
        <c:crossBetween val="midCat"/>
      </c:valAx>
      <c:valAx>
        <c:axId val="20"/>
        <c:scaling>
          <c:logBase val="10"/>
          <c:orientation val="minMax"/>
          <c:min val="1"/>
        </c:scaling>
        <c:delete val="1"/>
        <c:axPos val="l"/>
        <c:majorGridlines/>
        <c:title>
          <c:tx>
            <c:rich>
              <a:bodyPr/>
              <a:lstStyle/>
              <a:p>
                <a:pPr>
                  <a:defRPr/>
                </a:pPr>
                <a:r>
                  <a:t>Prompts (plot depth, log scale)</a:t>
                </a:r>
              </a:p>
            </c:rich>
          </c:tx>
          <c:overlay val="1"/>
        </c:title>
        <c:numFmt formatCode="0" sourceLinked="1"/>
        <c:majorTickMark val="none"/>
        <c:minorTickMark val="none"/>
        <c:tickLblPos val="nextTo"/>
        <c:crossAx val="10"/>
        <c:crosses val="autoZero"/>
        <c:crossBetween val="midCat"/>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640000" cy="50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4"/>
  <sheetViews>
    <sheetView showGridLines="0" tabSelected="1" workbookViewId="0"/>
  </sheetViews>
  <sheetFormatPr defaultRowHeight="15" x14ac:dyDescent="0.25"/>
  <cols>
    <col min="1" max="1" width="2.42578125" customWidth="1"/>
    <col min="2" max="2" width="30" customWidth="1"/>
    <col min="3" max="3" width="96" customWidth="1"/>
  </cols>
  <sheetData>
    <row r="2" spans="2:3" ht="18" x14ac:dyDescent="0.25">
      <c r="B2" s="1" t="s">
        <v>0</v>
      </c>
    </row>
    <row r="4" spans="2:3" x14ac:dyDescent="0.25">
      <c r="B4" s="51" t="s">
        <v>1</v>
      </c>
      <c r="C4" s="52"/>
    </row>
    <row r="6" spans="2:3" x14ac:dyDescent="0.25">
      <c r="B6" s="2" t="s">
        <v>2</v>
      </c>
    </row>
    <row r="7" spans="2:3" ht="14.1" customHeight="1" x14ac:dyDescent="0.25">
      <c r="B7" s="3" t="s">
        <v>3</v>
      </c>
      <c r="C7" s="4" t="s">
        <v>4</v>
      </c>
    </row>
    <row r="8" spans="2:3" ht="14.1" customHeight="1" x14ac:dyDescent="0.25">
      <c r="B8" s="3" t="s">
        <v>5</v>
      </c>
      <c r="C8" s="4" t="s">
        <v>6</v>
      </c>
    </row>
    <row r="9" spans="2:3" ht="24" customHeight="1" x14ac:dyDescent="0.25">
      <c r="B9" s="3" t="s">
        <v>7</v>
      </c>
      <c r="C9" s="4" t="s">
        <v>8</v>
      </c>
    </row>
    <row r="10" spans="2:3" ht="24" customHeight="1" x14ac:dyDescent="0.25">
      <c r="B10" s="3" t="s">
        <v>9</v>
      </c>
      <c r="C10" s="4" t="s">
        <v>10</v>
      </c>
    </row>
    <row r="11" spans="2:3" ht="14.1" customHeight="1" x14ac:dyDescent="0.25">
      <c r="B11" s="3" t="s">
        <v>11</v>
      </c>
      <c r="C11" s="4" t="s">
        <v>12</v>
      </c>
    </row>
    <row r="12" spans="2:3" ht="24" customHeight="1" x14ac:dyDescent="0.25">
      <c r="B12" s="3" t="s">
        <v>13</v>
      </c>
      <c r="C12" s="4" t="s">
        <v>14</v>
      </c>
    </row>
    <row r="13" spans="2:3" ht="14.1" customHeight="1" x14ac:dyDescent="0.25">
      <c r="B13" s="3" t="s">
        <v>15</v>
      </c>
      <c r="C13" s="4" t="s">
        <v>16</v>
      </c>
    </row>
    <row r="14" spans="2:3" ht="36" customHeight="1" x14ac:dyDescent="0.25">
      <c r="B14" s="5" t="s">
        <v>17</v>
      </c>
      <c r="C14" s="6" t="s">
        <v>18</v>
      </c>
    </row>
    <row r="15" spans="2:3" x14ac:dyDescent="0.25">
      <c r="B15" s="2" t="s">
        <v>19</v>
      </c>
    </row>
    <row r="16" spans="2:3" ht="14.1" customHeight="1" x14ac:dyDescent="0.25">
      <c r="B16" s="3" t="s">
        <v>20</v>
      </c>
      <c r="C16" s="4" t="s">
        <v>21</v>
      </c>
    </row>
    <row r="17" spans="2:3" ht="24" customHeight="1" x14ac:dyDescent="0.25">
      <c r="B17" s="3" t="s">
        <v>22</v>
      </c>
      <c r="C17" s="4" t="s">
        <v>23</v>
      </c>
    </row>
    <row r="18" spans="2:3" ht="24" customHeight="1" x14ac:dyDescent="0.25">
      <c r="B18" s="3" t="s">
        <v>24</v>
      </c>
      <c r="C18" s="4" t="s">
        <v>25</v>
      </c>
    </row>
    <row r="19" spans="2:3" ht="14.1" customHeight="1" x14ac:dyDescent="0.25">
      <c r="B19" s="3" t="s">
        <v>26</v>
      </c>
      <c r="C19" s="4" t="s">
        <v>27</v>
      </c>
    </row>
    <row r="20" spans="2:3" ht="24" customHeight="1" x14ac:dyDescent="0.25">
      <c r="B20" s="3" t="s">
        <v>28</v>
      </c>
      <c r="C20" s="4" t="s">
        <v>29</v>
      </c>
    </row>
    <row r="21" spans="2:3" x14ac:dyDescent="0.25">
      <c r="B21" s="2" t="s">
        <v>30</v>
      </c>
    </row>
    <row r="22" spans="2:3" ht="24" customHeight="1" x14ac:dyDescent="0.25">
      <c r="B22" s="3" t="s">
        <v>31</v>
      </c>
      <c r="C22" s="4" t="s">
        <v>32</v>
      </c>
    </row>
    <row r="23" spans="2:3" ht="36" customHeight="1" x14ac:dyDescent="0.25">
      <c r="B23" s="3" t="s">
        <v>33</v>
      </c>
      <c r="C23" s="4" t="s">
        <v>34</v>
      </c>
    </row>
    <row r="24" spans="2:3" ht="36" customHeight="1" x14ac:dyDescent="0.25">
      <c r="B24" s="3" t="s">
        <v>35</v>
      </c>
      <c r="C24" s="4" t="s">
        <v>36</v>
      </c>
    </row>
    <row r="25" spans="2:3" x14ac:dyDescent="0.25">
      <c r="B25" s="2" t="s">
        <v>37</v>
      </c>
    </row>
    <row r="26" spans="2:3" ht="24" customHeight="1" x14ac:dyDescent="0.25">
      <c r="B26" s="3" t="s">
        <v>38</v>
      </c>
      <c r="C26" s="4" t="s">
        <v>39</v>
      </c>
    </row>
    <row r="27" spans="2:3" ht="36" customHeight="1" x14ac:dyDescent="0.25">
      <c r="B27" s="3" t="s">
        <v>40</v>
      </c>
      <c r="C27" s="4" t="s">
        <v>41</v>
      </c>
    </row>
    <row r="28" spans="2:3" ht="24" customHeight="1" x14ac:dyDescent="0.25">
      <c r="B28" s="3" t="s">
        <v>42</v>
      </c>
      <c r="C28" s="4" t="s">
        <v>43</v>
      </c>
    </row>
    <row r="29" spans="2:3" x14ac:dyDescent="0.25">
      <c r="B29" s="2" t="s">
        <v>44</v>
      </c>
    </row>
    <row r="30" spans="2:3" ht="14.1" customHeight="1" x14ac:dyDescent="0.25">
      <c r="B30" s="7" t="s">
        <v>45</v>
      </c>
      <c r="C30" s="4" t="s">
        <v>46</v>
      </c>
    </row>
    <row r="31" spans="2:3" ht="14.1" customHeight="1" x14ac:dyDescent="0.25">
      <c r="B31" s="8" t="s">
        <v>47</v>
      </c>
      <c r="C31" s="4" t="s">
        <v>48</v>
      </c>
    </row>
    <row r="32" spans="2:3" ht="14.1" customHeight="1" x14ac:dyDescent="0.25">
      <c r="B32" s="9" t="s">
        <v>49</v>
      </c>
      <c r="C32" s="4" t="s">
        <v>50</v>
      </c>
    </row>
    <row r="33" spans="2:3" ht="36" customHeight="1" x14ac:dyDescent="0.25">
      <c r="B33" s="3" t="s">
        <v>51</v>
      </c>
      <c r="C33" s="4" t="s">
        <v>52</v>
      </c>
    </row>
    <row r="34" spans="2:3" ht="24" customHeight="1" x14ac:dyDescent="0.25">
      <c r="B34" s="5" t="s">
        <v>53</v>
      </c>
      <c r="C34" s="6" t="s">
        <v>54</v>
      </c>
    </row>
  </sheetData>
  <mergeCells count="1">
    <mergeCell ref="B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
  <sheetViews>
    <sheetView workbookViewId="0">
      <pane ySplit="1" topLeftCell="A2" activePane="bottomLeft" state="frozen"/>
      <selection pane="bottomLeft"/>
    </sheetView>
  </sheetViews>
  <sheetFormatPr defaultRowHeight="15" x14ac:dyDescent="0.25"/>
  <cols>
    <col min="1" max="18" width="21" customWidth="1"/>
  </cols>
  <sheetData>
    <row r="1" spans="1:18" ht="45.95" customHeight="1" x14ac:dyDescent="0.25">
      <c r="A1" s="10" t="s">
        <v>55</v>
      </c>
      <c r="B1" s="10" t="s">
        <v>56</v>
      </c>
      <c r="C1" s="10" t="s">
        <v>57</v>
      </c>
      <c r="D1" s="10" t="s">
        <v>58</v>
      </c>
      <c r="E1" s="10" t="s">
        <v>59</v>
      </c>
      <c r="F1" s="10" t="s">
        <v>60</v>
      </c>
      <c r="G1" s="10" t="s">
        <v>61</v>
      </c>
      <c r="H1" s="10" t="s">
        <v>62</v>
      </c>
      <c r="I1" s="10" t="s">
        <v>63</v>
      </c>
      <c r="J1" s="10" t="s">
        <v>64</v>
      </c>
      <c r="K1" s="10" t="s">
        <v>65</v>
      </c>
      <c r="L1" s="10" t="s">
        <v>66</v>
      </c>
      <c r="M1" s="10" t="s">
        <v>67</v>
      </c>
      <c r="N1" s="10" t="s">
        <v>68</v>
      </c>
      <c r="O1" s="10" t="s">
        <v>69</v>
      </c>
      <c r="P1" s="10" t="s">
        <v>70</v>
      </c>
      <c r="Q1" s="10" t="s">
        <v>71</v>
      </c>
      <c r="R1" s="10" t="s">
        <v>72</v>
      </c>
    </row>
    <row r="2" spans="1:18" x14ac:dyDescent="0.25">
      <c r="A2" s="11" t="s">
        <v>73</v>
      </c>
      <c r="B2" s="11" t="s">
        <v>74</v>
      </c>
      <c r="C2" s="11">
        <v>612</v>
      </c>
      <c r="D2" s="11">
        <v>470</v>
      </c>
      <c r="E2" s="11">
        <v>142</v>
      </c>
      <c r="F2" s="11">
        <v>47</v>
      </c>
      <c r="G2" s="11" t="s">
        <v>75</v>
      </c>
      <c r="H2" s="11" t="s">
        <v>75</v>
      </c>
      <c r="I2" s="11" t="s">
        <v>76</v>
      </c>
      <c r="J2" s="11" t="s">
        <v>77</v>
      </c>
      <c r="K2" s="11" t="s">
        <v>78</v>
      </c>
      <c r="L2" s="11" t="s">
        <v>75</v>
      </c>
      <c r="M2" s="11" t="s">
        <v>79</v>
      </c>
      <c r="N2" s="11" t="s">
        <v>80</v>
      </c>
      <c r="O2" s="11" t="s">
        <v>75</v>
      </c>
      <c r="P2" s="11" t="s">
        <v>81</v>
      </c>
      <c r="Q2" s="11" t="s">
        <v>75</v>
      </c>
      <c r="R2" s="11" t="s">
        <v>82</v>
      </c>
    </row>
    <row r="3" spans="1:18" x14ac:dyDescent="0.25">
      <c r="A3" s="11" t="s">
        <v>83</v>
      </c>
      <c r="B3" s="11" t="s">
        <v>84</v>
      </c>
      <c r="C3" s="11">
        <v>96</v>
      </c>
      <c r="D3" s="11">
        <v>88</v>
      </c>
      <c r="E3" s="11">
        <v>8</v>
      </c>
      <c r="F3" s="11">
        <v>31</v>
      </c>
      <c r="G3" s="11" t="s">
        <v>81</v>
      </c>
      <c r="H3" s="11" t="s">
        <v>81</v>
      </c>
      <c r="I3" s="11" t="s">
        <v>85</v>
      </c>
      <c r="J3" s="11"/>
      <c r="K3" s="11"/>
      <c r="L3" s="11" t="s">
        <v>81</v>
      </c>
      <c r="M3" s="11"/>
      <c r="N3" s="11"/>
      <c r="O3" s="11" t="s">
        <v>81</v>
      </c>
      <c r="P3" s="11"/>
      <c r="Q3" s="11" t="s">
        <v>86</v>
      </c>
      <c r="R3" s="11"/>
    </row>
    <row r="4" spans="1:18" x14ac:dyDescent="0.25">
      <c r="A4" s="11" t="s">
        <v>87</v>
      </c>
      <c r="B4" s="11" t="s">
        <v>88</v>
      </c>
      <c r="C4" s="11">
        <v>11</v>
      </c>
      <c r="D4" s="11">
        <v>6</v>
      </c>
      <c r="E4" s="11">
        <v>5</v>
      </c>
      <c r="F4" s="11">
        <v>3</v>
      </c>
      <c r="G4" s="11" t="s">
        <v>89</v>
      </c>
      <c r="H4" s="11" t="s">
        <v>89</v>
      </c>
      <c r="I4" s="11" t="s">
        <v>90</v>
      </c>
      <c r="J4" s="11"/>
      <c r="K4" s="11" t="s">
        <v>91</v>
      </c>
      <c r="L4" s="11" t="s">
        <v>92</v>
      </c>
      <c r="M4" s="11"/>
      <c r="N4" s="11"/>
      <c r="O4" s="11" t="s">
        <v>89</v>
      </c>
      <c r="P4" s="11" t="s">
        <v>93</v>
      </c>
      <c r="Q4" s="11"/>
      <c r="R4" s="11"/>
    </row>
    <row r="6" spans="1:18" ht="30" customHeight="1" x14ac:dyDescent="0.25">
      <c r="C6" s="12" t="s">
        <v>94</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43"/>
  <sheetViews>
    <sheetView showGridLines="0" workbookViewId="0"/>
  </sheetViews>
  <sheetFormatPr defaultRowHeight="15" x14ac:dyDescent="0.25"/>
  <cols>
    <col min="1" max="1" width="2.42578125" customWidth="1"/>
    <col min="2" max="2" width="34" customWidth="1"/>
    <col min="3" max="3" width="24" customWidth="1"/>
    <col min="4" max="4" width="3" customWidth="1"/>
    <col min="5" max="5" width="30" customWidth="1"/>
    <col min="6" max="6" width="46" customWidth="1"/>
    <col min="7" max="7" width="10" customWidth="1"/>
    <col min="8" max="8" width="12" customWidth="1"/>
  </cols>
  <sheetData>
    <row r="2" spans="2:5" ht="18" x14ac:dyDescent="0.25">
      <c r="B2" s="1" t="s">
        <v>95</v>
      </c>
    </row>
    <row r="3" spans="2:5" x14ac:dyDescent="0.25">
      <c r="B3" s="13" t="s">
        <v>96</v>
      </c>
    </row>
    <row r="5" spans="2:5" x14ac:dyDescent="0.25">
      <c r="B5" s="2" t="s">
        <v>97</v>
      </c>
    </row>
    <row r="6" spans="2:5" x14ac:dyDescent="0.25">
      <c r="B6" s="14" t="s">
        <v>98</v>
      </c>
      <c r="C6" s="15" t="s">
        <v>99</v>
      </c>
      <c r="E6" s="16" t="s">
        <v>100</v>
      </c>
    </row>
    <row r="7" spans="2:5" x14ac:dyDescent="0.25">
      <c r="B7" s="14" t="s">
        <v>101</v>
      </c>
      <c r="C7" s="17">
        <v>90</v>
      </c>
      <c r="E7" s="16" t="s">
        <v>102</v>
      </c>
    </row>
    <row r="8" spans="2:5" x14ac:dyDescent="0.25">
      <c r="B8" s="14" t="s">
        <v>103</v>
      </c>
      <c r="C8" s="15" t="s">
        <v>104</v>
      </c>
      <c r="E8" s="16" t="s">
        <v>105</v>
      </c>
    </row>
    <row r="9" spans="2:5" x14ac:dyDescent="0.25">
      <c r="B9" s="14" t="s">
        <v>106</v>
      </c>
      <c r="C9" s="15"/>
      <c r="E9" s="16" t="s">
        <v>107</v>
      </c>
    </row>
    <row r="11" spans="2:5" x14ac:dyDescent="0.25">
      <c r="B11" s="2" t="s">
        <v>108</v>
      </c>
    </row>
    <row r="12" spans="2:5" x14ac:dyDescent="0.25">
      <c r="B12" s="14" t="s">
        <v>109</v>
      </c>
      <c r="C12" s="18">
        <f>COUNTA('Paste Export'!A2:A1001)</f>
        <v>3</v>
      </c>
      <c r="E12" s="16" t="s">
        <v>110</v>
      </c>
    </row>
    <row r="13" spans="2:5" x14ac:dyDescent="0.25">
      <c r="B13" s="14" t="s">
        <v>111</v>
      </c>
      <c r="C13" s="19" t="str">
        <f>IF(C12&gt;=60,"LARGE","SMALL")</f>
        <v>SMALL</v>
      </c>
      <c r="E13" s="16" t="s">
        <v>112</v>
      </c>
    </row>
    <row r="14" spans="2:5" x14ac:dyDescent="0.25">
      <c r="B14" s="14" t="s">
        <v>113</v>
      </c>
      <c r="C14" s="20" t="str">
        <f>IF(C9="",C13,UPPER(C9))</f>
        <v>SMALL</v>
      </c>
      <c r="E14" s="16" t="s">
        <v>114</v>
      </c>
    </row>
    <row r="16" spans="2:5" x14ac:dyDescent="0.25">
      <c r="B16" s="2" t="s">
        <v>115</v>
      </c>
    </row>
    <row r="17" spans="2:7" ht="26.1" customHeight="1" x14ac:dyDescent="0.25">
      <c r="B17" s="53" t="s">
        <v>116</v>
      </c>
      <c r="C17" s="52"/>
      <c r="D17" s="52"/>
      <c r="E17" s="52"/>
      <c r="F17" s="52"/>
    </row>
    <row r="18" spans="2:7" x14ac:dyDescent="0.25">
      <c r="B18" s="10" t="s">
        <v>117</v>
      </c>
      <c r="C18" s="10"/>
      <c r="D18" s="10"/>
      <c r="E18" s="10" t="s">
        <v>118</v>
      </c>
      <c r="F18" s="10" t="s">
        <v>119</v>
      </c>
      <c r="G18" s="10" t="s">
        <v>120</v>
      </c>
    </row>
    <row r="19" spans="2:7" x14ac:dyDescent="0.25">
      <c r="B19" s="14" t="s">
        <v>121</v>
      </c>
      <c r="E19" s="21" t="s">
        <v>55</v>
      </c>
      <c r="F19" s="18">
        <f>IFERROR(MATCH($E19,'Paste Export'!$A$1:$BZ$1,0),0)</f>
        <v>1</v>
      </c>
      <c r="G19" s="22" t="str">
        <f t="shared" ref="G19:G31" si="0">IF($F19=0,"NOT FOUND","FOUND")</f>
        <v>FOUND</v>
      </c>
    </row>
    <row r="20" spans="2:7" x14ac:dyDescent="0.25">
      <c r="B20" s="14" t="s">
        <v>122</v>
      </c>
      <c r="E20" s="21" t="s">
        <v>57</v>
      </c>
      <c r="F20" s="18">
        <f>IFERROR(MATCH($E20,'Paste Export'!$A$1:$BZ$1,0),0)</f>
        <v>3</v>
      </c>
      <c r="G20" s="22" t="str">
        <f t="shared" si="0"/>
        <v>FOUND</v>
      </c>
    </row>
    <row r="21" spans="2:7" ht="24" x14ac:dyDescent="0.25">
      <c r="B21" s="14" t="s">
        <v>123</v>
      </c>
      <c r="E21" s="21" t="s">
        <v>59</v>
      </c>
      <c r="F21" s="18">
        <f>IFERROR(MATCH($E21,'Paste Export'!$A$1:$BZ$1,0),0)</f>
        <v>5</v>
      </c>
      <c r="G21" s="22" t="str">
        <f t="shared" si="0"/>
        <v>FOUND</v>
      </c>
    </row>
    <row r="22" spans="2:7" x14ac:dyDescent="0.25">
      <c r="B22" s="14" t="s">
        <v>124</v>
      </c>
      <c r="E22" s="21" t="s">
        <v>60</v>
      </c>
      <c r="F22" s="18">
        <f>IFERROR(MATCH($E22,'Paste Export'!$A$1:$BZ$1,0),0)</f>
        <v>6</v>
      </c>
      <c r="G22" s="22" t="str">
        <f t="shared" si="0"/>
        <v>FOUND</v>
      </c>
    </row>
    <row r="23" spans="2:7" x14ac:dyDescent="0.25">
      <c r="B23" s="14" t="s">
        <v>125</v>
      </c>
      <c r="E23" s="21" t="s">
        <v>61</v>
      </c>
      <c r="F23" s="18">
        <f>IFERROR(MATCH($E23,'Paste Export'!$A$1:$BZ$1,0),0)</f>
        <v>7</v>
      </c>
      <c r="G23" s="22" t="str">
        <f t="shared" si="0"/>
        <v>FOUND</v>
      </c>
    </row>
    <row r="24" spans="2:7" ht="24" x14ac:dyDescent="0.25">
      <c r="B24" s="14" t="s">
        <v>126</v>
      </c>
      <c r="E24" s="21" t="s">
        <v>62</v>
      </c>
      <c r="F24" s="18">
        <f>IFERROR(MATCH($E24,'Paste Export'!$A$1:$BZ$1,0),0)</f>
        <v>8</v>
      </c>
      <c r="G24" s="22" t="str">
        <f t="shared" si="0"/>
        <v>FOUND</v>
      </c>
    </row>
    <row r="25" spans="2:7" ht="24" x14ac:dyDescent="0.25">
      <c r="B25" s="14" t="s">
        <v>127</v>
      </c>
      <c r="E25" s="21" t="s">
        <v>63</v>
      </c>
      <c r="F25" s="18">
        <f>IFERROR(MATCH($E25,'Paste Export'!$A$1:$BZ$1,0),0)</f>
        <v>9</v>
      </c>
      <c r="G25" s="22" t="str">
        <f t="shared" si="0"/>
        <v>FOUND</v>
      </c>
    </row>
    <row r="26" spans="2:7" ht="24" x14ac:dyDescent="0.25">
      <c r="B26" s="14" t="s">
        <v>128</v>
      </c>
      <c r="E26" s="21" t="s">
        <v>64</v>
      </c>
      <c r="F26" s="18">
        <f>IFERROR(MATCH($E26,'Paste Export'!$A$1:$BZ$1,0),0)</f>
        <v>10</v>
      </c>
      <c r="G26" s="22" t="str">
        <f t="shared" si="0"/>
        <v>FOUND</v>
      </c>
    </row>
    <row r="27" spans="2:7" ht="24" x14ac:dyDescent="0.25">
      <c r="B27" s="14" t="s">
        <v>129</v>
      </c>
      <c r="E27" s="21" t="s">
        <v>65</v>
      </c>
      <c r="F27" s="18">
        <f>IFERROR(MATCH($E27,'Paste Export'!$A$1:$BZ$1,0),0)</f>
        <v>11</v>
      </c>
      <c r="G27" s="22" t="str">
        <f t="shared" si="0"/>
        <v>FOUND</v>
      </c>
    </row>
    <row r="28" spans="2:7" ht="24" x14ac:dyDescent="0.25">
      <c r="B28" s="14" t="s">
        <v>130</v>
      </c>
      <c r="E28" s="21" t="s">
        <v>66</v>
      </c>
      <c r="F28" s="18">
        <f>IFERROR(MATCH($E28,'Paste Export'!$A$1:$BZ$1,0),0)</f>
        <v>12</v>
      </c>
      <c r="G28" s="22" t="str">
        <f t="shared" si="0"/>
        <v>FOUND</v>
      </c>
    </row>
    <row r="29" spans="2:7" ht="24" x14ac:dyDescent="0.25">
      <c r="B29" s="14" t="s">
        <v>131</v>
      </c>
      <c r="E29" s="21" t="s">
        <v>67</v>
      </c>
      <c r="F29" s="18">
        <f>IFERROR(MATCH($E29,'Paste Export'!$A$1:$BZ$1,0),0)</f>
        <v>13</v>
      </c>
      <c r="G29" s="22" t="str">
        <f t="shared" si="0"/>
        <v>FOUND</v>
      </c>
    </row>
    <row r="30" spans="2:7" ht="24" x14ac:dyDescent="0.25">
      <c r="B30" s="14" t="s">
        <v>132</v>
      </c>
      <c r="E30" s="21" t="s">
        <v>68</v>
      </c>
      <c r="F30" s="18">
        <f>IFERROR(MATCH($E30,'Paste Export'!$A$1:$BZ$1,0),0)</f>
        <v>14</v>
      </c>
      <c r="G30" s="22" t="str">
        <f t="shared" si="0"/>
        <v>FOUND</v>
      </c>
    </row>
    <row r="31" spans="2:7" ht="24" x14ac:dyDescent="0.25">
      <c r="B31" s="14" t="s">
        <v>133</v>
      </c>
      <c r="E31" s="21" t="s">
        <v>71</v>
      </c>
      <c r="F31" s="18">
        <f>IFERROR(MATCH($E31,'Paste Export'!$A$1:$BZ$1,0),0)</f>
        <v>17</v>
      </c>
      <c r="G31" s="22" t="str">
        <f t="shared" si="0"/>
        <v>FOUND</v>
      </c>
    </row>
    <row r="33" spans="2:6" ht="30" customHeight="1" x14ac:dyDescent="0.25">
      <c r="B33" s="54" t="str">
        <f>IF(COUNTIF($F$19:$F$31,0)=0,"All 13 columns found.","MISSING COLUMNS - "&amp;COUNTIF($F$19:$F$31,0)&amp;" of 13. Check you exported the user table with all columns switched on, and that this is a v2 report. Version 1 has no prompt or active-day columns at all.")</f>
        <v>All 13 columns found.</v>
      </c>
      <c r="C33" s="52"/>
      <c r="D33" s="52"/>
      <c r="E33" s="52"/>
      <c r="F33" s="52"/>
    </row>
    <row r="35" spans="2:6" x14ac:dyDescent="0.25">
      <c r="B35" s="2" t="s">
        <v>134</v>
      </c>
    </row>
    <row r="36" spans="2:6" x14ac:dyDescent="0.25">
      <c r="B36" s="14" t="s">
        <v>135</v>
      </c>
      <c r="C36" s="23">
        <f>IF(run_mode="SMALL", 9, MEDIAN(INDEX('Paste Export'!$A$2:$BZ$1001,0,col_days)))</f>
        <v>9</v>
      </c>
      <c r="E36" s="21" t="str">
        <f>IF(run_mode="SMALL","Fixed: active in 9 of the past 12 weeks.","This tenant's own median active days.")</f>
        <v>Fixed: active in 9 of the past 12 weeks.</v>
      </c>
    </row>
    <row r="37" spans="2:6" x14ac:dyDescent="0.25">
      <c r="B37" s="14" t="s">
        <v>136</v>
      </c>
      <c r="C37" s="23">
        <f>IF(run_mode="SMALL", ROUND(15*(period_days/7),0), MEDIAN(INDEX('Paste Export'!$A$2:$BZ$1001,0,col_prompts)))</f>
        <v>193</v>
      </c>
      <c r="E37" s="21" t="str">
        <f>IF(run_mode="SMALL","Fixed: 15 prompts per week across "&amp;period_days&amp;" days.","This tenant's own median prompts.")</f>
        <v>Fixed: 15 prompts per week across 90 days.</v>
      </c>
    </row>
    <row r="38" spans="2:6" ht="26.1" customHeight="1" x14ac:dyDescent="0.25">
      <c r="B38" s="53" t="s">
        <v>137</v>
      </c>
      <c r="C38" s="52"/>
      <c r="D38" s="52"/>
      <c r="E38" s="52"/>
      <c r="F38" s="52"/>
    </row>
    <row r="40" spans="2:6" x14ac:dyDescent="0.25">
      <c r="B40" s="2" t="s">
        <v>138</v>
      </c>
    </row>
    <row r="41" spans="2:6" ht="24" x14ac:dyDescent="0.25">
      <c r="B41" s="14" t="s">
        <v>139</v>
      </c>
      <c r="C41" s="18">
        <f>SUM(Analysis!$L$2:$L$1001)</f>
        <v>0</v>
      </c>
      <c r="E41" s="21" t="s">
        <v>140</v>
      </c>
    </row>
    <row r="42" spans="2:6" ht="36" x14ac:dyDescent="0.25">
      <c r="B42" s="14" t="s">
        <v>141</v>
      </c>
      <c r="C42" s="18">
        <f>COUNTIF(Analysis!$D$2:$D$1001,0)</f>
        <v>0</v>
      </c>
      <c r="E42" s="21" t="s">
        <v>142</v>
      </c>
    </row>
    <row r="43" spans="2:6" ht="27.95" customHeight="1" x14ac:dyDescent="0.25">
      <c r="B43" s="14" t="s">
        <v>143</v>
      </c>
      <c r="C43" s="19" t="s">
        <v>144</v>
      </c>
      <c r="E43" s="21" t="s">
        <v>145</v>
      </c>
    </row>
  </sheetData>
  <mergeCells count="3">
    <mergeCell ref="B38:F38"/>
    <mergeCell ref="B17:F17"/>
    <mergeCell ref="B33:F3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1"/>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22" customWidth="1"/>
    <col min="3" max="3" width="11" customWidth="1"/>
    <col min="4" max="4" width="10" customWidth="1"/>
    <col min="5" max="5" width="11" customWidth="1"/>
    <col min="6" max="7" width="12" customWidth="1"/>
    <col min="8" max="8" width="11" customWidth="1"/>
    <col min="9" max="10" width="17" customWidth="1"/>
    <col min="11" max="12" width="10" customWidth="1"/>
  </cols>
  <sheetData>
    <row r="1" spans="1:12" ht="39.950000000000003" customHeight="1" x14ac:dyDescent="0.25">
      <c r="A1" s="10" t="s">
        <v>146</v>
      </c>
      <c r="B1" s="10" t="s">
        <v>121</v>
      </c>
      <c r="C1" s="10" t="s">
        <v>147</v>
      </c>
      <c r="D1" s="10" t="s">
        <v>148</v>
      </c>
      <c r="E1" s="10" t="s">
        <v>123</v>
      </c>
      <c r="F1" s="10" t="s">
        <v>149</v>
      </c>
      <c r="G1" s="10" t="s">
        <v>150</v>
      </c>
      <c r="H1" s="10" t="s">
        <v>151</v>
      </c>
      <c r="I1" s="10" t="s">
        <v>152</v>
      </c>
      <c r="J1" s="10" t="s">
        <v>153</v>
      </c>
      <c r="K1" s="10" t="s">
        <v>154</v>
      </c>
      <c r="L1" s="10" t="s">
        <v>155</v>
      </c>
    </row>
    <row r="2" spans="1:12" x14ac:dyDescent="0.25">
      <c r="A2" s="24">
        <f t="shared" ref="A2:A65" si="0">ROW()-1</f>
        <v>1</v>
      </c>
      <c r="B2" s="25" t="str">
        <f>IF($A2&gt;nrows,"",IF(col_user=0,"",INDEX('Paste Export'!$A$2:$BZ$1001,$A2,col_user)))</f>
        <v>A1B2C3D4E5F60718</v>
      </c>
      <c r="C2" s="24">
        <f>IF($A2&gt;nrows,"",IF(col_days=0,0,N(INDEX('Paste Export'!$A$2:$BZ$1001,$A2,col_days))))</f>
        <v>47</v>
      </c>
      <c r="D2" s="24">
        <f>IF($A2&gt;nrows,"",IF(col_prompts=0,0,N(INDEX('Paste Export'!$A$2:$BZ$1001,$A2,col_prompts))))</f>
        <v>612</v>
      </c>
      <c r="E2" s="24">
        <f>IF($A2&gt;nrows,"",IF(col_web=0,0,N(INDEX('Paste Export'!$A$2:$BZ$1001,$A2,col_web))))</f>
        <v>142</v>
      </c>
      <c r="F2" s="26">
        <f t="shared" ref="F2:F65" si="1">IF($A2&gt;nrows,"",IFERROR($D2/$C2,0))</f>
        <v>13.021276595744681</v>
      </c>
      <c r="G2" s="27">
        <f t="shared" ref="G2:G65" si="2">IF($A2&gt;nrows,"",IFERROR($E2/$D2,""))</f>
        <v>0.23202614379084968</v>
      </c>
      <c r="H2" s="24">
        <f>IF($A2&gt;nrows,"",IF(col_s1=0,0,--(LEN(INDEX('Paste Export'!$A$2:$BZ$1001,$A2,col_s1))&gt;0))+IF(col_s2=0,0,--(LEN(INDEX('Paste Export'!$A$2:$BZ$1001,$A2,col_s2))&gt;0))+IF(col_s3=0,0,--(LEN(INDEX('Paste Export'!$A$2:$BZ$1001,$A2,col_s3))&gt;0))+IF(col_s4=0,0,--(LEN(INDEX('Paste Export'!$A$2:$BZ$1001,$A2,col_s4))&gt;0))+IF(col_s5=0,0,--(LEN(INDEX('Paste Export'!$A$2:$BZ$1001,$A2,col_s5))&gt;0))+IF(col_s6=0,0,--(LEN(INDEX('Paste Export'!$A$2:$BZ$1001,$A2,col_s6))&gt;0))+IF(col_s7=0,0,--(LEN(INDEX('Paste Export'!$A$2:$BZ$1001,$A2,col_s7))&gt;0))+IF(col_s8=0,0,--(LEN(INDEX('Paste Export'!$A$2:$BZ$1001,$A2,col_s8))&gt;0)))</f>
        <v>8</v>
      </c>
      <c r="I2" s="25" t="str">
        <f t="shared" ref="I2:I65" si="3">IF($A2&gt;nrows,"",IF($C2&gt;=freq_line,IF($D2&gt;=depth_line,"Embedded","Loyal but shallow"),IF($D2&gt;=depth_line,"Project-driven","Drifting")))</f>
        <v>Embedded</v>
      </c>
      <c r="J2" s="25" t="str">
        <f t="shared" ref="J2:J65" si="4">IF($A2&gt;nrows,"",IF($I2="Drifting",IF($H2&gt;=3,"tried and stopped","never started"),""))</f>
        <v/>
      </c>
      <c r="K2" s="24">
        <f t="shared" ref="K2:K65" si="5">IF($A2&gt;nrows,"",MAX($D2,1))</f>
        <v>612</v>
      </c>
      <c r="L2" s="24">
        <f t="shared" ref="L2:L65" si="6">IF($A2&gt;nrows,"",IF(AND($C2=0,$D2=0),1,0))</f>
        <v>0</v>
      </c>
    </row>
    <row r="3" spans="1:12" x14ac:dyDescent="0.25">
      <c r="A3" s="24">
        <f t="shared" si="0"/>
        <v>2</v>
      </c>
      <c r="B3" s="25" t="str">
        <f>IF($A3&gt;nrows,"",IF(col_user=0,"",INDEX('Paste Export'!$A$2:$BZ$1001,$A3,col_user)))</f>
        <v>11223344556677AA</v>
      </c>
      <c r="C3" s="24">
        <f>IF($A3&gt;nrows,"",IF(col_days=0,0,N(INDEX('Paste Export'!$A$2:$BZ$1001,$A3,col_days))))</f>
        <v>31</v>
      </c>
      <c r="D3" s="24">
        <f>IF($A3&gt;nrows,"",IF(col_prompts=0,0,N(INDEX('Paste Export'!$A$2:$BZ$1001,$A3,col_prompts))))</f>
        <v>96</v>
      </c>
      <c r="E3" s="24">
        <f>IF($A3&gt;nrows,"",IF(col_web=0,0,N(INDEX('Paste Export'!$A$2:$BZ$1001,$A3,col_web))))</f>
        <v>8</v>
      </c>
      <c r="F3" s="26">
        <f t="shared" si="1"/>
        <v>3.096774193548387</v>
      </c>
      <c r="G3" s="27">
        <f t="shared" si="2"/>
        <v>8.3333333333333329E-2</v>
      </c>
      <c r="H3" s="24">
        <f>IF($A3&gt;nrows,"",IF(col_s1=0,0,--(LEN(INDEX('Paste Export'!$A$2:$BZ$1001,$A3,col_s1))&gt;0))+IF(col_s2=0,0,--(LEN(INDEX('Paste Export'!$A$2:$BZ$1001,$A3,col_s2))&gt;0))+IF(col_s3=0,0,--(LEN(INDEX('Paste Export'!$A$2:$BZ$1001,$A3,col_s3))&gt;0))+IF(col_s4=0,0,--(LEN(INDEX('Paste Export'!$A$2:$BZ$1001,$A3,col_s4))&gt;0))+IF(col_s5=0,0,--(LEN(INDEX('Paste Export'!$A$2:$BZ$1001,$A3,col_s5))&gt;0))+IF(col_s6=0,0,--(LEN(INDEX('Paste Export'!$A$2:$BZ$1001,$A3,col_s6))&gt;0))+IF(col_s7=0,0,--(LEN(INDEX('Paste Export'!$A$2:$BZ$1001,$A3,col_s7))&gt;0))+IF(col_s8=0,0,--(LEN(INDEX('Paste Export'!$A$2:$BZ$1001,$A3,col_s8))&gt;0)))</f>
        <v>4</v>
      </c>
      <c r="I3" s="25" t="str">
        <f t="shared" si="3"/>
        <v>Loyal but shallow</v>
      </c>
      <c r="J3" s="25" t="str">
        <f t="shared" si="4"/>
        <v/>
      </c>
      <c r="K3" s="24">
        <f t="shared" si="5"/>
        <v>96</v>
      </c>
      <c r="L3" s="24">
        <f t="shared" si="6"/>
        <v>0</v>
      </c>
    </row>
    <row r="4" spans="1:12" x14ac:dyDescent="0.25">
      <c r="A4" s="24">
        <f t="shared" si="0"/>
        <v>3</v>
      </c>
      <c r="B4" s="25" t="str">
        <f>IF($A4&gt;nrows,"",IF(col_user=0,"",INDEX('Paste Export'!$A$2:$BZ$1001,$A4,col_user)))</f>
        <v>DEADBEEF01234567</v>
      </c>
      <c r="C4" s="24">
        <f>IF($A4&gt;nrows,"",IF(col_days=0,0,N(INDEX('Paste Export'!$A$2:$BZ$1001,$A4,col_days))))</f>
        <v>3</v>
      </c>
      <c r="D4" s="24">
        <f>IF($A4&gt;nrows,"",IF(col_prompts=0,0,N(INDEX('Paste Export'!$A$2:$BZ$1001,$A4,col_prompts))))</f>
        <v>11</v>
      </c>
      <c r="E4" s="24">
        <f>IF($A4&gt;nrows,"",IF(col_web=0,0,N(INDEX('Paste Export'!$A$2:$BZ$1001,$A4,col_web))))</f>
        <v>5</v>
      </c>
      <c r="F4" s="26">
        <f t="shared" si="1"/>
        <v>3.6666666666666665</v>
      </c>
      <c r="G4" s="27">
        <f t="shared" si="2"/>
        <v>0.45454545454545453</v>
      </c>
      <c r="H4" s="24">
        <f>IF($A4&gt;nrows,"",IF(col_s1=0,0,--(LEN(INDEX('Paste Export'!$A$2:$BZ$1001,$A4,col_s1))&gt;0))+IF(col_s2=0,0,--(LEN(INDEX('Paste Export'!$A$2:$BZ$1001,$A4,col_s2))&gt;0))+IF(col_s3=0,0,--(LEN(INDEX('Paste Export'!$A$2:$BZ$1001,$A4,col_s3))&gt;0))+IF(col_s4=0,0,--(LEN(INDEX('Paste Export'!$A$2:$BZ$1001,$A4,col_s4))&gt;0))+IF(col_s5=0,0,--(LEN(INDEX('Paste Export'!$A$2:$BZ$1001,$A4,col_s5))&gt;0))+IF(col_s6=0,0,--(LEN(INDEX('Paste Export'!$A$2:$BZ$1001,$A4,col_s6))&gt;0))+IF(col_s7=0,0,--(LEN(INDEX('Paste Export'!$A$2:$BZ$1001,$A4,col_s7))&gt;0))+IF(col_s8=0,0,--(LEN(INDEX('Paste Export'!$A$2:$BZ$1001,$A4,col_s8))&gt;0)))</f>
        <v>4</v>
      </c>
      <c r="I4" s="25" t="str">
        <f t="shared" si="3"/>
        <v>Drifting</v>
      </c>
      <c r="J4" s="25" t="str">
        <f t="shared" si="4"/>
        <v>tried and stopped</v>
      </c>
      <c r="K4" s="24">
        <f t="shared" si="5"/>
        <v>11</v>
      </c>
      <c r="L4" s="24">
        <f t="shared" si="6"/>
        <v>0</v>
      </c>
    </row>
    <row r="5" spans="1:12" x14ac:dyDescent="0.25">
      <c r="A5" s="24">
        <f t="shared" si="0"/>
        <v>4</v>
      </c>
      <c r="B5" s="25" t="str">
        <f>IF($A5&gt;nrows,"",IF(col_user=0,"",INDEX('Paste Export'!$A$2:$BZ$1001,$A5,col_user)))</f>
        <v/>
      </c>
      <c r="C5" s="24" t="str">
        <f>IF($A5&gt;nrows,"",IF(col_days=0,0,N(INDEX('Paste Export'!$A$2:$BZ$1001,$A5,col_days))))</f>
        <v/>
      </c>
      <c r="D5" s="24" t="str">
        <f>IF($A5&gt;nrows,"",IF(col_prompts=0,0,N(INDEX('Paste Export'!$A$2:$BZ$1001,$A5,col_prompts))))</f>
        <v/>
      </c>
      <c r="E5" s="24" t="str">
        <f>IF($A5&gt;nrows,"",IF(col_web=0,0,N(INDEX('Paste Export'!$A$2:$BZ$1001,$A5,col_web))))</f>
        <v/>
      </c>
      <c r="F5" s="26" t="str">
        <f t="shared" si="1"/>
        <v/>
      </c>
      <c r="G5" s="27" t="str">
        <f t="shared" si="2"/>
        <v/>
      </c>
      <c r="H5" s="24" t="str">
        <f>IF($A5&gt;nrows,"",IF(col_s1=0,0,--(LEN(INDEX('Paste Export'!$A$2:$BZ$1001,$A5,col_s1))&gt;0))+IF(col_s2=0,0,--(LEN(INDEX('Paste Export'!$A$2:$BZ$1001,$A5,col_s2))&gt;0))+IF(col_s3=0,0,--(LEN(INDEX('Paste Export'!$A$2:$BZ$1001,$A5,col_s3))&gt;0))+IF(col_s4=0,0,--(LEN(INDEX('Paste Export'!$A$2:$BZ$1001,$A5,col_s4))&gt;0))+IF(col_s5=0,0,--(LEN(INDEX('Paste Export'!$A$2:$BZ$1001,$A5,col_s5))&gt;0))+IF(col_s6=0,0,--(LEN(INDEX('Paste Export'!$A$2:$BZ$1001,$A5,col_s6))&gt;0))+IF(col_s7=0,0,--(LEN(INDEX('Paste Export'!$A$2:$BZ$1001,$A5,col_s7))&gt;0))+IF(col_s8=0,0,--(LEN(INDEX('Paste Export'!$A$2:$BZ$1001,$A5,col_s8))&gt;0)))</f>
        <v/>
      </c>
      <c r="I5" s="25" t="str">
        <f t="shared" si="3"/>
        <v/>
      </c>
      <c r="J5" s="25" t="str">
        <f t="shared" si="4"/>
        <v/>
      </c>
      <c r="K5" s="24" t="str">
        <f t="shared" si="5"/>
        <v/>
      </c>
      <c r="L5" s="24" t="str">
        <f t="shared" si="6"/>
        <v/>
      </c>
    </row>
    <row r="6" spans="1:12" x14ac:dyDescent="0.25">
      <c r="A6" s="24">
        <f t="shared" si="0"/>
        <v>5</v>
      </c>
      <c r="B6" s="25" t="str">
        <f>IF($A6&gt;nrows,"",IF(col_user=0,"",INDEX('Paste Export'!$A$2:$BZ$1001,$A6,col_user)))</f>
        <v/>
      </c>
      <c r="C6" s="24" t="str">
        <f>IF($A6&gt;nrows,"",IF(col_days=0,0,N(INDEX('Paste Export'!$A$2:$BZ$1001,$A6,col_days))))</f>
        <v/>
      </c>
      <c r="D6" s="24" t="str">
        <f>IF($A6&gt;nrows,"",IF(col_prompts=0,0,N(INDEX('Paste Export'!$A$2:$BZ$1001,$A6,col_prompts))))</f>
        <v/>
      </c>
      <c r="E6" s="24" t="str">
        <f>IF($A6&gt;nrows,"",IF(col_web=0,0,N(INDEX('Paste Export'!$A$2:$BZ$1001,$A6,col_web))))</f>
        <v/>
      </c>
      <c r="F6" s="26" t="str">
        <f t="shared" si="1"/>
        <v/>
      </c>
      <c r="G6" s="27" t="str">
        <f t="shared" si="2"/>
        <v/>
      </c>
      <c r="H6" s="24" t="str">
        <f>IF($A6&gt;nrows,"",IF(col_s1=0,0,--(LEN(INDEX('Paste Export'!$A$2:$BZ$1001,$A6,col_s1))&gt;0))+IF(col_s2=0,0,--(LEN(INDEX('Paste Export'!$A$2:$BZ$1001,$A6,col_s2))&gt;0))+IF(col_s3=0,0,--(LEN(INDEX('Paste Export'!$A$2:$BZ$1001,$A6,col_s3))&gt;0))+IF(col_s4=0,0,--(LEN(INDEX('Paste Export'!$A$2:$BZ$1001,$A6,col_s4))&gt;0))+IF(col_s5=0,0,--(LEN(INDEX('Paste Export'!$A$2:$BZ$1001,$A6,col_s5))&gt;0))+IF(col_s6=0,0,--(LEN(INDEX('Paste Export'!$A$2:$BZ$1001,$A6,col_s6))&gt;0))+IF(col_s7=0,0,--(LEN(INDEX('Paste Export'!$A$2:$BZ$1001,$A6,col_s7))&gt;0))+IF(col_s8=0,0,--(LEN(INDEX('Paste Export'!$A$2:$BZ$1001,$A6,col_s8))&gt;0)))</f>
        <v/>
      </c>
      <c r="I6" s="25" t="str">
        <f t="shared" si="3"/>
        <v/>
      </c>
      <c r="J6" s="25" t="str">
        <f t="shared" si="4"/>
        <v/>
      </c>
      <c r="K6" s="24" t="str">
        <f t="shared" si="5"/>
        <v/>
      </c>
      <c r="L6" s="24" t="str">
        <f t="shared" si="6"/>
        <v/>
      </c>
    </row>
    <row r="7" spans="1:12" x14ac:dyDescent="0.25">
      <c r="A7" s="24">
        <f t="shared" si="0"/>
        <v>6</v>
      </c>
      <c r="B7" s="25" t="str">
        <f>IF($A7&gt;nrows,"",IF(col_user=0,"",INDEX('Paste Export'!$A$2:$BZ$1001,$A7,col_user)))</f>
        <v/>
      </c>
      <c r="C7" s="24" t="str">
        <f>IF($A7&gt;nrows,"",IF(col_days=0,0,N(INDEX('Paste Export'!$A$2:$BZ$1001,$A7,col_days))))</f>
        <v/>
      </c>
      <c r="D7" s="24" t="str">
        <f>IF($A7&gt;nrows,"",IF(col_prompts=0,0,N(INDEX('Paste Export'!$A$2:$BZ$1001,$A7,col_prompts))))</f>
        <v/>
      </c>
      <c r="E7" s="24" t="str">
        <f>IF($A7&gt;nrows,"",IF(col_web=0,0,N(INDEX('Paste Export'!$A$2:$BZ$1001,$A7,col_web))))</f>
        <v/>
      </c>
      <c r="F7" s="26" t="str">
        <f t="shared" si="1"/>
        <v/>
      </c>
      <c r="G7" s="27" t="str">
        <f t="shared" si="2"/>
        <v/>
      </c>
      <c r="H7" s="24" t="str">
        <f>IF($A7&gt;nrows,"",IF(col_s1=0,0,--(LEN(INDEX('Paste Export'!$A$2:$BZ$1001,$A7,col_s1))&gt;0))+IF(col_s2=0,0,--(LEN(INDEX('Paste Export'!$A$2:$BZ$1001,$A7,col_s2))&gt;0))+IF(col_s3=0,0,--(LEN(INDEX('Paste Export'!$A$2:$BZ$1001,$A7,col_s3))&gt;0))+IF(col_s4=0,0,--(LEN(INDEX('Paste Export'!$A$2:$BZ$1001,$A7,col_s4))&gt;0))+IF(col_s5=0,0,--(LEN(INDEX('Paste Export'!$A$2:$BZ$1001,$A7,col_s5))&gt;0))+IF(col_s6=0,0,--(LEN(INDEX('Paste Export'!$A$2:$BZ$1001,$A7,col_s6))&gt;0))+IF(col_s7=0,0,--(LEN(INDEX('Paste Export'!$A$2:$BZ$1001,$A7,col_s7))&gt;0))+IF(col_s8=0,0,--(LEN(INDEX('Paste Export'!$A$2:$BZ$1001,$A7,col_s8))&gt;0)))</f>
        <v/>
      </c>
      <c r="I7" s="25" t="str">
        <f t="shared" si="3"/>
        <v/>
      </c>
      <c r="J7" s="25" t="str">
        <f t="shared" si="4"/>
        <v/>
      </c>
      <c r="K7" s="24" t="str">
        <f t="shared" si="5"/>
        <v/>
      </c>
      <c r="L7" s="24" t="str">
        <f t="shared" si="6"/>
        <v/>
      </c>
    </row>
    <row r="8" spans="1:12" x14ac:dyDescent="0.25">
      <c r="A8" s="24">
        <f t="shared" si="0"/>
        <v>7</v>
      </c>
      <c r="B8" s="25" t="str">
        <f>IF($A8&gt;nrows,"",IF(col_user=0,"",INDEX('Paste Export'!$A$2:$BZ$1001,$A8,col_user)))</f>
        <v/>
      </c>
      <c r="C8" s="24" t="str">
        <f>IF($A8&gt;nrows,"",IF(col_days=0,0,N(INDEX('Paste Export'!$A$2:$BZ$1001,$A8,col_days))))</f>
        <v/>
      </c>
      <c r="D8" s="24" t="str">
        <f>IF($A8&gt;nrows,"",IF(col_prompts=0,0,N(INDEX('Paste Export'!$A$2:$BZ$1001,$A8,col_prompts))))</f>
        <v/>
      </c>
      <c r="E8" s="24" t="str">
        <f>IF($A8&gt;nrows,"",IF(col_web=0,0,N(INDEX('Paste Export'!$A$2:$BZ$1001,$A8,col_web))))</f>
        <v/>
      </c>
      <c r="F8" s="26" t="str">
        <f t="shared" si="1"/>
        <v/>
      </c>
      <c r="G8" s="27" t="str">
        <f t="shared" si="2"/>
        <v/>
      </c>
      <c r="H8" s="24" t="str">
        <f>IF($A8&gt;nrows,"",IF(col_s1=0,0,--(LEN(INDEX('Paste Export'!$A$2:$BZ$1001,$A8,col_s1))&gt;0))+IF(col_s2=0,0,--(LEN(INDEX('Paste Export'!$A$2:$BZ$1001,$A8,col_s2))&gt;0))+IF(col_s3=0,0,--(LEN(INDEX('Paste Export'!$A$2:$BZ$1001,$A8,col_s3))&gt;0))+IF(col_s4=0,0,--(LEN(INDEX('Paste Export'!$A$2:$BZ$1001,$A8,col_s4))&gt;0))+IF(col_s5=0,0,--(LEN(INDEX('Paste Export'!$A$2:$BZ$1001,$A8,col_s5))&gt;0))+IF(col_s6=0,0,--(LEN(INDEX('Paste Export'!$A$2:$BZ$1001,$A8,col_s6))&gt;0))+IF(col_s7=0,0,--(LEN(INDEX('Paste Export'!$A$2:$BZ$1001,$A8,col_s7))&gt;0))+IF(col_s8=0,0,--(LEN(INDEX('Paste Export'!$A$2:$BZ$1001,$A8,col_s8))&gt;0)))</f>
        <v/>
      </c>
      <c r="I8" s="25" t="str">
        <f t="shared" si="3"/>
        <v/>
      </c>
      <c r="J8" s="25" t="str">
        <f t="shared" si="4"/>
        <v/>
      </c>
      <c r="K8" s="24" t="str">
        <f t="shared" si="5"/>
        <v/>
      </c>
      <c r="L8" s="24" t="str">
        <f t="shared" si="6"/>
        <v/>
      </c>
    </row>
    <row r="9" spans="1:12" x14ac:dyDescent="0.25">
      <c r="A9" s="24">
        <f t="shared" si="0"/>
        <v>8</v>
      </c>
      <c r="B9" s="25" t="str">
        <f>IF($A9&gt;nrows,"",IF(col_user=0,"",INDEX('Paste Export'!$A$2:$BZ$1001,$A9,col_user)))</f>
        <v/>
      </c>
      <c r="C9" s="24" t="str">
        <f>IF($A9&gt;nrows,"",IF(col_days=0,0,N(INDEX('Paste Export'!$A$2:$BZ$1001,$A9,col_days))))</f>
        <v/>
      </c>
      <c r="D9" s="24" t="str">
        <f>IF($A9&gt;nrows,"",IF(col_prompts=0,0,N(INDEX('Paste Export'!$A$2:$BZ$1001,$A9,col_prompts))))</f>
        <v/>
      </c>
      <c r="E9" s="24" t="str">
        <f>IF($A9&gt;nrows,"",IF(col_web=0,0,N(INDEX('Paste Export'!$A$2:$BZ$1001,$A9,col_web))))</f>
        <v/>
      </c>
      <c r="F9" s="26" t="str">
        <f t="shared" si="1"/>
        <v/>
      </c>
      <c r="G9" s="27" t="str">
        <f t="shared" si="2"/>
        <v/>
      </c>
      <c r="H9" s="24" t="str">
        <f>IF($A9&gt;nrows,"",IF(col_s1=0,0,--(LEN(INDEX('Paste Export'!$A$2:$BZ$1001,$A9,col_s1))&gt;0))+IF(col_s2=0,0,--(LEN(INDEX('Paste Export'!$A$2:$BZ$1001,$A9,col_s2))&gt;0))+IF(col_s3=0,0,--(LEN(INDEX('Paste Export'!$A$2:$BZ$1001,$A9,col_s3))&gt;0))+IF(col_s4=0,0,--(LEN(INDEX('Paste Export'!$A$2:$BZ$1001,$A9,col_s4))&gt;0))+IF(col_s5=0,0,--(LEN(INDEX('Paste Export'!$A$2:$BZ$1001,$A9,col_s5))&gt;0))+IF(col_s6=0,0,--(LEN(INDEX('Paste Export'!$A$2:$BZ$1001,$A9,col_s6))&gt;0))+IF(col_s7=0,0,--(LEN(INDEX('Paste Export'!$A$2:$BZ$1001,$A9,col_s7))&gt;0))+IF(col_s8=0,0,--(LEN(INDEX('Paste Export'!$A$2:$BZ$1001,$A9,col_s8))&gt;0)))</f>
        <v/>
      </c>
      <c r="I9" s="25" t="str">
        <f t="shared" si="3"/>
        <v/>
      </c>
      <c r="J9" s="25" t="str">
        <f t="shared" si="4"/>
        <v/>
      </c>
      <c r="K9" s="24" t="str">
        <f t="shared" si="5"/>
        <v/>
      </c>
      <c r="L9" s="24" t="str">
        <f t="shared" si="6"/>
        <v/>
      </c>
    </row>
    <row r="10" spans="1:12" x14ac:dyDescent="0.25">
      <c r="A10" s="24">
        <f t="shared" si="0"/>
        <v>9</v>
      </c>
      <c r="B10" s="25" t="str">
        <f>IF($A10&gt;nrows,"",IF(col_user=0,"",INDEX('Paste Export'!$A$2:$BZ$1001,$A10,col_user)))</f>
        <v/>
      </c>
      <c r="C10" s="24" t="str">
        <f>IF($A10&gt;nrows,"",IF(col_days=0,0,N(INDEX('Paste Export'!$A$2:$BZ$1001,$A10,col_days))))</f>
        <v/>
      </c>
      <c r="D10" s="24" t="str">
        <f>IF($A10&gt;nrows,"",IF(col_prompts=0,0,N(INDEX('Paste Export'!$A$2:$BZ$1001,$A10,col_prompts))))</f>
        <v/>
      </c>
      <c r="E10" s="24" t="str">
        <f>IF($A10&gt;nrows,"",IF(col_web=0,0,N(INDEX('Paste Export'!$A$2:$BZ$1001,$A10,col_web))))</f>
        <v/>
      </c>
      <c r="F10" s="26" t="str">
        <f t="shared" si="1"/>
        <v/>
      </c>
      <c r="G10" s="27" t="str">
        <f t="shared" si="2"/>
        <v/>
      </c>
      <c r="H10" s="24" t="str">
        <f>IF($A10&gt;nrows,"",IF(col_s1=0,0,--(LEN(INDEX('Paste Export'!$A$2:$BZ$1001,$A10,col_s1))&gt;0))+IF(col_s2=0,0,--(LEN(INDEX('Paste Export'!$A$2:$BZ$1001,$A10,col_s2))&gt;0))+IF(col_s3=0,0,--(LEN(INDEX('Paste Export'!$A$2:$BZ$1001,$A10,col_s3))&gt;0))+IF(col_s4=0,0,--(LEN(INDEX('Paste Export'!$A$2:$BZ$1001,$A10,col_s4))&gt;0))+IF(col_s5=0,0,--(LEN(INDEX('Paste Export'!$A$2:$BZ$1001,$A10,col_s5))&gt;0))+IF(col_s6=0,0,--(LEN(INDEX('Paste Export'!$A$2:$BZ$1001,$A10,col_s6))&gt;0))+IF(col_s7=0,0,--(LEN(INDEX('Paste Export'!$A$2:$BZ$1001,$A10,col_s7))&gt;0))+IF(col_s8=0,0,--(LEN(INDEX('Paste Export'!$A$2:$BZ$1001,$A10,col_s8))&gt;0)))</f>
        <v/>
      </c>
      <c r="I10" s="25" t="str">
        <f t="shared" si="3"/>
        <v/>
      </c>
      <c r="J10" s="25" t="str">
        <f t="shared" si="4"/>
        <v/>
      </c>
      <c r="K10" s="24" t="str">
        <f t="shared" si="5"/>
        <v/>
      </c>
      <c r="L10" s="24" t="str">
        <f t="shared" si="6"/>
        <v/>
      </c>
    </row>
    <row r="11" spans="1:12" x14ac:dyDescent="0.25">
      <c r="A11" s="24">
        <f t="shared" si="0"/>
        <v>10</v>
      </c>
      <c r="B11" s="25" t="str">
        <f>IF($A11&gt;nrows,"",IF(col_user=0,"",INDEX('Paste Export'!$A$2:$BZ$1001,$A11,col_user)))</f>
        <v/>
      </c>
      <c r="C11" s="24" t="str">
        <f>IF($A11&gt;nrows,"",IF(col_days=0,0,N(INDEX('Paste Export'!$A$2:$BZ$1001,$A11,col_days))))</f>
        <v/>
      </c>
      <c r="D11" s="24" t="str">
        <f>IF($A11&gt;nrows,"",IF(col_prompts=0,0,N(INDEX('Paste Export'!$A$2:$BZ$1001,$A11,col_prompts))))</f>
        <v/>
      </c>
      <c r="E11" s="24" t="str">
        <f>IF($A11&gt;nrows,"",IF(col_web=0,0,N(INDEX('Paste Export'!$A$2:$BZ$1001,$A11,col_web))))</f>
        <v/>
      </c>
      <c r="F11" s="26" t="str">
        <f t="shared" si="1"/>
        <v/>
      </c>
      <c r="G11" s="27" t="str">
        <f t="shared" si="2"/>
        <v/>
      </c>
      <c r="H11" s="24" t="str">
        <f>IF($A11&gt;nrows,"",IF(col_s1=0,0,--(LEN(INDEX('Paste Export'!$A$2:$BZ$1001,$A11,col_s1))&gt;0))+IF(col_s2=0,0,--(LEN(INDEX('Paste Export'!$A$2:$BZ$1001,$A11,col_s2))&gt;0))+IF(col_s3=0,0,--(LEN(INDEX('Paste Export'!$A$2:$BZ$1001,$A11,col_s3))&gt;0))+IF(col_s4=0,0,--(LEN(INDEX('Paste Export'!$A$2:$BZ$1001,$A11,col_s4))&gt;0))+IF(col_s5=0,0,--(LEN(INDEX('Paste Export'!$A$2:$BZ$1001,$A11,col_s5))&gt;0))+IF(col_s6=0,0,--(LEN(INDEX('Paste Export'!$A$2:$BZ$1001,$A11,col_s6))&gt;0))+IF(col_s7=0,0,--(LEN(INDEX('Paste Export'!$A$2:$BZ$1001,$A11,col_s7))&gt;0))+IF(col_s8=0,0,--(LEN(INDEX('Paste Export'!$A$2:$BZ$1001,$A11,col_s8))&gt;0)))</f>
        <v/>
      </c>
      <c r="I11" s="25" t="str">
        <f t="shared" si="3"/>
        <v/>
      </c>
      <c r="J11" s="25" t="str">
        <f t="shared" si="4"/>
        <v/>
      </c>
      <c r="K11" s="24" t="str">
        <f t="shared" si="5"/>
        <v/>
      </c>
      <c r="L11" s="24" t="str">
        <f t="shared" si="6"/>
        <v/>
      </c>
    </row>
    <row r="12" spans="1:12" x14ac:dyDescent="0.25">
      <c r="A12" s="24">
        <f t="shared" si="0"/>
        <v>11</v>
      </c>
      <c r="B12" s="25" t="str">
        <f>IF($A12&gt;nrows,"",IF(col_user=0,"",INDEX('Paste Export'!$A$2:$BZ$1001,$A12,col_user)))</f>
        <v/>
      </c>
      <c r="C12" s="24" t="str">
        <f>IF($A12&gt;nrows,"",IF(col_days=0,0,N(INDEX('Paste Export'!$A$2:$BZ$1001,$A12,col_days))))</f>
        <v/>
      </c>
      <c r="D12" s="24" t="str">
        <f>IF($A12&gt;nrows,"",IF(col_prompts=0,0,N(INDEX('Paste Export'!$A$2:$BZ$1001,$A12,col_prompts))))</f>
        <v/>
      </c>
      <c r="E12" s="24" t="str">
        <f>IF($A12&gt;nrows,"",IF(col_web=0,0,N(INDEX('Paste Export'!$A$2:$BZ$1001,$A12,col_web))))</f>
        <v/>
      </c>
      <c r="F12" s="26" t="str">
        <f t="shared" si="1"/>
        <v/>
      </c>
      <c r="G12" s="27" t="str">
        <f t="shared" si="2"/>
        <v/>
      </c>
      <c r="H12" s="24" t="str">
        <f>IF($A12&gt;nrows,"",IF(col_s1=0,0,--(LEN(INDEX('Paste Export'!$A$2:$BZ$1001,$A12,col_s1))&gt;0))+IF(col_s2=0,0,--(LEN(INDEX('Paste Export'!$A$2:$BZ$1001,$A12,col_s2))&gt;0))+IF(col_s3=0,0,--(LEN(INDEX('Paste Export'!$A$2:$BZ$1001,$A12,col_s3))&gt;0))+IF(col_s4=0,0,--(LEN(INDEX('Paste Export'!$A$2:$BZ$1001,$A12,col_s4))&gt;0))+IF(col_s5=0,0,--(LEN(INDEX('Paste Export'!$A$2:$BZ$1001,$A12,col_s5))&gt;0))+IF(col_s6=0,0,--(LEN(INDEX('Paste Export'!$A$2:$BZ$1001,$A12,col_s6))&gt;0))+IF(col_s7=0,0,--(LEN(INDEX('Paste Export'!$A$2:$BZ$1001,$A12,col_s7))&gt;0))+IF(col_s8=0,0,--(LEN(INDEX('Paste Export'!$A$2:$BZ$1001,$A12,col_s8))&gt;0)))</f>
        <v/>
      </c>
      <c r="I12" s="25" t="str">
        <f t="shared" si="3"/>
        <v/>
      </c>
      <c r="J12" s="25" t="str">
        <f t="shared" si="4"/>
        <v/>
      </c>
      <c r="K12" s="24" t="str">
        <f t="shared" si="5"/>
        <v/>
      </c>
      <c r="L12" s="24" t="str">
        <f t="shared" si="6"/>
        <v/>
      </c>
    </row>
    <row r="13" spans="1:12" x14ac:dyDescent="0.25">
      <c r="A13" s="24">
        <f t="shared" si="0"/>
        <v>12</v>
      </c>
      <c r="B13" s="25" t="str">
        <f>IF($A13&gt;nrows,"",IF(col_user=0,"",INDEX('Paste Export'!$A$2:$BZ$1001,$A13,col_user)))</f>
        <v/>
      </c>
      <c r="C13" s="24" t="str">
        <f>IF($A13&gt;nrows,"",IF(col_days=0,0,N(INDEX('Paste Export'!$A$2:$BZ$1001,$A13,col_days))))</f>
        <v/>
      </c>
      <c r="D13" s="24" t="str">
        <f>IF($A13&gt;nrows,"",IF(col_prompts=0,0,N(INDEX('Paste Export'!$A$2:$BZ$1001,$A13,col_prompts))))</f>
        <v/>
      </c>
      <c r="E13" s="24" t="str">
        <f>IF($A13&gt;nrows,"",IF(col_web=0,0,N(INDEX('Paste Export'!$A$2:$BZ$1001,$A13,col_web))))</f>
        <v/>
      </c>
      <c r="F13" s="26" t="str">
        <f t="shared" si="1"/>
        <v/>
      </c>
      <c r="G13" s="27" t="str">
        <f t="shared" si="2"/>
        <v/>
      </c>
      <c r="H13" s="24" t="str">
        <f>IF($A13&gt;nrows,"",IF(col_s1=0,0,--(LEN(INDEX('Paste Export'!$A$2:$BZ$1001,$A13,col_s1))&gt;0))+IF(col_s2=0,0,--(LEN(INDEX('Paste Export'!$A$2:$BZ$1001,$A13,col_s2))&gt;0))+IF(col_s3=0,0,--(LEN(INDEX('Paste Export'!$A$2:$BZ$1001,$A13,col_s3))&gt;0))+IF(col_s4=0,0,--(LEN(INDEX('Paste Export'!$A$2:$BZ$1001,$A13,col_s4))&gt;0))+IF(col_s5=0,0,--(LEN(INDEX('Paste Export'!$A$2:$BZ$1001,$A13,col_s5))&gt;0))+IF(col_s6=0,0,--(LEN(INDEX('Paste Export'!$A$2:$BZ$1001,$A13,col_s6))&gt;0))+IF(col_s7=0,0,--(LEN(INDEX('Paste Export'!$A$2:$BZ$1001,$A13,col_s7))&gt;0))+IF(col_s8=0,0,--(LEN(INDEX('Paste Export'!$A$2:$BZ$1001,$A13,col_s8))&gt;0)))</f>
        <v/>
      </c>
      <c r="I13" s="25" t="str">
        <f t="shared" si="3"/>
        <v/>
      </c>
      <c r="J13" s="25" t="str">
        <f t="shared" si="4"/>
        <v/>
      </c>
      <c r="K13" s="24" t="str">
        <f t="shared" si="5"/>
        <v/>
      </c>
      <c r="L13" s="24" t="str">
        <f t="shared" si="6"/>
        <v/>
      </c>
    </row>
    <row r="14" spans="1:12" x14ac:dyDescent="0.25">
      <c r="A14" s="24">
        <f t="shared" si="0"/>
        <v>13</v>
      </c>
      <c r="B14" s="25" t="str">
        <f>IF($A14&gt;nrows,"",IF(col_user=0,"",INDEX('Paste Export'!$A$2:$BZ$1001,$A14,col_user)))</f>
        <v/>
      </c>
      <c r="C14" s="24" t="str">
        <f>IF($A14&gt;nrows,"",IF(col_days=0,0,N(INDEX('Paste Export'!$A$2:$BZ$1001,$A14,col_days))))</f>
        <v/>
      </c>
      <c r="D14" s="24" t="str">
        <f>IF($A14&gt;nrows,"",IF(col_prompts=0,0,N(INDEX('Paste Export'!$A$2:$BZ$1001,$A14,col_prompts))))</f>
        <v/>
      </c>
      <c r="E14" s="24" t="str">
        <f>IF($A14&gt;nrows,"",IF(col_web=0,0,N(INDEX('Paste Export'!$A$2:$BZ$1001,$A14,col_web))))</f>
        <v/>
      </c>
      <c r="F14" s="26" t="str">
        <f t="shared" si="1"/>
        <v/>
      </c>
      <c r="G14" s="27" t="str">
        <f t="shared" si="2"/>
        <v/>
      </c>
      <c r="H14" s="24" t="str">
        <f>IF($A14&gt;nrows,"",IF(col_s1=0,0,--(LEN(INDEX('Paste Export'!$A$2:$BZ$1001,$A14,col_s1))&gt;0))+IF(col_s2=0,0,--(LEN(INDEX('Paste Export'!$A$2:$BZ$1001,$A14,col_s2))&gt;0))+IF(col_s3=0,0,--(LEN(INDEX('Paste Export'!$A$2:$BZ$1001,$A14,col_s3))&gt;0))+IF(col_s4=0,0,--(LEN(INDEX('Paste Export'!$A$2:$BZ$1001,$A14,col_s4))&gt;0))+IF(col_s5=0,0,--(LEN(INDEX('Paste Export'!$A$2:$BZ$1001,$A14,col_s5))&gt;0))+IF(col_s6=0,0,--(LEN(INDEX('Paste Export'!$A$2:$BZ$1001,$A14,col_s6))&gt;0))+IF(col_s7=0,0,--(LEN(INDEX('Paste Export'!$A$2:$BZ$1001,$A14,col_s7))&gt;0))+IF(col_s8=0,0,--(LEN(INDEX('Paste Export'!$A$2:$BZ$1001,$A14,col_s8))&gt;0)))</f>
        <v/>
      </c>
      <c r="I14" s="25" t="str">
        <f t="shared" si="3"/>
        <v/>
      </c>
      <c r="J14" s="25" t="str">
        <f t="shared" si="4"/>
        <v/>
      </c>
      <c r="K14" s="24" t="str">
        <f t="shared" si="5"/>
        <v/>
      </c>
      <c r="L14" s="24" t="str">
        <f t="shared" si="6"/>
        <v/>
      </c>
    </row>
    <row r="15" spans="1:12" x14ac:dyDescent="0.25">
      <c r="A15" s="24">
        <f t="shared" si="0"/>
        <v>14</v>
      </c>
      <c r="B15" s="25" t="str">
        <f>IF($A15&gt;nrows,"",IF(col_user=0,"",INDEX('Paste Export'!$A$2:$BZ$1001,$A15,col_user)))</f>
        <v/>
      </c>
      <c r="C15" s="24" t="str">
        <f>IF($A15&gt;nrows,"",IF(col_days=0,0,N(INDEX('Paste Export'!$A$2:$BZ$1001,$A15,col_days))))</f>
        <v/>
      </c>
      <c r="D15" s="24" t="str">
        <f>IF($A15&gt;nrows,"",IF(col_prompts=0,0,N(INDEX('Paste Export'!$A$2:$BZ$1001,$A15,col_prompts))))</f>
        <v/>
      </c>
      <c r="E15" s="24" t="str">
        <f>IF($A15&gt;nrows,"",IF(col_web=0,0,N(INDEX('Paste Export'!$A$2:$BZ$1001,$A15,col_web))))</f>
        <v/>
      </c>
      <c r="F15" s="26" t="str">
        <f t="shared" si="1"/>
        <v/>
      </c>
      <c r="G15" s="27" t="str">
        <f t="shared" si="2"/>
        <v/>
      </c>
      <c r="H15" s="24" t="str">
        <f>IF($A15&gt;nrows,"",IF(col_s1=0,0,--(LEN(INDEX('Paste Export'!$A$2:$BZ$1001,$A15,col_s1))&gt;0))+IF(col_s2=0,0,--(LEN(INDEX('Paste Export'!$A$2:$BZ$1001,$A15,col_s2))&gt;0))+IF(col_s3=0,0,--(LEN(INDEX('Paste Export'!$A$2:$BZ$1001,$A15,col_s3))&gt;0))+IF(col_s4=0,0,--(LEN(INDEX('Paste Export'!$A$2:$BZ$1001,$A15,col_s4))&gt;0))+IF(col_s5=0,0,--(LEN(INDEX('Paste Export'!$A$2:$BZ$1001,$A15,col_s5))&gt;0))+IF(col_s6=0,0,--(LEN(INDEX('Paste Export'!$A$2:$BZ$1001,$A15,col_s6))&gt;0))+IF(col_s7=0,0,--(LEN(INDEX('Paste Export'!$A$2:$BZ$1001,$A15,col_s7))&gt;0))+IF(col_s8=0,0,--(LEN(INDEX('Paste Export'!$A$2:$BZ$1001,$A15,col_s8))&gt;0)))</f>
        <v/>
      </c>
      <c r="I15" s="25" t="str">
        <f t="shared" si="3"/>
        <v/>
      </c>
      <c r="J15" s="25" t="str">
        <f t="shared" si="4"/>
        <v/>
      </c>
      <c r="K15" s="24" t="str">
        <f t="shared" si="5"/>
        <v/>
      </c>
      <c r="L15" s="24" t="str">
        <f t="shared" si="6"/>
        <v/>
      </c>
    </row>
    <row r="16" spans="1:12" x14ac:dyDescent="0.25">
      <c r="A16" s="24">
        <f t="shared" si="0"/>
        <v>15</v>
      </c>
      <c r="B16" s="25" t="str">
        <f>IF($A16&gt;nrows,"",IF(col_user=0,"",INDEX('Paste Export'!$A$2:$BZ$1001,$A16,col_user)))</f>
        <v/>
      </c>
      <c r="C16" s="24" t="str">
        <f>IF($A16&gt;nrows,"",IF(col_days=0,0,N(INDEX('Paste Export'!$A$2:$BZ$1001,$A16,col_days))))</f>
        <v/>
      </c>
      <c r="D16" s="24" t="str">
        <f>IF($A16&gt;nrows,"",IF(col_prompts=0,0,N(INDEX('Paste Export'!$A$2:$BZ$1001,$A16,col_prompts))))</f>
        <v/>
      </c>
      <c r="E16" s="24" t="str">
        <f>IF($A16&gt;nrows,"",IF(col_web=0,0,N(INDEX('Paste Export'!$A$2:$BZ$1001,$A16,col_web))))</f>
        <v/>
      </c>
      <c r="F16" s="26" t="str">
        <f t="shared" si="1"/>
        <v/>
      </c>
      <c r="G16" s="27" t="str">
        <f t="shared" si="2"/>
        <v/>
      </c>
      <c r="H16" s="24" t="str">
        <f>IF($A16&gt;nrows,"",IF(col_s1=0,0,--(LEN(INDEX('Paste Export'!$A$2:$BZ$1001,$A16,col_s1))&gt;0))+IF(col_s2=0,0,--(LEN(INDEX('Paste Export'!$A$2:$BZ$1001,$A16,col_s2))&gt;0))+IF(col_s3=0,0,--(LEN(INDEX('Paste Export'!$A$2:$BZ$1001,$A16,col_s3))&gt;0))+IF(col_s4=0,0,--(LEN(INDEX('Paste Export'!$A$2:$BZ$1001,$A16,col_s4))&gt;0))+IF(col_s5=0,0,--(LEN(INDEX('Paste Export'!$A$2:$BZ$1001,$A16,col_s5))&gt;0))+IF(col_s6=0,0,--(LEN(INDEX('Paste Export'!$A$2:$BZ$1001,$A16,col_s6))&gt;0))+IF(col_s7=0,0,--(LEN(INDEX('Paste Export'!$A$2:$BZ$1001,$A16,col_s7))&gt;0))+IF(col_s8=0,0,--(LEN(INDEX('Paste Export'!$A$2:$BZ$1001,$A16,col_s8))&gt;0)))</f>
        <v/>
      </c>
      <c r="I16" s="25" t="str">
        <f t="shared" si="3"/>
        <v/>
      </c>
      <c r="J16" s="25" t="str">
        <f t="shared" si="4"/>
        <v/>
      </c>
      <c r="K16" s="24" t="str">
        <f t="shared" si="5"/>
        <v/>
      </c>
      <c r="L16" s="24" t="str">
        <f t="shared" si="6"/>
        <v/>
      </c>
    </row>
    <row r="17" spans="1:12" x14ac:dyDescent="0.25">
      <c r="A17" s="24">
        <f t="shared" si="0"/>
        <v>16</v>
      </c>
      <c r="B17" s="25" t="str">
        <f>IF($A17&gt;nrows,"",IF(col_user=0,"",INDEX('Paste Export'!$A$2:$BZ$1001,$A17,col_user)))</f>
        <v/>
      </c>
      <c r="C17" s="24" t="str">
        <f>IF($A17&gt;nrows,"",IF(col_days=0,0,N(INDEX('Paste Export'!$A$2:$BZ$1001,$A17,col_days))))</f>
        <v/>
      </c>
      <c r="D17" s="24" t="str">
        <f>IF($A17&gt;nrows,"",IF(col_prompts=0,0,N(INDEX('Paste Export'!$A$2:$BZ$1001,$A17,col_prompts))))</f>
        <v/>
      </c>
      <c r="E17" s="24" t="str">
        <f>IF($A17&gt;nrows,"",IF(col_web=0,0,N(INDEX('Paste Export'!$A$2:$BZ$1001,$A17,col_web))))</f>
        <v/>
      </c>
      <c r="F17" s="26" t="str">
        <f t="shared" si="1"/>
        <v/>
      </c>
      <c r="G17" s="27" t="str">
        <f t="shared" si="2"/>
        <v/>
      </c>
      <c r="H17" s="24" t="str">
        <f>IF($A17&gt;nrows,"",IF(col_s1=0,0,--(LEN(INDEX('Paste Export'!$A$2:$BZ$1001,$A17,col_s1))&gt;0))+IF(col_s2=0,0,--(LEN(INDEX('Paste Export'!$A$2:$BZ$1001,$A17,col_s2))&gt;0))+IF(col_s3=0,0,--(LEN(INDEX('Paste Export'!$A$2:$BZ$1001,$A17,col_s3))&gt;0))+IF(col_s4=0,0,--(LEN(INDEX('Paste Export'!$A$2:$BZ$1001,$A17,col_s4))&gt;0))+IF(col_s5=0,0,--(LEN(INDEX('Paste Export'!$A$2:$BZ$1001,$A17,col_s5))&gt;0))+IF(col_s6=0,0,--(LEN(INDEX('Paste Export'!$A$2:$BZ$1001,$A17,col_s6))&gt;0))+IF(col_s7=0,0,--(LEN(INDEX('Paste Export'!$A$2:$BZ$1001,$A17,col_s7))&gt;0))+IF(col_s8=0,0,--(LEN(INDEX('Paste Export'!$A$2:$BZ$1001,$A17,col_s8))&gt;0)))</f>
        <v/>
      </c>
      <c r="I17" s="25" t="str">
        <f t="shared" si="3"/>
        <v/>
      </c>
      <c r="J17" s="25" t="str">
        <f t="shared" si="4"/>
        <v/>
      </c>
      <c r="K17" s="24" t="str">
        <f t="shared" si="5"/>
        <v/>
      </c>
      <c r="L17" s="24" t="str">
        <f t="shared" si="6"/>
        <v/>
      </c>
    </row>
    <row r="18" spans="1:12" x14ac:dyDescent="0.25">
      <c r="A18" s="24">
        <f t="shared" si="0"/>
        <v>17</v>
      </c>
      <c r="B18" s="25" t="str">
        <f>IF($A18&gt;nrows,"",IF(col_user=0,"",INDEX('Paste Export'!$A$2:$BZ$1001,$A18,col_user)))</f>
        <v/>
      </c>
      <c r="C18" s="24" t="str">
        <f>IF($A18&gt;nrows,"",IF(col_days=0,0,N(INDEX('Paste Export'!$A$2:$BZ$1001,$A18,col_days))))</f>
        <v/>
      </c>
      <c r="D18" s="24" t="str">
        <f>IF($A18&gt;nrows,"",IF(col_prompts=0,0,N(INDEX('Paste Export'!$A$2:$BZ$1001,$A18,col_prompts))))</f>
        <v/>
      </c>
      <c r="E18" s="24" t="str">
        <f>IF($A18&gt;nrows,"",IF(col_web=0,0,N(INDEX('Paste Export'!$A$2:$BZ$1001,$A18,col_web))))</f>
        <v/>
      </c>
      <c r="F18" s="26" t="str">
        <f t="shared" si="1"/>
        <v/>
      </c>
      <c r="G18" s="27" t="str">
        <f t="shared" si="2"/>
        <v/>
      </c>
      <c r="H18" s="24" t="str">
        <f>IF($A18&gt;nrows,"",IF(col_s1=0,0,--(LEN(INDEX('Paste Export'!$A$2:$BZ$1001,$A18,col_s1))&gt;0))+IF(col_s2=0,0,--(LEN(INDEX('Paste Export'!$A$2:$BZ$1001,$A18,col_s2))&gt;0))+IF(col_s3=0,0,--(LEN(INDEX('Paste Export'!$A$2:$BZ$1001,$A18,col_s3))&gt;0))+IF(col_s4=0,0,--(LEN(INDEX('Paste Export'!$A$2:$BZ$1001,$A18,col_s4))&gt;0))+IF(col_s5=0,0,--(LEN(INDEX('Paste Export'!$A$2:$BZ$1001,$A18,col_s5))&gt;0))+IF(col_s6=0,0,--(LEN(INDEX('Paste Export'!$A$2:$BZ$1001,$A18,col_s6))&gt;0))+IF(col_s7=0,0,--(LEN(INDEX('Paste Export'!$A$2:$BZ$1001,$A18,col_s7))&gt;0))+IF(col_s8=0,0,--(LEN(INDEX('Paste Export'!$A$2:$BZ$1001,$A18,col_s8))&gt;0)))</f>
        <v/>
      </c>
      <c r="I18" s="25" t="str">
        <f t="shared" si="3"/>
        <v/>
      </c>
      <c r="J18" s="25" t="str">
        <f t="shared" si="4"/>
        <v/>
      </c>
      <c r="K18" s="24" t="str">
        <f t="shared" si="5"/>
        <v/>
      </c>
      <c r="L18" s="24" t="str">
        <f t="shared" si="6"/>
        <v/>
      </c>
    </row>
    <row r="19" spans="1:12" x14ac:dyDescent="0.25">
      <c r="A19" s="24">
        <f t="shared" si="0"/>
        <v>18</v>
      </c>
      <c r="B19" s="25" t="str">
        <f>IF($A19&gt;nrows,"",IF(col_user=0,"",INDEX('Paste Export'!$A$2:$BZ$1001,$A19,col_user)))</f>
        <v/>
      </c>
      <c r="C19" s="24" t="str">
        <f>IF($A19&gt;nrows,"",IF(col_days=0,0,N(INDEX('Paste Export'!$A$2:$BZ$1001,$A19,col_days))))</f>
        <v/>
      </c>
      <c r="D19" s="24" t="str">
        <f>IF($A19&gt;nrows,"",IF(col_prompts=0,0,N(INDEX('Paste Export'!$A$2:$BZ$1001,$A19,col_prompts))))</f>
        <v/>
      </c>
      <c r="E19" s="24" t="str">
        <f>IF($A19&gt;nrows,"",IF(col_web=0,0,N(INDEX('Paste Export'!$A$2:$BZ$1001,$A19,col_web))))</f>
        <v/>
      </c>
      <c r="F19" s="26" t="str">
        <f t="shared" si="1"/>
        <v/>
      </c>
      <c r="G19" s="27" t="str">
        <f t="shared" si="2"/>
        <v/>
      </c>
      <c r="H19" s="24" t="str">
        <f>IF($A19&gt;nrows,"",IF(col_s1=0,0,--(LEN(INDEX('Paste Export'!$A$2:$BZ$1001,$A19,col_s1))&gt;0))+IF(col_s2=0,0,--(LEN(INDEX('Paste Export'!$A$2:$BZ$1001,$A19,col_s2))&gt;0))+IF(col_s3=0,0,--(LEN(INDEX('Paste Export'!$A$2:$BZ$1001,$A19,col_s3))&gt;0))+IF(col_s4=0,0,--(LEN(INDEX('Paste Export'!$A$2:$BZ$1001,$A19,col_s4))&gt;0))+IF(col_s5=0,0,--(LEN(INDEX('Paste Export'!$A$2:$BZ$1001,$A19,col_s5))&gt;0))+IF(col_s6=0,0,--(LEN(INDEX('Paste Export'!$A$2:$BZ$1001,$A19,col_s6))&gt;0))+IF(col_s7=0,0,--(LEN(INDEX('Paste Export'!$A$2:$BZ$1001,$A19,col_s7))&gt;0))+IF(col_s8=0,0,--(LEN(INDEX('Paste Export'!$A$2:$BZ$1001,$A19,col_s8))&gt;0)))</f>
        <v/>
      </c>
      <c r="I19" s="25" t="str">
        <f t="shared" si="3"/>
        <v/>
      </c>
      <c r="J19" s="25" t="str">
        <f t="shared" si="4"/>
        <v/>
      </c>
      <c r="K19" s="24" t="str">
        <f t="shared" si="5"/>
        <v/>
      </c>
      <c r="L19" s="24" t="str">
        <f t="shared" si="6"/>
        <v/>
      </c>
    </row>
    <row r="20" spans="1:12" x14ac:dyDescent="0.25">
      <c r="A20" s="24">
        <f t="shared" si="0"/>
        <v>19</v>
      </c>
      <c r="B20" s="25" t="str">
        <f>IF($A20&gt;nrows,"",IF(col_user=0,"",INDEX('Paste Export'!$A$2:$BZ$1001,$A20,col_user)))</f>
        <v/>
      </c>
      <c r="C20" s="24" t="str">
        <f>IF($A20&gt;nrows,"",IF(col_days=0,0,N(INDEX('Paste Export'!$A$2:$BZ$1001,$A20,col_days))))</f>
        <v/>
      </c>
      <c r="D20" s="24" t="str">
        <f>IF($A20&gt;nrows,"",IF(col_prompts=0,0,N(INDEX('Paste Export'!$A$2:$BZ$1001,$A20,col_prompts))))</f>
        <v/>
      </c>
      <c r="E20" s="24" t="str">
        <f>IF($A20&gt;nrows,"",IF(col_web=0,0,N(INDEX('Paste Export'!$A$2:$BZ$1001,$A20,col_web))))</f>
        <v/>
      </c>
      <c r="F20" s="26" t="str">
        <f t="shared" si="1"/>
        <v/>
      </c>
      <c r="G20" s="27" t="str">
        <f t="shared" si="2"/>
        <v/>
      </c>
      <c r="H20" s="24" t="str">
        <f>IF($A20&gt;nrows,"",IF(col_s1=0,0,--(LEN(INDEX('Paste Export'!$A$2:$BZ$1001,$A20,col_s1))&gt;0))+IF(col_s2=0,0,--(LEN(INDEX('Paste Export'!$A$2:$BZ$1001,$A20,col_s2))&gt;0))+IF(col_s3=0,0,--(LEN(INDEX('Paste Export'!$A$2:$BZ$1001,$A20,col_s3))&gt;0))+IF(col_s4=0,0,--(LEN(INDEX('Paste Export'!$A$2:$BZ$1001,$A20,col_s4))&gt;0))+IF(col_s5=0,0,--(LEN(INDEX('Paste Export'!$A$2:$BZ$1001,$A20,col_s5))&gt;0))+IF(col_s6=0,0,--(LEN(INDEX('Paste Export'!$A$2:$BZ$1001,$A20,col_s6))&gt;0))+IF(col_s7=0,0,--(LEN(INDEX('Paste Export'!$A$2:$BZ$1001,$A20,col_s7))&gt;0))+IF(col_s8=0,0,--(LEN(INDEX('Paste Export'!$A$2:$BZ$1001,$A20,col_s8))&gt;0)))</f>
        <v/>
      </c>
      <c r="I20" s="25" t="str">
        <f t="shared" si="3"/>
        <v/>
      </c>
      <c r="J20" s="25" t="str">
        <f t="shared" si="4"/>
        <v/>
      </c>
      <c r="K20" s="24" t="str">
        <f t="shared" si="5"/>
        <v/>
      </c>
      <c r="L20" s="24" t="str">
        <f t="shared" si="6"/>
        <v/>
      </c>
    </row>
    <row r="21" spans="1:12" x14ac:dyDescent="0.25">
      <c r="A21" s="24">
        <f t="shared" si="0"/>
        <v>20</v>
      </c>
      <c r="B21" s="25" t="str">
        <f>IF($A21&gt;nrows,"",IF(col_user=0,"",INDEX('Paste Export'!$A$2:$BZ$1001,$A21,col_user)))</f>
        <v/>
      </c>
      <c r="C21" s="24" t="str">
        <f>IF($A21&gt;nrows,"",IF(col_days=0,0,N(INDEX('Paste Export'!$A$2:$BZ$1001,$A21,col_days))))</f>
        <v/>
      </c>
      <c r="D21" s="24" t="str">
        <f>IF($A21&gt;nrows,"",IF(col_prompts=0,0,N(INDEX('Paste Export'!$A$2:$BZ$1001,$A21,col_prompts))))</f>
        <v/>
      </c>
      <c r="E21" s="24" t="str">
        <f>IF($A21&gt;nrows,"",IF(col_web=0,0,N(INDEX('Paste Export'!$A$2:$BZ$1001,$A21,col_web))))</f>
        <v/>
      </c>
      <c r="F21" s="26" t="str">
        <f t="shared" si="1"/>
        <v/>
      </c>
      <c r="G21" s="27" t="str">
        <f t="shared" si="2"/>
        <v/>
      </c>
      <c r="H21" s="24" t="str">
        <f>IF($A21&gt;nrows,"",IF(col_s1=0,0,--(LEN(INDEX('Paste Export'!$A$2:$BZ$1001,$A21,col_s1))&gt;0))+IF(col_s2=0,0,--(LEN(INDEX('Paste Export'!$A$2:$BZ$1001,$A21,col_s2))&gt;0))+IF(col_s3=0,0,--(LEN(INDEX('Paste Export'!$A$2:$BZ$1001,$A21,col_s3))&gt;0))+IF(col_s4=0,0,--(LEN(INDEX('Paste Export'!$A$2:$BZ$1001,$A21,col_s4))&gt;0))+IF(col_s5=0,0,--(LEN(INDEX('Paste Export'!$A$2:$BZ$1001,$A21,col_s5))&gt;0))+IF(col_s6=0,0,--(LEN(INDEX('Paste Export'!$A$2:$BZ$1001,$A21,col_s6))&gt;0))+IF(col_s7=0,0,--(LEN(INDEX('Paste Export'!$A$2:$BZ$1001,$A21,col_s7))&gt;0))+IF(col_s8=0,0,--(LEN(INDEX('Paste Export'!$A$2:$BZ$1001,$A21,col_s8))&gt;0)))</f>
        <v/>
      </c>
      <c r="I21" s="25" t="str">
        <f t="shared" si="3"/>
        <v/>
      </c>
      <c r="J21" s="25" t="str">
        <f t="shared" si="4"/>
        <v/>
      </c>
      <c r="K21" s="24" t="str">
        <f t="shared" si="5"/>
        <v/>
      </c>
      <c r="L21" s="24" t="str">
        <f t="shared" si="6"/>
        <v/>
      </c>
    </row>
    <row r="22" spans="1:12" x14ac:dyDescent="0.25">
      <c r="A22" s="24">
        <f t="shared" si="0"/>
        <v>21</v>
      </c>
      <c r="B22" s="25" t="str">
        <f>IF($A22&gt;nrows,"",IF(col_user=0,"",INDEX('Paste Export'!$A$2:$BZ$1001,$A22,col_user)))</f>
        <v/>
      </c>
      <c r="C22" s="24" t="str">
        <f>IF($A22&gt;nrows,"",IF(col_days=0,0,N(INDEX('Paste Export'!$A$2:$BZ$1001,$A22,col_days))))</f>
        <v/>
      </c>
      <c r="D22" s="24" t="str">
        <f>IF($A22&gt;nrows,"",IF(col_prompts=0,0,N(INDEX('Paste Export'!$A$2:$BZ$1001,$A22,col_prompts))))</f>
        <v/>
      </c>
      <c r="E22" s="24" t="str">
        <f>IF($A22&gt;nrows,"",IF(col_web=0,0,N(INDEX('Paste Export'!$A$2:$BZ$1001,$A22,col_web))))</f>
        <v/>
      </c>
      <c r="F22" s="26" t="str">
        <f t="shared" si="1"/>
        <v/>
      </c>
      <c r="G22" s="27" t="str">
        <f t="shared" si="2"/>
        <v/>
      </c>
      <c r="H22" s="24" t="str">
        <f>IF($A22&gt;nrows,"",IF(col_s1=0,0,--(LEN(INDEX('Paste Export'!$A$2:$BZ$1001,$A22,col_s1))&gt;0))+IF(col_s2=0,0,--(LEN(INDEX('Paste Export'!$A$2:$BZ$1001,$A22,col_s2))&gt;0))+IF(col_s3=0,0,--(LEN(INDEX('Paste Export'!$A$2:$BZ$1001,$A22,col_s3))&gt;0))+IF(col_s4=0,0,--(LEN(INDEX('Paste Export'!$A$2:$BZ$1001,$A22,col_s4))&gt;0))+IF(col_s5=0,0,--(LEN(INDEX('Paste Export'!$A$2:$BZ$1001,$A22,col_s5))&gt;0))+IF(col_s6=0,0,--(LEN(INDEX('Paste Export'!$A$2:$BZ$1001,$A22,col_s6))&gt;0))+IF(col_s7=0,0,--(LEN(INDEX('Paste Export'!$A$2:$BZ$1001,$A22,col_s7))&gt;0))+IF(col_s8=0,0,--(LEN(INDEX('Paste Export'!$A$2:$BZ$1001,$A22,col_s8))&gt;0)))</f>
        <v/>
      </c>
      <c r="I22" s="25" t="str">
        <f t="shared" si="3"/>
        <v/>
      </c>
      <c r="J22" s="25" t="str">
        <f t="shared" si="4"/>
        <v/>
      </c>
      <c r="K22" s="24" t="str">
        <f t="shared" si="5"/>
        <v/>
      </c>
      <c r="L22" s="24" t="str">
        <f t="shared" si="6"/>
        <v/>
      </c>
    </row>
    <row r="23" spans="1:12" x14ac:dyDescent="0.25">
      <c r="A23" s="24">
        <f t="shared" si="0"/>
        <v>22</v>
      </c>
      <c r="B23" s="25" t="str">
        <f>IF($A23&gt;nrows,"",IF(col_user=0,"",INDEX('Paste Export'!$A$2:$BZ$1001,$A23,col_user)))</f>
        <v/>
      </c>
      <c r="C23" s="24" t="str">
        <f>IF($A23&gt;nrows,"",IF(col_days=0,0,N(INDEX('Paste Export'!$A$2:$BZ$1001,$A23,col_days))))</f>
        <v/>
      </c>
      <c r="D23" s="24" t="str">
        <f>IF($A23&gt;nrows,"",IF(col_prompts=0,0,N(INDEX('Paste Export'!$A$2:$BZ$1001,$A23,col_prompts))))</f>
        <v/>
      </c>
      <c r="E23" s="24" t="str">
        <f>IF($A23&gt;nrows,"",IF(col_web=0,0,N(INDEX('Paste Export'!$A$2:$BZ$1001,$A23,col_web))))</f>
        <v/>
      </c>
      <c r="F23" s="26" t="str">
        <f t="shared" si="1"/>
        <v/>
      </c>
      <c r="G23" s="27" t="str">
        <f t="shared" si="2"/>
        <v/>
      </c>
      <c r="H23" s="24" t="str">
        <f>IF($A23&gt;nrows,"",IF(col_s1=0,0,--(LEN(INDEX('Paste Export'!$A$2:$BZ$1001,$A23,col_s1))&gt;0))+IF(col_s2=0,0,--(LEN(INDEX('Paste Export'!$A$2:$BZ$1001,$A23,col_s2))&gt;0))+IF(col_s3=0,0,--(LEN(INDEX('Paste Export'!$A$2:$BZ$1001,$A23,col_s3))&gt;0))+IF(col_s4=0,0,--(LEN(INDEX('Paste Export'!$A$2:$BZ$1001,$A23,col_s4))&gt;0))+IF(col_s5=0,0,--(LEN(INDEX('Paste Export'!$A$2:$BZ$1001,$A23,col_s5))&gt;0))+IF(col_s6=0,0,--(LEN(INDEX('Paste Export'!$A$2:$BZ$1001,$A23,col_s6))&gt;0))+IF(col_s7=0,0,--(LEN(INDEX('Paste Export'!$A$2:$BZ$1001,$A23,col_s7))&gt;0))+IF(col_s8=0,0,--(LEN(INDEX('Paste Export'!$A$2:$BZ$1001,$A23,col_s8))&gt;0)))</f>
        <v/>
      </c>
      <c r="I23" s="25" t="str">
        <f t="shared" si="3"/>
        <v/>
      </c>
      <c r="J23" s="25" t="str">
        <f t="shared" si="4"/>
        <v/>
      </c>
      <c r="K23" s="24" t="str">
        <f t="shared" si="5"/>
        <v/>
      </c>
      <c r="L23" s="24" t="str">
        <f t="shared" si="6"/>
        <v/>
      </c>
    </row>
    <row r="24" spans="1:12" x14ac:dyDescent="0.25">
      <c r="A24" s="24">
        <f t="shared" si="0"/>
        <v>23</v>
      </c>
      <c r="B24" s="25" t="str">
        <f>IF($A24&gt;nrows,"",IF(col_user=0,"",INDEX('Paste Export'!$A$2:$BZ$1001,$A24,col_user)))</f>
        <v/>
      </c>
      <c r="C24" s="24" t="str">
        <f>IF($A24&gt;nrows,"",IF(col_days=0,0,N(INDEX('Paste Export'!$A$2:$BZ$1001,$A24,col_days))))</f>
        <v/>
      </c>
      <c r="D24" s="24" t="str">
        <f>IF($A24&gt;nrows,"",IF(col_prompts=0,0,N(INDEX('Paste Export'!$A$2:$BZ$1001,$A24,col_prompts))))</f>
        <v/>
      </c>
      <c r="E24" s="24" t="str">
        <f>IF($A24&gt;nrows,"",IF(col_web=0,0,N(INDEX('Paste Export'!$A$2:$BZ$1001,$A24,col_web))))</f>
        <v/>
      </c>
      <c r="F24" s="26" t="str">
        <f t="shared" si="1"/>
        <v/>
      </c>
      <c r="G24" s="27" t="str">
        <f t="shared" si="2"/>
        <v/>
      </c>
      <c r="H24" s="24" t="str">
        <f>IF($A24&gt;nrows,"",IF(col_s1=0,0,--(LEN(INDEX('Paste Export'!$A$2:$BZ$1001,$A24,col_s1))&gt;0))+IF(col_s2=0,0,--(LEN(INDEX('Paste Export'!$A$2:$BZ$1001,$A24,col_s2))&gt;0))+IF(col_s3=0,0,--(LEN(INDEX('Paste Export'!$A$2:$BZ$1001,$A24,col_s3))&gt;0))+IF(col_s4=0,0,--(LEN(INDEX('Paste Export'!$A$2:$BZ$1001,$A24,col_s4))&gt;0))+IF(col_s5=0,0,--(LEN(INDEX('Paste Export'!$A$2:$BZ$1001,$A24,col_s5))&gt;0))+IF(col_s6=0,0,--(LEN(INDEX('Paste Export'!$A$2:$BZ$1001,$A24,col_s6))&gt;0))+IF(col_s7=0,0,--(LEN(INDEX('Paste Export'!$A$2:$BZ$1001,$A24,col_s7))&gt;0))+IF(col_s8=0,0,--(LEN(INDEX('Paste Export'!$A$2:$BZ$1001,$A24,col_s8))&gt;0)))</f>
        <v/>
      </c>
      <c r="I24" s="25" t="str">
        <f t="shared" si="3"/>
        <v/>
      </c>
      <c r="J24" s="25" t="str">
        <f t="shared" si="4"/>
        <v/>
      </c>
      <c r="K24" s="24" t="str">
        <f t="shared" si="5"/>
        <v/>
      </c>
      <c r="L24" s="24" t="str">
        <f t="shared" si="6"/>
        <v/>
      </c>
    </row>
    <row r="25" spans="1:12" x14ac:dyDescent="0.25">
      <c r="A25" s="24">
        <f t="shared" si="0"/>
        <v>24</v>
      </c>
      <c r="B25" s="25" t="str">
        <f>IF($A25&gt;nrows,"",IF(col_user=0,"",INDEX('Paste Export'!$A$2:$BZ$1001,$A25,col_user)))</f>
        <v/>
      </c>
      <c r="C25" s="24" t="str">
        <f>IF($A25&gt;nrows,"",IF(col_days=0,0,N(INDEX('Paste Export'!$A$2:$BZ$1001,$A25,col_days))))</f>
        <v/>
      </c>
      <c r="D25" s="24" t="str">
        <f>IF($A25&gt;nrows,"",IF(col_prompts=0,0,N(INDEX('Paste Export'!$A$2:$BZ$1001,$A25,col_prompts))))</f>
        <v/>
      </c>
      <c r="E25" s="24" t="str">
        <f>IF($A25&gt;nrows,"",IF(col_web=0,0,N(INDEX('Paste Export'!$A$2:$BZ$1001,$A25,col_web))))</f>
        <v/>
      </c>
      <c r="F25" s="26" t="str">
        <f t="shared" si="1"/>
        <v/>
      </c>
      <c r="G25" s="27" t="str">
        <f t="shared" si="2"/>
        <v/>
      </c>
      <c r="H25" s="24" t="str">
        <f>IF($A25&gt;nrows,"",IF(col_s1=0,0,--(LEN(INDEX('Paste Export'!$A$2:$BZ$1001,$A25,col_s1))&gt;0))+IF(col_s2=0,0,--(LEN(INDEX('Paste Export'!$A$2:$BZ$1001,$A25,col_s2))&gt;0))+IF(col_s3=0,0,--(LEN(INDEX('Paste Export'!$A$2:$BZ$1001,$A25,col_s3))&gt;0))+IF(col_s4=0,0,--(LEN(INDEX('Paste Export'!$A$2:$BZ$1001,$A25,col_s4))&gt;0))+IF(col_s5=0,0,--(LEN(INDEX('Paste Export'!$A$2:$BZ$1001,$A25,col_s5))&gt;0))+IF(col_s6=0,0,--(LEN(INDEX('Paste Export'!$A$2:$BZ$1001,$A25,col_s6))&gt;0))+IF(col_s7=0,0,--(LEN(INDEX('Paste Export'!$A$2:$BZ$1001,$A25,col_s7))&gt;0))+IF(col_s8=0,0,--(LEN(INDEX('Paste Export'!$A$2:$BZ$1001,$A25,col_s8))&gt;0)))</f>
        <v/>
      </c>
      <c r="I25" s="25" t="str">
        <f t="shared" si="3"/>
        <v/>
      </c>
      <c r="J25" s="25" t="str">
        <f t="shared" si="4"/>
        <v/>
      </c>
      <c r="K25" s="24" t="str">
        <f t="shared" si="5"/>
        <v/>
      </c>
      <c r="L25" s="24" t="str">
        <f t="shared" si="6"/>
        <v/>
      </c>
    </row>
    <row r="26" spans="1:12" x14ac:dyDescent="0.25">
      <c r="A26" s="24">
        <f t="shared" si="0"/>
        <v>25</v>
      </c>
      <c r="B26" s="25" t="str">
        <f>IF($A26&gt;nrows,"",IF(col_user=0,"",INDEX('Paste Export'!$A$2:$BZ$1001,$A26,col_user)))</f>
        <v/>
      </c>
      <c r="C26" s="24" t="str">
        <f>IF($A26&gt;nrows,"",IF(col_days=0,0,N(INDEX('Paste Export'!$A$2:$BZ$1001,$A26,col_days))))</f>
        <v/>
      </c>
      <c r="D26" s="24" t="str">
        <f>IF($A26&gt;nrows,"",IF(col_prompts=0,0,N(INDEX('Paste Export'!$A$2:$BZ$1001,$A26,col_prompts))))</f>
        <v/>
      </c>
      <c r="E26" s="24" t="str">
        <f>IF($A26&gt;nrows,"",IF(col_web=0,0,N(INDEX('Paste Export'!$A$2:$BZ$1001,$A26,col_web))))</f>
        <v/>
      </c>
      <c r="F26" s="26" t="str">
        <f t="shared" si="1"/>
        <v/>
      </c>
      <c r="G26" s="27" t="str">
        <f t="shared" si="2"/>
        <v/>
      </c>
      <c r="H26" s="24" t="str">
        <f>IF($A26&gt;nrows,"",IF(col_s1=0,0,--(LEN(INDEX('Paste Export'!$A$2:$BZ$1001,$A26,col_s1))&gt;0))+IF(col_s2=0,0,--(LEN(INDEX('Paste Export'!$A$2:$BZ$1001,$A26,col_s2))&gt;0))+IF(col_s3=0,0,--(LEN(INDEX('Paste Export'!$A$2:$BZ$1001,$A26,col_s3))&gt;0))+IF(col_s4=0,0,--(LEN(INDEX('Paste Export'!$A$2:$BZ$1001,$A26,col_s4))&gt;0))+IF(col_s5=0,0,--(LEN(INDEX('Paste Export'!$A$2:$BZ$1001,$A26,col_s5))&gt;0))+IF(col_s6=0,0,--(LEN(INDEX('Paste Export'!$A$2:$BZ$1001,$A26,col_s6))&gt;0))+IF(col_s7=0,0,--(LEN(INDEX('Paste Export'!$A$2:$BZ$1001,$A26,col_s7))&gt;0))+IF(col_s8=0,0,--(LEN(INDEX('Paste Export'!$A$2:$BZ$1001,$A26,col_s8))&gt;0)))</f>
        <v/>
      </c>
      <c r="I26" s="25" t="str">
        <f t="shared" si="3"/>
        <v/>
      </c>
      <c r="J26" s="25" t="str">
        <f t="shared" si="4"/>
        <v/>
      </c>
      <c r="K26" s="24" t="str">
        <f t="shared" si="5"/>
        <v/>
      </c>
      <c r="L26" s="24" t="str">
        <f t="shared" si="6"/>
        <v/>
      </c>
    </row>
    <row r="27" spans="1:12" x14ac:dyDescent="0.25">
      <c r="A27" s="24">
        <f t="shared" si="0"/>
        <v>26</v>
      </c>
      <c r="B27" s="25" t="str">
        <f>IF($A27&gt;nrows,"",IF(col_user=0,"",INDEX('Paste Export'!$A$2:$BZ$1001,$A27,col_user)))</f>
        <v/>
      </c>
      <c r="C27" s="24" t="str">
        <f>IF($A27&gt;nrows,"",IF(col_days=0,0,N(INDEX('Paste Export'!$A$2:$BZ$1001,$A27,col_days))))</f>
        <v/>
      </c>
      <c r="D27" s="24" t="str">
        <f>IF($A27&gt;nrows,"",IF(col_prompts=0,0,N(INDEX('Paste Export'!$A$2:$BZ$1001,$A27,col_prompts))))</f>
        <v/>
      </c>
      <c r="E27" s="24" t="str">
        <f>IF($A27&gt;nrows,"",IF(col_web=0,0,N(INDEX('Paste Export'!$A$2:$BZ$1001,$A27,col_web))))</f>
        <v/>
      </c>
      <c r="F27" s="26" t="str">
        <f t="shared" si="1"/>
        <v/>
      </c>
      <c r="G27" s="27" t="str">
        <f t="shared" si="2"/>
        <v/>
      </c>
      <c r="H27" s="24" t="str">
        <f>IF($A27&gt;nrows,"",IF(col_s1=0,0,--(LEN(INDEX('Paste Export'!$A$2:$BZ$1001,$A27,col_s1))&gt;0))+IF(col_s2=0,0,--(LEN(INDEX('Paste Export'!$A$2:$BZ$1001,$A27,col_s2))&gt;0))+IF(col_s3=0,0,--(LEN(INDEX('Paste Export'!$A$2:$BZ$1001,$A27,col_s3))&gt;0))+IF(col_s4=0,0,--(LEN(INDEX('Paste Export'!$A$2:$BZ$1001,$A27,col_s4))&gt;0))+IF(col_s5=0,0,--(LEN(INDEX('Paste Export'!$A$2:$BZ$1001,$A27,col_s5))&gt;0))+IF(col_s6=0,0,--(LEN(INDEX('Paste Export'!$A$2:$BZ$1001,$A27,col_s6))&gt;0))+IF(col_s7=0,0,--(LEN(INDEX('Paste Export'!$A$2:$BZ$1001,$A27,col_s7))&gt;0))+IF(col_s8=0,0,--(LEN(INDEX('Paste Export'!$A$2:$BZ$1001,$A27,col_s8))&gt;0)))</f>
        <v/>
      </c>
      <c r="I27" s="25" t="str">
        <f t="shared" si="3"/>
        <v/>
      </c>
      <c r="J27" s="25" t="str">
        <f t="shared" si="4"/>
        <v/>
      </c>
      <c r="K27" s="24" t="str">
        <f t="shared" si="5"/>
        <v/>
      </c>
      <c r="L27" s="24" t="str">
        <f t="shared" si="6"/>
        <v/>
      </c>
    </row>
    <row r="28" spans="1:12" x14ac:dyDescent="0.25">
      <c r="A28" s="24">
        <f t="shared" si="0"/>
        <v>27</v>
      </c>
      <c r="B28" s="25" t="str">
        <f>IF($A28&gt;nrows,"",IF(col_user=0,"",INDEX('Paste Export'!$A$2:$BZ$1001,$A28,col_user)))</f>
        <v/>
      </c>
      <c r="C28" s="24" t="str">
        <f>IF($A28&gt;nrows,"",IF(col_days=0,0,N(INDEX('Paste Export'!$A$2:$BZ$1001,$A28,col_days))))</f>
        <v/>
      </c>
      <c r="D28" s="24" t="str">
        <f>IF($A28&gt;nrows,"",IF(col_prompts=0,0,N(INDEX('Paste Export'!$A$2:$BZ$1001,$A28,col_prompts))))</f>
        <v/>
      </c>
      <c r="E28" s="24" t="str">
        <f>IF($A28&gt;nrows,"",IF(col_web=0,0,N(INDEX('Paste Export'!$A$2:$BZ$1001,$A28,col_web))))</f>
        <v/>
      </c>
      <c r="F28" s="26" t="str">
        <f t="shared" si="1"/>
        <v/>
      </c>
      <c r="G28" s="27" t="str">
        <f t="shared" si="2"/>
        <v/>
      </c>
      <c r="H28" s="24" t="str">
        <f>IF($A28&gt;nrows,"",IF(col_s1=0,0,--(LEN(INDEX('Paste Export'!$A$2:$BZ$1001,$A28,col_s1))&gt;0))+IF(col_s2=0,0,--(LEN(INDEX('Paste Export'!$A$2:$BZ$1001,$A28,col_s2))&gt;0))+IF(col_s3=0,0,--(LEN(INDEX('Paste Export'!$A$2:$BZ$1001,$A28,col_s3))&gt;0))+IF(col_s4=0,0,--(LEN(INDEX('Paste Export'!$A$2:$BZ$1001,$A28,col_s4))&gt;0))+IF(col_s5=0,0,--(LEN(INDEX('Paste Export'!$A$2:$BZ$1001,$A28,col_s5))&gt;0))+IF(col_s6=0,0,--(LEN(INDEX('Paste Export'!$A$2:$BZ$1001,$A28,col_s6))&gt;0))+IF(col_s7=0,0,--(LEN(INDEX('Paste Export'!$A$2:$BZ$1001,$A28,col_s7))&gt;0))+IF(col_s8=0,0,--(LEN(INDEX('Paste Export'!$A$2:$BZ$1001,$A28,col_s8))&gt;0)))</f>
        <v/>
      </c>
      <c r="I28" s="25" t="str">
        <f t="shared" si="3"/>
        <v/>
      </c>
      <c r="J28" s="25" t="str">
        <f t="shared" si="4"/>
        <v/>
      </c>
      <c r="K28" s="24" t="str">
        <f t="shared" si="5"/>
        <v/>
      </c>
      <c r="L28" s="24" t="str">
        <f t="shared" si="6"/>
        <v/>
      </c>
    </row>
    <row r="29" spans="1:12" x14ac:dyDescent="0.25">
      <c r="A29" s="24">
        <f t="shared" si="0"/>
        <v>28</v>
      </c>
      <c r="B29" s="25" t="str">
        <f>IF($A29&gt;nrows,"",IF(col_user=0,"",INDEX('Paste Export'!$A$2:$BZ$1001,$A29,col_user)))</f>
        <v/>
      </c>
      <c r="C29" s="24" t="str">
        <f>IF($A29&gt;nrows,"",IF(col_days=0,0,N(INDEX('Paste Export'!$A$2:$BZ$1001,$A29,col_days))))</f>
        <v/>
      </c>
      <c r="D29" s="24" t="str">
        <f>IF($A29&gt;nrows,"",IF(col_prompts=0,0,N(INDEX('Paste Export'!$A$2:$BZ$1001,$A29,col_prompts))))</f>
        <v/>
      </c>
      <c r="E29" s="24" t="str">
        <f>IF($A29&gt;nrows,"",IF(col_web=0,0,N(INDEX('Paste Export'!$A$2:$BZ$1001,$A29,col_web))))</f>
        <v/>
      </c>
      <c r="F29" s="26" t="str">
        <f t="shared" si="1"/>
        <v/>
      </c>
      <c r="G29" s="27" t="str">
        <f t="shared" si="2"/>
        <v/>
      </c>
      <c r="H29" s="24" t="str">
        <f>IF($A29&gt;nrows,"",IF(col_s1=0,0,--(LEN(INDEX('Paste Export'!$A$2:$BZ$1001,$A29,col_s1))&gt;0))+IF(col_s2=0,0,--(LEN(INDEX('Paste Export'!$A$2:$BZ$1001,$A29,col_s2))&gt;0))+IF(col_s3=0,0,--(LEN(INDEX('Paste Export'!$A$2:$BZ$1001,$A29,col_s3))&gt;0))+IF(col_s4=0,0,--(LEN(INDEX('Paste Export'!$A$2:$BZ$1001,$A29,col_s4))&gt;0))+IF(col_s5=0,0,--(LEN(INDEX('Paste Export'!$A$2:$BZ$1001,$A29,col_s5))&gt;0))+IF(col_s6=0,0,--(LEN(INDEX('Paste Export'!$A$2:$BZ$1001,$A29,col_s6))&gt;0))+IF(col_s7=0,0,--(LEN(INDEX('Paste Export'!$A$2:$BZ$1001,$A29,col_s7))&gt;0))+IF(col_s8=0,0,--(LEN(INDEX('Paste Export'!$A$2:$BZ$1001,$A29,col_s8))&gt;0)))</f>
        <v/>
      </c>
      <c r="I29" s="25" t="str">
        <f t="shared" si="3"/>
        <v/>
      </c>
      <c r="J29" s="25" t="str">
        <f t="shared" si="4"/>
        <v/>
      </c>
      <c r="K29" s="24" t="str">
        <f t="shared" si="5"/>
        <v/>
      </c>
      <c r="L29" s="24" t="str">
        <f t="shared" si="6"/>
        <v/>
      </c>
    </row>
    <row r="30" spans="1:12" x14ac:dyDescent="0.25">
      <c r="A30" s="24">
        <f t="shared" si="0"/>
        <v>29</v>
      </c>
      <c r="B30" s="25" t="str">
        <f>IF($A30&gt;nrows,"",IF(col_user=0,"",INDEX('Paste Export'!$A$2:$BZ$1001,$A30,col_user)))</f>
        <v/>
      </c>
      <c r="C30" s="24" t="str">
        <f>IF($A30&gt;nrows,"",IF(col_days=0,0,N(INDEX('Paste Export'!$A$2:$BZ$1001,$A30,col_days))))</f>
        <v/>
      </c>
      <c r="D30" s="24" t="str">
        <f>IF($A30&gt;nrows,"",IF(col_prompts=0,0,N(INDEX('Paste Export'!$A$2:$BZ$1001,$A30,col_prompts))))</f>
        <v/>
      </c>
      <c r="E30" s="24" t="str">
        <f>IF($A30&gt;nrows,"",IF(col_web=0,0,N(INDEX('Paste Export'!$A$2:$BZ$1001,$A30,col_web))))</f>
        <v/>
      </c>
      <c r="F30" s="26" t="str">
        <f t="shared" si="1"/>
        <v/>
      </c>
      <c r="G30" s="27" t="str">
        <f t="shared" si="2"/>
        <v/>
      </c>
      <c r="H30" s="24" t="str">
        <f>IF($A30&gt;nrows,"",IF(col_s1=0,0,--(LEN(INDEX('Paste Export'!$A$2:$BZ$1001,$A30,col_s1))&gt;0))+IF(col_s2=0,0,--(LEN(INDEX('Paste Export'!$A$2:$BZ$1001,$A30,col_s2))&gt;0))+IF(col_s3=0,0,--(LEN(INDEX('Paste Export'!$A$2:$BZ$1001,$A30,col_s3))&gt;0))+IF(col_s4=0,0,--(LEN(INDEX('Paste Export'!$A$2:$BZ$1001,$A30,col_s4))&gt;0))+IF(col_s5=0,0,--(LEN(INDEX('Paste Export'!$A$2:$BZ$1001,$A30,col_s5))&gt;0))+IF(col_s6=0,0,--(LEN(INDEX('Paste Export'!$A$2:$BZ$1001,$A30,col_s6))&gt;0))+IF(col_s7=0,0,--(LEN(INDEX('Paste Export'!$A$2:$BZ$1001,$A30,col_s7))&gt;0))+IF(col_s8=0,0,--(LEN(INDEX('Paste Export'!$A$2:$BZ$1001,$A30,col_s8))&gt;0)))</f>
        <v/>
      </c>
      <c r="I30" s="25" t="str">
        <f t="shared" si="3"/>
        <v/>
      </c>
      <c r="J30" s="25" t="str">
        <f t="shared" si="4"/>
        <v/>
      </c>
      <c r="K30" s="24" t="str">
        <f t="shared" si="5"/>
        <v/>
      </c>
      <c r="L30" s="24" t="str">
        <f t="shared" si="6"/>
        <v/>
      </c>
    </row>
    <row r="31" spans="1:12" x14ac:dyDescent="0.25">
      <c r="A31" s="24">
        <f t="shared" si="0"/>
        <v>30</v>
      </c>
      <c r="B31" s="25" t="str">
        <f>IF($A31&gt;nrows,"",IF(col_user=0,"",INDEX('Paste Export'!$A$2:$BZ$1001,$A31,col_user)))</f>
        <v/>
      </c>
      <c r="C31" s="24" t="str">
        <f>IF($A31&gt;nrows,"",IF(col_days=0,0,N(INDEX('Paste Export'!$A$2:$BZ$1001,$A31,col_days))))</f>
        <v/>
      </c>
      <c r="D31" s="24" t="str">
        <f>IF($A31&gt;nrows,"",IF(col_prompts=0,0,N(INDEX('Paste Export'!$A$2:$BZ$1001,$A31,col_prompts))))</f>
        <v/>
      </c>
      <c r="E31" s="24" t="str">
        <f>IF($A31&gt;nrows,"",IF(col_web=0,0,N(INDEX('Paste Export'!$A$2:$BZ$1001,$A31,col_web))))</f>
        <v/>
      </c>
      <c r="F31" s="26" t="str">
        <f t="shared" si="1"/>
        <v/>
      </c>
      <c r="G31" s="27" t="str">
        <f t="shared" si="2"/>
        <v/>
      </c>
      <c r="H31" s="24" t="str">
        <f>IF($A31&gt;nrows,"",IF(col_s1=0,0,--(LEN(INDEX('Paste Export'!$A$2:$BZ$1001,$A31,col_s1))&gt;0))+IF(col_s2=0,0,--(LEN(INDEX('Paste Export'!$A$2:$BZ$1001,$A31,col_s2))&gt;0))+IF(col_s3=0,0,--(LEN(INDEX('Paste Export'!$A$2:$BZ$1001,$A31,col_s3))&gt;0))+IF(col_s4=0,0,--(LEN(INDEX('Paste Export'!$A$2:$BZ$1001,$A31,col_s4))&gt;0))+IF(col_s5=0,0,--(LEN(INDEX('Paste Export'!$A$2:$BZ$1001,$A31,col_s5))&gt;0))+IF(col_s6=0,0,--(LEN(INDEX('Paste Export'!$A$2:$BZ$1001,$A31,col_s6))&gt;0))+IF(col_s7=0,0,--(LEN(INDEX('Paste Export'!$A$2:$BZ$1001,$A31,col_s7))&gt;0))+IF(col_s8=0,0,--(LEN(INDEX('Paste Export'!$A$2:$BZ$1001,$A31,col_s8))&gt;0)))</f>
        <v/>
      </c>
      <c r="I31" s="25" t="str">
        <f t="shared" si="3"/>
        <v/>
      </c>
      <c r="J31" s="25" t="str">
        <f t="shared" si="4"/>
        <v/>
      </c>
      <c r="K31" s="24" t="str">
        <f t="shared" si="5"/>
        <v/>
      </c>
      <c r="L31" s="24" t="str">
        <f t="shared" si="6"/>
        <v/>
      </c>
    </row>
    <row r="32" spans="1:12" x14ac:dyDescent="0.25">
      <c r="A32" s="24">
        <f t="shared" si="0"/>
        <v>31</v>
      </c>
      <c r="B32" s="25" t="str">
        <f>IF($A32&gt;nrows,"",IF(col_user=0,"",INDEX('Paste Export'!$A$2:$BZ$1001,$A32,col_user)))</f>
        <v/>
      </c>
      <c r="C32" s="24" t="str">
        <f>IF($A32&gt;nrows,"",IF(col_days=0,0,N(INDEX('Paste Export'!$A$2:$BZ$1001,$A32,col_days))))</f>
        <v/>
      </c>
      <c r="D32" s="24" t="str">
        <f>IF($A32&gt;nrows,"",IF(col_prompts=0,0,N(INDEX('Paste Export'!$A$2:$BZ$1001,$A32,col_prompts))))</f>
        <v/>
      </c>
      <c r="E32" s="24" t="str">
        <f>IF($A32&gt;nrows,"",IF(col_web=0,0,N(INDEX('Paste Export'!$A$2:$BZ$1001,$A32,col_web))))</f>
        <v/>
      </c>
      <c r="F32" s="26" t="str">
        <f t="shared" si="1"/>
        <v/>
      </c>
      <c r="G32" s="27" t="str">
        <f t="shared" si="2"/>
        <v/>
      </c>
      <c r="H32" s="24" t="str">
        <f>IF($A32&gt;nrows,"",IF(col_s1=0,0,--(LEN(INDEX('Paste Export'!$A$2:$BZ$1001,$A32,col_s1))&gt;0))+IF(col_s2=0,0,--(LEN(INDEX('Paste Export'!$A$2:$BZ$1001,$A32,col_s2))&gt;0))+IF(col_s3=0,0,--(LEN(INDEX('Paste Export'!$A$2:$BZ$1001,$A32,col_s3))&gt;0))+IF(col_s4=0,0,--(LEN(INDEX('Paste Export'!$A$2:$BZ$1001,$A32,col_s4))&gt;0))+IF(col_s5=0,0,--(LEN(INDEX('Paste Export'!$A$2:$BZ$1001,$A32,col_s5))&gt;0))+IF(col_s6=0,0,--(LEN(INDEX('Paste Export'!$A$2:$BZ$1001,$A32,col_s6))&gt;0))+IF(col_s7=0,0,--(LEN(INDEX('Paste Export'!$A$2:$BZ$1001,$A32,col_s7))&gt;0))+IF(col_s8=0,0,--(LEN(INDEX('Paste Export'!$A$2:$BZ$1001,$A32,col_s8))&gt;0)))</f>
        <v/>
      </c>
      <c r="I32" s="25" t="str">
        <f t="shared" si="3"/>
        <v/>
      </c>
      <c r="J32" s="25" t="str">
        <f t="shared" si="4"/>
        <v/>
      </c>
      <c r="K32" s="24" t="str">
        <f t="shared" si="5"/>
        <v/>
      </c>
      <c r="L32" s="24" t="str">
        <f t="shared" si="6"/>
        <v/>
      </c>
    </row>
    <row r="33" spans="1:12" x14ac:dyDescent="0.25">
      <c r="A33" s="24">
        <f t="shared" si="0"/>
        <v>32</v>
      </c>
      <c r="B33" s="25" t="str">
        <f>IF($A33&gt;nrows,"",IF(col_user=0,"",INDEX('Paste Export'!$A$2:$BZ$1001,$A33,col_user)))</f>
        <v/>
      </c>
      <c r="C33" s="24" t="str">
        <f>IF($A33&gt;nrows,"",IF(col_days=0,0,N(INDEX('Paste Export'!$A$2:$BZ$1001,$A33,col_days))))</f>
        <v/>
      </c>
      <c r="D33" s="24" t="str">
        <f>IF($A33&gt;nrows,"",IF(col_prompts=0,0,N(INDEX('Paste Export'!$A$2:$BZ$1001,$A33,col_prompts))))</f>
        <v/>
      </c>
      <c r="E33" s="24" t="str">
        <f>IF($A33&gt;nrows,"",IF(col_web=0,0,N(INDEX('Paste Export'!$A$2:$BZ$1001,$A33,col_web))))</f>
        <v/>
      </c>
      <c r="F33" s="26" t="str">
        <f t="shared" si="1"/>
        <v/>
      </c>
      <c r="G33" s="27" t="str">
        <f t="shared" si="2"/>
        <v/>
      </c>
      <c r="H33" s="24" t="str">
        <f>IF($A33&gt;nrows,"",IF(col_s1=0,0,--(LEN(INDEX('Paste Export'!$A$2:$BZ$1001,$A33,col_s1))&gt;0))+IF(col_s2=0,0,--(LEN(INDEX('Paste Export'!$A$2:$BZ$1001,$A33,col_s2))&gt;0))+IF(col_s3=0,0,--(LEN(INDEX('Paste Export'!$A$2:$BZ$1001,$A33,col_s3))&gt;0))+IF(col_s4=0,0,--(LEN(INDEX('Paste Export'!$A$2:$BZ$1001,$A33,col_s4))&gt;0))+IF(col_s5=0,0,--(LEN(INDEX('Paste Export'!$A$2:$BZ$1001,$A33,col_s5))&gt;0))+IF(col_s6=0,0,--(LEN(INDEX('Paste Export'!$A$2:$BZ$1001,$A33,col_s6))&gt;0))+IF(col_s7=0,0,--(LEN(INDEX('Paste Export'!$A$2:$BZ$1001,$A33,col_s7))&gt;0))+IF(col_s8=0,0,--(LEN(INDEX('Paste Export'!$A$2:$BZ$1001,$A33,col_s8))&gt;0)))</f>
        <v/>
      </c>
      <c r="I33" s="25" t="str">
        <f t="shared" si="3"/>
        <v/>
      </c>
      <c r="J33" s="25" t="str">
        <f t="shared" si="4"/>
        <v/>
      </c>
      <c r="K33" s="24" t="str">
        <f t="shared" si="5"/>
        <v/>
      </c>
      <c r="L33" s="24" t="str">
        <f t="shared" si="6"/>
        <v/>
      </c>
    </row>
    <row r="34" spans="1:12" x14ac:dyDescent="0.25">
      <c r="A34" s="24">
        <f t="shared" si="0"/>
        <v>33</v>
      </c>
      <c r="B34" s="25" t="str">
        <f>IF($A34&gt;nrows,"",IF(col_user=0,"",INDEX('Paste Export'!$A$2:$BZ$1001,$A34,col_user)))</f>
        <v/>
      </c>
      <c r="C34" s="24" t="str">
        <f>IF($A34&gt;nrows,"",IF(col_days=0,0,N(INDEX('Paste Export'!$A$2:$BZ$1001,$A34,col_days))))</f>
        <v/>
      </c>
      <c r="D34" s="24" t="str">
        <f>IF($A34&gt;nrows,"",IF(col_prompts=0,0,N(INDEX('Paste Export'!$A$2:$BZ$1001,$A34,col_prompts))))</f>
        <v/>
      </c>
      <c r="E34" s="24" t="str">
        <f>IF($A34&gt;nrows,"",IF(col_web=0,0,N(INDEX('Paste Export'!$A$2:$BZ$1001,$A34,col_web))))</f>
        <v/>
      </c>
      <c r="F34" s="26" t="str">
        <f t="shared" si="1"/>
        <v/>
      </c>
      <c r="G34" s="27" t="str">
        <f t="shared" si="2"/>
        <v/>
      </c>
      <c r="H34" s="24" t="str">
        <f>IF($A34&gt;nrows,"",IF(col_s1=0,0,--(LEN(INDEX('Paste Export'!$A$2:$BZ$1001,$A34,col_s1))&gt;0))+IF(col_s2=0,0,--(LEN(INDEX('Paste Export'!$A$2:$BZ$1001,$A34,col_s2))&gt;0))+IF(col_s3=0,0,--(LEN(INDEX('Paste Export'!$A$2:$BZ$1001,$A34,col_s3))&gt;0))+IF(col_s4=0,0,--(LEN(INDEX('Paste Export'!$A$2:$BZ$1001,$A34,col_s4))&gt;0))+IF(col_s5=0,0,--(LEN(INDEX('Paste Export'!$A$2:$BZ$1001,$A34,col_s5))&gt;0))+IF(col_s6=0,0,--(LEN(INDEX('Paste Export'!$A$2:$BZ$1001,$A34,col_s6))&gt;0))+IF(col_s7=0,0,--(LEN(INDEX('Paste Export'!$A$2:$BZ$1001,$A34,col_s7))&gt;0))+IF(col_s8=0,0,--(LEN(INDEX('Paste Export'!$A$2:$BZ$1001,$A34,col_s8))&gt;0)))</f>
        <v/>
      </c>
      <c r="I34" s="25" t="str">
        <f t="shared" si="3"/>
        <v/>
      </c>
      <c r="J34" s="25" t="str">
        <f t="shared" si="4"/>
        <v/>
      </c>
      <c r="K34" s="24" t="str">
        <f t="shared" si="5"/>
        <v/>
      </c>
      <c r="L34" s="24" t="str">
        <f t="shared" si="6"/>
        <v/>
      </c>
    </row>
    <row r="35" spans="1:12" x14ac:dyDescent="0.25">
      <c r="A35" s="24">
        <f t="shared" si="0"/>
        <v>34</v>
      </c>
      <c r="B35" s="25" t="str">
        <f>IF($A35&gt;nrows,"",IF(col_user=0,"",INDEX('Paste Export'!$A$2:$BZ$1001,$A35,col_user)))</f>
        <v/>
      </c>
      <c r="C35" s="24" t="str">
        <f>IF($A35&gt;nrows,"",IF(col_days=0,0,N(INDEX('Paste Export'!$A$2:$BZ$1001,$A35,col_days))))</f>
        <v/>
      </c>
      <c r="D35" s="24" t="str">
        <f>IF($A35&gt;nrows,"",IF(col_prompts=0,0,N(INDEX('Paste Export'!$A$2:$BZ$1001,$A35,col_prompts))))</f>
        <v/>
      </c>
      <c r="E35" s="24" t="str">
        <f>IF($A35&gt;nrows,"",IF(col_web=0,0,N(INDEX('Paste Export'!$A$2:$BZ$1001,$A35,col_web))))</f>
        <v/>
      </c>
      <c r="F35" s="26" t="str">
        <f t="shared" si="1"/>
        <v/>
      </c>
      <c r="G35" s="27" t="str">
        <f t="shared" si="2"/>
        <v/>
      </c>
      <c r="H35" s="24" t="str">
        <f>IF($A35&gt;nrows,"",IF(col_s1=0,0,--(LEN(INDEX('Paste Export'!$A$2:$BZ$1001,$A35,col_s1))&gt;0))+IF(col_s2=0,0,--(LEN(INDEX('Paste Export'!$A$2:$BZ$1001,$A35,col_s2))&gt;0))+IF(col_s3=0,0,--(LEN(INDEX('Paste Export'!$A$2:$BZ$1001,$A35,col_s3))&gt;0))+IF(col_s4=0,0,--(LEN(INDEX('Paste Export'!$A$2:$BZ$1001,$A35,col_s4))&gt;0))+IF(col_s5=0,0,--(LEN(INDEX('Paste Export'!$A$2:$BZ$1001,$A35,col_s5))&gt;0))+IF(col_s6=0,0,--(LEN(INDEX('Paste Export'!$A$2:$BZ$1001,$A35,col_s6))&gt;0))+IF(col_s7=0,0,--(LEN(INDEX('Paste Export'!$A$2:$BZ$1001,$A35,col_s7))&gt;0))+IF(col_s8=0,0,--(LEN(INDEX('Paste Export'!$A$2:$BZ$1001,$A35,col_s8))&gt;0)))</f>
        <v/>
      </c>
      <c r="I35" s="25" t="str">
        <f t="shared" si="3"/>
        <v/>
      </c>
      <c r="J35" s="25" t="str">
        <f t="shared" si="4"/>
        <v/>
      </c>
      <c r="K35" s="24" t="str">
        <f t="shared" si="5"/>
        <v/>
      </c>
      <c r="L35" s="24" t="str">
        <f t="shared" si="6"/>
        <v/>
      </c>
    </row>
    <row r="36" spans="1:12" x14ac:dyDescent="0.25">
      <c r="A36" s="24">
        <f t="shared" si="0"/>
        <v>35</v>
      </c>
      <c r="B36" s="25" t="str">
        <f>IF($A36&gt;nrows,"",IF(col_user=0,"",INDEX('Paste Export'!$A$2:$BZ$1001,$A36,col_user)))</f>
        <v/>
      </c>
      <c r="C36" s="24" t="str">
        <f>IF($A36&gt;nrows,"",IF(col_days=0,0,N(INDEX('Paste Export'!$A$2:$BZ$1001,$A36,col_days))))</f>
        <v/>
      </c>
      <c r="D36" s="24" t="str">
        <f>IF($A36&gt;nrows,"",IF(col_prompts=0,0,N(INDEX('Paste Export'!$A$2:$BZ$1001,$A36,col_prompts))))</f>
        <v/>
      </c>
      <c r="E36" s="24" t="str">
        <f>IF($A36&gt;nrows,"",IF(col_web=0,0,N(INDEX('Paste Export'!$A$2:$BZ$1001,$A36,col_web))))</f>
        <v/>
      </c>
      <c r="F36" s="26" t="str">
        <f t="shared" si="1"/>
        <v/>
      </c>
      <c r="G36" s="27" t="str">
        <f t="shared" si="2"/>
        <v/>
      </c>
      <c r="H36" s="24" t="str">
        <f>IF($A36&gt;nrows,"",IF(col_s1=0,0,--(LEN(INDEX('Paste Export'!$A$2:$BZ$1001,$A36,col_s1))&gt;0))+IF(col_s2=0,0,--(LEN(INDEX('Paste Export'!$A$2:$BZ$1001,$A36,col_s2))&gt;0))+IF(col_s3=0,0,--(LEN(INDEX('Paste Export'!$A$2:$BZ$1001,$A36,col_s3))&gt;0))+IF(col_s4=0,0,--(LEN(INDEX('Paste Export'!$A$2:$BZ$1001,$A36,col_s4))&gt;0))+IF(col_s5=0,0,--(LEN(INDEX('Paste Export'!$A$2:$BZ$1001,$A36,col_s5))&gt;0))+IF(col_s6=0,0,--(LEN(INDEX('Paste Export'!$A$2:$BZ$1001,$A36,col_s6))&gt;0))+IF(col_s7=0,0,--(LEN(INDEX('Paste Export'!$A$2:$BZ$1001,$A36,col_s7))&gt;0))+IF(col_s8=0,0,--(LEN(INDEX('Paste Export'!$A$2:$BZ$1001,$A36,col_s8))&gt;0)))</f>
        <v/>
      </c>
      <c r="I36" s="25" t="str">
        <f t="shared" si="3"/>
        <v/>
      </c>
      <c r="J36" s="25" t="str">
        <f t="shared" si="4"/>
        <v/>
      </c>
      <c r="K36" s="24" t="str">
        <f t="shared" si="5"/>
        <v/>
      </c>
      <c r="L36" s="24" t="str">
        <f t="shared" si="6"/>
        <v/>
      </c>
    </row>
    <row r="37" spans="1:12" x14ac:dyDescent="0.25">
      <c r="A37" s="24">
        <f t="shared" si="0"/>
        <v>36</v>
      </c>
      <c r="B37" s="25" t="str">
        <f>IF($A37&gt;nrows,"",IF(col_user=0,"",INDEX('Paste Export'!$A$2:$BZ$1001,$A37,col_user)))</f>
        <v/>
      </c>
      <c r="C37" s="24" t="str">
        <f>IF($A37&gt;nrows,"",IF(col_days=0,0,N(INDEX('Paste Export'!$A$2:$BZ$1001,$A37,col_days))))</f>
        <v/>
      </c>
      <c r="D37" s="24" t="str">
        <f>IF($A37&gt;nrows,"",IF(col_prompts=0,0,N(INDEX('Paste Export'!$A$2:$BZ$1001,$A37,col_prompts))))</f>
        <v/>
      </c>
      <c r="E37" s="24" t="str">
        <f>IF($A37&gt;nrows,"",IF(col_web=0,0,N(INDEX('Paste Export'!$A$2:$BZ$1001,$A37,col_web))))</f>
        <v/>
      </c>
      <c r="F37" s="26" t="str">
        <f t="shared" si="1"/>
        <v/>
      </c>
      <c r="G37" s="27" t="str">
        <f t="shared" si="2"/>
        <v/>
      </c>
      <c r="H37" s="24" t="str">
        <f>IF($A37&gt;nrows,"",IF(col_s1=0,0,--(LEN(INDEX('Paste Export'!$A$2:$BZ$1001,$A37,col_s1))&gt;0))+IF(col_s2=0,0,--(LEN(INDEX('Paste Export'!$A$2:$BZ$1001,$A37,col_s2))&gt;0))+IF(col_s3=0,0,--(LEN(INDEX('Paste Export'!$A$2:$BZ$1001,$A37,col_s3))&gt;0))+IF(col_s4=0,0,--(LEN(INDEX('Paste Export'!$A$2:$BZ$1001,$A37,col_s4))&gt;0))+IF(col_s5=0,0,--(LEN(INDEX('Paste Export'!$A$2:$BZ$1001,$A37,col_s5))&gt;0))+IF(col_s6=0,0,--(LEN(INDEX('Paste Export'!$A$2:$BZ$1001,$A37,col_s6))&gt;0))+IF(col_s7=0,0,--(LEN(INDEX('Paste Export'!$A$2:$BZ$1001,$A37,col_s7))&gt;0))+IF(col_s8=0,0,--(LEN(INDEX('Paste Export'!$A$2:$BZ$1001,$A37,col_s8))&gt;0)))</f>
        <v/>
      </c>
      <c r="I37" s="25" t="str">
        <f t="shared" si="3"/>
        <v/>
      </c>
      <c r="J37" s="25" t="str">
        <f t="shared" si="4"/>
        <v/>
      </c>
      <c r="K37" s="24" t="str">
        <f t="shared" si="5"/>
        <v/>
      </c>
      <c r="L37" s="24" t="str">
        <f t="shared" si="6"/>
        <v/>
      </c>
    </row>
    <row r="38" spans="1:12" x14ac:dyDescent="0.25">
      <c r="A38" s="24">
        <f t="shared" si="0"/>
        <v>37</v>
      </c>
      <c r="B38" s="25" t="str">
        <f>IF($A38&gt;nrows,"",IF(col_user=0,"",INDEX('Paste Export'!$A$2:$BZ$1001,$A38,col_user)))</f>
        <v/>
      </c>
      <c r="C38" s="24" t="str">
        <f>IF($A38&gt;nrows,"",IF(col_days=0,0,N(INDEX('Paste Export'!$A$2:$BZ$1001,$A38,col_days))))</f>
        <v/>
      </c>
      <c r="D38" s="24" t="str">
        <f>IF($A38&gt;nrows,"",IF(col_prompts=0,0,N(INDEX('Paste Export'!$A$2:$BZ$1001,$A38,col_prompts))))</f>
        <v/>
      </c>
      <c r="E38" s="24" t="str">
        <f>IF($A38&gt;nrows,"",IF(col_web=0,0,N(INDEX('Paste Export'!$A$2:$BZ$1001,$A38,col_web))))</f>
        <v/>
      </c>
      <c r="F38" s="26" t="str">
        <f t="shared" si="1"/>
        <v/>
      </c>
      <c r="G38" s="27" t="str">
        <f t="shared" si="2"/>
        <v/>
      </c>
      <c r="H38" s="24" t="str">
        <f>IF($A38&gt;nrows,"",IF(col_s1=0,0,--(LEN(INDEX('Paste Export'!$A$2:$BZ$1001,$A38,col_s1))&gt;0))+IF(col_s2=0,0,--(LEN(INDEX('Paste Export'!$A$2:$BZ$1001,$A38,col_s2))&gt;0))+IF(col_s3=0,0,--(LEN(INDEX('Paste Export'!$A$2:$BZ$1001,$A38,col_s3))&gt;0))+IF(col_s4=0,0,--(LEN(INDEX('Paste Export'!$A$2:$BZ$1001,$A38,col_s4))&gt;0))+IF(col_s5=0,0,--(LEN(INDEX('Paste Export'!$A$2:$BZ$1001,$A38,col_s5))&gt;0))+IF(col_s6=0,0,--(LEN(INDEX('Paste Export'!$A$2:$BZ$1001,$A38,col_s6))&gt;0))+IF(col_s7=0,0,--(LEN(INDEX('Paste Export'!$A$2:$BZ$1001,$A38,col_s7))&gt;0))+IF(col_s8=0,0,--(LEN(INDEX('Paste Export'!$A$2:$BZ$1001,$A38,col_s8))&gt;0)))</f>
        <v/>
      </c>
      <c r="I38" s="25" t="str">
        <f t="shared" si="3"/>
        <v/>
      </c>
      <c r="J38" s="25" t="str">
        <f t="shared" si="4"/>
        <v/>
      </c>
      <c r="K38" s="24" t="str">
        <f t="shared" si="5"/>
        <v/>
      </c>
      <c r="L38" s="24" t="str">
        <f t="shared" si="6"/>
        <v/>
      </c>
    </row>
    <row r="39" spans="1:12" x14ac:dyDescent="0.25">
      <c r="A39" s="24">
        <f t="shared" si="0"/>
        <v>38</v>
      </c>
      <c r="B39" s="25" t="str">
        <f>IF($A39&gt;nrows,"",IF(col_user=0,"",INDEX('Paste Export'!$A$2:$BZ$1001,$A39,col_user)))</f>
        <v/>
      </c>
      <c r="C39" s="24" t="str">
        <f>IF($A39&gt;nrows,"",IF(col_days=0,0,N(INDEX('Paste Export'!$A$2:$BZ$1001,$A39,col_days))))</f>
        <v/>
      </c>
      <c r="D39" s="24" t="str">
        <f>IF($A39&gt;nrows,"",IF(col_prompts=0,0,N(INDEX('Paste Export'!$A$2:$BZ$1001,$A39,col_prompts))))</f>
        <v/>
      </c>
      <c r="E39" s="24" t="str">
        <f>IF($A39&gt;nrows,"",IF(col_web=0,0,N(INDEX('Paste Export'!$A$2:$BZ$1001,$A39,col_web))))</f>
        <v/>
      </c>
      <c r="F39" s="26" t="str">
        <f t="shared" si="1"/>
        <v/>
      </c>
      <c r="G39" s="27" t="str">
        <f t="shared" si="2"/>
        <v/>
      </c>
      <c r="H39" s="24" t="str">
        <f>IF($A39&gt;nrows,"",IF(col_s1=0,0,--(LEN(INDEX('Paste Export'!$A$2:$BZ$1001,$A39,col_s1))&gt;0))+IF(col_s2=0,0,--(LEN(INDEX('Paste Export'!$A$2:$BZ$1001,$A39,col_s2))&gt;0))+IF(col_s3=0,0,--(LEN(INDEX('Paste Export'!$A$2:$BZ$1001,$A39,col_s3))&gt;0))+IF(col_s4=0,0,--(LEN(INDEX('Paste Export'!$A$2:$BZ$1001,$A39,col_s4))&gt;0))+IF(col_s5=0,0,--(LEN(INDEX('Paste Export'!$A$2:$BZ$1001,$A39,col_s5))&gt;0))+IF(col_s6=0,0,--(LEN(INDEX('Paste Export'!$A$2:$BZ$1001,$A39,col_s6))&gt;0))+IF(col_s7=0,0,--(LEN(INDEX('Paste Export'!$A$2:$BZ$1001,$A39,col_s7))&gt;0))+IF(col_s8=0,0,--(LEN(INDEX('Paste Export'!$A$2:$BZ$1001,$A39,col_s8))&gt;0)))</f>
        <v/>
      </c>
      <c r="I39" s="25" t="str">
        <f t="shared" si="3"/>
        <v/>
      </c>
      <c r="J39" s="25" t="str">
        <f t="shared" si="4"/>
        <v/>
      </c>
      <c r="K39" s="24" t="str">
        <f t="shared" si="5"/>
        <v/>
      </c>
      <c r="L39" s="24" t="str">
        <f t="shared" si="6"/>
        <v/>
      </c>
    </row>
    <row r="40" spans="1:12" x14ac:dyDescent="0.25">
      <c r="A40" s="24">
        <f t="shared" si="0"/>
        <v>39</v>
      </c>
      <c r="B40" s="25" t="str">
        <f>IF($A40&gt;nrows,"",IF(col_user=0,"",INDEX('Paste Export'!$A$2:$BZ$1001,$A40,col_user)))</f>
        <v/>
      </c>
      <c r="C40" s="24" t="str">
        <f>IF($A40&gt;nrows,"",IF(col_days=0,0,N(INDEX('Paste Export'!$A$2:$BZ$1001,$A40,col_days))))</f>
        <v/>
      </c>
      <c r="D40" s="24" t="str">
        <f>IF($A40&gt;nrows,"",IF(col_prompts=0,0,N(INDEX('Paste Export'!$A$2:$BZ$1001,$A40,col_prompts))))</f>
        <v/>
      </c>
      <c r="E40" s="24" t="str">
        <f>IF($A40&gt;nrows,"",IF(col_web=0,0,N(INDEX('Paste Export'!$A$2:$BZ$1001,$A40,col_web))))</f>
        <v/>
      </c>
      <c r="F40" s="26" t="str">
        <f t="shared" si="1"/>
        <v/>
      </c>
      <c r="G40" s="27" t="str">
        <f t="shared" si="2"/>
        <v/>
      </c>
      <c r="H40" s="24" t="str">
        <f>IF($A40&gt;nrows,"",IF(col_s1=0,0,--(LEN(INDEX('Paste Export'!$A$2:$BZ$1001,$A40,col_s1))&gt;0))+IF(col_s2=0,0,--(LEN(INDEX('Paste Export'!$A$2:$BZ$1001,$A40,col_s2))&gt;0))+IF(col_s3=0,0,--(LEN(INDEX('Paste Export'!$A$2:$BZ$1001,$A40,col_s3))&gt;0))+IF(col_s4=0,0,--(LEN(INDEX('Paste Export'!$A$2:$BZ$1001,$A40,col_s4))&gt;0))+IF(col_s5=0,0,--(LEN(INDEX('Paste Export'!$A$2:$BZ$1001,$A40,col_s5))&gt;0))+IF(col_s6=0,0,--(LEN(INDEX('Paste Export'!$A$2:$BZ$1001,$A40,col_s6))&gt;0))+IF(col_s7=0,0,--(LEN(INDEX('Paste Export'!$A$2:$BZ$1001,$A40,col_s7))&gt;0))+IF(col_s8=0,0,--(LEN(INDEX('Paste Export'!$A$2:$BZ$1001,$A40,col_s8))&gt;0)))</f>
        <v/>
      </c>
      <c r="I40" s="25" t="str">
        <f t="shared" si="3"/>
        <v/>
      </c>
      <c r="J40" s="25" t="str">
        <f t="shared" si="4"/>
        <v/>
      </c>
      <c r="K40" s="24" t="str">
        <f t="shared" si="5"/>
        <v/>
      </c>
      <c r="L40" s="24" t="str">
        <f t="shared" si="6"/>
        <v/>
      </c>
    </row>
    <row r="41" spans="1:12" x14ac:dyDescent="0.25">
      <c r="A41" s="24">
        <f t="shared" si="0"/>
        <v>40</v>
      </c>
      <c r="B41" s="25" t="str">
        <f>IF($A41&gt;nrows,"",IF(col_user=0,"",INDEX('Paste Export'!$A$2:$BZ$1001,$A41,col_user)))</f>
        <v/>
      </c>
      <c r="C41" s="24" t="str">
        <f>IF($A41&gt;nrows,"",IF(col_days=0,0,N(INDEX('Paste Export'!$A$2:$BZ$1001,$A41,col_days))))</f>
        <v/>
      </c>
      <c r="D41" s="24" t="str">
        <f>IF($A41&gt;nrows,"",IF(col_prompts=0,0,N(INDEX('Paste Export'!$A$2:$BZ$1001,$A41,col_prompts))))</f>
        <v/>
      </c>
      <c r="E41" s="24" t="str">
        <f>IF($A41&gt;nrows,"",IF(col_web=0,0,N(INDEX('Paste Export'!$A$2:$BZ$1001,$A41,col_web))))</f>
        <v/>
      </c>
      <c r="F41" s="26" t="str">
        <f t="shared" si="1"/>
        <v/>
      </c>
      <c r="G41" s="27" t="str">
        <f t="shared" si="2"/>
        <v/>
      </c>
      <c r="H41" s="24" t="str">
        <f>IF($A41&gt;nrows,"",IF(col_s1=0,0,--(LEN(INDEX('Paste Export'!$A$2:$BZ$1001,$A41,col_s1))&gt;0))+IF(col_s2=0,0,--(LEN(INDEX('Paste Export'!$A$2:$BZ$1001,$A41,col_s2))&gt;0))+IF(col_s3=0,0,--(LEN(INDEX('Paste Export'!$A$2:$BZ$1001,$A41,col_s3))&gt;0))+IF(col_s4=0,0,--(LEN(INDEX('Paste Export'!$A$2:$BZ$1001,$A41,col_s4))&gt;0))+IF(col_s5=0,0,--(LEN(INDEX('Paste Export'!$A$2:$BZ$1001,$A41,col_s5))&gt;0))+IF(col_s6=0,0,--(LEN(INDEX('Paste Export'!$A$2:$BZ$1001,$A41,col_s6))&gt;0))+IF(col_s7=0,0,--(LEN(INDEX('Paste Export'!$A$2:$BZ$1001,$A41,col_s7))&gt;0))+IF(col_s8=0,0,--(LEN(INDEX('Paste Export'!$A$2:$BZ$1001,$A41,col_s8))&gt;0)))</f>
        <v/>
      </c>
      <c r="I41" s="25" t="str">
        <f t="shared" si="3"/>
        <v/>
      </c>
      <c r="J41" s="25" t="str">
        <f t="shared" si="4"/>
        <v/>
      </c>
      <c r="K41" s="24" t="str">
        <f t="shared" si="5"/>
        <v/>
      </c>
      <c r="L41" s="24" t="str">
        <f t="shared" si="6"/>
        <v/>
      </c>
    </row>
    <row r="42" spans="1:12" x14ac:dyDescent="0.25">
      <c r="A42" s="24">
        <f t="shared" si="0"/>
        <v>41</v>
      </c>
      <c r="B42" s="25" t="str">
        <f>IF($A42&gt;nrows,"",IF(col_user=0,"",INDEX('Paste Export'!$A$2:$BZ$1001,$A42,col_user)))</f>
        <v/>
      </c>
      <c r="C42" s="24" t="str">
        <f>IF($A42&gt;nrows,"",IF(col_days=0,0,N(INDEX('Paste Export'!$A$2:$BZ$1001,$A42,col_days))))</f>
        <v/>
      </c>
      <c r="D42" s="24" t="str">
        <f>IF($A42&gt;nrows,"",IF(col_prompts=0,0,N(INDEX('Paste Export'!$A$2:$BZ$1001,$A42,col_prompts))))</f>
        <v/>
      </c>
      <c r="E42" s="24" t="str">
        <f>IF($A42&gt;nrows,"",IF(col_web=0,0,N(INDEX('Paste Export'!$A$2:$BZ$1001,$A42,col_web))))</f>
        <v/>
      </c>
      <c r="F42" s="26" t="str">
        <f t="shared" si="1"/>
        <v/>
      </c>
      <c r="G42" s="27" t="str">
        <f t="shared" si="2"/>
        <v/>
      </c>
      <c r="H42" s="24" t="str">
        <f>IF($A42&gt;nrows,"",IF(col_s1=0,0,--(LEN(INDEX('Paste Export'!$A$2:$BZ$1001,$A42,col_s1))&gt;0))+IF(col_s2=0,0,--(LEN(INDEX('Paste Export'!$A$2:$BZ$1001,$A42,col_s2))&gt;0))+IF(col_s3=0,0,--(LEN(INDEX('Paste Export'!$A$2:$BZ$1001,$A42,col_s3))&gt;0))+IF(col_s4=0,0,--(LEN(INDEX('Paste Export'!$A$2:$BZ$1001,$A42,col_s4))&gt;0))+IF(col_s5=0,0,--(LEN(INDEX('Paste Export'!$A$2:$BZ$1001,$A42,col_s5))&gt;0))+IF(col_s6=0,0,--(LEN(INDEX('Paste Export'!$A$2:$BZ$1001,$A42,col_s6))&gt;0))+IF(col_s7=0,0,--(LEN(INDEX('Paste Export'!$A$2:$BZ$1001,$A42,col_s7))&gt;0))+IF(col_s8=0,0,--(LEN(INDEX('Paste Export'!$A$2:$BZ$1001,$A42,col_s8))&gt;0)))</f>
        <v/>
      </c>
      <c r="I42" s="25" t="str">
        <f t="shared" si="3"/>
        <v/>
      </c>
      <c r="J42" s="25" t="str">
        <f t="shared" si="4"/>
        <v/>
      </c>
      <c r="K42" s="24" t="str">
        <f t="shared" si="5"/>
        <v/>
      </c>
      <c r="L42" s="24" t="str">
        <f t="shared" si="6"/>
        <v/>
      </c>
    </row>
    <row r="43" spans="1:12" x14ac:dyDescent="0.25">
      <c r="A43" s="24">
        <f t="shared" si="0"/>
        <v>42</v>
      </c>
      <c r="B43" s="25" t="str">
        <f>IF($A43&gt;nrows,"",IF(col_user=0,"",INDEX('Paste Export'!$A$2:$BZ$1001,$A43,col_user)))</f>
        <v/>
      </c>
      <c r="C43" s="24" t="str">
        <f>IF($A43&gt;nrows,"",IF(col_days=0,0,N(INDEX('Paste Export'!$A$2:$BZ$1001,$A43,col_days))))</f>
        <v/>
      </c>
      <c r="D43" s="24" t="str">
        <f>IF($A43&gt;nrows,"",IF(col_prompts=0,0,N(INDEX('Paste Export'!$A$2:$BZ$1001,$A43,col_prompts))))</f>
        <v/>
      </c>
      <c r="E43" s="24" t="str">
        <f>IF($A43&gt;nrows,"",IF(col_web=0,0,N(INDEX('Paste Export'!$A$2:$BZ$1001,$A43,col_web))))</f>
        <v/>
      </c>
      <c r="F43" s="26" t="str">
        <f t="shared" si="1"/>
        <v/>
      </c>
      <c r="G43" s="27" t="str">
        <f t="shared" si="2"/>
        <v/>
      </c>
      <c r="H43" s="24" t="str">
        <f>IF($A43&gt;nrows,"",IF(col_s1=0,0,--(LEN(INDEX('Paste Export'!$A$2:$BZ$1001,$A43,col_s1))&gt;0))+IF(col_s2=0,0,--(LEN(INDEX('Paste Export'!$A$2:$BZ$1001,$A43,col_s2))&gt;0))+IF(col_s3=0,0,--(LEN(INDEX('Paste Export'!$A$2:$BZ$1001,$A43,col_s3))&gt;0))+IF(col_s4=0,0,--(LEN(INDEX('Paste Export'!$A$2:$BZ$1001,$A43,col_s4))&gt;0))+IF(col_s5=0,0,--(LEN(INDEX('Paste Export'!$A$2:$BZ$1001,$A43,col_s5))&gt;0))+IF(col_s6=0,0,--(LEN(INDEX('Paste Export'!$A$2:$BZ$1001,$A43,col_s6))&gt;0))+IF(col_s7=0,0,--(LEN(INDEX('Paste Export'!$A$2:$BZ$1001,$A43,col_s7))&gt;0))+IF(col_s8=0,0,--(LEN(INDEX('Paste Export'!$A$2:$BZ$1001,$A43,col_s8))&gt;0)))</f>
        <v/>
      </c>
      <c r="I43" s="25" t="str">
        <f t="shared" si="3"/>
        <v/>
      </c>
      <c r="J43" s="25" t="str">
        <f t="shared" si="4"/>
        <v/>
      </c>
      <c r="K43" s="24" t="str">
        <f t="shared" si="5"/>
        <v/>
      </c>
      <c r="L43" s="24" t="str">
        <f t="shared" si="6"/>
        <v/>
      </c>
    </row>
    <row r="44" spans="1:12" x14ac:dyDescent="0.25">
      <c r="A44" s="24">
        <f t="shared" si="0"/>
        <v>43</v>
      </c>
      <c r="B44" s="25" t="str">
        <f>IF($A44&gt;nrows,"",IF(col_user=0,"",INDEX('Paste Export'!$A$2:$BZ$1001,$A44,col_user)))</f>
        <v/>
      </c>
      <c r="C44" s="24" t="str">
        <f>IF($A44&gt;nrows,"",IF(col_days=0,0,N(INDEX('Paste Export'!$A$2:$BZ$1001,$A44,col_days))))</f>
        <v/>
      </c>
      <c r="D44" s="24" t="str">
        <f>IF($A44&gt;nrows,"",IF(col_prompts=0,0,N(INDEX('Paste Export'!$A$2:$BZ$1001,$A44,col_prompts))))</f>
        <v/>
      </c>
      <c r="E44" s="24" t="str">
        <f>IF($A44&gt;nrows,"",IF(col_web=0,0,N(INDEX('Paste Export'!$A$2:$BZ$1001,$A44,col_web))))</f>
        <v/>
      </c>
      <c r="F44" s="26" t="str">
        <f t="shared" si="1"/>
        <v/>
      </c>
      <c r="G44" s="27" t="str">
        <f t="shared" si="2"/>
        <v/>
      </c>
      <c r="H44" s="24" t="str">
        <f>IF($A44&gt;nrows,"",IF(col_s1=0,0,--(LEN(INDEX('Paste Export'!$A$2:$BZ$1001,$A44,col_s1))&gt;0))+IF(col_s2=0,0,--(LEN(INDEX('Paste Export'!$A$2:$BZ$1001,$A44,col_s2))&gt;0))+IF(col_s3=0,0,--(LEN(INDEX('Paste Export'!$A$2:$BZ$1001,$A44,col_s3))&gt;0))+IF(col_s4=0,0,--(LEN(INDEX('Paste Export'!$A$2:$BZ$1001,$A44,col_s4))&gt;0))+IF(col_s5=0,0,--(LEN(INDEX('Paste Export'!$A$2:$BZ$1001,$A44,col_s5))&gt;0))+IF(col_s6=0,0,--(LEN(INDEX('Paste Export'!$A$2:$BZ$1001,$A44,col_s6))&gt;0))+IF(col_s7=0,0,--(LEN(INDEX('Paste Export'!$A$2:$BZ$1001,$A44,col_s7))&gt;0))+IF(col_s8=0,0,--(LEN(INDEX('Paste Export'!$A$2:$BZ$1001,$A44,col_s8))&gt;0)))</f>
        <v/>
      </c>
      <c r="I44" s="25" t="str">
        <f t="shared" si="3"/>
        <v/>
      </c>
      <c r="J44" s="25" t="str">
        <f t="shared" si="4"/>
        <v/>
      </c>
      <c r="K44" s="24" t="str">
        <f t="shared" si="5"/>
        <v/>
      </c>
      <c r="L44" s="24" t="str">
        <f t="shared" si="6"/>
        <v/>
      </c>
    </row>
    <row r="45" spans="1:12" x14ac:dyDescent="0.25">
      <c r="A45" s="24">
        <f t="shared" si="0"/>
        <v>44</v>
      </c>
      <c r="B45" s="25" t="str">
        <f>IF($A45&gt;nrows,"",IF(col_user=0,"",INDEX('Paste Export'!$A$2:$BZ$1001,$A45,col_user)))</f>
        <v/>
      </c>
      <c r="C45" s="24" t="str">
        <f>IF($A45&gt;nrows,"",IF(col_days=0,0,N(INDEX('Paste Export'!$A$2:$BZ$1001,$A45,col_days))))</f>
        <v/>
      </c>
      <c r="D45" s="24" t="str">
        <f>IF($A45&gt;nrows,"",IF(col_prompts=0,0,N(INDEX('Paste Export'!$A$2:$BZ$1001,$A45,col_prompts))))</f>
        <v/>
      </c>
      <c r="E45" s="24" t="str">
        <f>IF($A45&gt;nrows,"",IF(col_web=0,0,N(INDEX('Paste Export'!$A$2:$BZ$1001,$A45,col_web))))</f>
        <v/>
      </c>
      <c r="F45" s="26" t="str">
        <f t="shared" si="1"/>
        <v/>
      </c>
      <c r="G45" s="27" t="str">
        <f t="shared" si="2"/>
        <v/>
      </c>
      <c r="H45" s="24" t="str">
        <f>IF($A45&gt;nrows,"",IF(col_s1=0,0,--(LEN(INDEX('Paste Export'!$A$2:$BZ$1001,$A45,col_s1))&gt;0))+IF(col_s2=0,0,--(LEN(INDEX('Paste Export'!$A$2:$BZ$1001,$A45,col_s2))&gt;0))+IF(col_s3=0,0,--(LEN(INDEX('Paste Export'!$A$2:$BZ$1001,$A45,col_s3))&gt;0))+IF(col_s4=0,0,--(LEN(INDEX('Paste Export'!$A$2:$BZ$1001,$A45,col_s4))&gt;0))+IF(col_s5=0,0,--(LEN(INDEX('Paste Export'!$A$2:$BZ$1001,$A45,col_s5))&gt;0))+IF(col_s6=0,0,--(LEN(INDEX('Paste Export'!$A$2:$BZ$1001,$A45,col_s6))&gt;0))+IF(col_s7=0,0,--(LEN(INDEX('Paste Export'!$A$2:$BZ$1001,$A45,col_s7))&gt;0))+IF(col_s8=0,0,--(LEN(INDEX('Paste Export'!$A$2:$BZ$1001,$A45,col_s8))&gt;0)))</f>
        <v/>
      </c>
      <c r="I45" s="25" t="str">
        <f t="shared" si="3"/>
        <v/>
      </c>
      <c r="J45" s="25" t="str">
        <f t="shared" si="4"/>
        <v/>
      </c>
      <c r="K45" s="24" t="str">
        <f t="shared" si="5"/>
        <v/>
      </c>
      <c r="L45" s="24" t="str">
        <f t="shared" si="6"/>
        <v/>
      </c>
    </row>
    <row r="46" spans="1:12" x14ac:dyDescent="0.25">
      <c r="A46" s="24">
        <f t="shared" si="0"/>
        <v>45</v>
      </c>
      <c r="B46" s="25" t="str">
        <f>IF($A46&gt;nrows,"",IF(col_user=0,"",INDEX('Paste Export'!$A$2:$BZ$1001,$A46,col_user)))</f>
        <v/>
      </c>
      <c r="C46" s="24" t="str">
        <f>IF($A46&gt;nrows,"",IF(col_days=0,0,N(INDEX('Paste Export'!$A$2:$BZ$1001,$A46,col_days))))</f>
        <v/>
      </c>
      <c r="D46" s="24" t="str">
        <f>IF($A46&gt;nrows,"",IF(col_prompts=0,0,N(INDEX('Paste Export'!$A$2:$BZ$1001,$A46,col_prompts))))</f>
        <v/>
      </c>
      <c r="E46" s="24" t="str">
        <f>IF($A46&gt;nrows,"",IF(col_web=0,0,N(INDEX('Paste Export'!$A$2:$BZ$1001,$A46,col_web))))</f>
        <v/>
      </c>
      <c r="F46" s="26" t="str">
        <f t="shared" si="1"/>
        <v/>
      </c>
      <c r="G46" s="27" t="str">
        <f t="shared" si="2"/>
        <v/>
      </c>
      <c r="H46" s="24" t="str">
        <f>IF($A46&gt;nrows,"",IF(col_s1=0,0,--(LEN(INDEX('Paste Export'!$A$2:$BZ$1001,$A46,col_s1))&gt;0))+IF(col_s2=0,0,--(LEN(INDEX('Paste Export'!$A$2:$BZ$1001,$A46,col_s2))&gt;0))+IF(col_s3=0,0,--(LEN(INDEX('Paste Export'!$A$2:$BZ$1001,$A46,col_s3))&gt;0))+IF(col_s4=0,0,--(LEN(INDEX('Paste Export'!$A$2:$BZ$1001,$A46,col_s4))&gt;0))+IF(col_s5=0,0,--(LEN(INDEX('Paste Export'!$A$2:$BZ$1001,$A46,col_s5))&gt;0))+IF(col_s6=0,0,--(LEN(INDEX('Paste Export'!$A$2:$BZ$1001,$A46,col_s6))&gt;0))+IF(col_s7=0,0,--(LEN(INDEX('Paste Export'!$A$2:$BZ$1001,$A46,col_s7))&gt;0))+IF(col_s8=0,0,--(LEN(INDEX('Paste Export'!$A$2:$BZ$1001,$A46,col_s8))&gt;0)))</f>
        <v/>
      </c>
      <c r="I46" s="25" t="str">
        <f t="shared" si="3"/>
        <v/>
      </c>
      <c r="J46" s="25" t="str">
        <f t="shared" si="4"/>
        <v/>
      </c>
      <c r="K46" s="24" t="str">
        <f t="shared" si="5"/>
        <v/>
      </c>
      <c r="L46" s="24" t="str">
        <f t="shared" si="6"/>
        <v/>
      </c>
    </row>
    <row r="47" spans="1:12" x14ac:dyDescent="0.25">
      <c r="A47" s="24">
        <f t="shared" si="0"/>
        <v>46</v>
      </c>
      <c r="B47" s="25" t="str">
        <f>IF($A47&gt;nrows,"",IF(col_user=0,"",INDEX('Paste Export'!$A$2:$BZ$1001,$A47,col_user)))</f>
        <v/>
      </c>
      <c r="C47" s="24" t="str">
        <f>IF($A47&gt;nrows,"",IF(col_days=0,0,N(INDEX('Paste Export'!$A$2:$BZ$1001,$A47,col_days))))</f>
        <v/>
      </c>
      <c r="D47" s="24" t="str">
        <f>IF($A47&gt;nrows,"",IF(col_prompts=0,0,N(INDEX('Paste Export'!$A$2:$BZ$1001,$A47,col_prompts))))</f>
        <v/>
      </c>
      <c r="E47" s="24" t="str">
        <f>IF($A47&gt;nrows,"",IF(col_web=0,0,N(INDEX('Paste Export'!$A$2:$BZ$1001,$A47,col_web))))</f>
        <v/>
      </c>
      <c r="F47" s="26" t="str">
        <f t="shared" si="1"/>
        <v/>
      </c>
      <c r="G47" s="27" t="str">
        <f t="shared" si="2"/>
        <v/>
      </c>
      <c r="H47" s="24" t="str">
        <f>IF($A47&gt;nrows,"",IF(col_s1=0,0,--(LEN(INDEX('Paste Export'!$A$2:$BZ$1001,$A47,col_s1))&gt;0))+IF(col_s2=0,0,--(LEN(INDEX('Paste Export'!$A$2:$BZ$1001,$A47,col_s2))&gt;0))+IF(col_s3=0,0,--(LEN(INDEX('Paste Export'!$A$2:$BZ$1001,$A47,col_s3))&gt;0))+IF(col_s4=0,0,--(LEN(INDEX('Paste Export'!$A$2:$BZ$1001,$A47,col_s4))&gt;0))+IF(col_s5=0,0,--(LEN(INDEX('Paste Export'!$A$2:$BZ$1001,$A47,col_s5))&gt;0))+IF(col_s6=0,0,--(LEN(INDEX('Paste Export'!$A$2:$BZ$1001,$A47,col_s6))&gt;0))+IF(col_s7=0,0,--(LEN(INDEX('Paste Export'!$A$2:$BZ$1001,$A47,col_s7))&gt;0))+IF(col_s8=0,0,--(LEN(INDEX('Paste Export'!$A$2:$BZ$1001,$A47,col_s8))&gt;0)))</f>
        <v/>
      </c>
      <c r="I47" s="25" t="str">
        <f t="shared" si="3"/>
        <v/>
      </c>
      <c r="J47" s="25" t="str">
        <f t="shared" si="4"/>
        <v/>
      </c>
      <c r="K47" s="24" t="str">
        <f t="shared" si="5"/>
        <v/>
      </c>
      <c r="L47" s="24" t="str">
        <f t="shared" si="6"/>
        <v/>
      </c>
    </row>
    <row r="48" spans="1:12" x14ac:dyDescent="0.25">
      <c r="A48" s="24">
        <f t="shared" si="0"/>
        <v>47</v>
      </c>
      <c r="B48" s="25" t="str">
        <f>IF($A48&gt;nrows,"",IF(col_user=0,"",INDEX('Paste Export'!$A$2:$BZ$1001,$A48,col_user)))</f>
        <v/>
      </c>
      <c r="C48" s="24" t="str">
        <f>IF($A48&gt;nrows,"",IF(col_days=0,0,N(INDEX('Paste Export'!$A$2:$BZ$1001,$A48,col_days))))</f>
        <v/>
      </c>
      <c r="D48" s="24" t="str">
        <f>IF($A48&gt;nrows,"",IF(col_prompts=0,0,N(INDEX('Paste Export'!$A$2:$BZ$1001,$A48,col_prompts))))</f>
        <v/>
      </c>
      <c r="E48" s="24" t="str">
        <f>IF($A48&gt;nrows,"",IF(col_web=0,0,N(INDEX('Paste Export'!$A$2:$BZ$1001,$A48,col_web))))</f>
        <v/>
      </c>
      <c r="F48" s="26" t="str">
        <f t="shared" si="1"/>
        <v/>
      </c>
      <c r="G48" s="27" t="str">
        <f t="shared" si="2"/>
        <v/>
      </c>
      <c r="H48" s="24" t="str">
        <f>IF($A48&gt;nrows,"",IF(col_s1=0,0,--(LEN(INDEX('Paste Export'!$A$2:$BZ$1001,$A48,col_s1))&gt;0))+IF(col_s2=0,0,--(LEN(INDEX('Paste Export'!$A$2:$BZ$1001,$A48,col_s2))&gt;0))+IF(col_s3=0,0,--(LEN(INDEX('Paste Export'!$A$2:$BZ$1001,$A48,col_s3))&gt;0))+IF(col_s4=0,0,--(LEN(INDEX('Paste Export'!$A$2:$BZ$1001,$A48,col_s4))&gt;0))+IF(col_s5=0,0,--(LEN(INDEX('Paste Export'!$A$2:$BZ$1001,$A48,col_s5))&gt;0))+IF(col_s6=0,0,--(LEN(INDEX('Paste Export'!$A$2:$BZ$1001,$A48,col_s6))&gt;0))+IF(col_s7=0,0,--(LEN(INDEX('Paste Export'!$A$2:$BZ$1001,$A48,col_s7))&gt;0))+IF(col_s8=0,0,--(LEN(INDEX('Paste Export'!$A$2:$BZ$1001,$A48,col_s8))&gt;0)))</f>
        <v/>
      </c>
      <c r="I48" s="25" t="str">
        <f t="shared" si="3"/>
        <v/>
      </c>
      <c r="J48" s="25" t="str">
        <f t="shared" si="4"/>
        <v/>
      </c>
      <c r="K48" s="24" t="str">
        <f t="shared" si="5"/>
        <v/>
      </c>
      <c r="L48" s="24" t="str">
        <f t="shared" si="6"/>
        <v/>
      </c>
    </row>
    <row r="49" spans="1:12" x14ac:dyDescent="0.25">
      <c r="A49" s="24">
        <f t="shared" si="0"/>
        <v>48</v>
      </c>
      <c r="B49" s="25" t="str">
        <f>IF($A49&gt;nrows,"",IF(col_user=0,"",INDEX('Paste Export'!$A$2:$BZ$1001,$A49,col_user)))</f>
        <v/>
      </c>
      <c r="C49" s="24" t="str">
        <f>IF($A49&gt;nrows,"",IF(col_days=0,0,N(INDEX('Paste Export'!$A$2:$BZ$1001,$A49,col_days))))</f>
        <v/>
      </c>
      <c r="D49" s="24" t="str">
        <f>IF($A49&gt;nrows,"",IF(col_prompts=0,0,N(INDEX('Paste Export'!$A$2:$BZ$1001,$A49,col_prompts))))</f>
        <v/>
      </c>
      <c r="E49" s="24" t="str">
        <f>IF($A49&gt;nrows,"",IF(col_web=0,0,N(INDEX('Paste Export'!$A$2:$BZ$1001,$A49,col_web))))</f>
        <v/>
      </c>
      <c r="F49" s="26" t="str">
        <f t="shared" si="1"/>
        <v/>
      </c>
      <c r="G49" s="27" t="str">
        <f t="shared" si="2"/>
        <v/>
      </c>
      <c r="H49" s="24" t="str">
        <f>IF($A49&gt;nrows,"",IF(col_s1=0,0,--(LEN(INDEX('Paste Export'!$A$2:$BZ$1001,$A49,col_s1))&gt;0))+IF(col_s2=0,0,--(LEN(INDEX('Paste Export'!$A$2:$BZ$1001,$A49,col_s2))&gt;0))+IF(col_s3=0,0,--(LEN(INDEX('Paste Export'!$A$2:$BZ$1001,$A49,col_s3))&gt;0))+IF(col_s4=0,0,--(LEN(INDEX('Paste Export'!$A$2:$BZ$1001,$A49,col_s4))&gt;0))+IF(col_s5=0,0,--(LEN(INDEX('Paste Export'!$A$2:$BZ$1001,$A49,col_s5))&gt;0))+IF(col_s6=0,0,--(LEN(INDEX('Paste Export'!$A$2:$BZ$1001,$A49,col_s6))&gt;0))+IF(col_s7=0,0,--(LEN(INDEX('Paste Export'!$A$2:$BZ$1001,$A49,col_s7))&gt;0))+IF(col_s8=0,0,--(LEN(INDEX('Paste Export'!$A$2:$BZ$1001,$A49,col_s8))&gt;0)))</f>
        <v/>
      </c>
      <c r="I49" s="25" t="str">
        <f t="shared" si="3"/>
        <v/>
      </c>
      <c r="J49" s="25" t="str">
        <f t="shared" si="4"/>
        <v/>
      </c>
      <c r="K49" s="24" t="str">
        <f t="shared" si="5"/>
        <v/>
      </c>
      <c r="L49" s="24" t="str">
        <f t="shared" si="6"/>
        <v/>
      </c>
    </row>
    <row r="50" spans="1:12" x14ac:dyDescent="0.25">
      <c r="A50" s="24">
        <f t="shared" si="0"/>
        <v>49</v>
      </c>
      <c r="B50" s="25" t="str">
        <f>IF($A50&gt;nrows,"",IF(col_user=0,"",INDEX('Paste Export'!$A$2:$BZ$1001,$A50,col_user)))</f>
        <v/>
      </c>
      <c r="C50" s="24" t="str">
        <f>IF($A50&gt;nrows,"",IF(col_days=0,0,N(INDEX('Paste Export'!$A$2:$BZ$1001,$A50,col_days))))</f>
        <v/>
      </c>
      <c r="D50" s="24" t="str">
        <f>IF($A50&gt;nrows,"",IF(col_prompts=0,0,N(INDEX('Paste Export'!$A$2:$BZ$1001,$A50,col_prompts))))</f>
        <v/>
      </c>
      <c r="E50" s="24" t="str">
        <f>IF($A50&gt;nrows,"",IF(col_web=0,0,N(INDEX('Paste Export'!$A$2:$BZ$1001,$A50,col_web))))</f>
        <v/>
      </c>
      <c r="F50" s="26" t="str">
        <f t="shared" si="1"/>
        <v/>
      </c>
      <c r="G50" s="27" t="str">
        <f t="shared" si="2"/>
        <v/>
      </c>
      <c r="H50" s="24" t="str">
        <f>IF($A50&gt;nrows,"",IF(col_s1=0,0,--(LEN(INDEX('Paste Export'!$A$2:$BZ$1001,$A50,col_s1))&gt;0))+IF(col_s2=0,0,--(LEN(INDEX('Paste Export'!$A$2:$BZ$1001,$A50,col_s2))&gt;0))+IF(col_s3=0,0,--(LEN(INDEX('Paste Export'!$A$2:$BZ$1001,$A50,col_s3))&gt;0))+IF(col_s4=0,0,--(LEN(INDEX('Paste Export'!$A$2:$BZ$1001,$A50,col_s4))&gt;0))+IF(col_s5=0,0,--(LEN(INDEX('Paste Export'!$A$2:$BZ$1001,$A50,col_s5))&gt;0))+IF(col_s6=0,0,--(LEN(INDEX('Paste Export'!$A$2:$BZ$1001,$A50,col_s6))&gt;0))+IF(col_s7=0,0,--(LEN(INDEX('Paste Export'!$A$2:$BZ$1001,$A50,col_s7))&gt;0))+IF(col_s8=0,0,--(LEN(INDEX('Paste Export'!$A$2:$BZ$1001,$A50,col_s8))&gt;0)))</f>
        <v/>
      </c>
      <c r="I50" s="25" t="str">
        <f t="shared" si="3"/>
        <v/>
      </c>
      <c r="J50" s="25" t="str">
        <f t="shared" si="4"/>
        <v/>
      </c>
      <c r="K50" s="24" t="str">
        <f t="shared" si="5"/>
        <v/>
      </c>
      <c r="L50" s="24" t="str">
        <f t="shared" si="6"/>
        <v/>
      </c>
    </row>
    <row r="51" spans="1:12" x14ac:dyDescent="0.25">
      <c r="A51" s="24">
        <f t="shared" si="0"/>
        <v>50</v>
      </c>
      <c r="B51" s="25" t="str">
        <f>IF($A51&gt;nrows,"",IF(col_user=0,"",INDEX('Paste Export'!$A$2:$BZ$1001,$A51,col_user)))</f>
        <v/>
      </c>
      <c r="C51" s="24" t="str">
        <f>IF($A51&gt;nrows,"",IF(col_days=0,0,N(INDEX('Paste Export'!$A$2:$BZ$1001,$A51,col_days))))</f>
        <v/>
      </c>
      <c r="D51" s="24" t="str">
        <f>IF($A51&gt;nrows,"",IF(col_prompts=0,0,N(INDEX('Paste Export'!$A$2:$BZ$1001,$A51,col_prompts))))</f>
        <v/>
      </c>
      <c r="E51" s="24" t="str">
        <f>IF($A51&gt;nrows,"",IF(col_web=0,0,N(INDEX('Paste Export'!$A$2:$BZ$1001,$A51,col_web))))</f>
        <v/>
      </c>
      <c r="F51" s="26" t="str">
        <f t="shared" si="1"/>
        <v/>
      </c>
      <c r="G51" s="27" t="str">
        <f t="shared" si="2"/>
        <v/>
      </c>
      <c r="H51" s="24" t="str">
        <f>IF($A51&gt;nrows,"",IF(col_s1=0,0,--(LEN(INDEX('Paste Export'!$A$2:$BZ$1001,$A51,col_s1))&gt;0))+IF(col_s2=0,0,--(LEN(INDEX('Paste Export'!$A$2:$BZ$1001,$A51,col_s2))&gt;0))+IF(col_s3=0,0,--(LEN(INDEX('Paste Export'!$A$2:$BZ$1001,$A51,col_s3))&gt;0))+IF(col_s4=0,0,--(LEN(INDEX('Paste Export'!$A$2:$BZ$1001,$A51,col_s4))&gt;0))+IF(col_s5=0,0,--(LEN(INDEX('Paste Export'!$A$2:$BZ$1001,$A51,col_s5))&gt;0))+IF(col_s6=0,0,--(LEN(INDEX('Paste Export'!$A$2:$BZ$1001,$A51,col_s6))&gt;0))+IF(col_s7=0,0,--(LEN(INDEX('Paste Export'!$A$2:$BZ$1001,$A51,col_s7))&gt;0))+IF(col_s8=0,0,--(LEN(INDEX('Paste Export'!$A$2:$BZ$1001,$A51,col_s8))&gt;0)))</f>
        <v/>
      </c>
      <c r="I51" s="25" t="str">
        <f t="shared" si="3"/>
        <v/>
      </c>
      <c r="J51" s="25" t="str">
        <f t="shared" si="4"/>
        <v/>
      </c>
      <c r="K51" s="24" t="str">
        <f t="shared" si="5"/>
        <v/>
      </c>
      <c r="L51" s="24" t="str">
        <f t="shared" si="6"/>
        <v/>
      </c>
    </row>
    <row r="52" spans="1:12" x14ac:dyDescent="0.25">
      <c r="A52" s="24">
        <f t="shared" si="0"/>
        <v>51</v>
      </c>
      <c r="B52" s="25" t="str">
        <f>IF($A52&gt;nrows,"",IF(col_user=0,"",INDEX('Paste Export'!$A$2:$BZ$1001,$A52,col_user)))</f>
        <v/>
      </c>
      <c r="C52" s="24" t="str">
        <f>IF($A52&gt;nrows,"",IF(col_days=0,0,N(INDEX('Paste Export'!$A$2:$BZ$1001,$A52,col_days))))</f>
        <v/>
      </c>
      <c r="D52" s="24" t="str">
        <f>IF($A52&gt;nrows,"",IF(col_prompts=0,0,N(INDEX('Paste Export'!$A$2:$BZ$1001,$A52,col_prompts))))</f>
        <v/>
      </c>
      <c r="E52" s="24" t="str">
        <f>IF($A52&gt;nrows,"",IF(col_web=0,0,N(INDEX('Paste Export'!$A$2:$BZ$1001,$A52,col_web))))</f>
        <v/>
      </c>
      <c r="F52" s="26" t="str">
        <f t="shared" si="1"/>
        <v/>
      </c>
      <c r="G52" s="27" t="str">
        <f t="shared" si="2"/>
        <v/>
      </c>
      <c r="H52" s="24" t="str">
        <f>IF($A52&gt;nrows,"",IF(col_s1=0,0,--(LEN(INDEX('Paste Export'!$A$2:$BZ$1001,$A52,col_s1))&gt;0))+IF(col_s2=0,0,--(LEN(INDEX('Paste Export'!$A$2:$BZ$1001,$A52,col_s2))&gt;0))+IF(col_s3=0,0,--(LEN(INDEX('Paste Export'!$A$2:$BZ$1001,$A52,col_s3))&gt;0))+IF(col_s4=0,0,--(LEN(INDEX('Paste Export'!$A$2:$BZ$1001,$A52,col_s4))&gt;0))+IF(col_s5=0,0,--(LEN(INDEX('Paste Export'!$A$2:$BZ$1001,$A52,col_s5))&gt;0))+IF(col_s6=0,0,--(LEN(INDEX('Paste Export'!$A$2:$BZ$1001,$A52,col_s6))&gt;0))+IF(col_s7=0,0,--(LEN(INDEX('Paste Export'!$A$2:$BZ$1001,$A52,col_s7))&gt;0))+IF(col_s8=0,0,--(LEN(INDEX('Paste Export'!$A$2:$BZ$1001,$A52,col_s8))&gt;0)))</f>
        <v/>
      </c>
      <c r="I52" s="25" t="str">
        <f t="shared" si="3"/>
        <v/>
      </c>
      <c r="J52" s="25" t="str">
        <f t="shared" si="4"/>
        <v/>
      </c>
      <c r="K52" s="24" t="str">
        <f t="shared" si="5"/>
        <v/>
      </c>
      <c r="L52" s="24" t="str">
        <f t="shared" si="6"/>
        <v/>
      </c>
    </row>
    <row r="53" spans="1:12" x14ac:dyDescent="0.25">
      <c r="A53" s="24">
        <f t="shared" si="0"/>
        <v>52</v>
      </c>
      <c r="B53" s="25" t="str">
        <f>IF($A53&gt;nrows,"",IF(col_user=0,"",INDEX('Paste Export'!$A$2:$BZ$1001,$A53,col_user)))</f>
        <v/>
      </c>
      <c r="C53" s="24" t="str">
        <f>IF($A53&gt;nrows,"",IF(col_days=0,0,N(INDEX('Paste Export'!$A$2:$BZ$1001,$A53,col_days))))</f>
        <v/>
      </c>
      <c r="D53" s="24" t="str">
        <f>IF($A53&gt;nrows,"",IF(col_prompts=0,0,N(INDEX('Paste Export'!$A$2:$BZ$1001,$A53,col_prompts))))</f>
        <v/>
      </c>
      <c r="E53" s="24" t="str">
        <f>IF($A53&gt;nrows,"",IF(col_web=0,0,N(INDEX('Paste Export'!$A$2:$BZ$1001,$A53,col_web))))</f>
        <v/>
      </c>
      <c r="F53" s="26" t="str">
        <f t="shared" si="1"/>
        <v/>
      </c>
      <c r="G53" s="27" t="str">
        <f t="shared" si="2"/>
        <v/>
      </c>
      <c r="H53" s="24" t="str">
        <f>IF($A53&gt;nrows,"",IF(col_s1=0,0,--(LEN(INDEX('Paste Export'!$A$2:$BZ$1001,$A53,col_s1))&gt;0))+IF(col_s2=0,0,--(LEN(INDEX('Paste Export'!$A$2:$BZ$1001,$A53,col_s2))&gt;0))+IF(col_s3=0,0,--(LEN(INDEX('Paste Export'!$A$2:$BZ$1001,$A53,col_s3))&gt;0))+IF(col_s4=0,0,--(LEN(INDEX('Paste Export'!$A$2:$BZ$1001,$A53,col_s4))&gt;0))+IF(col_s5=0,0,--(LEN(INDEX('Paste Export'!$A$2:$BZ$1001,$A53,col_s5))&gt;0))+IF(col_s6=0,0,--(LEN(INDEX('Paste Export'!$A$2:$BZ$1001,$A53,col_s6))&gt;0))+IF(col_s7=0,0,--(LEN(INDEX('Paste Export'!$A$2:$BZ$1001,$A53,col_s7))&gt;0))+IF(col_s8=0,0,--(LEN(INDEX('Paste Export'!$A$2:$BZ$1001,$A53,col_s8))&gt;0)))</f>
        <v/>
      </c>
      <c r="I53" s="25" t="str">
        <f t="shared" si="3"/>
        <v/>
      </c>
      <c r="J53" s="25" t="str">
        <f t="shared" si="4"/>
        <v/>
      </c>
      <c r="K53" s="24" t="str">
        <f t="shared" si="5"/>
        <v/>
      </c>
      <c r="L53" s="24" t="str">
        <f t="shared" si="6"/>
        <v/>
      </c>
    </row>
    <row r="54" spans="1:12" x14ac:dyDescent="0.25">
      <c r="A54" s="24">
        <f t="shared" si="0"/>
        <v>53</v>
      </c>
      <c r="B54" s="25" t="str">
        <f>IF($A54&gt;nrows,"",IF(col_user=0,"",INDEX('Paste Export'!$A$2:$BZ$1001,$A54,col_user)))</f>
        <v/>
      </c>
      <c r="C54" s="24" t="str">
        <f>IF($A54&gt;nrows,"",IF(col_days=0,0,N(INDEX('Paste Export'!$A$2:$BZ$1001,$A54,col_days))))</f>
        <v/>
      </c>
      <c r="D54" s="24" t="str">
        <f>IF($A54&gt;nrows,"",IF(col_prompts=0,0,N(INDEX('Paste Export'!$A$2:$BZ$1001,$A54,col_prompts))))</f>
        <v/>
      </c>
      <c r="E54" s="24" t="str">
        <f>IF($A54&gt;nrows,"",IF(col_web=0,0,N(INDEX('Paste Export'!$A$2:$BZ$1001,$A54,col_web))))</f>
        <v/>
      </c>
      <c r="F54" s="26" t="str">
        <f t="shared" si="1"/>
        <v/>
      </c>
      <c r="G54" s="27" t="str">
        <f t="shared" si="2"/>
        <v/>
      </c>
      <c r="H54" s="24" t="str">
        <f>IF($A54&gt;nrows,"",IF(col_s1=0,0,--(LEN(INDEX('Paste Export'!$A$2:$BZ$1001,$A54,col_s1))&gt;0))+IF(col_s2=0,0,--(LEN(INDEX('Paste Export'!$A$2:$BZ$1001,$A54,col_s2))&gt;0))+IF(col_s3=0,0,--(LEN(INDEX('Paste Export'!$A$2:$BZ$1001,$A54,col_s3))&gt;0))+IF(col_s4=0,0,--(LEN(INDEX('Paste Export'!$A$2:$BZ$1001,$A54,col_s4))&gt;0))+IF(col_s5=0,0,--(LEN(INDEX('Paste Export'!$A$2:$BZ$1001,$A54,col_s5))&gt;0))+IF(col_s6=0,0,--(LEN(INDEX('Paste Export'!$A$2:$BZ$1001,$A54,col_s6))&gt;0))+IF(col_s7=0,0,--(LEN(INDEX('Paste Export'!$A$2:$BZ$1001,$A54,col_s7))&gt;0))+IF(col_s8=0,0,--(LEN(INDEX('Paste Export'!$A$2:$BZ$1001,$A54,col_s8))&gt;0)))</f>
        <v/>
      </c>
      <c r="I54" s="25" t="str">
        <f t="shared" si="3"/>
        <v/>
      </c>
      <c r="J54" s="25" t="str">
        <f t="shared" si="4"/>
        <v/>
      </c>
      <c r="K54" s="24" t="str">
        <f t="shared" si="5"/>
        <v/>
      </c>
      <c r="L54" s="24" t="str">
        <f t="shared" si="6"/>
        <v/>
      </c>
    </row>
    <row r="55" spans="1:12" x14ac:dyDescent="0.25">
      <c r="A55" s="24">
        <f t="shared" si="0"/>
        <v>54</v>
      </c>
      <c r="B55" s="25" t="str">
        <f>IF($A55&gt;nrows,"",IF(col_user=0,"",INDEX('Paste Export'!$A$2:$BZ$1001,$A55,col_user)))</f>
        <v/>
      </c>
      <c r="C55" s="24" t="str">
        <f>IF($A55&gt;nrows,"",IF(col_days=0,0,N(INDEX('Paste Export'!$A$2:$BZ$1001,$A55,col_days))))</f>
        <v/>
      </c>
      <c r="D55" s="24" t="str">
        <f>IF($A55&gt;nrows,"",IF(col_prompts=0,0,N(INDEX('Paste Export'!$A$2:$BZ$1001,$A55,col_prompts))))</f>
        <v/>
      </c>
      <c r="E55" s="24" t="str">
        <f>IF($A55&gt;nrows,"",IF(col_web=0,0,N(INDEX('Paste Export'!$A$2:$BZ$1001,$A55,col_web))))</f>
        <v/>
      </c>
      <c r="F55" s="26" t="str">
        <f t="shared" si="1"/>
        <v/>
      </c>
      <c r="G55" s="27" t="str">
        <f t="shared" si="2"/>
        <v/>
      </c>
      <c r="H55" s="24" t="str">
        <f>IF($A55&gt;nrows,"",IF(col_s1=0,0,--(LEN(INDEX('Paste Export'!$A$2:$BZ$1001,$A55,col_s1))&gt;0))+IF(col_s2=0,0,--(LEN(INDEX('Paste Export'!$A$2:$BZ$1001,$A55,col_s2))&gt;0))+IF(col_s3=0,0,--(LEN(INDEX('Paste Export'!$A$2:$BZ$1001,$A55,col_s3))&gt;0))+IF(col_s4=0,0,--(LEN(INDEX('Paste Export'!$A$2:$BZ$1001,$A55,col_s4))&gt;0))+IF(col_s5=0,0,--(LEN(INDEX('Paste Export'!$A$2:$BZ$1001,$A55,col_s5))&gt;0))+IF(col_s6=0,0,--(LEN(INDEX('Paste Export'!$A$2:$BZ$1001,$A55,col_s6))&gt;0))+IF(col_s7=0,0,--(LEN(INDEX('Paste Export'!$A$2:$BZ$1001,$A55,col_s7))&gt;0))+IF(col_s8=0,0,--(LEN(INDEX('Paste Export'!$A$2:$BZ$1001,$A55,col_s8))&gt;0)))</f>
        <v/>
      </c>
      <c r="I55" s="25" t="str">
        <f t="shared" si="3"/>
        <v/>
      </c>
      <c r="J55" s="25" t="str">
        <f t="shared" si="4"/>
        <v/>
      </c>
      <c r="K55" s="24" t="str">
        <f t="shared" si="5"/>
        <v/>
      </c>
      <c r="L55" s="24" t="str">
        <f t="shared" si="6"/>
        <v/>
      </c>
    </row>
    <row r="56" spans="1:12" x14ac:dyDescent="0.25">
      <c r="A56" s="24">
        <f t="shared" si="0"/>
        <v>55</v>
      </c>
      <c r="B56" s="25" t="str">
        <f>IF($A56&gt;nrows,"",IF(col_user=0,"",INDEX('Paste Export'!$A$2:$BZ$1001,$A56,col_user)))</f>
        <v/>
      </c>
      <c r="C56" s="24" t="str">
        <f>IF($A56&gt;nrows,"",IF(col_days=0,0,N(INDEX('Paste Export'!$A$2:$BZ$1001,$A56,col_days))))</f>
        <v/>
      </c>
      <c r="D56" s="24" t="str">
        <f>IF($A56&gt;nrows,"",IF(col_prompts=0,0,N(INDEX('Paste Export'!$A$2:$BZ$1001,$A56,col_prompts))))</f>
        <v/>
      </c>
      <c r="E56" s="24" t="str">
        <f>IF($A56&gt;nrows,"",IF(col_web=0,0,N(INDEX('Paste Export'!$A$2:$BZ$1001,$A56,col_web))))</f>
        <v/>
      </c>
      <c r="F56" s="26" t="str">
        <f t="shared" si="1"/>
        <v/>
      </c>
      <c r="G56" s="27" t="str">
        <f t="shared" si="2"/>
        <v/>
      </c>
      <c r="H56" s="24" t="str">
        <f>IF($A56&gt;nrows,"",IF(col_s1=0,0,--(LEN(INDEX('Paste Export'!$A$2:$BZ$1001,$A56,col_s1))&gt;0))+IF(col_s2=0,0,--(LEN(INDEX('Paste Export'!$A$2:$BZ$1001,$A56,col_s2))&gt;0))+IF(col_s3=0,0,--(LEN(INDEX('Paste Export'!$A$2:$BZ$1001,$A56,col_s3))&gt;0))+IF(col_s4=0,0,--(LEN(INDEX('Paste Export'!$A$2:$BZ$1001,$A56,col_s4))&gt;0))+IF(col_s5=0,0,--(LEN(INDEX('Paste Export'!$A$2:$BZ$1001,$A56,col_s5))&gt;0))+IF(col_s6=0,0,--(LEN(INDEX('Paste Export'!$A$2:$BZ$1001,$A56,col_s6))&gt;0))+IF(col_s7=0,0,--(LEN(INDEX('Paste Export'!$A$2:$BZ$1001,$A56,col_s7))&gt;0))+IF(col_s8=0,0,--(LEN(INDEX('Paste Export'!$A$2:$BZ$1001,$A56,col_s8))&gt;0)))</f>
        <v/>
      </c>
      <c r="I56" s="25" t="str">
        <f t="shared" si="3"/>
        <v/>
      </c>
      <c r="J56" s="25" t="str">
        <f t="shared" si="4"/>
        <v/>
      </c>
      <c r="K56" s="24" t="str">
        <f t="shared" si="5"/>
        <v/>
      </c>
      <c r="L56" s="24" t="str">
        <f t="shared" si="6"/>
        <v/>
      </c>
    </row>
    <row r="57" spans="1:12" x14ac:dyDescent="0.25">
      <c r="A57" s="24">
        <f t="shared" si="0"/>
        <v>56</v>
      </c>
      <c r="B57" s="25" t="str">
        <f>IF($A57&gt;nrows,"",IF(col_user=0,"",INDEX('Paste Export'!$A$2:$BZ$1001,$A57,col_user)))</f>
        <v/>
      </c>
      <c r="C57" s="24" t="str">
        <f>IF($A57&gt;nrows,"",IF(col_days=0,0,N(INDEX('Paste Export'!$A$2:$BZ$1001,$A57,col_days))))</f>
        <v/>
      </c>
      <c r="D57" s="24" t="str">
        <f>IF($A57&gt;nrows,"",IF(col_prompts=0,0,N(INDEX('Paste Export'!$A$2:$BZ$1001,$A57,col_prompts))))</f>
        <v/>
      </c>
      <c r="E57" s="24" t="str">
        <f>IF($A57&gt;nrows,"",IF(col_web=0,0,N(INDEX('Paste Export'!$A$2:$BZ$1001,$A57,col_web))))</f>
        <v/>
      </c>
      <c r="F57" s="26" t="str">
        <f t="shared" si="1"/>
        <v/>
      </c>
      <c r="G57" s="27" t="str">
        <f t="shared" si="2"/>
        <v/>
      </c>
      <c r="H57" s="24" t="str">
        <f>IF($A57&gt;nrows,"",IF(col_s1=0,0,--(LEN(INDEX('Paste Export'!$A$2:$BZ$1001,$A57,col_s1))&gt;0))+IF(col_s2=0,0,--(LEN(INDEX('Paste Export'!$A$2:$BZ$1001,$A57,col_s2))&gt;0))+IF(col_s3=0,0,--(LEN(INDEX('Paste Export'!$A$2:$BZ$1001,$A57,col_s3))&gt;0))+IF(col_s4=0,0,--(LEN(INDEX('Paste Export'!$A$2:$BZ$1001,$A57,col_s4))&gt;0))+IF(col_s5=0,0,--(LEN(INDEX('Paste Export'!$A$2:$BZ$1001,$A57,col_s5))&gt;0))+IF(col_s6=0,0,--(LEN(INDEX('Paste Export'!$A$2:$BZ$1001,$A57,col_s6))&gt;0))+IF(col_s7=0,0,--(LEN(INDEX('Paste Export'!$A$2:$BZ$1001,$A57,col_s7))&gt;0))+IF(col_s8=0,0,--(LEN(INDEX('Paste Export'!$A$2:$BZ$1001,$A57,col_s8))&gt;0)))</f>
        <v/>
      </c>
      <c r="I57" s="25" t="str">
        <f t="shared" si="3"/>
        <v/>
      </c>
      <c r="J57" s="25" t="str">
        <f t="shared" si="4"/>
        <v/>
      </c>
      <c r="K57" s="24" t="str">
        <f t="shared" si="5"/>
        <v/>
      </c>
      <c r="L57" s="24" t="str">
        <f t="shared" si="6"/>
        <v/>
      </c>
    </row>
    <row r="58" spans="1:12" x14ac:dyDescent="0.25">
      <c r="A58" s="24">
        <f t="shared" si="0"/>
        <v>57</v>
      </c>
      <c r="B58" s="25" t="str">
        <f>IF($A58&gt;nrows,"",IF(col_user=0,"",INDEX('Paste Export'!$A$2:$BZ$1001,$A58,col_user)))</f>
        <v/>
      </c>
      <c r="C58" s="24" t="str">
        <f>IF($A58&gt;nrows,"",IF(col_days=0,0,N(INDEX('Paste Export'!$A$2:$BZ$1001,$A58,col_days))))</f>
        <v/>
      </c>
      <c r="D58" s="24" t="str">
        <f>IF($A58&gt;nrows,"",IF(col_prompts=0,0,N(INDEX('Paste Export'!$A$2:$BZ$1001,$A58,col_prompts))))</f>
        <v/>
      </c>
      <c r="E58" s="24" t="str">
        <f>IF($A58&gt;nrows,"",IF(col_web=0,0,N(INDEX('Paste Export'!$A$2:$BZ$1001,$A58,col_web))))</f>
        <v/>
      </c>
      <c r="F58" s="26" t="str">
        <f t="shared" si="1"/>
        <v/>
      </c>
      <c r="G58" s="27" t="str">
        <f t="shared" si="2"/>
        <v/>
      </c>
      <c r="H58" s="24" t="str">
        <f>IF($A58&gt;nrows,"",IF(col_s1=0,0,--(LEN(INDEX('Paste Export'!$A$2:$BZ$1001,$A58,col_s1))&gt;0))+IF(col_s2=0,0,--(LEN(INDEX('Paste Export'!$A$2:$BZ$1001,$A58,col_s2))&gt;0))+IF(col_s3=0,0,--(LEN(INDEX('Paste Export'!$A$2:$BZ$1001,$A58,col_s3))&gt;0))+IF(col_s4=0,0,--(LEN(INDEX('Paste Export'!$A$2:$BZ$1001,$A58,col_s4))&gt;0))+IF(col_s5=0,0,--(LEN(INDEX('Paste Export'!$A$2:$BZ$1001,$A58,col_s5))&gt;0))+IF(col_s6=0,0,--(LEN(INDEX('Paste Export'!$A$2:$BZ$1001,$A58,col_s6))&gt;0))+IF(col_s7=0,0,--(LEN(INDEX('Paste Export'!$A$2:$BZ$1001,$A58,col_s7))&gt;0))+IF(col_s8=0,0,--(LEN(INDEX('Paste Export'!$A$2:$BZ$1001,$A58,col_s8))&gt;0)))</f>
        <v/>
      </c>
      <c r="I58" s="25" t="str">
        <f t="shared" si="3"/>
        <v/>
      </c>
      <c r="J58" s="25" t="str">
        <f t="shared" si="4"/>
        <v/>
      </c>
      <c r="K58" s="24" t="str">
        <f t="shared" si="5"/>
        <v/>
      </c>
      <c r="L58" s="24" t="str">
        <f t="shared" si="6"/>
        <v/>
      </c>
    </row>
    <row r="59" spans="1:12" x14ac:dyDescent="0.25">
      <c r="A59" s="24">
        <f t="shared" si="0"/>
        <v>58</v>
      </c>
      <c r="B59" s="25" t="str">
        <f>IF($A59&gt;nrows,"",IF(col_user=0,"",INDEX('Paste Export'!$A$2:$BZ$1001,$A59,col_user)))</f>
        <v/>
      </c>
      <c r="C59" s="24" t="str">
        <f>IF($A59&gt;nrows,"",IF(col_days=0,0,N(INDEX('Paste Export'!$A$2:$BZ$1001,$A59,col_days))))</f>
        <v/>
      </c>
      <c r="D59" s="24" t="str">
        <f>IF($A59&gt;nrows,"",IF(col_prompts=0,0,N(INDEX('Paste Export'!$A$2:$BZ$1001,$A59,col_prompts))))</f>
        <v/>
      </c>
      <c r="E59" s="24" t="str">
        <f>IF($A59&gt;nrows,"",IF(col_web=0,0,N(INDEX('Paste Export'!$A$2:$BZ$1001,$A59,col_web))))</f>
        <v/>
      </c>
      <c r="F59" s="26" t="str">
        <f t="shared" si="1"/>
        <v/>
      </c>
      <c r="G59" s="27" t="str">
        <f t="shared" si="2"/>
        <v/>
      </c>
      <c r="H59" s="24" t="str">
        <f>IF($A59&gt;nrows,"",IF(col_s1=0,0,--(LEN(INDEX('Paste Export'!$A$2:$BZ$1001,$A59,col_s1))&gt;0))+IF(col_s2=0,0,--(LEN(INDEX('Paste Export'!$A$2:$BZ$1001,$A59,col_s2))&gt;0))+IF(col_s3=0,0,--(LEN(INDEX('Paste Export'!$A$2:$BZ$1001,$A59,col_s3))&gt;0))+IF(col_s4=0,0,--(LEN(INDEX('Paste Export'!$A$2:$BZ$1001,$A59,col_s4))&gt;0))+IF(col_s5=0,0,--(LEN(INDEX('Paste Export'!$A$2:$BZ$1001,$A59,col_s5))&gt;0))+IF(col_s6=0,0,--(LEN(INDEX('Paste Export'!$A$2:$BZ$1001,$A59,col_s6))&gt;0))+IF(col_s7=0,0,--(LEN(INDEX('Paste Export'!$A$2:$BZ$1001,$A59,col_s7))&gt;0))+IF(col_s8=0,0,--(LEN(INDEX('Paste Export'!$A$2:$BZ$1001,$A59,col_s8))&gt;0)))</f>
        <v/>
      </c>
      <c r="I59" s="25" t="str">
        <f t="shared" si="3"/>
        <v/>
      </c>
      <c r="J59" s="25" t="str">
        <f t="shared" si="4"/>
        <v/>
      </c>
      <c r="K59" s="24" t="str">
        <f t="shared" si="5"/>
        <v/>
      </c>
      <c r="L59" s="24" t="str">
        <f t="shared" si="6"/>
        <v/>
      </c>
    </row>
    <row r="60" spans="1:12" x14ac:dyDescent="0.25">
      <c r="A60" s="24">
        <f t="shared" si="0"/>
        <v>59</v>
      </c>
      <c r="B60" s="25" t="str">
        <f>IF($A60&gt;nrows,"",IF(col_user=0,"",INDEX('Paste Export'!$A$2:$BZ$1001,$A60,col_user)))</f>
        <v/>
      </c>
      <c r="C60" s="24" t="str">
        <f>IF($A60&gt;nrows,"",IF(col_days=0,0,N(INDEX('Paste Export'!$A$2:$BZ$1001,$A60,col_days))))</f>
        <v/>
      </c>
      <c r="D60" s="24" t="str">
        <f>IF($A60&gt;nrows,"",IF(col_prompts=0,0,N(INDEX('Paste Export'!$A$2:$BZ$1001,$A60,col_prompts))))</f>
        <v/>
      </c>
      <c r="E60" s="24" t="str">
        <f>IF($A60&gt;nrows,"",IF(col_web=0,0,N(INDEX('Paste Export'!$A$2:$BZ$1001,$A60,col_web))))</f>
        <v/>
      </c>
      <c r="F60" s="26" t="str">
        <f t="shared" si="1"/>
        <v/>
      </c>
      <c r="G60" s="27" t="str">
        <f t="shared" si="2"/>
        <v/>
      </c>
      <c r="H60" s="24" t="str">
        <f>IF($A60&gt;nrows,"",IF(col_s1=0,0,--(LEN(INDEX('Paste Export'!$A$2:$BZ$1001,$A60,col_s1))&gt;0))+IF(col_s2=0,0,--(LEN(INDEX('Paste Export'!$A$2:$BZ$1001,$A60,col_s2))&gt;0))+IF(col_s3=0,0,--(LEN(INDEX('Paste Export'!$A$2:$BZ$1001,$A60,col_s3))&gt;0))+IF(col_s4=0,0,--(LEN(INDEX('Paste Export'!$A$2:$BZ$1001,$A60,col_s4))&gt;0))+IF(col_s5=0,0,--(LEN(INDEX('Paste Export'!$A$2:$BZ$1001,$A60,col_s5))&gt;0))+IF(col_s6=0,0,--(LEN(INDEX('Paste Export'!$A$2:$BZ$1001,$A60,col_s6))&gt;0))+IF(col_s7=0,0,--(LEN(INDEX('Paste Export'!$A$2:$BZ$1001,$A60,col_s7))&gt;0))+IF(col_s8=0,0,--(LEN(INDEX('Paste Export'!$A$2:$BZ$1001,$A60,col_s8))&gt;0)))</f>
        <v/>
      </c>
      <c r="I60" s="25" t="str">
        <f t="shared" si="3"/>
        <v/>
      </c>
      <c r="J60" s="25" t="str">
        <f t="shared" si="4"/>
        <v/>
      </c>
      <c r="K60" s="24" t="str">
        <f t="shared" si="5"/>
        <v/>
      </c>
      <c r="L60" s="24" t="str">
        <f t="shared" si="6"/>
        <v/>
      </c>
    </row>
    <row r="61" spans="1:12" x14ac:dyDescent="0.25">
      <c r="A61" s="24">
        <f t="shared" si="0"/>
        <v>60</v>
      </c>
      <c r="B61" s="25" t="str">
        <f>IF($A61&gt;nrows,"",IF(col_user=0,"",INDEX('Paste Export'!$A$2:$BZ$1001,$A61,col_user)))</f>
        <v/>
      </c>
      <c r="C61" s="24" t="str">
        <f>IF($A61&gt;nrows,"",IF(col_days=0,0,N(INDEX('Paste Export'!$A$2:$BZ$1001,$A61,col_days))))</f>
        <v/>
      </c>
      <c r="D61" s="24" t="str">
        <f>IF($A61&gt;nrows,"",IF(col_prompts=0,0,N(INDEX('Paste Export'!$A$2:$BZ$1001,$A61,col_prompts))))</f>
        <v/>
      </c>
      <c r="E61" s="24" t="str">
        <f>IF($A61&gt;nrows,"",IF(col_web=0,0,N(INDEX('Paste Export'!$A$2:$BZ$1001,$A61,col_web))))</f>
        <v/>
      </c>
      <c r="F61" s="26" t="str">
        <f t="shared" si="1"/>
        <v/>
      </c>
      <c r="G61" s="27" t="str">
        <f t="shared" si="2"/>
        <v/>
      </c>
      <c r="H61" s="24" t="str">
        <f>IF($A61&gt;nrows,"",IF(col_s1=0,0,--(LEN(INDEX('Paste Export'!$A$2:$BZ$1001,$A61,col_s1))&gt;0))+IF(col_s2=0,0,--(LEN(INDEX('Paste Export'!$A$2:$BZ$1001,$A61,col_s2))&gt;0))+IF(col_s3=0,0,--(LEN(INDEX('Paste Export'!$A$2:$BZ$1001,$A61,col_s3))&gt;0))+IF(col_s4=0,0,--(LEN(INDEX('Paste Export'!$A$2:$BZ$1001,$A61,col_s4))&gt;0))+IF(col_s5=0,0,--(LEN(INDEX('Paste Export'!$A$2:$BZ$1001,$A61,col_s5))&gt;0))+IF(col_s6=0,0,--(LEN(INDEX('Paste Export'!$A$2:$BZ$1001,$A61,col_s6))&gt;0))+IF(col_s7=0,0,--(LEN(INDEX('Paste Export'!$A$2:$BZ$1001,$A61,col_s7))&gt;0))+IF(col_s8=0,0,--(LEN(INDEX('Paste Export'!$A$2:$BZ$1001,$A61,col_s8))&gt;0)))</f>
        <v/>
      </c>
      <c r="I61" s="25" t="str">
        <f t="shared" si="3"/>
        <v/>
      </c>
      <c r="J61" s="25" t="str">
        <f t="shared" si="4"/>
        <v/>
      </c>
      <c r="K61" s="24" t="str">
        <f t="shared" si="5"/>
        <v/>
      </c>
      <c r="L61" s="24" t="str">
        <f t="shared" si="6"/>
        <v/>
      </c>
    </row>
    <row r="62" spans="1:12" x14ac:dyDescent="0.25">
      <c r="A62" s="24">
        <f t="shared" si="0"/>
        <v>61</v>
      </c>
      <c r="B62" s="25" t="str">
        <f>IF($A62&gt;nrows,"",IF(col_user=0,"",INDEX('Paste Export'!$A$2:$BZ$1001,$A62,col_user)))</f>
        <v/>
      </c>
      <c r="C62" s="24" t="str">
        <f>IF($A62&gt;nrows,"",IF(col_days=0,0,N(INDEX('Paste Export'!$A$2:$BZ$1001,$A62,col_days))))</f>
        <v/>
      </c>
      <c r="D62" s="24" t="str">
        <f>IF($A62&gt;nrows,"",IF(col_prompts=0,0,N(INDEX('Paste Export'!$A$2:$BZ$1001,$A62,col_prompts))))</f>
        <v/>
      </c>
      <c r="E62" s="24" t="str">
        <f>IF($A62&gt;nrows,"",IF(col_web=0,0,N(INDEX('Paste Export'!$A$2:$BZ$1001,$A62,col_web))))</f>
        <v/>
      </c>
      <c r="F62" s="26" t="str">
        <f t="shared" si="1"/>
        <v/>
      </c>
      <c r="G62" s="27" t="str">
        <f t="shared" si="2"/>
        <v/>
      </c>
      <c r="H62" s="24" t="str">
        <f>IF($A62&gt;nrows,"",IF(col_s1=0,0,--(LEN(INDEX('Paste Export'!$A$2:$BZ$1001,$A62,col_s1))&gt;0))+IF(col_s2=0,0,--(LEN(INDEX('Paste Export'!$A$2:$BZ$1001,$A62,col_s2))&gt;0))+IF(col_s3=0,0,--(LEN(INDEX('Paste Export'!$A$2:$BZ$1001,$A62,col_s3))&gt;0))+IF(col_s4=0,0,--(LEN(INDEX('Paste Export'!$A$2:$BZ$1001,$A62,col_s4))&gt;0))+IF(col_s5=0,0,--(LEN(INDEX('Paste Export'!$A$2:$BZ$1001,$A62,col_s5))&gt;0))+IF(col_s6=0,0,--(LEN(INDEX('Paste Export'!$A$2:$BZ$1001,$A62,col_s6))&gt;0))+IF(col_s7=0,0,--(LEN(INDEX('Paste Export'!$A$2:$BZ$1001,$A62,col_s7))&gt;0))+IF(col_s8=0,0,--(LEN(INDEX('Paste Export'!$A$2:$BZ$1001,$A62,col_s8))&gt;0)))</f>
        <v/>
      </c>
      <c r="I62" s="25" t="str">
        <f t="shared" si="3"/>
        <v/>
      </c>
      <c r="J62" s="25" t="str">
        <f t="shared" si="4"/>
        <v/>
      </c>
      <c r="K62" s="24" t="str">
        <f t="shared" si="5"/>
        <v/>
      </c>
      <c r="L62" s="24" t="str">
        <f t="shared" si="6"/>
        <v/>
      </c>
    </row>
    <row r="63" spans="1:12" x14ac:dyDescent="0.25">
      <c r="A63" s="24">
        <f t="shared" si="0"/>
        <v>62</v>
      </c>
      <c r="B63" s="25" t="str">
        <f>IF($A63&gt;nrows,"",IF(col_user=0,"",INDEX('Paste Export'!$A$2:$BZ$1001,$A63,col_user)))</f>
        <v/>
      </c>
      <c r="C63" s="24" t="str">
        <f>IF($A63&gt;nrows,"",IF(col_days=0,0,N(INDEX('Paste Export'!$A$2:$BZ$1001,$A63,col_days))))</f>
        <v/>
      </c>
      <c r="D63" s="24" t="str">
        <f>IF($A63&gt;nrows,"",IF(col_prompts=0,0,N(INDEX('Paste Export'!$A$2:$BZ$1001,$A63,col_prompts))))</f>
        <v/>
      </c>
      <c r="E63" s="24" t="str">
        <f>IF($A63&gt;nrows,"",IF(col_web=0,0,N(INDEX('Paste Export'!$A$2:$BZ$1001,$A63,col_web))))</f>
        <v/>
      </c>
      <c r="F63" s="26" t="str">
        <f t="shared" si="1"/>
        <v/>
      </c>
      <c r="G63" s="27" t="str">
        <f t="shared" si="2"/>
        <v/>
      </c>
      <c r="H63" s="24" t="str">
        <f>IF($A63&gt;nrows,"",IF(col_s1=0,0,--(LEN(INDEX('Paste Export'!$A$2:$BZ$1001,$A63,col_s1))&gt;0))+IF(col_s2=0,0,--(LEN(INDEX('Paste Export'!$A$2:$BZ$1001,$A63,col_s2))&gt;0))+IF(col_s3=0,0,--(LEN(INDEX('Paste Export'!$A$2:$BZ$1001,$A63,col_s3))&gt;0))+IF(col_s4=0,0,--(LEN(INDEX('Paste Export'!$A$2:$BZ$1001,$A63,col_s4))&gt;0))+IF(col_s5=0,0,--(LEN(INDEX('Paste Export'!$A$2:$BZ$1001,$A63,col_s5))&gt;0))+IF(col_s6=0,0,--(LEN(INDEX('Paste Export'!$A$2:$BZ$1001,$A63,col_s6))&gt;0))+IF(col_s7=0,0,--(LEN(INDEX('Paste Export'!$A$2:$BZ$1001,$A63,col_s7))&gt;0))+IF(col_s8=0,0,--(LEN(INDEX('Paste Export'!$A$2:$BZ$1001,$A63,col_s8))&gt;0)))</f>
        <v/>
      </c>
      <c r="I63" s="25" t="str">
        <f t="shared" si="3"/>
        <v/>
      </c>
      <c r="J63" s="25" t="str">
        <f t="shared" si="4"/>
        <v/>
      </c>
      <c r="K63" s="24" t="str">
        <f t="shared" si="5"/>
        <v/>
      </c>
      <c r="L63" s="24" t="str">
        <f t="shared" si="6"/>
        <v/>
      </c>
    </row>
    <row r="64" spans="1:12" x14ac:dyDescent="0.25">
      <c r="A64" s="24">
        <f t="shared" si="0"/>
        <v>63</v>
      </c>
      <c r="B64" s="25" t="str">
        <f>IF($A64&gt;nrows,"",IF(col_user=0,"",INDEX('Paste Export'!$A$2:$BZ$1001,$A64,col_user)))</f>
        <v/>
      </c>
      <c r="C64" s="24" t="str">
        <f>IF($A64&gt;nrows,"",IF(col_days=0,0,N(INDEX('Paste Export'!$A$2:$BZ$1001,$A64,col_days))))</f>
        <v/>
      </c>
      <c r="D64" s="24" t="str">
        <f>IF($A64&gt;nrows,"",IF(col_prompts=0,0,N(INDEX('Paste Export'!$A$2:$BZ$1001,$A64,col_prompts))))</f>
        <v/>
      </c>
      <c r="E64" s="24" t="str">
        <f>IF($A64&gt;nrows,"",IF(col_web=0,0,N(INDEX('Paste Export'!$A$2:$BZ$1001,$A64,col_web))))</f>
        <v/>
      </c>
      <c r="F64" s="26" t="str">
        <f t="shared" si="1"/>
        <v/>
      </c>
      <c r="G64" s="27" t="str">
        <f t="shared" si="2"/>
        <v/>
      </c>
      <c r="H64" s="24" t="str">
        <f>IF($A64&gt;nrows,"",IF(col_s1=0,0,--(LEN(INDEX('Paste Export'!$A$2:$BZ$1001,$A64,col_s1))&gt;0))+IF(col_s2=0,0,--(LEN(INDEX('Paste Export'!$A$2:$BZ$1001,$A64,col_s2))&gt;0))+IF(col_s3=0,0,--(LEN(INDEX('Paste Export'!$A$2:$BZ$1001,$A64,col_s3))&gt;0))+IF(col_s4=0,0,--(LEN(INDEX('Paste Export'!$A$2:$BZ$1001,$A64,col_s4))&gt;0))+IF(col_s5=0,0,--(LEN(INDEX('Paste Export'!$A$2:$BZ$1001,$A64,col_s5))&gt;0))+IF(col_s6=0,0,--(LEN(INDEX('Paste Export'!$A$2:$BZ$1001,$A64,col_s6))&gt;0))+IF(col_s7=0,0,--(LEN(INDEX('Paste Export'!$A$2:$BZ$1001,$A64,col_s7))&gt;0))+IF(col_s8=0,0,--(LEN(INDEX('Paste Export'!$A$2:$BZ$1001,$A64,col_s8))&gt;0)))</f>
        <v/>
      </c>
      <c r="I64" s="25" t="str">
        <f t="shared" si="3"/>
        <v/>
      </c>
      <c r="J64" s="25" t="str">
        <f t="shared" si="4"/>
        <v/>
      </c>
      <c r="K64" s="24" t="str">
        <f t="shared" si="5"/>
        <v/>
      </c>
      <c r="L64" s="24" t="str">
        <f t="shared" si="6"/>
        <v/>
      </c>
    </row>
    <row r="65" spans="1:12" x14ac:dyDescent="0.25">
      <c r="A65" s="24">
        <f t="shared" si="0"/>
        <v>64</v>
      </c>
      <c r="B65" s="25" t="str">
        <f>IF($A65&gt;nrows,"",IF(col_user=0,"",INDEX('Paste Export'!$A$2:$BZ$1001,$A65,col_user)))</f>
        <v/>
      </c>
      <c r="C65" s="24" t="str">
        <f>IF($A65&gt;nrows,"",IF(col_days=0,0,N(INDEX('Paste Export'!$A$2:$BZ$1001,$A65,col_days))))</f>
        <v/>
      </c>
      <c r="D65" s="24" t="str">
        <f>IF($A65&gt;nrows,"",IF(col_prompts=0,0,N(INDEX('Paste Export'!$A$2:$BZ$1001,$A65,col_prompts))))</f>
        <v/>
      </c>
      <c r="E65" s="24" t="str">
        <f>IF($A65&gt;nrows,"",IF(col_web=0,0,N(INDEX('Paste Export'!$A$2:$BZ$1001,$A65,col_web))))</f>
        <v/>
      </c>
      <c r="F65" s="26" t="str">
        <f t="shared" si="1"/>
        <v/>
      </c>
      <c r="G65" s="27" t="str">
        <f t="shared" si="2"/>
        <v/>
      </c>
      <c r="H65" s="24" t="str">
        <f>IF($A65&gt;nrows,"",IF(col_s1=0,0,--(LEN(INDEX('Paste Export'!$A$2:$BZ$1001,$A65,col_s1))&gt;0))+IF(col_s2=0,0,--(LEN(INDEX('Paste Export'!$A$2:$BZ$1001,$A65,col_s2))&gt;0))+IF(col_s3=0,0,--(LEN(INDEX('Paste Export'!$A$2:$BZ$1001,$A65,col_s3))&gt;0))+IF(col_s4=0,0,--(LEN(INDEX('Paste Export'!$A$2:$BZ$1001,$A65,col_s4))&gt;0))+IF(col_s5=0,0,--(LEN(INDEX('Paste Export'!$A$2:$BZ$1001,$A65,col_s5))&gt;0))+IF(col_s6=0,0,--(LEN(INDEX('Paste Export'!$A$2:$BZ$1001,$A65,col_s6))&gt;0))+IF(col_s7=0,0,--(LEN(INDEX('Paste Export'!$A$2:$BZ$1001,$A65,col_s7))&gt;0))+IF(col_s8=0,0,--(LEN(INDEX('Paste Export'!$A$2:$BZ$1001,$A65,col_s8))&gt;0)))</f>
        <v/>
      </c>
      <c r="I65" s="25" t="str">
        <f t="shared" si="3"/>
        <v/>
      </c>
      <c r="J65" s="25" t="str">
        <f t="shared" si="4"/>
        <v/>
      </c>
      <c r="K65" s="24" t="str">
        <f t="shared" si="5"/>
        <v/>
      </c>
      <c r="L65" s="24" t="str">
        <f t="shared" si="6"/>
        <v/>
      </c>
    </row>
    <row r="66" spans="1:12" x14ac:dyDescent="0.25">
      <c r="A66" s="24">
        <f t="shared" ref="A66:A129" si="7">ROW()-1</f>
        <v>65</v>
      </c>
      <c r="B66" s="25" t="str">
        <f>IF($A66&gt;nrows,"",IF(col_user=0,"",INDEX('Paste Export'!$A$2:$BZ$1001,$A66,col_user)))</f>
        <v/>
      </c>
      <c r="C66" s="24" t="str">
        <f>IF($A66&gt;nrows,"",IF(col_days=0,0,N(INDEX('Paste Export'!$A$2:$BZ$1001,$A66,col_days))))</f>
        <v/>
      </c>
      <c r="D66" s="24" t="str">
        <f>IF($A66&gt;nrows,"",IF(col_prompts=0,0,N(INDEX('Paste Export'!$A$2:$BZ$1001,$A66,col_prompts))))</f>
        <v/>
      </c>
      <c r="E66" s="24" t="str">
        <f>IF($A66&gt;nrows,"",IF(col_web=0,0,N(INDEX('Paste Export'!$A$2:$BZ$1001,$A66,col_web))))</f>
        <v/>
      </c>
      <c r="F66" s="26" t="str">
        <f t="shared" ref="F66:F129" si="8">IF($A66&gt;nrows,"",IFERROR($D66/$C66,0))</f>
        <v/>
      </c>
      <c r="G66" s="27" t="str">
        <f t="shared" ref="G66:G129" si="9">IF($A66&gt;nrows,"",IFERROR($E66/$D66,""))</f>
        <v/>
      </c>
      <c r="H66" s="24" t="str">
        <f>IF($A66&gt;nrows,"",IF(col_s1=0,0,--(LEN(INDEX('Paste Export'!$A$2:$BZ$1001,$A66,col_s1))&gt;0))+IF(col_s2=0,0,--(LEN(INDEX('Paste Export'!$A$2:$BZ$1001,$A66,col_s2))&gt;0))+IF(col_s3=0,0,--(LEN(INDEX('Paste Export'!$A$2:$BZ$1001,$A66,col_s3))&gt;0))+IF(col_s4=0,0,--(LEN(INDEX('Paste Export'!$A$2:$BZ$1001,$A66,col_s4))&gt;0))+IF(col_s5=0,0,--(LEN(INDEX('Paste Export'!$A$2:$BZ$1001,$A66,col_s5))&gt;0))+IF(col_s6=0,0,--(LEN(INDEX('Paste Export'!$A$2:$BZ$1001,$A66,col_s6))&gt;0))+IF(col_s7=0,0,--(LEN(INDEX('Paste Export'!$A$2:$BZ$1001,$A66,col_s7))&gt;0))+IF(col_s8=0,0,--(LEN(INDEX('Paste Export'!$A$2:$BZ$1001,$A66,col_s8))&gt;0)))</f>
        <v/>
      </c>
      <c r="I66" s="25" t="str">
        <f t="shared" ref="I66:I129" si="10">IF($A66&gt;nrows,"",IF($C66&gt;=freq_line,IF($D66&gt;=depth_line,"Embedded","Loyal but shallow"),IF($D66&gt;=depth_line,"Project-driven","Drifting")))</f>
        <v/>
      </c>
      <c r="J66" s="25" t="str">
        <f t="shared" ref="J66:J129" si="11">IF($A66&gt;nrows,"",IF($I66="Drifting",IF($H66&gt;=3,"tried and stopped","never started"),""))</f>
        <v/>
      </c>
      <c r="K66" s="24" t="str">
        <f t="shared" ref="K66:K129" si="12">IF($A66&gt;nrows,"",MAX($D66,1))</f>
        <v/>
      </c>
      <c r="L66" s="24" t="str">
        <f t="shared" ref="L66:L129" si="13">IF($A66&gt;nrows,"",IF(AND($C66=0,$D66=0),1,0))</f>
        <v/>
      </c>
    </row>
    <row r="67" spans="1:12" x14ac:dyDescent="0.25">
      <c r="A67" s="24">
        <f t="shared" si="7"/>
        <v>66</v>
      </c>
      <c r="B67" s="25" t="str">
        <f>IF($A67&gt;nrows,"",IF(col_user=0,"",INDEX('Paste Export'!$A$2:$BZ$1001,$A67,col_user)))</f>
        <v/>
      </c>
      <c r="C67" s="24" t="str">
        <f>IF($A67&gt;nrows,"",IF(col_days=0,0,N(INDEX('Paste Export'!$A$2:$BZ$1001,$A67,col_days))))</f>
        <v/>
      </c>
      <c r="D67" s="24" t="str">
        <f>IF($A67&gt;nrows,"",IF(col_prompts=0,0,N(INDEX('Paste Export'!$A$2:$BZ$1001,$A67,col_prompts))))</f>
        <v/>
      </c>
      <c r="E67" s="24" t="str">
        <f>IF($A67&gt;nrows,"",IF(col_web=0,0,N(INDEX('Paste Export'!$A$2:$BZ$1001,$A67,col_web))))</f>
        <v/>
      </c>
      <c r="F67" s="26" t="str">
        <f t="shared" si="8"/>
        <v/>
      </c>
      <c r="G67" s="27" t="str">
        <f t="shared" si="9"/>
        <v/>
      </c>
      <c r="H67" s="24" t="str">
        <f>IF($A67&gt;nrows,"",IF(col_s1=0,0,--(LEN(INDEX('Paste Export'!$A$2:$BZ$1001,$A67,col_s1))&gt;0))+IF(col_s2=0,0,--(LEN(INDEX('Paste Export'!$A$2:$BZ$1001,$A67,col_s2))&gt;0))+IF(col_s3=0,0,--(LEN(INDEX('Paste Export'!$A$2:$BZ$1001,$A67,col_s3))&gt;0))+IF(col_s4=0,0,--(LEN(INDEX('Paste Export'!$A$2:$BZ$1001,$A67,col_s4))&gt;0))+IF(col_s5=0,0,--(LEN(INDEX('Paste Export'!$A$2:$BZ$1001,$A67,col_s5))&gt;0))+IF(col_s6=0,0,--(LEN(INDEX('Paste Export'!$A$2:$BZ$1001,$A67,col_s6))&gt;0))+IF(col_s7=0,0,--(LEN(INDEX('Paste Export'!$A$2:$BZ$1001,$A67,col_s7))&gt;0))+IF(col_s8=0,0,--(LEN(INDEX('Paste Export'!$A$2:$BZ$1001,$A67,col_s8))&gt;0)))</f>
        <v/>
      </c>
      <c r="I67" s="25" t="str">
        <f t="shared" si="10"/>
        <v/>
      </c>
      <c r="J67" s="25" t="str">
        <f t="shared" si="11"/>
        <v/>
      </c>
      <c r="K67" s="24" t="str">
        <f t="shared" si="12"/>
        <v/>
      </c>
      <c r="L67" s="24" t="str">
        <f t="shared" si="13"/>
        <v/>
      </c>
    </row>
    <row r="68" spans="1:12" x14ac:dyDescent="0.25">
      <c r="A68" s="24">
        <f t="shared" si="7"/>
        <v>67</v>
      </c>
      <c r="B68" s="25" t="str">
        <f>IF($A68&gt;nrows,"",IF(col_user=0,"",INDEX('Paste Export'!$A$2:$BZ$1001,$A68,col_user)))</f>
        <v/>
      </c>
      <c r="C68" s="24" t="str">
        <f>IF($A68&gt;nrows,"",IF(col_days=0,0,N(INDEX('Paste Export'!$A$2:$BZ$1001,$A68,col_days))))</f>
        <v/>
      </c>
      <c r="D68" s="24" t="str">
        <f>IF($A68&gt;nrows,"",IF(col_prompts=0,0,N(INDEX('Paste Export'!$A$2:$BZ$1001,$A68,col_prompts))))</f>
        <v/>
      </c>
      <c r="E68" s="24" t="str">
        <f>IF($A68&gt;nrows,"",IF(col_web=0,0,N(INDEX('Paste Export'!$A$2:$BZ$1001,$A68,col_web))))</f>
        <v/>
      </c>
      <c r="F68" s="26" t="str">
        <f t="shared" si="8"/>
        <v/>
      </c>
      <c r="G68" s="27" t="str">
        <f t="shared" si="9"/>
        <v/>
      </c>
      <c r="H68" s="24" t="str">
        <f>IF($A68&gt;nrows,"",IF(col_s1=0,0,--(LEN(INDEX('Paste Export'!$A$2:$BZ$1001,$A68,col_s1))&gt;0))+IF(col_s2=0,0,--(LEN(INDEX('Paste Export'!$A$2:$BZ$1001,$A68,col_s2))&gt;0))+IF(col_s3=0,0,--(LEN(INDEX('Paste Export'!$A$2:$BZ$1001,$A68,col_s3))&gt;0))+IF(col_s4=0,0,--(LEN(INDEX('Paste Export'!$A$2:$BZ$1001,$A68,col_s4))&gt;0))+IF(col_s5=0,0,--(LEN(INDEX('Paste Export'!$A$2:$BZ$1001,$A68,col_s5))&gt;0))+IF(col_s6=0,0,--(LEN(INDEX('Paste Export'!$A$2:$BZ$1001,$A68,col_s6))&gt;0))+IF(col_s7=0,0,--(LEN(INDEX('Paste Export'!$A$2:$BZ$1001,$A68,col_s7))&gt;0))+IF(col_s8=0,0,--(LEN(INDEX('Paste Export'!$A$2:$BZ$1001,$A68,col_s8))&gt;0)))</f>
        <v/>
      </c>
      <c r="I68" s="25" t="str">
        <f t="shared" si="10"/>
        <v/>
      </c>
      <c r="J68" s="25" t="str">
        <f t="shared" si="11"/>
        <v/>
      </c>
      <c r="K68" s="24" t="str">
        <f t="shared" si="12"/>
        <v/>
      </c>
      <c r="L68" s="24" t="str">
        <f t="shared" si="13"/>
        <v/>
      </c>
    </row>
    <row r="69" spans="1:12" x14ac:dyDescent="0.25">
      <c r="A69" s="24">
        <f t="shared" si="7"/>
        <v>68</v>
      </c>
      <c r="B69" s="25" t="str">
        <f>IF($A69&gt;nrows,"",IF(col_user=0,"",INDEX('Paste Export'!$A$2:$BZ$1001,$A69,col_user)))</f>
        <v/>
      </c>
      <c r="C69" s="24" t="str">
        <f>IF($A69&gt;nrows,"",IF(col_days=0,0,N(INDEX('Paste Export'!$A$2:$BZ$1001,$A69,col_days))))</f>
        <v/>
      </c>
      <c r="D69" s="24" t="str">
        <f>IF($A69&gt;nrows,"",IF(col_prompts=0,0,N(INDEX('Paste Export'!$A$2:$BZ$1001,$A69,col_prompts))))</f>
        <v/>
      </c>
      <c r="E69" s="24" t="str">
        <f>IF($A69&gt;nrows,"",IF(col_web=0,0,N(INDEX('Paste Export'!$A$2:$BZ$1001,$A69,col_web))))</f>
        <v/>
      </c>
      <c r="F69" s="26" t="str">
        <f t="shared" si="8"/>
        <v/>
      </c>
      <c r="G69" s="27" t="str">
        <f t="shared" si="9"/>
        <v/>
      </c>
      <c r="H69" s="24" t="str">
        <f>IF($A69&gt;nrows,"",IF(col_s1=0,0,--(LEN(INDEX('Paste Export'!$A$2:$BZ$1001,$A69,col_s1))&gt;0))+IF(col_s2=0,0,--(LEN(INDEX('Paste Export'!$A$2:$BZ$1001,$A69,col_s2))&gt;0))+IF(col_s3=0,0,--(LEN(INDEX('Paste Export'!$A$2:$BZ$1001,$A69,col_s3))&gt;0))+IF(col_s4=0,0,--(LEN(INDEX('Paste Export'!$A$2:$BZ$1001,$A69,col_s4))&gt;0))+IF(col_s5=0,0,--(LEN(INDEX('Paste Export'!$A$2:$BZ$1001,$A69,col_s5))&gt;0))+IF(col_s6=0,0,--(LEN(INDEX('Paste Export'!$A$2:$BZ$1001,$A69,col_s6))&gt;0))+IF(col_s7=0,0,--(LEN(INDEX('Paste Export'!$A$2:$BZ$1001,$A69,col_s7))&gt;0))+IF(col_s8=0,0,--(LEN(INDEX('Paste Export'!$A$2:$BZ$1001,$A69,col_s8))&gt;0)))</f>
        <v/>
      </c>
      <c r="I69" s="25" t="str">
        <f t="shared" si="10"/>
        <v/>
      </c>
      <c r="J69" s="25" t="str">
        <f t="shared" si="11"/>
        <v/>
      </c>
      <c r="K69" s="24" t="str">
        <f t="shared" si="12"/>
        <v/>
      </c>
      <c r="L69" s="24" t="str">
        <f t="shared" si="13"/>
        <v/>
      </c>
    </row>
    <row r="70" spans="1:12" x14ac:dyDescent="0.25">
      <c r="A70" s="24">
        <f t="shared" si="7"/>
        <v>69</v>
      </c>
      <c r="B70" s="25" t="str">
        <f>IF($A70&gt;nrows,"",IF(col_user=0,"",INDEX('Paste Export'!$A$2:$BZ$1001,$A70,col_user)))</f>
        <v/>
      </c>
      <c r="C70" s="24" t="str">
        <f>IF($A70&gt;nrows,"",IF(col_days=0,0,N(INDEX('Paste Export'!$A$2:$BZ$1001,$A70,col_days))))</f>
        <v/>
      </c>
      <c r="D70" s="24" t="str">
        <f>IF($A70&gt;nrows,"",IF(col_prompts=0,0,N(INDEX('Paste Export'!$A$2:$BZ$1001,$A70,col_prompts))))</f>
        <v/>
      </c>
      <c r="E70" s="24" t="str">
        <f>IF($A70&gt;nrows,"",IF(col_web=0,0,N(INDEX('Paste Export'!$A$2:$BZ$1001,$A70,col_web))))</f>
        <v/>
      </c>
      <c r="F70" s="26" t="str">
        <f t="shared" si="8"/>
        <v/>
      </c>
      <c r="G70" s="27" t="str">
        <f t="shared" si="9"/>
        <v/>
      </c>
      <c r="H70" s="24" t="str">
        <f>IF($A70&gt;nrows,"",IF(col_s1=0,0,--(LEN(INDEX('Paste Export'!$A$2:$BZ$1001,$A70,col_s1))&gt;0))+IF(col_s2=0,0,--(LEN(INDEX('Paste Export'!$A$2:$BZ$1001,$A70,col_s2))&gt;0))+IF(col_s3=0,0,--(LEN(INDEX('Paste Export'!$A$2:$BZ$1001,$A70,col_s3))&gt;0))+IF(col_s4=0,0,--(LEN(INDEX('Paste Export'!$A$2:$BZ$1001,$A70,col_s4))&gt;0))+IF(col_s5=0,0,--(LEN(INDEX('Paste Export'!$A$2:$BZ$1001,$A70,col_s5))&gt;0))+IF(col_s6=0,0,--(LEN(INDEX('Paste Export'!$A$2:$BZ$1001,$A70,col_s6))&gt;0))+IF(col_s7=0,0,--(LEN(INDEX('Paste Export'!$A$2:$BZ$1001,$A70,col_s7))&gt;0))+IF(col_s8=0,0,--(LEN(INDEX('Paste Export'!$A$2:$BZ$1001,$A70,col_s8))&gt;0)))</f>
        <v/>
      </c>
      <c r="I70" s="25" t="str">
        <f t="shared" si="10"/>
        <v/>
      </c>
      <c r="J70" s="25" t="str">
        <f t="shared" si="11"/>
        <v/>
      </c>
      <c r="K70" s="24" t="str">
        <f t="shared" si="12"/>
        <v/>
      </c>
      <c r="L70" s="24" t="str">
        <f t="shared" si="13"/>
        <v/>
      </c>
    </row>
    <row r="71" spans="1:12" x14ac:dyDescent="0.25">
      <c r="A71" s="24">
        <f t="shared" si="7"/>
        <v>70</v>
      </c>
      <c r="B71" s="25" t="str">
        <f>IF($A71&gt;nrows,"",IF(col_user=0,"",INDEX('Paste Export'!$A$2:$BZ$1001,$A71,col_user)))</f>
        <v/>
      </c>
      <c r="C71" s="24" t="str">
        <f>IF($A71&gt;nrows,"",IF(col_days=0,0,N(INDEX('Paste Export'!$A$2:$BZ$1001,$A71,col_days))))</f>
        <v/>
      </c>
      <c r="D71" s="24" t="str">
        <f>IF($A71&gt;nrows,"",IF(col_prompts=0,0,N(INDEX('Paste Export'!$A$2:$BZ$1001,$A71,col_prompts))))</f>
        <v/>
      </c>
      <c r="E71" s="24" t="str">
        <f>IF($A71&gt;nrows,"",IF(col_web=0,0,N(INDEX('Paste Export'!$A$2:$BZ$1001,$A71,col_web))))</f>
        <v/>
      </c>
      <c r="F71" s="26" t="str">
        <f t="shared" si="8"/>
        <v/>
      </c>
      <c r="G71" s="27" t="str">
        <f t="shared" si="9"/>
        <v/>
      </c>
      <c r="H71" s="24" t="str">
        <f>IF($A71&gt;nrows,"",IF(col_s1=0,0,--(LEN(INDEX('Paste Export'!$A$2:$BZ$1001,$A71,col_s1))&gt;0))+IF(col_s2=0,0,--(LEN(INDEX('Paste Export'!$A$2:$BZ$1001,$A71,col_s2))&gt;0))+IF(col_s3=0,0,--(LEN(INDEX('Paste Export'!$A$2:$BZ$1001,$A71,col_s3))&gt;0))+IF(col_s4=0,0,--(LEN(INDEX('Paste Export'!$A$2:$BZ$1001,$A71,col_s4))&gt;0))+IF(col_s5=0,0,--(LEN(INDEX('Paste Export'!$A$2:$BZ$1001,$A71,col_s5))&gt;0))+IF(col_s6=0,0,--(LEN(INDEX('Paste Export'!$A$2:$BZ$1001,$A71,col_s6))&gt;0))+IF(col_s7=0,0,--(LEN(INDEX('Paste Export'!$A$2:$BZ$1001,$A71,col_s7))&gt;0))+IF(col_s8=0,0,--(LEN(INDEX('Paste Export'!$A$2:$BZ$1001,$A71,col_s8))&gt;0)))</f>
        <v/>
      </c>
      <c r="I71" s="25" t="str">
        <f t="shared" si="10"/>
        <v/>
      </c>
      <c r="J71" s="25" t="str">
        <f t="shared" si="11"/>
        <v/>
      </c>
      <c r="K71" s="24" t="str">
        <f t="shared" si="12"/>
        <v/>
      </c>
      <c r="L71" s="24" t="str">
        <f t="shared" si="13"/>
        <v/>
      </c>
    </row>
    <row r="72" spans="1:12" x14ac:dyDescent="0.25">
      <c r="A72" s="24">
        <f t="shared" si="7"/>
        <v>71</v>
      </c>
      <c r="B72" s="25" t="str">
        <f>IF($A72&gt;nrows,"",IF(col_user=0,"",INDEX('Paste Export'!$A$2:$BZ$1001,$A72,col_user)))</f>
        <v/>
      </c>
      <c r="C72" s="24" t="str">
        <f>IF($A72&gt;nrows,"",IF(col_days=0,0,N(INDEX('Paste Export'!$A$2:$BZ$1001,$A72,col_days))))</f>
        <v/>
      </c>
      <c r="D72" s="24" t="str">
        <f>IF($A72&gt;nrows,"",IF(col_prompts=0,0,N(INDEX('Paste Export'!$A$2:$BZ$1001,$A72,col_prompts))))</f>
        <v/>
      </c>
      <c r="E72" s="24" t="str">
        <f>IF($A72&gt;nrows,"",IF(col_web=0,0,N(INDEX('Paste Export'!$A$2:$BZ$1001,$A72,col_web))))</f>
        <v/>
      </c>
      <c r="F72" s="26" t="str">
        <f t="shared" si="8"/>
        <v/>
      </c>
      <c r="G72" s="27" t="str">
        <f t="shared" si="9"/>
        <v/>
      </c>
      <c r="H72" s="24" t="str">
        <f>IF($A72&gt;nrows,"",IF(col_s1=0,0,--(LEN(INDEX('Paste Export'!$A$2:$BZ$1001,$A72,col_s1))&gt;0))+IF(col_s2=0,0,--(LEN(INDEX('Paste Export'!$A$2:$BZ$1001,$A72,col_s2))&gt;0))+IF(col_s3=0,0,--(LEN(INDEX('Paste Export'!$A$2:$BZ$1001,$A72,col_s3))&gt;0))+IF(col_s4=0,0,--(LEN(INDEX('Paste Export'!$A$2:$BZ$1001,$A72,col_s4))&gt;0))+IF(col_s5=0,0,--(LEN(INDEX('Paste Export'!$A$2:$BZ$1001,$A72,col_s5))&gt;0))+IF(col_s6=0,0,--(LEN(INDEX('Paste Export'!$A$2:$BZ$1001,$A72,col_s6))&gt;0))+IF(col_s7=0,0,--(LEN(INDEX('Paste Export'!$A$2:$BZ$1001,$A72,col_s7))&gt;0))+IF(col_s8=0,0,--(LEN(INDEX('Paste Export'!$A$2:$BZ$1001,$A72,col_s8))&gt;0)))</f>
        <v/>
      </c>
      <c r="I72" s="25" t="str">
        <f t="shared" si="10"/>
        <v/>
      </c>
      <c r="J72" s="25" t="str">
        <f t="shared" si="11"/>
        <v/>
      </c>
      <c r="K72" s="24" t="str">
        <f t="shared" si="12"/>
        <v/>
      </c>
      <c r="L72" s="24" t="str">
        <f t="shared" si="13"/>
        <v/>
      </c>
    </row>
    <row r="73" spans="1:12" x14ac:dyDescent="0.25">
      <c r="A73" s="24">
        <f t="shared" si="7"/>
        <v>72</v>
      </c>
      <c r="B73" s="25" t="str">
        <f>IF($A73&gt;nrows,"",IF(col_user=0,"",INDEX('Paste Export'!$A$2:$BZ$1001,$A73,col_user)))</f>
        <v/>
      </c>
      <c r="C73" s="24" t="str">
        <f>IF($A73&gt;nrows,"",IF(col_days=0,0,N(INDEX('Paste Export'!$A$2:$BZ$1001,$A73,col_days))))</f>
        <v/>
      </c>
      <c r="D73" s="24" t="str">
        <f>IF($A73&gt;nrows,"",IF(col_prompts=0,0,N(INDEX('Paste Export'!$A$2:$BZ$1001,$A73,col_prompts))))</f>
        <v/>
      </c>
      <c r="E73" s="24" t="str">
        <f>IF($A73&gt;nrows,"",IF(col_web=0,0,N(INDEX('Paste Export'!$A$2:$BZ$1001,$A73,col_web))))</f>
        <v/>
      </c>
      <c r="F73" s="26" t="str">
        <f t="shared" si="8"/>
        <v/>
      </c>
      <c r="G73" s="27" t="str">
        <f t="shared" si="9"/>
        <v/>
      </c>
      <c r="H73" s="24" t="str">
        <f>IF($A73&gt;nrows,"",IF(col_s1=0,0,--(LEN(INDEX('Paste Export'!$A$2:$BZ$1001,$A73,col_s1))&gt;0))+IF(col_s2=0,0,--(LEN(INDEX('Paste Export'!$A$2:$BZ$1001,$A73,col_s2))&gt;0))+IF(col_s3=0,0,--(LEN(INDEX('Paste Export'!$A$2:$BZ$1001,$A73,col_s3))&gt;0))+IF(col_s4=0,0,--(LEN(INDEX('Paste Export'!$A$2:$BZ$1001,$A73,col_s4))&gt;0))+IF(col_s5=0,0,--(LEN(INDEX('Paste Export'!$A$2:$BZ$1001,$A73,col_s5))&gt;0))+IF(col_s6=0,0,--(LEN(INDEX('Paste Export'!$A$2:$BZ$1001,$A73,col_s6))&gt;0))+IF(col_s7=0,0,--(LEN(INDEX('Paste Export'!$A$2:$BZ$1001,$A73,col_s7))&gt;0))+IF(col_s8=0,0,--(LEN(INDEX('Paste Export'!$A$2:$BZ$1001,$A73,col_s8))&gt;0)))</f>
        <v/>
      </c>
      <c r="I73" s="25" t="str">
        <f t="shared" si="10"/>
        <v/>
      </c>
      <c r="J73" s="25" t="str">
        <f t="shared" si="11"/>
        <v/>
      </c>
      <c r="K73" s="24" t="str">
        <f t="shared" si="12"/>
        <v/>
      </c>
      <c r="L73" s="24" t="str">
        <f t="shared" si="13"/>
        <v/>
      </c>
    </row>
    <row r="74" spans="1:12" x14ac:dyDescent="0.25">
      <c r="A74" s="24">
        <f t="shared" si="7"/>
        <v>73</v>
      </c>
      <c r="B74" s="25" t="str">
        <f>IF($A74&gt;nrows,"",IF(col_user=0,"",INDEX('Paste Export'!$A$2:$BZ$1001,$A74,col_user)))</f>
        <v/>
      </c>
      <c r="C74" s="24" t="str">
        <f>IF($A74&gt;nrows,"",IF(col_days=0,0,N(INDEX('Paste Export'!$A$2:$BZ$1001,$A74,col_days))))</f>
        <v/>
      </c>
      <c r="D74" s="24" t="str">
        <f>IF($A74&gt;nrows,"",IF(col_prompts=0,0,N(INDEX('Paste Export'!$A$2:$BZ$1001,$A74,col_prompts))))</f>
        <v/>
      </c>
      <c r="E74" s="24" t="str">
        <f>IF($A74&gt;nrows,"",IF(col_web=0,0,N(INDEX('Paste Export'!$A$2:$BZ$1001,$A74,col_web))))</f>
        <v/>
      </c>
      <c r="F74" s="26" t="str">
        <f t="shared" si="8"/>
        <v/>
      </c>
      <c r="G74" s="27" t="str">
        <f t="shared" si="9"/>
        <v/>
      </c>
      <c r="H74" s="24" t="str">
        <f>IF($A74&gt;nrows,"",IF(col_s1=0,0,--(LEN(INDEX('Paste Export'!$A$2:$BZ$1001,$A74,col_s1))&gt;0))+IF(col_s2=0,0,--(LEN(INDEX('Paste Export'!$A$2:$BZ$1001,$A74,col_s2))&gt;0))+IF(col_s3=0,0,--(LEN(INDEX('Paste Export'!$A$2:$BZ$1001,$A74,col_s3))&gt;0))+IF(col_s4=0,0,--(LEN(INDEX('Paste Export'!$A$2:$BZ$1001,$A74,col_s4))&gt;0))+IF(col_s5=0,0,--(LEN(INDEX('Paste Export'!$A$2:$BZ$1001,$A74,col_s5))&gt;0))+IF(col_s6=0,0,--(LEN(INDEX('Paste Export'!$A$2:$BZ$1001,$A74,col_s6))&gt;0))+IF(col_s7=0,0,--(LEN(INDEX('Paste Export'!$A$2:$BZ$1001,$A74,col_s7))&gt;0))+IF(col_s8=0,0,--(LEN(INDEX('Paste Export'!$A$2:$BZ$1001,$A74,col_s8))&gt;0)))</f>
        <v/>
      </c>
      <c r="I74" s="25" t="str">
        <f t="shared" si="10"/>
        <v/>
      </c>
      <c r="J74" s="25" t="str">
        <f t="shared" si="11"/>
        <v/>
      </c>
      <c r="K74" s="24" t="str">
        <f t="shared" si="12"/>
        <v/>
      </c>
      <c r="L74" s="24" t="str">
        <f t="shared" si="13"/>
        <v/>
      </c>
    </row>
    <row r="75" spans="1:12" x14ac:dyDescent="0.25">
      <c r="A75" s="24">
        <f t="shared" si="7"/>
        <v>74</v>
      </c>
      <c r="B75" s="25" t="str">
        <f>IF($A75&gt;nrows,"",IF(col_user=0,"",INDEX('Paste Export'!$A$2:$BZ$1001,$A75,col_user)))</f>
        <v/>
      </c>
      <c r="C75" s="24" t="str">
        <f>IF($A75&gt;nrows,"",IF(col_days=0,0,N(INDEX('Paste Export'!$A$2:$BZ$1001,$A75,col_days))))</f>
        <v/>
      </c>
      <c r="D75" s="24" t="str">
        <f>IF($A75&gt;nrows,"",IF(col_prompts=0,0,N(INDEX('Paste Export'!$A$2:$BZ$1001,$A75,col_prompts))))</f>
        <v/>
      </c>
      <c r="E75" s="24" t="str">
        <f>IF($A75&gt;nrows,"",IF(col_web=0,0,N(INDEX('Paste Export'!$A$2:$BZ$1001,$A75,col_web))))</f>
        <v/>
      </c>
      <c r="F75" s="26" t="str">
        <f t="shared" si="8"/>
        <v/>
      </c>
      <c r="G75" s="27" t="str">
        <f t="shared" si="9"/>
        <v/>
      </c>
      <c r="H75" s="24" t="str">
        <f>IF($A75&gt;nrows,"",IF(col_s1=0,0,--(LEN(INDEX('Paste Export'!$A$2:$BZ$1001,$A75,col_s1))&gt;0))+IF(col_s2=0,0,--(LEN(INDEX('Paste Export'!$A$2:$BZ$1001,$A75,col_s2))&gt;0))+IF(col_s3=0,0,--(LEN(INDEX('Paste Export'!$A$2:$BZ$1001,$A75,col_s3))&gt;0))+IF(col_s4=0,0,--(LEN(INDEX('Paste Export'!$A$2:$BZ$1001,$A75,col_s4))&gt;0))+IF(col_s5=0,0,--(LEN(INDEX('Paste Export'!$A$2:$BZ$1001,$A75,col_s5))&gt;0))+IF(col_s6=0,0,--(LEN(INDEX('Paste Export'!$A$2:$BZ$1001,$A75,col_s6))&gt;0))+IF(col_s7=0,0,--(LEN(INDEX('Paste Export'!$A$2:$BZ$1001,$A75,col_s7))&gt;0))+IF(col_s8=0,0,--(LEN(INDEX('Paste Export'!$A$2:$BZ$1001,$A75,col_s8))&gt;0)))</f>
        <v/>
      </c>
      <c r="I75" s="25" t="str">
        <f t="shared" si="10"/>
        <v/>
      </c>
      <c r="J75" s="25" t="str">
        <f t="shared" si="11"/>
        <v/>
      </c>
      <c r="K75" s="24" t="str">
        <f t="shared" si="12"/>
        <v/>
      </c>
      <c r="L75" s="24" t="str">
        <f t="shared" si="13"/>
        <v/>
      </c>
    </row>
    <row r="76" spans="1:12" x14ac:dyDescent="0.25">
      <c r="A76" s="24">
        <f t="shared" si="7"/>
        <v>75</v>
      </c>
      <c r="B76" s="25" t="str">
        <f>IF($A76&gt;nrows,"",IF(col_user=0,"",INDEX('Paste Export'!$A$2:$BZ$1001,$A76,col_user)))</f>
        <v/>
      </c>
      <c r="C76" s="24" t="str">
        <f>IF($A76&gt;nrows,"",IF(col_days=0,0,N(INDEX('Paste Export'!$A$2:$BZ$1001,$A76,col_days))))</f>
        <v/>
      </c>
      <c r="D76" s="24" t="str">
        <f>IF($A76&gt;nrows,"",IF(col_prompts=0,0,N(INDEX('Paste Export'!$A$2:$BZ$1001,$A76,col_prompts))))</f>
        <v/>
      </c>
      <c r="E76" s="24" t="str">
        <f>IF($A76&gt;nrows,"",IF(col_web=0,0,N(INDEX('Paste Export'!$A$2:$BZ$1001,$A76,col_web))))</f>
        <v/>
      </c>
      <c r="F76" s="26" t="str">
        <f t="shared" si="8"/>
        <v/>
      </c>
      <c r="G76" s="27" t="str">
        <f t="shared" si="9"/>
        <v/>
      </c>
      <c r="H76" s="24" t="str">
        <f>IF($A76&gt;nrows,"",IF(col_s1=0,0,--(LEN(INDEX('Paste Export'!$A$2:$BZ$1001,$A76,col_s1))&gt;0))+IF(col_s2=0,0,--(LEN(INDEX('Paste Export'!$A$2:$BZ$1001,$A76,col_s2))&gt;0))+IF(col_s3=0,0,--(LEN(INDEX('Paste Export'!$A$2:$BZ$1001,$A76,col_s3))&gt;0))+IF(col_s4=0,0,--(LEN(INDEX('Paste Export'!$A$2:$BZ$1001,$A76,col_s4))&gt;0))+IF(col_s5=0,0,--(LEN(INDEX('Paste Export'!$A$2:$BZ$1001,$A76,col_s5))&gt;0))+IF(col_s6=0,0,--(LEN(INDEX('Paste Export'!$A$2:$BZ$1001,$A76,col_s6))&gt;0))+IF(col_s7=0,0,--(LEN(INDEX('Paste Export'!$A$2:$BZ$1001,$A76,col_s7))&gt;0))+IF(col_s8=0,0,--(LEN(INDEX('Paste Export'!$A$2:$BZ$1001,$A76,col_s8))&gt;0)))</f>
        <v/>
      </c>
      <c r="I76" s="25" t="str">
        <f t="shared" si="10"/>
        <v/>
      </c>
      <c r="J76" s="25" t="str">
        <f t="shared" si="11"/>
        <v/>
      </c>
      <c r="K76" s="24" t="str">
        <f t="shared" si="12"/>
        <v/>
      </c>
      <c r="L76" s="24" t="str">
        <f t="shared" si="13"/>
        <v/>
      </c>
    </row>
    <row r="77" spans="1:12" x14ac:dyDescent="0.25">
      <c r="A77" s="24">
        <f t="shared" si="7"/>
        <v>76</v>
      </c>
      <c r="B77" s="25" t="str">
        <f>IF($A77&gt;nrows,"",IF(col_user=0,"",INDEX('Paste Export'!$A$2:$BZ$1001,$A77,col_user)))</f>
        <v/>
      </c>
      <c r="C77" s="24" t="str">
        <f>IF($A77&gt;nrows,"",IF(col_days=0,0,N(INDEX('Paste Export'!$A$2:$BZ$1001,$A77,col_days))))</f>
        <v/>
      </c>
      <c r="D77" s="24" t="str">
        <f>IF($A77&gt;nrows,"",IF(col_prompts=0,0,N(INDEX('Paste Export'!$A$2:$BZ$1001,$A77,col_prompts))))</f>
        <v/>
      </c>
      <c r="E77" s="24" t="str">
        <f>IF($A77&gt;nrows,"",IF(col_web=0,0,N(INDEX('Paste Export'!$A$2:$BZ$1001,$A77,col_web))))</f>
        <v/>
      </c>
      <c r="F77" s="26" t="str">
        <f t="shared" si="8"/>
        <v/>
      </c>
      <c r="G77" s="27" t="str">
        <f t="shared" si="9"/>
        <v/>
      </c>
      <c r="H77" s="24" t="str">
        <f>IF($A77&gt;nrows,"",IF(col_s1=0,0,--(LEN(INDEX('Paste Export'!$A$2:$BZ$1001,$A77,col_s1))&gt;0))+IF(col_s2=0,0,--(LEN(INDEX('Paste Export'!$A$2:$BZ$1001,$A77,col_s2))&gt;0))+IF(col_s3=0,0,--(LEN(INDEX('Paste Export'!$A$2:$BZ$1001,$A77,col_s3))&gt;0))+IF(col_s4=0,0,--(LEN(INDEX('Paste Export'!$A$2:$BZ$1001,$A77,col_s4))&gt;0))+IF(col_s5=0,0,--(LEN(INDEX('Paste Export'!$A$2:$BZ$1001,$A77,col_s5))&gt;0))+IF(col_s6=0,0,--(LEN(INDEX('Paste Export'!$A$2:$BZ$1001,$A77,col_s6))&gt;0))+IF(col_s7=0,0,--(LEN(INDEX('Paste Export'!$A$2:$BZ$1001,$A77,col_s7))&gt;0))+IF(col_s8=0,0,--(LEN(INDEX('Paste Export'!$A$2:$BZ$1001,$A77,col_s8))&gt;0)))</f>
        <v/>
      </c>
      <c r="I77" s="25" t="str">
        <f t="shared" si="10"/>
        <v/>
      </c>
      <c r="J77" s="25" t="str">
        <f t="shared" si="11"/>
        <v/>
      </c>
      <c r="K77" s="24" t="str">
        <f t="shared" si="12"/>
        <v/>
      </c>
      <c r="L77" s="24" t="str">
        <f t="shared" si="13"/>
        <v/>
      </c>
    </row>
    <row r="78" spans="1:12" x14ac:dyDescent="0.25">
      <c r="A78" s="24">
        <f t="shared" si="7"/>
        <v>77</v>
      </c>
      <c r="B78" s="25" t="str">
        <f>IF($A78&gt;nrows,"",IF(col_user=0,"",INDEX('Paste Export'!$A$2:$BZ$1001,$A78,col_user)))</f>
        <v/>
      </c>
      <c r="C78" s="24" t="str">
        <f>IF($A78&gt;nrows,"",IF(col_days=0,0,N(INDEX('Paste Export'!$A$2:$BZ$1001,$A78,col_days))))</f>
        <v/>
      </c>
      <c r="D78" s="24" t="str">
        <f>IF($A78&gt;nrows,"",IF(col_prompts=0,0,N(INDEX('Paste Export'!$A$2:$BZ$1001,$A78,col_prompts))))</f>
        <v/>
      </c>
      <c r="E78" s="24" t="str">
        <f>IF($A78&gt;nrows,"",IF(col_web=0,0,N(INDEX('Paste Export'!$A$2:$BZ$1001,$A78,col_web))))</f>
        <v/>
      </c>
      <c r="F78" s="26" t="str">
        <f t="shared" si="8"/>
        <v/>
      </c>
      <c r="G78" s="27" t="str">
        <f t="shared" si="9"/>
        <v/>
      </c>
      <c r="H78" s="24" t="str">
        <f>IF($A78&gt;nrows,"",IF(col_s1=0,0,--(LEN(INDEX('Paste Export'!$A$2:$BZ$1001,$A78,col_s1))&gt;0))+IF(col_s2=0,0,--(LEN(INDEX('Paste Export'!$A$2:$BZ$1001,$A78,col_s2))&gt;0))+IF(col_s3=0,0,--(LEN(INDEX('Paste Export'!$A$2:$BZ$1001,$A78,col_s3))&gt;0))+IF(col_s4=0,0,--(LEN(INDEX('Paste Export'!$A$2:$BZ$1001,$A78,col_s4))&gt;0))+IF(col_s5=0,0,--(LEN(INDEX('Paste Export'!$A$2:$BZ$1001,$A78,col_s5))&gt;0))+IF(col_s6=0,0,--(LEN(INDEX('Paste Export'!$A$2:$BZ$1001,$A78,col_s6))&gt;0))+IF(col_s7=0,0,--(LEN(INDEX('Paste Export'!$A$2:$BZ$1001,$A78,col_s7))&gt;0))+IF(col_s8=0,0,--(LEN(INDEX('Paste Export'!$A$2:$BZ$1001,$A78,col_s8))&gt;0)))</f>
        <v/>
      </c>
      <c r="I78" s="25" t="str">
        <f t="shared" si="10"/>
        <v/>
      </c>
      <c r="J78" s="25" t="str">
        <f t="shared" si="11"/>
        <v/>
      </c>
      <c r="K78" s="24" t="str">
        <f t="shared" si="12"/>
        <v/>
      </c>
      <c r="L78" s="24" t="str">
        <f t="shared" si="13"/>
        <v/>
      </c>
    </row>
    <row r="79" spans="1:12" x14ac:dyDescent="0.25">
      <c r="A79" s="24">
        <f t="shared" si="7"/>
        <v>78</v>
      </c>
      <c r="B79" s="25" t="str">
        <f>IF($A79&gt;nrows,"",IF(col_user=0,"",INDEX('Paste Export'!$A$2:$BZ$1001,$A79,col_user)))</f>
        <v/>
      </c>
      <c r="C79" s="24" t="str">
        <f>IF($A79&gt;nrows,"",IF(col_days=0,0,N(INDEX('Paste Export'!$A$2:$BZ$1001,$A79,col_days))))</f>
        <v/>
      </c>
      <c r="D79" s="24" t="str">
        <f>IF($A79&gt;nrows,"",IF(col_prompts=0,0,N(INDEX('Paste Export'!$A$2:$BZ$1001,$A79,col_prompts))))</f>
        <v/>
      </c>
      <c r="E79" s="24" t="str">
        <f>IF($A79&gt;nrows,"",IF(col_web=0,0,N(INDEX('Paste Export'!$A$2:$BZ$1001,$A79,col_web))))</f>
        <v/>
      </c>
      <c r="F79" s="26" t="str">
        <f t="shared" si="8"/>
        <v/>
      </c>
      <c r="G79" s="27" t="str">
        <f t="shared" si="9"/>
        <v/>
      </c>
      <c r="H79" s="24" t="str">
        <f>IF($A79&gt;nrows,"",IF(col_s1=0,0,--(LEN(INDEX('Paste Export'!$A$2:$BZ$1001,$A79,col_s1))&gt;0))+IF(col_s2=0,0,--(LEN(INDEX('Paste Export'!$A$2:$BZ$1001,$A79,col_s2))&gt;0))+IF(col_s3=0,0,--(LEN(INDEX('Paste Export'!$A$2:$BZ$1001,$A79,col_s3))&gt;0))+IF(col_s4=0,0,--(LEN(INDEX('Paste Export'!$A$2:$BZ$1001,$A79,col_s4))&gt;0))+IF(col_s5=0,0,--(LEN(INDEX('Paste Export'!$A$2:$BZ$1001,$A79,col_s5))&gt;0))+IF(col_s6=0,0,--(LEN(INDEX('Paste Export'!$A$2:$BZ$1001,$A79,col_s6))&gt;0))+IF(col_s7=0,0,--(LEN(INDEX('Paste Export'!$A$2:$BZ$1001,$A79,col_s7))&gt;0))+IF(col_s8=0,0,--(LEN(INDEX('Paste Export'!$A$2:$BZ$1001,$A79,col_s8))&gt;0)))</f>
        <v/>
      </c>
      <c r="I79" s="25" t="str">
        <f t="shared" si="10"/>
        <v/>
      </c>
      <c r="J79" s="25" t="str">
        <f t="shared" si="11"/>
        <v/>
      </c>
      <c r="K79" s="24" t="str">
        <f t="shared" si="12"/>
        <v/>
      </c>
      <c r="L79" s="24" t="str">
        <f t="shared" si="13"/>
        <v/>
      </c>
    </row>
    <row r="80" spans="1:12" x14ac:dyDescent="0.25">
      <c r="A80" s="24">
        <f t="shared" si="7"/>
        <v>79</v>
      </c>
      <c r="B80" s="25" t="str">
        <f>IF($A80&gt;nrows,"",IF(col_user=0,"",INDEX('Paste Export'!$A$2:$BZ$1001,$A80,col_user)))</f>
        <v/>
      </c>
      <c r="C80" s="24" t="str">
        <f>IF($A80&gt;nrows,"",IF(col_days=0,0,N(INDEX('Paste Export'!$A$2:$BZ$1001,$A80,col_days))))</f>
        <v/>
      </c>
      <c r="D80" s="24" t="str">
        <f>IF($A80&gt;nrows,"",IF(col_prompts=0,0,N(INDEX('Paste Export'!$A$2:$BZ$1001,$A80,col_prompts))))</f>
        <v/>
      </c>
      <c r="E80" s="24" t="str">
        <f>IF($A80&gt;nrows,"",IF(col_web=0,0,N(INDEX('Paste Export'!$A$2:$BZ$1001,$A80,col_web))))</f>
        <v/>
      </c>
      <c r="F80" s="26" t="str">
        <f t="shared" si="8"/>
        <v/>
      </c>
      <c r="G80" s="27" t="str">
        <f t="shared" si="9"/>
        <v/>
      </c>
      <c r="H80" s="24" t="str">
        <f>IF($A80&gt;nrows,"",IF(col_s1=0,0,--(LEN(INDEX('Paste Export'!$A$2:$BZ$1001,$A80,col_s1))&gt;0))+IF(col_s2=0,0,--(LEN(INDEX('Paste Export'!$A$2:$BZ$1001,$A80,col_s2))&gt;0))+IF(col_s3=0,0,--(LEN(INDEX('Paste Export'!$A$2:$BZ$1001,$A80,col_s3))&gt;0))+IF(col_s4=0,0,--(LEN(INDEX('Paste Export'!$A$2:$BZ$1001,$A80,col_s4))&gt;0))+IF(col_s5=0,0,--(LEN(INDEX('Paste Export'!$A$2:$BZ$1001,$A80,col_s5))&gt;0))+IF(col_s6=0,0,--(LEN(INDEX('Paste Export'!$A$2:$BZ$1001,$A80,col_s6))&gt;0))+IF(col_s7=0,0,--(LEN(INDEX('Paste Export'!$A$2:$BZ$1001,$A80,col_s7))&gt;0))+IF(col_s8=0,0,--(LEN(INDEX('Paste Export'!$A$2:$BZ$1001,$A80,col_s8))&gt;0)))</f>
        <v/>
      </c>
      <c r="I80" s="25" t="str">
        <f t="shared" si="10"/>
        <v/>
      </c>
      <c r="J80" s="25" t="str">
        <f t="shared" si="11"/>
        <v/>
      </c>
      <c r="K80" s="24" t="str">
        <f t="shared" si="12"/>
        <v/>
      </c>
      <c r="L80" s="24" t="str">
        <f t="shared" si="13"/>
        <v/>
      </c>
    </row>
    <row r="81" spans="1:12" x14ac:dyDescent="0.25">
      <c r="A81" s="24">
        <f t="shared" si="7"/>
        <v>80</v>
      </c>
      <c r="B81" s="25" t="str">
        <f>IF($A81&gt;nrows,"",IF(col_user=0,"",INDEX('Paste Export'!$A$2:$BZ$1001,$A81,col_user)))</f>
        <v/>
      </c>
      <c r="C81" s="24" t="str">
        <f>IF($A81&gt;nrows,"",IF(col_days=0,0,N(INDEX('Paste Export'!$A$2:$BZ$1001,$A81,col_days))))</f>
        <v/>
      </c>
      <c r="D81" s="24" t="str">
        <f>IF($A81&gt;nrows,"",IF(col_prompts=0,0,N(INDEX('Paste Export'!$A$2:$BZ$1001,$A81,col_prompts))))</f>
        <v/>
      </c>
      <c r="E81" s="24" t="str">
        <f>IF($A81&gt;nrows,"",IF(col_web=0,0,N(INDEX('Paste Export'!$A$2:$BZ$1001,$A81,col_web))))</f>
        <v/>
      </c>
      <c r="F81" s="26" t="str">
        <f t="shared" si="8"/>
        <v/>
      </c>
      <c r="G81" s="27" t="str">
        <f t="shared" si="9"/>
        <v/>
      </c>
      <c r="H81" s="24" t="str">
        <f>IF($A81&gt;nrows,"",IF(col_s1=0,0,--(LEN(INDEX('Paste Export'!$A$2:$BZ$1001,$A81,col_s1))&gt;0))+IF(col_s2=0,0,--(LEN(INDEX('Paste Export'!$A$2:$BZ$1001,$A81,col_s2))&gt;0))+IF(col_s3=0,0,--(LEN(INDEX('Paste Export'!$A$2:$BZ$1001,$A81,col_s3))&gt;0))+IF(col_s4=0,0,--(LEN(INDEX('Paste Export'!$A$2:$BZ$1001,$A81,col_s4))&gt;0))+IF(col_s5=0,0,--(LEN(INDEX('Paste Export'!$A$2:$BZ$1001,$A81,col_s5))&gt;0))+IF(col_s6=0,0,--(LEN(INDEX('Paste Export'!$A$2:$BZ$1001,$A81,col_s6))&gt;0))+IF(col_s7=0,0,--(LEN(INDEX('Paste Export'!$A$2:$BZ$1001,$A81,col_s7))&gt;0))+IF(col_s8=0,0,--(LEN(INDEX('Paste Export'!$A$2:$BZ$1001,$A81,col_s8))&gt;0)))</f>
        <v/>
      </c>
      <c r="I81" s="25" t="str">
        <f t="shared" si="10"/>
        <v/>
      </c>
      <c r="J81" s="25" t="str">
        <f t="shared" si="11"/>
        <v/>
      </c>
      <c r="K81" s="24" t="str">
        <f t="shared" si="12"/>
        <v/>
      </c>
      <c r="L81" s="24" t="str">
        <f t="shared" si="13"/>
        <v/>
      </c>
    </row>
    <row r="82" spans="1:12" x14ac:dyDescent="0.25">
      <c r="A82" s="24">
        <f t="shared" si="7"/>
        <v>81</v>
      </c>
      <c r="B82" s="25" t="str">
        <f>IF($A82&gt;nrows,"",IF(col_user=0,"",INDEX('Paste Export'!$A$2:$BZ$1001,$A82,col_user)))</f>
        <v/>
      </c>
      <c r="C82" s="24" t="str">
        <f>IF($A82&gt;nrows,"",IF(col_days=0,0,N(INDEX('Paste Export'!$A$2:$BZ$1001,$A82,col_days))))</f>
        <v/>
      </c>
      <c r="D82" s="24" t="str">
        <f>IF($A82&gt;nrows,"",IF(col_prompts=0,0,N(INDEX('Paste Export'!$A$2:$BZ$1001,$A82,col_prompts))))</f>
        <v/>
      </c>
      <c r="E82" s="24" t="str">
        <f>IF($A82&gt;nrows,"",IF(col_web=0,0,N(INDEX('Paste Export'!$A$2:$BZ$1001,$A82,col_web))))</f>
        <v/>
      </c>
      <c r="F82" s="26" t="str">
        <f t="shared" si="8"/>
        <v/>
      </c>
      <c r="G82" s="27" t="str">
        <f t="shared" si="9"/>
        <v/>
      </c>
      <c r="H82" s="24" t="str">
        <f>IF($A82&gt;nrows,"",IF(col_s1=0,0,--(LEN(INDEX('Paste Export'!$A$2:$BZ$1001,$A82,col_s1))&gt;0))+IF(col_s2=0,0,--(LEN(INDEX('Paste Export'!$A$2:$BZ$1001,$A82,col_s2))&gt;0))+IF(col_s3=0,0,--(LEN(INDEX('Paste Export'!$A$2:$BZ$1001,$A82,col_s3))&gt;0))+IF(col_s4=0,0,--(LEN(INDEX('Paste Export'!$A$2:$BZ$1001,$A82,col_s4))&gt;0))+IF(col_s5=0,0,--(LEN(INDEX('Paste Export'!$A$2:$BZ$1001,$A82,col_s5))&gt;0))+IF(col_s6=0,0,--(LEN(INDEX('Paste Export'!$A$2:$BZ$1001,$A82,col_s6))&gt;0))+IF(col_s7=0,0,--(LEN(INDEX('Paste Export'!$A$2:$BZ$1001,$A82,col_s7))&gt;0))+IF(col_s8=0,0,--(LEN(INDEX('Paste Export'!$A$2:$BZ$1001,$A82,col_s8))&gt;0)))</f>
        <v/>
      </c>
      <c r="I82" s="25" t="str">
        <f t="shared" si="10"/>
        <v/>
      </c>
      <c r="J82" s="25" t="str">
        <f t="shared" si="11"/>
        <v/>
      </c>
      <c r="K82" s="24" t="str">
        <f t="shared" si="12"/>
        <v/>
      </c>
      <c r="L82" s="24" t="str">
        <f t="shared" si="13"/>
        <v/>
      </c>
    </row>
    <row r="83" spans="1:12" x14ac:dyDescent="0.25">
      <c r="A83" s="24">
        <f t="shared" si="7"/>
        <v>82</v>
      </c>
      <c r="B83" s="25" t="str">
        <f>IF($A83&gt;nrows,"",IF(col_user=0,"",INDEX('Paste Export'!$A$2:$BZ$1001,$A83,col_user)))</f>
        <v/>
      </c>
      <c r="C83" s="24" t="str">
        <f>IF($A83&gt;nrows,"",IF(col_days=0,0,N(INDEX('Paste Export'!$A$2:$BZ$1001,$A83,col_days))))</f>
        <v/>
      </c>
      <c r="D83" s="24" t="str">
        <f>IF($A83&gt;nrows,"",IF(col_prompts=0,0,N(INDEX('Paste Export'!$A$2:$BZ$1001,$A83,col_prompts))))</f>
        <v/>
      </c>
      <c r="E83" s="24" t="str">
        <f>IF($A83&gt;nrows,"",IF(col_web=0,0,N(INDEX('Paste Export'!$A$2:$BZ$1001,$A83,col_web))))</f>
        <v/>
      </c>
      <c r="F83" s="26" t="str">
        <f t="shared" si="8"/>
        <v/>
      </c>
      <c r="G83" s="27" t="str">
        <f t="shared" si="9"/>
        <v/>
      </c>
      <c r="H83" s="24" t="str">
        <f>IF($A83&gt;nrows,"",IF(col_s1=0,0,--(LEN(INDEX('Paste Export'!$A$2:$BZ$1001,$A83,col_s1))&gt;0))+IF(col_s2=0,0,--(LEN(INDEX('Paste Export'!$A$2:$BZ$1001,$A83,col_s2))&gt;0))+IF(col_s3=0,0,--(LEN(INDEX('Paste Export'!$A$2:$BZ$1001,$A83,col_s3))&gt;0))+IF(col_s4=0,0,--(LEN(INDEX('Paste Export'!$A$2:$BZ$1001,$A83,col_s4))&gt;0))+IF(col_s5=0,0,--(LEN(INDEX('Paste Export'!$A$2:$BZ$1001,$A83,col_s5))&gt;0))+IF(col_s6=0,0,--(LEN(INDEX('Paste Export'!$A$2:$BZ$1001,$A83,col_s6))&gt;0))+IF(col_s7=0,0,--(LEN(INDEX('Paste Export'!$A$2:$BZ$1001,$A83,col_s7))&gt;0))+IF(col_s8=0,0,--(LEN(INDEX('Paste Export'!$A$2:$BZ$1001,$A83,col_s8))&gt;0)))</f>
        <v/>
      </c>
      <c r="I83" s="25" t="str">
        <f t="shared" si="10"/>
        <v/>
      </c>
      <c r="J83" s="25" t="str">
        <f t="shared" si="11"/>
        <v/>
      </c>
      <c r="K83" s="24" t="str">
        <f t="shared" si="12"/>
        <v/>
      </c>
      <c r="L83" s="24" t="str">
        <f t="shared" si="13"/>
        <v/>
      </c>
    </row>
    <row r="84" spans="1:12" x14ac:dyDescent="0.25">
      <c r="A84" s="24">
        <f t="shared" si="7"/>
        <v>83</v>
      </c>
      <c r="B84" s="25" t="str">
        <f>IF($A84&gt;nrows,"",IF(col_user=0,"",INDEX('Paste Export'!$A$2:$BZ$1001,$A84,col_user)))</f>
        <v/>
      </c>
      <c r="C84" s="24" t="str">
        <f>IF($A84&gt;nrows,"",IF(col_days=0,0,N(INDEX('Paste Export'!$A$2:$BZ$1001,$A84,col_days))))</f>
        <v/>
      </c>
      <c r="D84" s="24" t="str">
        <f>IF($A84&gt;nrows,"",IF(col_prompts=0,0,N(INDEX('Paste Export'!$A$2:$BZ$1001,$A84,col_prompts))))</f>
        <v/>
      </c>
      <c r="E84" s="24" t="str">
        <f>IF($A84&gt;nrows,"",IF(col_web=0,0,N(INDEX('Paste Export'!$A$2:$BZ$1001,$A84,col_web))))</f>
        <v/>
      </c>
      <c r="F84" s="26" t="str">
        <f t="shared" si="8"/>
        <v/>
      </c>
      <c r="G84" s="27" t="str">
        <f t="shared" si="9"/>
        <v/>
      </c>
      <c r="H84" s="24" t="str">
        <f>IF($A84&gt;nrows,"",IF(col_s1=0,0,--(LEN(INDEX('Paste Export'!$A$2:$BZ$1001,$A84,col_s1))&gt;0))+IF(col_s2=0,0,--(LEN(INDEX('Paste Export'!$A$2:$BZ$1001,$A84,col_s2))&gt;0))+IF(col_s3=0,0,--(LEN(INDEX('Paste Export'!$A$2:$BZ$1001,$A84,col_s3))&gt;0))+IF(col_s4=0,0,--(LEN(INDEX('Paste Export'!$A$2:$BZ$1001,$A84,col_s4))&gt;0))+IF(col_s5=0,0,--(LEN(INDEX('Paste Export'!$A$2:$BZ$1001,$A84,col_s5))&gt;0))+IF(col_s6=0,0,--(LEN(INDEX('Paste Export'!$A$2:$BZ$1001,$A84,col_s6))&gt;0))+IF(col_s7=0,0,--(LEN(INDEX('Paste Export'!$A$2:$BZ$1001,$A84,col_s7))&gt;0))+IF(col_s8=0,0,--(LEN(INDEX('Paste Export'!$A$2:$BZ$1001,$A84,col_s8))&gt;0)))</f>
        <v/>
      </c>
      <c r="I84" s="25" t="str">
        <f t="shared" si="10"/>
        <v/>
      </c>
      <c r="J84" s="25" t="str">
        <f t="shared" si="11"/>
        <v/>
      </c>
      <c r="K84" s="24" t="str">
        <f t="shared" si="12"/>
        <v/>
      </c>
      <c r="L84" s="24" t="str">
        <f t="shared" si="13"/>
        <v/>
      </c>
    </row>
    <row r="85" spans="1:12" x14ac:dyDescent="0.25">
      <c r="A85" s="24">
        <f t="shared" si="7"/>
        <v>84</v>
      </c>
      <c r="B85" s="25" t="str">
        <f>IF($A85&gt;nrows,"",IF(col_user=0,"",INDEX('Paste Export'!$A$2:$BZ$1001,$A85,col_user)))</f>
        <v/>
      </c>
      <c r="C85" s="24" t="str">
        <f>IF($A85&gt;nrows,"",IF(col_days=0,0,N(INDEX('Paste Export'!$A$2:$BZ$1001,$A85,col_days))))</f>
        <v/>
      </c>
      <c r="D85" s="24" t="str">
        <f>IF($A85&gt;nrows,"",IF(col_prompts=0,0,N(INDEX('Paste Export'!$A$2:$BZ$1001,$A85,col_prompts))))</f>
        <v/>
      </c>
      <c r="E85" s="24" t="str">
        <f>IF($A85&gt;nrows,"",IF(col_web=0,0,N(INDEX('Paste Export'!$A$2:$BZ$1001,$A85,col_web))))</f>
        <v/>
      </c>
      <c r="F85" s="26" t="str">
        <f t="shared" si="8"/>
        <v/>
      </c>
      <c r="G85" s="27" t="str">
        <f t="shared" si="9"/>
        <v/>
      </c>
      <c r="H85" s="24" t="str">
        <f>IF($A85&gt;nrows,"",IF(col_s1=0,0,--(LEN(INDEX('Paste Export'!$A$2:$BZ$1001,$A85,col_s1))&gt;0))+IF(col_s2=0,0,--(LEN(INDEX('Paste Export'!$A$2:$BZ$1001,$A85,col_s2))&gt;0))+IF(col_s3=0,0,--(LEN(INDEX('Paste Export'!$A$2:$BZ$1001,$A85,col_s3))&gt;0))+IF(col_s4=0,0,--(LEN(INDEX('Paste Export'!$A$2:$BZ$1001,$A85,col_s4))&gt;0))+IF(col_s5=0,0,--(LEN(INDEX('Paste Export'!$A$2:$BZ$1001,$A85,col_s5))&gt;0))+IF(col_s6=0,0,--(LEN(INDEX('Paste Export'!$A$2:$BZ$1001,$A85,col_s6))&gt;0))+IF(col_s7=0,0,--(LEN(INDEX('Paste Export'!$A$2:$BZ$1001,$A85,col_s7))&gt;0))+IF(col_s8=0,0,--(LEN(INDEX('Paste Export'!$A$2:$BZ$1001,$A85,col_s8))&gt;0)))</f>
        <v/>
      </c>
      <c r="I85" s="25" t="str">
        <f t="shared" si="10"/>
        <v/>
      </c>
      <c r="J85" s="25" t="str">
        <f t="shared" si="11"/>
        <v/>
      </c>
      <c r="K85" s="24" t="str">
        <f t="shared" si="12"/>
        <v/>
      </c>
      <c r="L85" s="24" t="str">
        <f t="shared" si="13"/>
        <v/>
      </c>
    </row>
    <row r="86" spans="1:12" x14ac:dyDescent="0.25">
      <c r="A86" s="24">
        <f t="shared" si="7"/>
        <v>85</v>
      </c>
      <c r="B86" s="25" t="str">
        <f>IF($A86&gt;nrows,"",IF(col_user=0,"",INDEX('Paste Export'!$A$2:$BZ$1001,$A86,col_user)))</f>
        <v/>
      </c>
      <c r="C86" s="24" t="str">
        <f>IF($A86&gt;nrows,"",IF(col_days=0,0,N(INDEX('Paste Export'!$A$2:$BZ$1001,$A86,col_days))))</f>
        <v/>
      </c>
      <c r="D86" s="24" t="str">
        <f>IF($A86&gt;nrows,"",IF(col_prompts=0,0,N(INDEX('Paste Export'!$A$2:$BZ$1001,$A86,col_prompts))))</f>
        <v/>
      </c>
      <c r="E86" s="24" t="str">
        <f>IF($A86&gt;nrows,"",IF(col_web=0,0,N(INDEX('Paste Export'!$A$2:$BZ$1001,$A86,col_web))))</f>
        <v/>
      </c>
      <c r="F86" s="26" t="str">
        <f t="shared" si="8"/>
        <v/>
      </c>
      <c r="G86" s="27" t="str">
        <f t="shared" si="9"/>
        <v/>
      </c>
      <c r="H86" s="24" t="str">
        <f>IF($A86&gt;nrows,"",IF(col_s1=0,0,--(LEN(INDEX('Paste Export'!$A$2:$BZ$1001,$A86,col_s1))&gt;0))+IF(col_s2=0,0,--(LEN(INDEX('Paste Export'!$A$2:$BZ$1001,$A86,col_s2))&gt;0))+IF(col_s3=0,0,--(LEN(INDEX('Paste Export'!$A$2:$BZ$1001,$A86,col_s3))&gt;0))+IF(col_s4=0,0,--(LEN(INDEX('Paste Export'!$A$2:$BZ$1001,$A86,col_s4))&gt;0))+IF(col_s5=0,0,--(LEN(INDEX('Paste Export'!$A$2:$BZ$1001,$A86,col_s5))&gt;0))+IF(col_s6=0,0,--(LEN(INDEX('Paste Export'!$A$2:$BZ$1001,$A86,col_s6))&gt;0))+IF(col_s7=0,0,--(LEN(INDEX('Paste Export'!$A$2:$BZ$1001,$A86,col_s7))&gt;0))+IF(col_s8=0,0,--(LEN(INDEX('Paste Export'!$A$2:$BZ$1001,$A86,col_s8))&gt;0)))</f>
        <v/>
      </c>
      <c r="I86" s="25" t="str">
        <f t="shared" si="10"/>
        <v/>
      </c>
      <c r="J86" s="25" t="str">
        <f t="shared" si="11"/>
        <v/>
      </c>
      <c r="K86" s="24" t="str">
        <f t="shared" si="12"/>
        <v/>
      </c>
      <c r="L86" s="24" t="str">
        <f t="shared" si="13"/>
        <v/>
      </c>
    </row>
    <row r="87" spans="1:12" x14ac:dyDescent="0.25">
      <c r="A87" s="24">
        <f t="shared" si="7"/>
        <v>86</v>
      </c>
      <c r="B87" s="25" t="str">
        <f>IF($A87&gt;nrows,"",IF(col_user=0,"",INDEX('Paste Export'!$A$2:$BZ$1001,$A87,col_user)))</f>
        <v/>
      </c>
      <c r="C87" s="24" t="str">
        <f>IF($A87&gt;nrows,"",IF(col_days=0,0,N(INDEX('Paste Export'!$A$2:$BZ$1001,$A87,col_days))))</f>
        <v/>
      </c>
      <c r="D87" s="24" t="str">
        <f>IF($A87&gt;nrows,"",IF(col_prompts=0,0,N(INDEX('Paste Export'!$A$2:$BZ$1001,$A87,col_prompts))))</f>
        <v/>
      </c>
      <c r="E87" s="24" t="str">
        <f>IF($A87&gt;nrows,"",IF(col_web=0,0,N(INDEX('Paste Export'!$A$2:$BZ$1001,$A87,col_web))))</f>
        <v/>
      </c>
      <c r="F87" s="26" t="str">
        <f t="shared" si="8"/>
        <v/>
      </c>
      <c r="G87" s="27" t="str">
        <f t="shared" si="9"/>
        <v/>
      </c>
      <c r="H87" s="24" t="str">
        <f>IF($A87&gt;nrows,"",IF(col_s1=0,0,--(LEN(INDEX('Paste Export'!$A$2:$BZ$1001,$A87,col_s1))&gt;0))+IF(col_s2=0,0,--(LEN(INDEX('Paste Export'!$A$2:$BZ$1001,$A87,col_s2))&gt;0))+IF(col_s3=0,0,--(LEN(INDEX('Paste Export'!$A$2:$BZ$1001,$A87,col_s3))&gt;0))+IF(col_s4=0,0,--(LEN(INDEX('Paste Export'!$A$2:$BZ$1001,$A87,col_s4))&gt;0))+IF(col_s5=0,0,--(LEN(INDEX('Paste Export'!$A$2:$BZ$1001,$A87,col_s5))&gt;0))+IF(col_s6=0,0,--(LEN(INDEX('Paste Export'!$A$2:$BZ$1001,$A87,col_s6))&gt;0))+IF(col_s7=0,0,--(LEN(INDEX('Paste Export'!$A$2:$BZ$1001,$A87,col_s7))&gt;0))+IF(col_s8=0,0,--(LEN(INDEX('Paste Export'!$A$2:$BZ$1001,$A87,col_s8))&gt;0)))</f>
        <v/>
      </c>
      <c r="I87" s="25" t="str">
        <f t="shared" si="10"/>
        <v/>
      </c>
      <c r="J87" s="25" t="str">
        <f t="shared" si="11"/>
        <v/>
      </c>
      <c r="K87" s="24" t="str">
        <f t="shared" si="12"/>
        <v/>
      </c>
      <c r="L87" s="24" t="str">
        <f t="shared" si="13"/>
        <v/>
      </c>
    </row>
    <row r="88" spans="1:12" x14ac:dyDescent="0.25">
      <c r="A88" s="24">
        <f t="shared" si="7"/>
        <v>87</v>
      </c>
      <c r="B88" s="25" t="str">
        <f>IF($A88&gt;nrows,"",IF(col_user=0,"",INDEX('Paste Export'!$A$2:$BZ$1001,$A88,col_user)))</f>
        <v/>
      </c>
      <c r="C88" s="24" t="str">
        <f>IF($A88&gt;nrows,"",IF(col_days=0,0,N(INDEX('Paste Export'!$A$2:$BZ$1001,$A88,col_days))))</f>
        <v/>
      </c>
      <c r="D88" s="24" t="str">
        <f>IF($A88&gt;nrows,"",IF(col_prompts=0,0,N(INDEX('Paste Export'!$A$2:$BZ$1001,$A88,col_prompts))))</f>
        <v/>
      </c>
      <c r="E88" s="24" t="str">
        <f>IF($A88&gt;nrows,"",IF(col_web=0,0,N(INDEX('Paste Export'!$A$2:$BZ$1001,$A88,col_web))))</f>
        <v/>
      </c>
      <c r="F88" s="26" t="str">
        <f t="shared" si="8"/>
        <v/>
      </c>
      <c r="G88" s="27" t="str">
        <f t="shared" si="9"/>
        <v/>
      </c>
      <c r="H88" s="24" t="str">
        <f>IF($A88&gt;nrows,"",IF(col_s1=0,0,--(LEN(INDEX('Paste Export'!$A$2:$BZ$1001,$A88,col_s1))&gt;0))+IF(col_s2=0,0,--(LEN(INDEX('Paste Export'!$A$2:$BZ$1001,$A88,col_s2))&gt;0))+IF(col_s3=0,0,--(LEN(INDEX('Paste Export'!$A$2:$BZ$1001,$A88,col_s3))&gt;0))+IF(col_s4=0,0,--(LEN(INDEX('Paste Export'!$A$2:$BZ$1001,$A88,col_s4))&gt;0))+IF(col_s5=0,0,--(LEN(INDEX('Paste Export'!$A$2:$BZ$1001,$A88,col_s5))&gt;0))+IF(col_s6=0,0,--(LEN(INDEX('Paste Export'!$A$2:$BZ$1001,$A88,col_s6))&gt;0))+IF(col_s7=0,0,--(LEN(INDEX('Paste Export'!$A$2:$BZ$1001,$A88,col_s7))&gt;0))+IF(col_s8=0,0,--(LEN(INDEX('Paste Export'!$A$2:$BZ$1001,$A88,col_s8))&gt;0)))</f>
        <v/>
      </c>
      <c r="I88" s="25" t="str">
        <f t="shared" si="10"/>
        <v/>
      </c>
      <c r="J88" s="25" t="str">
        <f t="shared" si="11"/>
        <v/>
      </c>
      <c r="K88" s="24" t="str">
        <f t="shared" si="12"/>
        <v/>
      </c>
      <c r="L88" s="24" t="str">
        <f t="shared" si="13"/>
        <v/>
      </c>
    </row>
    <row r="89" spans="1:12" x14ac:dyDescent="0.25">
      <c r="A89" s="24">
        <f t="shared" si="7"/>
        <v>88</v>
      </c>
      <c r="B89" s="25" t="str">
        <f>IF($A89&gt;nrows,"",IF(col_user=0,"",INDEX('Paste Export'!$A$2:$BZ$1001,$A89,col_user)))</f>
        <v/>
      </c>
      <c r="C89" s="24" t="str">
        <f>IF($A89&gt;nrows,"",IF(col_days=0,0,N(INDEX('Paste Export'!$A$2:$BZ$1001,$A89,col_days))))</f>
        <v/>
      </c>
      <c r="D89" s="24" t="str">
        <f>IF($A89&gt;nrows,"",IF(col_prompts=0,0,N(INDEX('Paste Export'!$A$2:$BZ$1001,$A89,col_prompts))))</f>
        <v/>
      </c>
      <c r="E89" s="24" t="str">
        <f>IF($A89&gt;nrows,"",IF(col_web=0,0,N(INDEX('Paste Export'!$A$2:$BZ$1001,$A89,col_web))))</f>
        <v/>
      </c>
      <c r="F89" s="26" t="str">
        <f t="shared" si="8"/>
        <v/>
      </c>
      <c r="G89" s="27" t="str">
        <f t="shared" si="9"/>
        <v/>
      </c>
      <c r="H89" s="24" t="str">
        <f>IF($A89&gt;nrows,"",IF(col_s1=0,0,--(LEN(INDEX('Paste Export'!$A$2:$BZ$1001,$A89,col_s1))&gt;0))+IF(col_s2=0,0,--(LEN(INDEX('Paste Export'!$A$2:$BZ$1001,$A89,col_s2))&gt;0))+IF(col_s3=0,0,--(LEN(INDEX('Paste Export'!$A$2:$BZ$1001,$A89,col_s3))&gt;0))+IF(col_s4=0,0,--(LEN(INDEX('Paste Export'!$A$2:$BZ$1001,$A89,col_s4))&gt;0))+IF(col_s5=0,0,--(LEN(INDEX('Paste Export'!$A$2:$BZ$1001,$A89,col_s5))&gt;0))+IF(col_s6=0,0,--(LEN(INDEX('Paste Export'!$A$2:$BZ$1001,$A89,col_s6))&gt;0))+IF(col_s7=0,0,--(LEN(INDEX('Paste Export'!$A$2:$BZ$1001,$A89,col_s7))&gt;0))+IF(col_s8=0,0,--(LEN(INDEX('Paste Export'!$A$2:$BZ$1001,$A89,col_s8))&gt;0)))</f>
        <v/>
      </c>
      <c r="I89" s="25" t="str">
        <f t="shared" si="10"/>
        <v/>
      </c>
      <c r="J89" s="25" t="str">
        <f t="shared" si="11"/>
        <v/>
      </c>
      <c r="K89" s="24" t="str">
        <f t="shared" si="12"/>
        <v/>
      </c>
      <c r="L89" s="24" t="str">
        <f t="shared" si="13"/>
        <v/>
      </c>
    </row>
    <row r="90" spans="1:12" x14ac:dyDescent="0.25">
      <c r="A90" s="24">
        <f t="shared" si="7"/>
        <v>89</v>
      </c>
      <c r="B90" s="25" t="str">
        <f>IF($A90&gt;nrows,"",IF(col_user=0,"",INDEX('Paste Export'!$A$2:$BZ$1001,$A90,col_user)))</f>
        <v/>
      </c>
      <c r="C90" s="24" t="str">
        <f>IF($A90&gt;nrows,"",IF(col_days=0,0,N(INDEX('Paste Export'!$A$2:$BZ$1001,$A90,col_days))))</f>
        <v/>
      </c>
      <c r="D90" s="24" t="str">
        <f>IF($A90&gt;nrows,"",IF(col_prompts=0,0,N(INDEX('Paste Export'!$A$2:$BZ$1001,$A90,col_prompts))))</f>
        <v/>
      </c>
      <c r="E90" s="24" t="str">
        <f>IF($A90&gt;nrows,"",IF(col_web=0,0,N(INDEX('Paste Export'!$A$2:$BZ$1001,$A90,col_web))))</f>
        <v/>
      </c>
      <c r="F90" s="26" t="str">
        <f t="shared" si="8"/>
        <v/>
      </c>
      <c r="G90" s="27" t="str">
        <f t="shared" si="9"/>
        <v/>
      </c>
      <c r="H90" s="24" t="str">
        <f>IF($A90&gt;nrows,"",IF(col_s1=0,0,--(LEN(INDEX('Paste Export'!$A$2:$BZ$1001,$A90,col_s1))&gt;0))+IF(col_s2=0,0,--(LEN(INDEX('Paste Export'!$A$2:$BZ$1001,$A90,col_s2))&gt;0))+IF(col_s3=0,0,--(LEN(INDEX('Paste Export'!$A$2:$BZ$1001,$A90,col_s3))&gt;0))+IF(col_s4=0,0,--(LEN(INDEX('Paste Export'!$A$2:$BZ$1001,$A90,col_s4))&gt;0))+IF(col_s5=0,0,--(LEN(INDEX('Paste Export'!$A$2:$BZ$1001,$A90,col_s5))&gt;0))+IF(col_s6=0,0,--(LEN(INDEX('Paste Export'!$A$2:$BZ$1001,$A90,col_s6))&gt;0))+IF(col_s7=0,0,--(LEN(INDEX('Paste Export'!$A$2:$BZ$1001,$A90,col_s7))&gt;0))+IF(col_s8=0,0,--(LEN(INDEX('Paste Export'!$A$2:$BZ$1001,$A90,col_s8))&gt;0)))</f>
        <v/>
      </c>
      <c r="I90" s="25" t="str">
        <f t="shared" si="10"/>
        <v/>
      </c>
      <c r="J90" s="25" t="str">
        <f t="shared" si="11"/>
        <v/>
      </c>
      <c r="K90" s="24" t="str">
        <f t="shared" si="12"/>
        <v/>
      </c>
      <c r="L90" s="24" t="str">
        <f t="shared" si="13"/>
        <v/>
      </c>
    </row>
    <row r="91" spans="1:12" x14ac:dyDescent="0.25">
      <c r="A91" s="24">
        <f t="shared" si="7"/>
        <v>90</v>
      </c>
      <c r="B91" s="25" t="str">
        <f>IF($A91&gt;nrows,"",IF(col_user=0,"",INDEX('Paste Export'!$A$2:$BZ$1001,$A91,col_user)))</f>
        <v/>
      </c>
      <c r="C91" s="24" t="str">
        <f>IF($A91&gt;nrows,"",IF(col_days=0,0,N(INDEX('Paste Export'!$A$2:$BZ$1001,$A91,col_days))))</f>
        <v/>
      </c>
      <c r="D91" s="24" t="str">
        <f>IF($A91&gt;nrows,"",IF(col_prompts=0,0,N(INDEX('Paste Export'!$A$2:$BZ$1001,$A91,col_prompts))))</f>
        <v/>
      </c>
      <c r="E91" s="24" t="str">
        <f>IF($A91&gt;nrows,"",IF(col_web=0,0,N(INDEX('Paste Export'!$A$2:$BZ$1001,$A91,col_web))))</f>
        <v/>
      </c>
      <c r="F91" s="26" t="str">
        <f t="shared" si="8"/>
        <v/>
      </c>
      <c r="G91" s="27" t="str">
        <f t="shared" si="9"/>
        <v/>
      </c>
      <c r="H91" s="24" t="str">
        <f>IF($A91&gt;nrows,"",IF(col_s1=0,0,--(LEN(INDEX('Paste Export'!$A$2:$BZ$1001,$A91,col_s1))&gt;0))+IF(col_s2=0,0,--(LEN(INDEX('Paste Export'!$A$2:$BZ$1001,$A91,col_s2))&gt;0))+IF(col_s3=0,0,--(LEN(INDEX('Paste Export'!$A$2:$BZ$1001,$A91,col_s3))&gt;0))+IF(col_s4=0,0,--(LEN(INDEX('Paste Export'!$A$2:$BZ$1001,$A91,col_s4))&gt;0))+IF(col_s5=0,0,--(LEN(INDEX('Paste Export'!$A$2:$BZ$1001,$A91,col_s5))&gt;0))+IF(col_s6=0,0,--(LEN(INDEX('Paste Export'!$A$2:$BZ$1001,$A91,col_s6))&gt;0))+IF(col_s7=0,0,--(LEN(INDEX('Paste Export'!$A$2:$BZ$1001,$A91,col_s7))&gt;0))+IF(col_s8=0,0,--(LEN(INDEX('Paste Export'!$A$2:$BZ$1001,$A91,col_s8))&gt;0)))</f>
        <v/>
      </c>
      <c r="I91" s="25" t="str">
        <f t="shared" si="10"/>
        <v/>
      </c>
      <c r="J91" s="25" t="str">
        <f t="shared" si="11"/>
        <v/>
      </c>
      <c r="K91" s="24" t="str">
        <f t="shared" si="12"/>
        <v/>
      </c>
      <c r="L91" s="24" t="str">
        <f t="shared" si="13"/>
        <v/>
      </c>
    </row>
    <row r="92" spans="1:12" x14ac:dyDescent="0.25">
      <c r="A92" s="24">
        <f t="shared" si="7"/>
        <v>91</v>
      </c>
      <c r="B92" s="25" t="str">
        <f>IF($A92&gt;nrows,"",IF(col_user=0,"",INDEX('Paste Export'!$A$2:$BZ$1001,$A92,col_user)))</f>
        <v/>
      </c>
      <c r="C92" s="24" t="str">
        <f>IF($A92&gt;nrows,"",IF(col_days=0,0,N(INDEX('Paste Export'!$A$2:$BZ$1001,$A92,col_days))))</f>
        <v/>
      </c>
      <c r="D92" s="24" t="str">
        <f>IF($A92&gt;nrows,"",IF(col_prompts=0,0,N(INDEX('Paste Export'!$A$2:$BZ$1001,$A92,col_prompts))))</f>
        <v/>
      </c>
      <c r="E92" s="24" t="str">
        <f>IF($A92&gt;nrows,"",IF(col_web=0,0,N(INDEX('Paste Export'!$A$2:$BZ$1001,$A92,col_web))))</f>
        <v/>
      </c>
      <c r="F92" s="26" t="str">
        <f t="shared" si="8"/>
        <v/>
      </c>
      <c r="G92" s="27" t="str">
        <f t="shared" si="9"/>
        <v/>
      </c>
      <c r="H92" s="24" t="str">
        <f>IF($A92&gt;nrows,"",IF(col_s1=0,0,--(LEN(INDEX('Paste Export'!$A$2:$BZ$1001,$A92,col_s1))&gt;0))+IF(col_s2=0,0,--(LEN(INDEX('Paste Export'!$A$2:$BZ$1001,$A92,col_s2))&gt;0))+IF(col_s3=0,0,--(LEN(INDEX('Paste Export'!$A$2:$BZ$1001,$A92,col_s3))&gt;0))+IF(col_s4=0,0,--(LEN(INDEX('Paste Export'!$A$2:$BZ$1001,$A92,col_s4))&gt;0))+IF(col_s5=0,0,--(LEN(INDEX('Paste Export'!$A$2:$BZ$1001,$A92,col_s5))&gt;0))+IF(col_s6=0,0,--(LEN(INDEX('Paste Export'!$A$2:$BZ$1001,$A92,col_s6))&gt;0))+IF(col_s7=0,0,--(LEN(INDEX('Paste Export'!$A$2:$BZ$1001,$A92,col_s7))&gt;0))+IF(col_s8=0,0,--(LEN(INDEX('Paste Export'!$A$2:$BZ$1001,$A92,col_s8))&gt;0)))</f>
        <v/>
      </c>
      <c r="I92" s="25" t="str">
        <f t="shared" si="10"/>
        <v/>
      </c>
      <c r="J92" s="25" t="str">
        <f t="shared" si="11"/>
        <v/>
      </c>
      <c r="K92" s="24" t="str">
        <f t="shared" si="12"/>
        <v/>
      </c>
      <c r="L92" s="24" t="str">
        <f t="shared" si="13"/>
        <v/>
      </c>
    </row>
    <row r="93" spans="1:12" x14ac:dyDescent="0.25">
      <c r="A93" s="24">
        <f t="shared" si="7"/>
        <v>92</v>
      </c>
      <c r="B93" s="25" t="str">
        <f>IF($A93&gt;nrows,"",IF(col_user=0,"",INDEX('Paste Export'!$A$2:$BZ$1001,$A93,col_user)))</f>
        <v/>
      </c>
      <c r="C93" s="24" t="str">
        <f>IF($A93&gt;nrows,"",IF(col_days=0,0,N(INDEX('Paste Export'!$A$2:$BZ$1001,$A93,col_days))))</f>
        <v/>
      </c>
      <c r="D93" s="24" t="str">
        <f>IF($A93&gt;nrows,"",IF(col_prompts=0,0,N(INDEX('Paste Export'!$A$2:$BZ$1001,$A93,col_prompts))))</f>
        <v/>
      </c>
      <c r="E93" s="24" t="str">
        <f>IF($A93&gt;nrows,"",IF(col_web=0,0,N(INDEX('Paste Export'!$A$2:$BZ$1001,$A93,col_web))))</f>
        <v/>
      </c>
      <c r="F93" s="26" t="str">
        <f t="shared" si="8"/>
        <v/>
      </c>
      <c r="G93" s="27" t="str">
        <f t="shared" si="9"/>
        <v/>
      </c>
      <c r="H93" s="24" t="str">
        <f>IF($A93&gt;nrows,"",IF(col_s1=0,0,--(LEN(INDEX('Paste Export'!$A$2:$BZ$1001,$A93,col_s1))&gt;0))+IF(col_s2=0,0,--(LEN(INDEX('Paste Export'!$A$2:$BZ$1001,$A93,col_s2))&gt;0))+IF(col_s3=0,0,--(LEN(INDEX('Paste Export'!$A$2:$BZ$1001,$A93,col_s3))&gt;0))+IF(col_s4=0,0,--(LEN(INDEX('Paste Export'!$A$2:$BZ$1001,$A93,col_s4))&gt;0))+IF(col_s5=0,0,--(LEN(INDEX('Paste Export'!$A$2:$BZ$1001,$A93,col_s5))&gt;0))+IF(col_s6=0,0,--(LEN(INDEX('Paste Export'!$A$2:$BZ$1001,$A93,col_s6))&gt;0))+IF(col_s7=0,0,--(LEN(INDEX('Paste Export'!$A$2:$BZ$1001,$A93,col_s7))&gt;0))+IF(col_s8=0,0,--(LEN(INDEX('Paste Export'!$A$2:$BZ$1001,$A93,col_s8))&gt;0)))</f>
        <v/>
      </c>
      <c r="I93" s="25" t="str">
        <f t="shared" si="10"/>
        <v/>
      </c>
      <c r="J93" s="25" t="str">
        <f t="shared" si="11"/>
        <v/>
      </c>
      <c r="K93" s="24" t="str">
        <f t="shared" si="12"/>
        <v/>
      </c>
      <c r="L93" s="24" t="str">
        <f t="shared" si="13"/>
        <v/>
      </c>
    </row>
    <row r="94" spans="1:12" x14ac:dyDescent="0.25">
      <c r="A94" s="24">
        <f t="shared" si="7"/>
        <v>93</v>
      </c>
      <c r="B94" s="25" t="str">
        <f>IF($A94&gt;nrows,"",IF(col_user=0,"",INDEX('Paste Export'!$A$2:$BZ$1001,$A94,col_user)))</f>
        <v/>
      </c>
      <c r="C94" s="24" t="str">
        <f>IF($A94&gt;nrows,"",IF(col_days=0,0,N(INDEX('Paste Export'!$A$2:$BZ$1001,$A94,col_days))))</f>
        <v/>
      </c>
      <c r="D94" s="24" t="str">
        <f>IF($A94&gt;nrows,"",IF(col_prompts=0,0,N(INDEX('Paste Export'!$A$2:$BZ$1001,$A94,col_prompts))))</f>
        <v/>
      </c>
      <c r="E94" s="24" t="str">
        <f>IF($A94&gt;nrows,"",IF(col_web=0,0,N(INDEX('Paste Export'!$A$2:$BZ$1001,$A94,col_web))))</f>
        <v/>
      </c>
      <c r="F94" s="26" t="str">
        <f t="shared" si="8"/>
        <v/>
      </c>
      <c r="G94" s="27" t="str">
        <f t="shared" si="9"/>
        <v/>
      </c>
      <c r="H94" s="24" t="str">
        <f>IF($A94&gt;nrows,"",IF(col_s1=0,0,--(LEN(INDEX('Paste Export'!$A$2:$BZ$1001,$A94,col_s1))&gt;0))+IF(col_s2=0,0,--(LEN(INDEX('Paste Export'!$A$2:$BZ$1001,$A94,col_s2))&gt;0))+IF(col_s3=0,0,--(LEN(INDEX('Paste Export'!$A$2:$BZ$1001,$A94,col_s3))&gt;0))+IF(col_s4=0,0,--(LEN(INDEX('Paste Export'!$A$2:$BZ$1001,$A94,col_s4))&gt;0))+IF(col_s5=0,0,--(LEN(INDEX('Paste Export'!$A$2:$BZ$1001,$A94,col_s5))&gt;0))+IF(col_s6=0,0,--(LEN(INDEX('Paste Export'!$A$2:$BZ$1001,$A94,col_s6))&gt;0))+IF(col_s7=0,0,--(LEN(INDEX('Paste Export'!$A$2:$BZ$1001,$A94,col_s7))&gt;0))+IF(col_s8=0,0,--(LEN(INDEX('Paste Export'!$A$2:$BZ$1001,$A94,col_s8))&gt;0)))</f>
        <v/>
      </c>
      <c r="I94" s="25" t="str">
        <f t="shared" si="10"/>
        <v/>
      </c>
      <c r="J94" s="25" t="str">
        <f t="shared" si="11"/>
        <v/>
      </c>
      <c r="K94" s="24" t="str">
        <f t="shared" si="12"/>
        <v/>
      </c>
      <c r="L94" s="24" t="str">
        <f t="shared" si="13"/>
        <v/>
      </c>
    </row>
    <row r="95" spans="1:12" x14ac:dyDescent="0.25">
      <c r="A95" s="24">
        <f t="shared" si="7"/>
        <v>94</v>
      </c>
      <c r="B95" s="25" t="str">
        <f>IF($A95&gt;nrows,"",IF(col_user=0,"",INDEX('Paste Export'!$A$2:$BZ$1001,$A95,col_user)))</f>
        <v/>
      </c>
      <c r="C95" s="24" t="str">
        <f>IF($A95&gt;nrows,"",IF(col_days=0,0,N(INDEX('Paste Export'!$A$2:$BZ$1001,$A95,col_days))))</f>
        <v/>
      </c>
      <c r="D95" s="24" t="str">
        <f>IF($A95&gt;nrows,"",IF(col_prompts=0,0,N(INDEX('Paste Export'!$A$2:$BZ$1001,$A95,col_prompts))))</f>
        <v/>
      </c>
      <c r="E95" s="24" t="str">
        <f>IF($A95&gt;nrows,"",IF(col_web=0,0,N(INDEX('Paste Export'!$A$2:$BZ$1001,$A95,col_web))))</f>
        <v/>
      </c>
      <c r="F95" s="26" t="str">
        <f t="shared" si="8"/>
        <v/>
      </c>
      <c r="G95" s="27" t="str">
        <f t="shared" si="9"/>
        <v/>
      </c>
      <c r="H95" s="24" t="str">
        <f>IF($A95&gt;nrows,"",IF(col_s1=0,0,--(LEN(INDEX('Paste Export'!$A$2:$BZ$1001,$A95,col_s1))&gt;0))+IF(col_s2=0,0,--(LEN(INDEX('Paste Export'!$A$2:$BZ$1001,$A95,col_s2))&gt;0))+IF(col_s3=0,0,--(LEN(INDEX('Paste Export'!$A$2:$BZ$1001,$A95,col_s3))&gt;0))+IF(col_s4=0,0,--(LEN(INDEX('Paste Export'!$A$2:$BZ$1001,$A95,col_s4))&gt;0))+IF(col_s5=0,0,--(LEN(INDEX('Paste Export'!$A$2:$BZ$1001,$A95,col_s5))&gt;0))+IF(col_s6=0,0,--(LEN(INDEX('Paste Export'!$A$2:$BZ$1001,$A95,col_s6))&gt;0))+IF(col_s7=0,0,--(LEN(INDEX('Paste Export'!$A$2:$BZ$1001,$A95,col_s7))&gt;0))+IF(col_s8=0,0,--(LEN(INDEX('Paste Export'!$A$2:$BZ$1001,$A95,col_s8))&gt;0)))</f>
        <v/>
      </c>
      <c r="I95" s="25" t="str">
        <f t="shared" si="10"/>
        <v/>
      </c>
      <c r="J95" s="25" t="str">
        <f t="shared" si="11"/>
        <v/>
      </c>
      <c r="K95" s="24" t="str">
        <f t="shared" si="12"/>
        <v/>
      </c>
      <c r="L95" s="24" t="str">
        <f t="shared" si="13"/>
        <v/>
      </c>
    </row>
    <row r="96" spans="1:12" x14ac:dyDescent="0.25">
      <c r="A96" s="24">
        <f t="shared" si="7"/>
        <v>95</v>
      </c>
      <c r="B96" s="25" t="str">
        <f>IF($A96&gt;nrows,"",IF(col_user=0,"",INDEX('Paste Export'!$A$2:$BZ$1001,$A96,col_user)))</f>
        <v/>
      </c>
      <c r="C96" s="24" t="str">
        <f>IF($A96&gt;nrows,"",IF(col_days=0,0,N(INDEX('Paste Export'!$A$2:$BZ$1001,$A96,col_days))))</f>
        <v/>
      </c>
      <c r="D96" s="24" t="str">
        <f>IF($A96&gt;nrows,"",IF(col_prompts=0,0,N(INDEX('Paste Export'!$A$2:$BZ$1001,$A96,col_prompts))))</f>
        <v/>
      </c>
      <c r="E96" s="24" t="str">
        <f>IF($A96&gt;nrows,"",IF(col_web=0,0,N(INDEX('Paste Export'!$A$2:$BZ$1001,$A96,col_web))))</f>
        <v/>
      </c>
      <c r="F96" s="26" t="str">
        <f t="shared" si="8"/>
        <v/>
      </c>
      <c r="G96" s="27" t="str">
        <f t="shared" si="9"/>
        <v/>
      </c>
      <c r="H96" s="24" t="str">
        <f>IF($A96&gt;nrows,"",IF(col_s1=0,0,--(LEN(INDEX('Paste Export'!$A$2:$BZ$1001,$A96,col_s1))&gt;0))+IF(col_s2=0,0,--(LEN(INDEX('Paste Export'!$A$2:$BZ$1001,$A96,col_s2))&gt;0))+IF(col_s3=0,0,--(LEN(INDEX('Paste Export'!$A$2:$BZ$1001,$A96,col_s3))&gt;0))+IF(col_s4=0,0,--(LEN(INDEX('Paste Export'!$A$2:$BZ$1001,$A96,col_s4))&gt;0))+IF(col_s5=0,0,--(LEN(INDEX('Paste Export'!$A$2:$BZ$1001,$A96,col_s5))&gt;0))+IF(col_s6=0,0,--(LEN(INDEX('Paste Export'!$A$2:$BZ$1001,$A96,col_s6))&gt;0))+IF(col_s7=0,0,--(LEN(INDEX('Paste Export'!$A$2:$BZ$1001,$A96,col_s7))&gt;0))+IF(col_s8=0,0,--(LEN(INDEX('Paste Export'!$A$2:$BZ$1001,$A96,col_s8))&gt;0)))</f>
        <v/>
      </c>
      <c r="I96" s="25" t="str">
        <f t="shared" si="10"/>
        <v/>
      </c>
      <c r="J96" s="25" t="str">
        <f t="shared" si="11"/>
        <v/>
      </c>
      <c r="K96" s="24" t="str">
        <f t="shared" si="12"/>
        <v/>
      </c>
      <c r="L96" s="24" t="str">
        <f t="shared" si="13"/>
        <v/>
      </c>
    </row>
    <row r="97" spans="1:12" x14ac:dyDescent="0.25">
      <c r="A97" s="24">
        <f t="shared" si="7"/>
        <v>96</v>
      </c>
      <c r="B97" s="25" t="str">
        <f>IF($A97&gt;nrows,"",IF(col_user=0,"",INDEX('Paste Export'!$A$2:$BZ$1001,$A97,col_user)))</f>
        <v/>
      </c>
      <c r="C97" s="24" t="str">
        <f>IF($A97&gt;nrows,"",IF(col_days=0,0,N(INDEX('Paste Export'!$A$2:$BZ$1001,$A97,col_days))))</f>
        <v/>
      </c>
      <c r="D97" s="24" t="str">
        <f>IF($A97&gt;nrows,"",IF(col_prompts=0,0,N(INDEX('Paste Export'!$A$2:$BZ$1001,$A97,col_prompts))))</f>
        <v/>
      </c>
      <c r="E97" s="24" t="str">
        <f>IF($A97&gt;nrows,"",IF(col_web=0,0,N(INDEX('Paste Export'!$A$2:$BZ$1001,$A97,col_web))))</f>
        <v/>
      </c>
      <c r="F97" s="26" t="str">
        <f t="shared" si="8"/>
        <v/>
      </c>
      <c r="G97" s="27" t="str">
        <f t="shared" si="9"/>
        <v/>
      </c>
      <c r="H97" s="24" t="str">
        <f>IF($A97&gt;nrows,"",IF(col_s1=0,0,--(LEN(INDEX('Paste Export'!$A$2:$BZ$1001,$A97,col_s1))&gt;0))+IF(col_s2=0,0,--(LEN(INDEX('Paste Export'!$A$2:$BZ$1001,$A97,col_s2))&gt;0))+IF(col_s3=0,0,--(LEN(INDEX('Paste Export'!$A$2:$BZ$1001,$A97,col_s3))&gt;0))+IF(col_s4=0,0,--(LEN(INDEX('Paste Export'!$A$2:$BZ$1001,$A97,col_s4))&gt;0))+IF(col_s5=0,0,--(LEN(INDEX('Paste Export'!$A$2:$BZ$1001,$A97,col_s5))&gt;0))+IF(col_s6=0,0,--(LEN(INDEX('Paste Export'!$A$2:$BZ$1001,$A97,col_s6))&gt;0))+IF(col_s7=0,0,--(LEN(INDEX('Paste Export'!$A$2:$BZ$1001,$A97,col_s7))&gt;0))+IF(col_s8=0,0,--(LEN(INDEX('Paste Export'!$A$2:$BZ$1001,$A97,col_s8))&gt;0)))</f>
        <v/>
      </c>
      <c r="I97" s="25" t="str">
        <f t="shared" si="10"/>
        <v/>
      </c>
      <c r="J97" s="25" t="str">
        <f t="shared" si="11"/>
        <v/>
      </c>
      <c r="K97" s="24" t="str">
        <f t="shared" si="12"/>
        <v/>
      </c>
      <c r="L97" s="24" t="str">
        <f t="shared" si="13"/>
        <v/>
      </c>
    </row>
    <row r="98" spans="1:12" x14ac:dyDescent="0.25">
      <c r="A98" s="24">
        <f t="shared" si="7"/>
        <v>97</v>
      </c>
      <c r="B98" s="25" t="str">
        <f>IF($A98&gt;nrows,"",IF(col_user=0,"",INDEX('Paste Export'!$A$2:$BZ$1001,$A98,col_user)))</f>
        <v/>
      </c>
      <c r="C98" s="24" t="str">
        <f>IF($A98&gt;nrows,"",IF(col_days=0,0,N(INDEX('Paste Export'!$A$2:$BZ$1001,$A98,col_days))))</f>
        <v/>
      </c>
      <c r="D98" s="24" t="str">
        <f>IF($A98&gt;nrows,"",IF(col_prompts=0,0,N(INDEX('Paste Export'!$A$2:$BZ$1001,$A98,col_prompts))))</f>
        <v/>
      </c>
      <c r="E98" s="24" t="str">
        <f>IF($A98&gt;nrows,"",IF(col_web=0,0,N(INDEX('Paste Export'!$A$2:$BZ$1001,$A98,col_web))))</f>
        <v/>
      </c>
      <c r="F98" s="26" t="str">
        <f t="shared" si="8"/>
        <v/>
      </c>
      <c r="G98" s="27" t="str">
        <f t="shared" si="9"/>
        <v/>
      </c>
      <c r="H98" s="24" t="str">
        <f>IF($A98&gt;nrows,"",IF(col_s1=0,0,--(LEN(INDEX('Paste Export'!$A$2:$BZ$1001,$A98,col_s1))&gt;0))+IF(col_s2=0,0,--(LEN(INDEX('Paste Export'!$A$2:$BZ$1001,$A98,col_s2))&gt;0))+IF(col_s3=0,0,--(LEN(INDEX('Paste Export'!$A$2:$BZ$1001,$A98,col_s3))&gt;0))+IF(col_s4=0,0,--(LEN(INDEX('Paste Export'!$A$2:$BZ$1001,$A98,col_s4))&gt;0))+IF(col_s5=0,0,--(LEN(INDEX('Paste Export'!$A$2:$BZ$1001,$A98,col_s5))&gt;0))+IF(col_s6=0,0,--(LEN(INDEX('Paste Export'!$A$2:$BZ$1001,$A98,col_s6))&gt;0))+IF(col_s7=0,0,--(LEN(INDEX('Paste Export'!$A$2:$BZ$1001,$A98,col_s7))&gt;0))+IF(col_s8=0,0,--(LEN(INDEX('Paste Export'!$A$2:$BZ$1001,$A98,col_s8))&gt;0)))</f>
        <v/>
      </c>
      <c r="I98" s="25" t="str">
        <f t="shared" si="10"/>
        <v/>
      </c>
      <c r="J98" s="25" t="str">
        <f t="shared" si="11"/>
        <v/>
      </c>
      <c r="K98" s="24" t="str">
        <f t="shared" si="12"/>
        <v/>
      </c>
      <c r="L98" s="24" t="str">
        <f t="shared" si="13"/>
        <v/>
      </c>
    </row>
    <row r="99" spans="1:12" x14ac:dyDescent="0.25">
      <c r="A99" s="24">
        <f t="shared" si="7"/>
        <v>98</v>
      </c>
      <c r="B99" s="25" t="str">
        <f>IF($A99&gt;nrows,"",IF(col_user=0,"",INDEX('Paste Export'!$A$2:$BZ$1001,$A99,col_user)))</f>
        <v/>
      </c>
      <c r="C99" s="24" t="str">
        <f>IF($A99&gt;nrows,"",IF(col_days=0,0,N(INDEX('Paste Export'!$A$2:$BZ$1001,$A99,col_days))))</f>
        <v/>
      </c>
      <c r="D99" s="24" t="str">
        <f>IF($A99&gt;nrows,"",IF(col_prompts=0,0,N(INDEX('Paste Export'!$A$2:$BZ$1001,$A99,col_prompts))))</f>
        <v/>
      </c>
      <c r="E99" s="24" t="str">
        <f>IF($A99&gt;nrows,"",IF(col_web=0,0,N(INDEX('Paste Export'!$A$2:$BZ$1001,$A99,col_web))))</f>
        <v/>
      </c>
      <c r="F99" s="26" t="str">
        <f t="shared" si="8"/>
        <v/>
      </c>
      <c r="G99" s="27" t="str">
        <f t="shared" si="9"/>
        <v/>
      </c>
      <c r="H99" s="24" t="str">
        <f>IF($A99&gt;nrows,"",IF(col_s1=0,0,--(LEN(INDEX('Paste Export'!$A$2:$BZ$1001,$A99,col_s1))&gt;0))+IF(col_s2=0,0,--(LEN(INDEX('Paste Export'!$A$2:$BZ$1001,$A99,col_s2))&gt;0))+IF(col_s3=0,0,--(LEN(INDEX('Paste Export'!$A$2:$BZ$1001,$A99,col_s3))&gt;0))+IF(col_s4=0,0,--(LEN(INDEX('Paste Export'!$A$2:$BZ$1001,$A99,col_s4))&gt;0))+IF(col_s5=0,0,--(LEN(INDEX('Paste Export'!$A$2:$BZ$1001,$A99,col_s5))&gt;0))+IF(col_s6=0,0,--(LEN(INDEX('Paste Export'!$A$2:$BZ$1001,$A99,col_s6))&gt;0))+IF(col_s7=0,0,--(LEN(INDEX('Paste Export'!$A$2:$BZ$1001,$A99,col_s7))&gt;0))+IF(col_s8=0,0,--(LEN(INDEX('Paste Export'!$A$2:$BZ$1001,$A99,col_s8))&gt;0)))</f>
        <v/>
      </c>
      <c r="I99" s="25" t="str">
        <f t="shared" si="10"/>
        <v/>
      </c>
      <c r="J99" s="25" t="str">
        <f t="shared" si="11"/>
        <v/>
      </c>
      <c r="K99" s="24" t="str">
        <f t="shared" si="12"/>
        <v/>
      </c>
      <c r="L99" s="24" t="str">
        <f t="shared" si="13"/>
        <v/>
      </c>
    </row>
    <row r="100" spans="1:12" x14ac:dyDescent="0.25">
      <c r="A100" s="24">
        <f t="shared" si="7"/>
        <v>99</v>
      </c>
      <c r="B100" s="25" t="str">
        <f>IF($A100&gt;nrows,"",IF(col_user=0,"",INDEX('Paste Export'!$A$2:$BZ$1001,$A100,col_user)))</f>
        <v/>
      </c>
      <c r="C100" s="24" t="str">
        <f>IF($A100&gt;nrows,"",IF(col_days=0,0,N(INDEX('Paste Export'!$A$2:$BZ$1001,$A100,col_days))))</f>
        <v/>
      </c>
      <c r="D100" s="24" t="str">
        <f>IF($A100&gt;nrows,"",IF(col_prompts=0,0,N(INDEX('Paste Export'!$A$2:$BZ$1001,$A100,col_prompts))))</f>
        <v/>
      </c>
      <c r="E100" s="24" t="str">
        <f>IF($A100&gt;nrows,"",IF(col_web=0,0,N(INDEX('Paste Export'!$A$2:$BZ$1001,$A100,col_web))))</f>
        <v/>
      </c>
      <c r="F100" s="26" t="str">
        <f t="shared" si="8"/>
        <v/>
      </c>
      <c r="G100" s="27" t="str">
        <f t="shared" si="9"/>
        <v/>
      </c>
      <c r="H100" s="24" t="str">
        <f>IF($A100&gt;nrows,"",IF(col_s1=0,0,--(LEN(INDEX('Paste Export'!$A$2:$BZ$1001,$A100,col_s1))&gt;0))+IF(col_s2=0,0,--(LEN(INDEX('Paste Export'!$A$2:$BZ$1001,$A100,col_s2))&gt;0))+IF(col_s3=0,0,--(LEN(INDEX('Paste Export'!$A$2:$BZ$1001,$A100,col_s3))&gt;0))+IF(col_s4=0,0,--(LEN(INDEX('Paste Export'!$A$2:$BZ$1001,$A100,col_s4))&gt;0))+IF(col_s5=0,0,--(LEN(INDEX('Paste Export'!$A$2:$BZ$1001,$A100,col_s5))&gt;0))+IF(col_s6=0,0,--(LEN(INDEX('Paste Export'!$A$2:$BZ$1001,$A100,col_s6))&gt;0))+IF(col_s7=0,0,--(LEN(INDEX('Paste Export'!$A$2:$BZ$1001,$A100,col_s7))&gt;0))+IF(col_s8=0,0,--(LEN(INDEX('Paste Export'!$A$2:$BZ$1001,$A100,col_s8))&gt;0)))</f>
        <v/>
      </c>
      <c r="I100" s="25" t="str">
        <f t="shared" si="10"/>
        <v/>
      </c>
      <c r="J100" s="25" t="str">
        <f t="shared" si="11"/>
        <v/>
      </c>
      <c r="K100" s="24" t="str">
        <f t="shared" si="12"/>
        <v/>
      </c>
      <c r="L100" s="24" t="str">
        <f t="shared" si="13"/>
        <v/>
      </c>
    </row>
    <row r="101" spans="1:12" x14ac:dyDescent="0.25">
      <c r="A101" s="24">
        <f t="shared" si="7"/>
        <v>100</v>
      </c>
      <c r="B101" s="25" t="str">
        <f>IF($A101&gt;nrows,"",IF(col_user=0,"",INDEX('Paste Export'!$A$2:$BZ$1001,$A101,col_user)))</f>
        <v/>
      </c>
      <c r="C101" s="24" t="str">
        <f>IF($A101&gt;nrows,"",IF(col_days=0,0,N(INDEX('Paste Export'!$A$2:$BZ$1001,$A101,col_days))))</f>
        <v/>
      </c>
      <c r="D101" s="24" t="str">
        <f>IF($A101&gt;nrows,"",IF(col_prompts=0,0,N(INDEX('Paste Export'!$A$2:$BZ$1001,$A101,col_prompts))))</f>
        <v/>
      </c>
      <c r="E101" s="24" t="str">
        <f>IF($A101&gt;nrows,"",IF(col_web=0,0,N(INDEX('Paste Export'!$A$2:$BZ$1001,$A101,col_web))))</f>
        <v/>
      </c>
      <c r="F101" s="26" t="str">
        <f t="shared" si="8"/>
        <v/>
      </c>
      <c r="G101" s="27" t="str">
        <f t="shared" si="9"/>
        <v/>
      </c>
      <c r="H101" s="24" t="str">
        <f>IF($A101&gt;nrows,"",IF(col_s1=0,0,--(LEN(INDEX('Paste Export'!$A$2:$BZ$1001,$A101,col_s1))&gt;0))+IF(col_s2=0,0,--(LEN(INDEX('Paste Export'!$A$2:$BZ$1001,$A101,col_s2))&gt;0))+IF(col_s3=0,0,--(LEN(INDEX('Paste Export'!$A$2:$BZ$1001,$A101,col_s3))&gt;0))+IF(col_s4=0,0,--(LEN(INDEX('Paste Export'!$A$2:$BZ$1001,$A101,col_s4))&gt;0))+IF(col_s5=0,0,--(LEN(INDEX('Paste Export'!$A$2:$BZ$1001,$A101,col_s5))&gt;0))+IF(col_s6=0,0,--(LEN(INDEX('Paste Export'!$A$2:$BZ$1001,$A101,col_s6))&gt;0))+IF(col_s7=0,0,--(LEN(INDEX('Paste Export'!$A$2:$BZ$1001,$A101,col_s7))&gt;0))+IF(col_s8=0,0,--(LEN(INDEX('Paste Export'!$A$2:$BZ$1001,$A101,col_s8))&gt;0)))</f>
        <v/>
      </c>
      <c r="I101" s="25" t="str">
        <f t="shared" si="10"/>
        <v/>
      </c>
      <c r="J101" s="25" t="str">
        <f t="shared" si="11"/>
        <v/>
      </c>
      <c r="K101" s="24" t="str">
        <f t="shared" si="12"/>
        <v/>
      </c>
      <c r="L101" s="24" t="str">
        <f t="shared" si="13"/>
        <v/>
      </c>
    </row>
    <row r="102" spans="1:12" x14ac:dyDescent="0.25">
      <c r="A102" s="24">
        <f t="shared" si="7"/>
        <v>101</v>
      </c>
      <c r="B102" s="25" t="str">
        <f>IF($A102&gt;nrows,"",IF(col_user=0,"",INDEX('Paste Export'!$A$2:$BZ$1001,$A102,col_user)))</f>
        <v/>
      </c>
      <c r="C102" s="24" t="str">
        <f>IF($A102&gt;nrows,"",IF(col_days=0,0,N(INDEX('Paste Export'!$A$2:$BZ$1001,$A102,col_days))))</f>
        <v/>
      </c>
      <c r="D102" s="24" t="str">
        <f>IF($A102&gt;nrows,"",IF(col_prompts=0,0,N(INDEX('Paste Export'!$A$2:$BZ$1001,$A102,col_prompts))))</f>
        <v/>
      </c>
      <c r="E102" s="24" t="str">
        <f>IF($A102&gt;nrows,"",IF(col_web=0,0,N(INDEX('Paste Export'!$A$2:$BZ$1001,$A102,col_web))))</f>
        <v/>
      </c>
      <c r="F102" s="26" t="str">
        <f t="shared" si="8"/>
        <v/>
      </c>
      <c r="G102" s="27" t="str">
        <f t="shared" si="9"/>
        <v/>
      </c>
      <c r="H102" s="24" t="str">
        <f>IF($A102&gt;nrows,"",IF(col_s1=0,0,--(LEN(INDEX('Paste Export'!$A$2:$BZ$1001,$A102,col_s1))&gt;0))+IF(col_s2=0,0,--(LEN(INDEX('Paste Export'!$A$2:$BZ$1001,$A102,col_s2))&gt;0))+IF(col_s3=0,0,--(LEN(INDEX('Paste Export'!$A$2:$BZ$1001,$A102,col_s3))&gt;0))+IF(col_s4=0,0,--(LEN(INDEX('Paste Export'!$A$2:$BZ$1001,$A102,col_s4))&gt;0))+IF(col_s5=0,0,--(LEN(INDEX('Paste Export'!$A$2:$BZ$1001,$A102,col_s5))&gt;0))+IF(col_s6=0,0,--(LEN(INDEX('Paste Export'!$A$2:$BZ$1001,$A102,col_s6))&gt;0))+IF(col_s7=0,0,--(LEN(INDEX('Paste Export'!$A$2:$BZ$1001,$A102,col_s7))&gt;0))+IF(col_s8=0,0,--(LEN(INDEX('Paste Export'!$A$2:$BZ$1001,$A102,col_s8))&gt;0)))</f>
        <v/>
      </c>
      <c r="I102" s="25" t="str">
        <f t="shared" si="10"/>
        <v/>
      </c>
      <c r="J102" s="25" t="str">
        <f t="shared" si="11"/>
        <v/>
      </c>
      <c r="K102" s="24" t="str">
        <f t="shared" si="12"/>
        <v/>
      </c>
      <c r="L102" s="24" t="str">
        <f t="shared" si="13"/>
        <v/>
      </c>
    </row>
    <row r="103" spans="1:12" x14ac:dyDescent="0.25">
      <c r="A103" s="24">
        <f t="shared" si="7"/>
        <v>102</v>
      </c>
      <c r="B103" s="25" t="str">
        <f>IF($A103&gt;nrows,"",IF(col_user=0,"",INDEX('Paste Export'!$A$2:$BZ$1001,$A103,col_user)))</f>
        <v/>
      </c>
      <c r="C103" s="24" t="str">
        <f>IF($A103&gt;nrows,"",IF(col_days=0,0,N(INDEX('Paste Export'!$A$2:$BZ$1001,$A103,col_days))))</f>
        <v/>
      </c>
      <c r="D103" s="24" t="str">
        <f>IF($A103&gt;nrows,"",IF(col_prompts=0,0,N(INDEX('Paste Export'!$A$2:$BZ$1001,$A103,col_prompts))))</f>
        <v/>
      </c>
      <c r="E103" s="24" t="str">
        <f>IF($A103&gt;nrows,"",IF(col_web=0,0,N(INDEX('Paste Export'!$A$2:$BZ$1001,$A103,col_web))))</f>
        <v/>
      </c>
      <c r="F103" s="26" t="str">
        <f t="shared" si="8"/>
        <v/>
      </c>
      <c r="G103" s="27" t="str">
        <f t="shared" si="9"/>
        <v/>
      </c>
      <c r="H103" s="24" t="str">
        <f>IF($A103&gt;nrows,"",IF(col_s1=0,0,--(LEN(INDEX('Paste Export'!$A$2:$BZ$1001,$A103,col_s1))&gt;0))+IF(col_s2=0,0,--(LEN(INDEX('Paste Export'!$A$2:$BZ$1001,$A103,col_s2))&gt;0))+IF(col_s3=0,0,--(LEN(INDEX('Paste Export'!$A$2:$BZ$1001,$A103,col_s3))&gt;0))+IF(col_s4=0,0,--(LEN(INDEX('Paste Export'!$A$2:$BZ$1001,$A103,col_s4))&gt;0))+IF(col_s5=0,0,--(LEN(INDEX('Paste Export'!$A$2:$BZ$1001,$A103,col_s5))&gt;0))+IF(col_s6=0,0,--(LEN(INDEX('Paste Export'!$A$2:$BZ$1001,$A103,col_s6))&gt;0))+IF(col_s7=0,0,--(LEN(INDEX('Paste Export'!$A$2:$BZ$1001,$A103,col_s7))&gt;0))+IF(col_s8=0,0,--(LEN(INDEX('Paste Export'!$A$2:$BZ$1001,$A103,col_s8))&gt;0)))</f>
        <v/>
      </c>
      <c r="I103" s="25" t="str">
        <f t="shared" si="10"/>
        <v/>
      </c>
      <c r="J103" s="25" t="str">
        <f t="shared" si="11"/>
        <v/>
      </c>
      <c r="K103" s="24" t="str">
        <f t="shared" si="12"/>
        <v/>
      </c>
      <c r="L103" s="24" t="str">
        <f t="shared" si="13"/>
        <v/>
      </c>
    </row>
    <row r="104" spans="1:12" x14ac:dyDescent="0.25">
      <c r="A104" s="24">
        <f t="shared" si="7"/>
        <v>103</v>
      </c>
      <c r="B104" s="25" t="str">
        <f>IF($A104&gt;nrows,"",IF(col_user=0,"",INDEX('Paste Export'!$A$2:$BZ$1001,$A104,col_user)))</f>
        <v/>
      </c>
      <c r="C104" s="24" t="str">
        <f>IF($A104&gt;nrows,"",IF(col_days=0,0,N(INDEX('Paste Export'!$A$2:$BZ$1001,$A104,col_days))))</f>
        <v/>
      </c>
      <c r="D104" s="24" t="str">
        <f>IF($A104&gt;nrows,"",IF(col_prompts=0,0,N(INDEX('Paste Export'!$A$2:$BZ$1001,$A104,col_prompts))))</f>
        <v/>
      </c>
      <c r="E104" s="24" t="str">
        <f>IF($A104&gt;nrows,"",IF(col_web=0,0,N(INDEX('Paste Export'!$A$2:$BZ$1001,$A104,col_web))))</f>
        <v/>
      </c>
      <c r="F104" s="26" t="str">
        <f t="shared" si="8"/>
        <v/>
      </c>
      <c r="G104" s="27" t="str">
        <f t="shared" si="9"/>
        <v/>
      </c>
      <c r="H104" s="24" t="str">
        <f>IF($A104&gt;nrows,"",IF(col_s1=0,0,--(LEN(INDEX('Paste Export'!$A$2:$BZ$1001,$A104,col_s1))&gt;0))+IF(col_s2=0,0,--(LEN(INDEX('Paste Export'!$A$2:$BZ$1001,$A104,col_s2))&gt;0))+IF(col_s3=0,0,--(LEN(INDEX('Paste Export'!$A$2:$BZ$1001,$A104,col_s3))&gt;0))+IF(col_s4=0,0,--(LEN(INDEX('Paste Export'!$A$2:$BZ$1001,$A104,col_s4))&gt;0))+IF(col_s5=0,0,--(LEN(INDEX('Paste Export'!$A$2:$BZ$1001,$A104,col_s5))&gt;0))+IF(col_s6=0,0,--(LEN(INDEX('Paste Export'!$A$2:$BZ$1001,$A104,col_s6))&gt;0))+IF(col_s7=0,0,--(LEN(INDEX('Paste Export'!$A$2:$BZ$1001,$A104,col_s7))&gt;0))+IF(col_s8=0,0,--(LEN(INDEX('Paste Export'!$A$2:$BZ$1001,$A104,col_s8))&gt;0)))</f>
        <v/>
      </c>
      <c r="I104" s="25" t="str">
        <f t="shared" si="10"/>
        <v/>
      </c>
      <c r="J104" s="25" t="str">
        <f t="shared" si="11"/>
        <v/>
      </c>
      <c r="K104" s="24" t="str">
        <f t="shared" si="12"/>
        <v/>
      </c>
      <c r="L104" s="24" t="str">
        <f t="shared" si="13"/>
        <v/>
      </c>
    </row>
    <row r="105" spans="1:12" x14ac:dyDescent="0.25">
      <c r="A105" s="24">
        <f t="shared" si="7"/>
        <v>104</v>
      </c>
      <c r="B105" s="25" t="str">
        <f>IF($A105&gt;nrows,"",IF(col_user=0,"",INDEX('Paste Export'!$A$2:$BZ$1001,$A105,col_user)))</f>
        <v/>
      </c>
      <c r="C105" s="24" t="str">
        <f>IF($A105&gt;nrows,"",IF(col_days=0,0,N(INDEX('Paste Export'!$A$2:$BZ$1001,$A105,col_days))))</f>
        <v/>
      </c>
      <c r="D105" s="24" t="str">
        <f>IF($A105&gt;nrows,"",IF(col_prompts=0,0,N(INDEX('Paste Export'!$A$2:$BZ$1001,$A105,col_prompts))))</f>
        <v/>
      </c>
      <c r="E105" s="24" t="str">
        <f>IF($A105&gt;nrows,"",IF(col_web=0,0,N(INDEX('Paste Export'!$A$2:$BZ$1001,$A105,col_web))))</f>
        <v/>
      </c>
      <c r="F105" s="26" t="str">
        <f t="shared" si="8"/>
        <v/>
      </c>
      <c r="G105" s="27" t="str">
        <f t="shared" si="9"/>
        <v/>
      </c>
      <c r="H105" s="24" t="str">
        <f>IF($A105&gt;nrows,"",IF(col_s1=0,0,--(LEN(INDEX('Paste Export'!$A$2:$BZ$1001,$A105,col_s1))&gt;0))+IF(col_s2=0,0,--(LEN(INDEX('Paste Export'!$A$2:$BZ$1001,$A105,col_s2))&gt;0))+IF(col_s3=0,0,--(LEN(INDEX('Paste Export'!$A$2:$BZ$1001,$A105,col_s3))&gt;0))+IF(col_s4=0,0,--(LEN(INDEX('Paste Export'!$A$2:$BZ$1001,$A105,col_s4))&gt;0))+IF(col_s5=0,0,--(LEN(INDEX('Paste Export'!$A$2:$BZ$1001,$A105,col_s5))&gt;0))+IF(col_s6=0,0,--(LEN(INDEX('Paste Export'!$A$2:$BZ$1001,$A105,col_s6))&gt;0))+IF(col_s7=0,0,--(LEN(INDEX('Paste Export'!$A$2:$BZ$1001,$A105,col_s7))&gt;0))+IF(col_s8=0,0,--(LEN(INDEX('Paste Export'!$A$2:$BZ$1001,$A105,col_s8))&gt;0)))</f>
        <v/>
      </c>
      <c r="I105" s="25" t="str">
        <f t="shared" si="10"/>
        <v/>
      </c>
      <c r="J105" s="25" t="str">
        <f t="shared" si="11"/>
        <v/>
      </c>
      <c r="K105" s="24" t="str">
        <f t="shared" si="12"/>
        <v/>
      </c>
      <c r="L105" s="24" t="str">
        <f t="shared" si="13"/>
        <v/>
      </c>
    </row>
    <row r="106" spans="1:12" x14ac:dyDescent="0.25">
      <c r="A106" s="24">
        <f t="shared" si="7"/>
        <v>105</v>
      </c>
      <c r="B106" s="25" t="str">
        <f>IF($A106&gt;nrows,"",IF(col_user=0,"",INDEX('Paste Export'!$A$2:$BZ$1001,$A106,col_user)))</f>
        <v/>
      </c>
      <c r="C106" s="24" t="str">
        <f>IF($A106&gt;nrows,"",IF(col_days=0,0,N(INDEX('Paste Export'!$A$2:$BZ$1001,$A106,col_days))))</f>
        <v/>
      </c>
      <c r="D106" s="24" t="str">
        <f>IF($A106&gt;nrows,"",IF(col_prompts=0,0,N(INDEX('Paste Export'!$A$2:$BZ$1001,$A106,col_prompts))))</f>
        <v/>
      </c>
      <c r="E106" s="24" t="str">
        <f>IF($A106&gt;nrows,"",IF(col_web=0,0,N(INDEX('Paste Export'!$A$2:$BZ$1001,$A106,col_web))))</f>
        <v/>
      </c>
      <c r="F106" s="26" t="str">
        <f t="shared" si="8"/>
        <v/>
      </c>
      <c r="G106" s="27" t="str">
        <f t="shared" si="9"/>
        <v/>
      </c>
      <c r="H106" s="24" t="str">
        <f>IF($A106&gt;nrows,"",IF(col_s1=0,0,--(LEN(INDEX('Paste Export'!$A$2:$BZ$1001,$A106,col_s1))&gt;0))+IF(col_s2=0,0,--(LEN(INDEX('Paste Export'!$A$2:$BZ$1001,$A106,col_s2))&gt;0))+IF(col_s3=0,0,--(LEN(INDEX('Paste Export'!$A$2:$BZ$1001,$A106,col_s3))&gt;0))+IF(col_s4=0,0,--(LEN(INDEX('Paste Export'!$A$2:$BZ$1001,$A106,col_s4))&gt;0))+IF(col_s5=0,0,--(LEN(INDEX('Paste Export'!$A$2:$BZ$1001,$A106,col_s5))&gt;0))+IF(col_s6=0,0,--(LEN(INDEX('Paste Export'!$A$2:$BZ$1001,$A106,col_s6))&gt;0))+IF(col_s7=0,0,--(LEN(INDEX('Paste Export'!$A$2:$BZ$1001,$A106,col_s7))&gt;0))+IF(col_s8=0,0,--(LEN(INDEX('Paste Export'!$A$2:$BZ$1001,$A106,col_s8))&gt;0)))</f>
        <v/>
      </c>
      <c r="I106" s="25" t="str">
        <f t="shared" si="10"/>
        <v/>
      </c>
      <c r="J106" s="25" t="str">
        <f t="shared" si="11"/>
        <v/>
      </c>
      <c r="K106" s="24" t="str">
        <f t="shared" si="12"/>
        <v/>
      </c>
      <c r="L106" s="24" t="str">
        <f t="shared" si="13"/>
        <v/>
      </c>
    </row>
    <row r="107" spans="1:12" x14ac:dyDescent="0.25">
      <c r="A107" s="24">
        <f t="shared" si="7"/>
        <v>106</v>
      </c>
      <c r="B107" s="25" t="str">
        <f>IF($A107&gt;nrows,"",IF(col_user=0,"",INDEX('Paste Export'!$A$2:$BZ$1001,$A107,col_user)))</f>
        <v/>
      </c>
      <c r="C107" s="24" t="str">
        <f>IF($A107&gt;nrows,"",IF(col_days=0,0,N(INDEX('Paste Export'!$A$2:$BZ$1001,$A107,col_days))))</f>
        <v/>
      </c>
      <c r="D107" s="24" t="str">
        <f>IF($A107&gt;nrows,"",IF(col_prompts=0,0,N(INDEX('Paste Export'!$A$2:$BZ$1001,$A107,col_prompts))))</f>
        <v/>
      </c>
      <c r="E107" s="24" t="str">
        <f>IF($A107&gt;nrows,"",IF(col_web=0,0,N(INDEX('Paste Export'!$A$2:$BZ$1001,$A107,col_web))))</f>
        <v/>
      </c>
      <c r="F107" s="26" t="str">
        <f t="shared" si="8"/>
        <v/>
      </c>
      <c r="G107" s="27" t="str">
        <f t="shared" si="9"/>
        <v/>
      </c>
      <c r="H107" s="24" t="str">
        <f>IF($A107&gt;nrows,"",IF(col_s1=0,0,--(LEN(INDEX('Paste Export'!$A$2:$BZ$1001,$A107,col_s1))&gt;0))+IF(col_s2=0,0,--(LEN(INDEX('Paste Export'!$A$2:$BZ$1001,$A107,col_s2))&gt;0))+IF(col_s3=0,0,--(LEN(INDEX('Paste Export'!$A$2:$BZ$1001,$A107,col_s3))&gt;0))+IF(col_s4=0,0,--(LEN(INDEX('Paste Export'!$A$2:$BZ$1001,$A107,col_s4))&gt;0))+IF(col_s5=0,0,--(LEN(INDEX('Paste Export'!$A$2:$BZ$1001,$A107,col_s5))&gt;0))+IF(col_s6=0,0,--(LEN(INDEX('Paste Export'!$A$2:$BZ$1001,$A107,col_s6))&gt;0))+IF(col_s7=0,0,--(LEN(INDEX('Paste Export'!$A$2:$BZ$1001,$A107,col_s7))&gt;0))+IF(col_s8=0,0,--(LEN(INDEX('Paste Export'!$A$2:$BZ$1001,$A107,col_s8))&gt;0)))</f>
        <v/>
      </c>
      <c r="I107" s="25" t="str">
        <f t="shared" si="10"/>
        <v/>
      </c>
      <c r="J107" s="25" t="str">
        <f t="shared" si="11"/>
        <v/>
      </c>
      <c r="K107" s="24" t="str">
        <f t="shared" si="12"/>
        <v/>
      </c>
      <c r="L107" s="24" t="str">
        <f t="shared" si="13"/>
        <v/>
      </c>
    </row>
    <row r="108" spans="1:12" x14ac:dyDescent="0.25">
      <c r="A108" s="24">
        <f t="shared" si="7"/>
        <v>107</v>
      </c>
      <c r="B108" s="25" t="str">
        <f>IF($A108&gt;nrows,"",IF(col_user=0,"",INDEX('Paste Export'!$A$2:$BZ$1001,$A108,col_user)))</f>
        <v/>
      </c>
      <c r="C108" s="24" t="str">
        <f>IF($A108&gt;nrows,"",IF(col_days=0,0,N(INDEX('Paste Export'!$A$2:$BZ$1001,$A108,col_days))))</f>
        <v/>
      </c>
      <c r="D108" s="24" t="str">
        <f>IF($A108&gt;nrows,"",IF(col_prompts=0,0,N(INDEX('Paste Export'!$A$2:$BZ$1001,$A108,col_prompts))))</f>
        <v/>
      </c>
      <c r="E108" s="24" t="str">
        <f>IF($A108&gt;nrows,"",IF(col_web=0,0,N(INDEX('Paste Export'!$A$2:$BZ$1001,$A108,col_web))))</f>
        <v/>
      </c>
      <c r="F108" s="26" t="str">
        <f t="shared" si="8"/>
        <v/>
      </c>
      <c r="G108" s="27" t="str">
        <f t="shared" si="9"/>
        <v/>
      </c>
      <c r="H108" s="24" t="str">
        <f>IF($A108&gt;nrows,"",IF(col_s1=0,0,--(LEN(INDEX('Paste Export'!$A$2:$BZ$1001,$A108,col_s1))&gt;0))+IF(col_s2=0,0,--(LEN(INDEX('Paste Export'!$A$2:$BZ$1001,$A108,col_s2))&gt;0))+IF(col_s3=0,0,--(LEN(INDEX('Paste Export'!$A$2:$BZ$1001,$A108,col_s3))&gt;0))+IF(col_s4=0,0,--(LEN(INDEX('Paste Export'!$A$2:$BZ$1001,$A108,col_s4))&gt;0))+IF(col_s5=0,0,--(LEN(INDEX('Paste Export'!$A$2:$BZ$1001,$A108,col_s5))&gt;0))+IF(col_s6=0,0,--(LEN(INDEX('Paste Export'!$A$2:$BZ$1001,$A108,col_s6))&gt;0))+IF(col_s7=0,0,--(LEN(INDEX('Paste Export'!$A$2:$BZ$1001,$A108,col_s7))&gt;0))+IF(col_s8=0,0,--(LEN(INDEX('Paste Export'!$A$2:$BZ$1001,$A108,col_s8))&gt;0)))</f>
        <v/>
      </c>
      <c r="I108" s="25" t="str">
        <f t="shared" si="10"/>
        <v/>
      </c>
      <c r="J108" s="25" t="str">
        <f t="shared" si="11"/>
        <v/>
      </c>
      <c r="K108" s="24" t="str">
        <f t="shared" si="12"/>
        <v/>
      </c>
      <c r="L108" s="24" t="str">
        <f t="shared" si="13"/>
        <v/>
      </c>
    </row>
    <row r="109" spans="1:12" x14ac:dyDescent="0.25">
      <c r="A109" s="24">
        <f t="shared" si="7"/>
        <v>108</v>
      </c>
      <c r="B109" s="25" t="str">
        <f>IF($A109&gt;nrows,"",IF(col_user=0,"",INDEX('Paste Export'!$A$2:$BZ$1001,$A109,col_user)))</f>
        <v/>
      </c>
      <c r="C109" s="24" t="str">
        <f>IF($A109&gt;nrows,"",IF(col_days=0,0,N(INDEX('Paste Export'!$A$2:$BZ$1001,$A109,col_days))))</f>
        <v/>
      </c>
      <c r="D109" s="24" t="str">
        <f>IF($A109&gt;nrows,"",IF(col_prompts=0,0,N(INDEX('Paste Export'!$A$2:$BZ$1001,$A109,col_prompts))))</f>
        <v/>
      </c>
      <c r="E109" s="24" t="str">
        <f>IF($A109&gt;nrows,"",IF(col_web=0,0,N(INDEX('Paste Export'!$A$2:$BZ$1001,$A109,col_web))))</f>
        <v/>
      </c>
      <c r="F109" s="26" t="str">
        <f t="shared" si="8"/>
        <v/>
      </c>
      <c r="G109" s="27" t="str">
        <f t="shared" si="9"/>
        <v/>
      </c>
      <c r="H109" s="24" t="str">
        <f>IF($A109&gt;nrows,"",IF(col_s1=0,0,--(LEN(INDEX('Paste Export'!$A$2:$BZ$1001,$A109,col_s1))&gt;0))+IF(col_s2=0,0,--(LEN(INDEX('Paste Export'!$A$2:$BZ$1001,$A109,col_s2))&gt;0))+IF(col_s3=0,0,--(LEN(INDEX('Paste Export'!$A$2:$BZ$1001,$A109,col_s3))&gt;0))+IF(col_s4=0,0,--(LEN(INDEX('Paste Export'!$A$2:$BZ$1001,$A109,col_s4))&gt;0))+IF(col_s5=0,0,--(LEN(INDEX('Paste Export'!$A$2:$BZ$1001,$A109,col_s5))&gt;0))+IF(col_s6=0,0,--(LEN(INDEX('Paste Export'!$A$2:$BZ$1001,$A109,col_s6))&gt;0))+IF(col_s7=0,0,--(LEN(INDEX('Paste Export'!$A$2:$BZ$1001,$A109,col_s7))&gt;0))+IF(col_s8=0,0,--(LEN(INDEX('Paste Export'!$A$2:$BZ$1001,$A109,col_s8))&gt;0)))</f>
        <v/>
      </c>
      <c r="I109" s="25" t="str">
        <f t="shared" si="10"/>
        <v/>
      </c>
      <c r="J109" s="25" t="str">
        <f t="shared" si="11"/>
        <v/>
      </c>
      <c r="K109" s="24" t="str">
        <f t="shared" si="12"/>
        <v/>
      </c>
      <c r="L109" s="24" t="str">
        <f t="shared" si="13"/>
        <v/>
      </c>
    </row>
    <row r="110" spans="1:12" x14ac:dyDescent="0.25">
      <c r="A110" s="24">
        <f t="shared" si="7"/>
        <v>109</v>
      </c>
      <c r="B110" s="25" t="str">
        <f>IF($A110&gt;nrows,"",IF(col_user=0,"",INDEX('Paste Export'!$A$2:$BZ$1001,$A110,col_user)))</f>
        <v/>
      </c>
      <c r="C110" s="24" t="str">
        <f>IF($A110&gt;nrows,"",IF(col_days=0,0,N(INDEX('Paste Export'!$A$2:$BZ$1001,$A110,col_days))))</f>
        <v/>
      </c>
      <c r="D110" s="24" t="str">
        <f>IF($A110&gt;nrows,"",IF(col_prompts=0,0,N(INDEX('Paste Export'!$A$2:$BZ$1001,$A110,col_prompts))))</f>
        <v/>
      </c>
      <c r="E110" s="24" t="str">
        <f>IF($A110&gt;nrows,"",IF(col_web=0,0,N(INDEX('Paste Export'!$A$2:$BZ$1001,$A110,col_web))))</f>
        <v/>
      </c>
      <c r="F110" s="26" t="str">
        <f t="shared" si="8"/>
        <v/>
      </c>
      <c r="G110" s="27" t="str">
        <f t="shared" si="9"/>
        <v/>
      </c>
      <c r="H110" s="24" t="str">
        <f>IF($A110&gt;nrows,"",IF(col_s1=0,0,--(LEN(INDEX('Paste Export'!$A$2:$BZ$1001,$A110,col_s1))&gt;0))+IF(col_s2=0,0,--(LEN(INDEX('Paste Export'!$A$2:$BZ$1001,$A110,col_s2))&gt;0))+IF(col_s3=0,0,--(LEN(INDEX('Paste Export'!$A$2:$BZ$1001,$A110,col_s3))&gt;0))+IF(col_s4=0,0,--(LEN(INDEX('Paste Export'!$A$2:$BZ$1001,$A110,col_s4))&gt;0))+IF(col_s5=0,0,--(LEN(INDEX('Paste Export'!$A$2:$BZ$1001,$A110,col_s5))&gt;0))+IF(col_s6=0,0,--(LEN(INDEX('Paste Export'!$A$2:$BZ$1001,$A110,col_s6))&gt;0))+IF(col_s7=0,0,--(LEN(INDEX('Paste Export'!$A$2:$BZ$1001,$A110,col_s7))&gt;0))+IF(col_s8=0,0,--(LEN(INDEX('Paste Export'!$A$2:$BZ$1001,$A110,col_s8))&gt;0)))</f>
        <v/>
      </c>
      <c r="I110" s="25" t="str">
        <f t="shared" si="10"/>
        <v/>
      </c>
      <c r="J110" s="25" t="str">
        <f t="shared" si="11"/>
        <v/>
      </c>
      <c r="K110" s="24" t="str">
        <f t="shared" si="12"/>
        <v/>
      </c>
      <c r="L110" s="24" t="str">
        <f t="shared" si="13"/>
        <v/>
      </c>
    </row>
    <row r="111" spans="1:12" x14ac:dyDescent="0.25">
      <c r="A111" s="24">
        <f t="shared" si="7"/>
        <v>110</v>
      </c>
      <c r="B111" s="25" t="str">
        <f>IF($A111&gt;nrows,"",IF(col_user=0,"",INDEX('Paste Export'!$A$2:$BZ$1001,$A111,col_user)))</f>
        <v/>
      </c>
      <c r="C111" s="24" t="str">
        <f>IF($A111&gt;nrows,"",IF(col_days=0,0,N(INDEX('Paste Export'!$A$2:$BZ$1001,$A111,col_days))))</f>
        <v/>
      </c>
      <c r="D111" s="24" t="str">
        <f>IF($A111&gt;nrows,"",IF(col_prompts=0,0,N(INDEX('Paste Export'!$A$2:$BZ$1001,$A111,col_prompts))))</f>
        <v/>
      </c>
      <c r="E111" s="24" t="str">
        <f>IF($A111&gt;nrows,"",IF(col_web=0,0,N(INDEX('Paste Export'!$A$2:$BZ$1001,$A111,col_web))))</f>
        <v/>
      </c>
      <c r="F111" s="26" t="str">
        <f t="shared" si="8"/>
        <v/>
      </c>
      <c r="G111" s="27" t="str">
        <f t="shared" si="9"/>
        <v/>
      </c>
      <c r="H111" s="24" t="str">
        <f>IF($A111&gt;nrows,"",IF(col_s1=0,0,--(LEN(INDEX('Paste Export'!$A$2:$BZ$1001,$A111,col_s1))&gt;0))+IF(col_s2=0,0,--(LEN(INDEX('Paste Export'!$A$2:$BZ$1001,$A111,col_s2))&gt;0))+IF(col_s3=0,0,--(LEN(INDEX('Paste Export'!$A$2:$BZ$1001,$A111,col_s3))&gt;0))+IF(col_s4=0,0,--(LEN(INDEX('Paste Export'!$A$2:$BZ$1001,$A111,col_s4))&gt;0))+IF(col_s5=0,0,--(LEN(INDEX('Paste Export'!$A$2:$BZ$1001,$A111,col_s5))&gt;0))+IF(col_s6=0,0,--(LEN(INDEX('Paste Export'!$A$2:$BZ$1001,$A111,col_s6))&gt;0))+IF(col_s7=0,0,--(LEN(INDEX('Paste Export'!$A$2:$BZ$1001,$A111,col_s7))&gt;0))+IF(col_s8=0,0,--(LEN(INDEX('Paste Export'!$A$2:$BZ$1001,$A111,col_s8))&gt;0)))</f>
        <v/>
      </c>
      <c r="I111" s="25" t="str">
        <f t="shared" si="10"/>
        <v/>
      </c>
      <c r="J111" s="25" t="str">
        <f t="shared" si="11"/>
        <v/>
      </c>
      <c r="K111" s="24" t="str">
        <f t="shared" si="12"/>
        <v/>
      </c>
      <c r="L111" s="24" t="str">
        <f t="shared" si="13"/>
        <v/>
      </c>
    </row>
    <row r="112" spans="1:12" x14ac:dyDescent="0.25">
      <c r="A112" s="24">
        <f t="shared" si="7"/>
        <v>111</v>
      </c>
      <c r="B112" s="25" t="str">
        <f>IF($A112&gt;nrows,"",IF(col_user=0,"",INDEX('Paste Export'!$A$2:$BZ$1001,$A112,col_user)))</f>
        <v/>
      </c>
      <c r="C112" s="24" t="str">
        <f>IF($A112&gt;nrows,"",IF(col_days=0,0,N(INDEX('Paste Export'!$A$2:$BZ$1001,$A112,col_days))))</f>
        <v/>
      </c>
      <c r="D112" s="24" t="str">
        <f>IF($A112&gt;nrows,"",IF(col_prompts=0,0,N(INDEX('Paste Export'!$A$2:$BZ$1001,$A112,col_prompts))))</f>
        <v/>
      </c>
      <c r="E112" s="24" t="str">
        <f>IF($A112&gt;nrows,"",IF(col_web=0,0,N(INDEX('Paste Export'!$A$2:$BZ$1001,$A112,col_web))))</f>
        <v/>
      </c>
      <c r="F112" s="26" t="str">
        <f t="shared" si="8"/>
        <v/>
      </c>
      <c r="G112" s="27" t="str">
        <f t="shared" si="9"/>
        <v/>
      </c>
      <c r="H112" s="24" t="str">
        <f>IF($A112&gt;nrows,"",IF(col_s1=0,0,--(LEN(INDEX('Paste Export'!$A$2:$BZ$1001,$A112,col_s1))&gt;0))+IF(col_s2=0,0,--(LEN(INDEX('Paste Export'!$A$2:$BZ$1001,$A112,col_s2))&gt;0))+IF(col_s3=0,0,--(LEN(INDEX('Paste Export'!$A$2:$BZ$1001,$A112,col_s3))&gt;0))+IF(col_s4=0,0,--(LEN(INDEX('Paste Export'!$A$2:$BZ$1001,$A112,col_s4))&gt;0))+IF(col_s5=0,0,--(LEN(INDEX('Paste Export'!$A$2:$BZ$1001,$A112,col_s5))&gt;0))+IF(col_s6=0,0,--(LEN(INDEX('Paste Export'!$A$2:$BZ$1001,$A112,col_s6))&gt;0))+IF(col_s7=0,0,--(LEN(INDEX('Paste Export'!$A$2:$BZ$1001,$A112,col_s7))&gt;0))+IF(col_s8=0,0,--(LEN(INDEX('Paste Export'!$A$2:$BZ$1001,$A112,col_s8))&gt;0)))</f>
        <v/>
      </c>
      <c r="I112" s="25" t="str">
        <f t="shared" si="10"/>
        <v/>
      </c>
      <c r="J112" s="25" t="str">
        <f t="shared" si="11"/>
        <v/>
      </c>
      <c r="K112" s="24" t="str">
        <f t="shared" si="12"/>
        <v/>
      </c>
      <c r="L112" s="24" t="str">
        <f t="shared" si="13"/>
        <v/>
      </c>
    </row>
    <row r="113" spans="1:12" x14ac:dyDescent="0.25">
      <c r="A113" s="24">
        <f t="shared" si="7"/>
        <v>112</v>
      </c>
      <c r="B113" s="25" t="str">
        <f>IF($A113&gt;nrows,"",IF(col_user=0,"",INDEX('Paste Export'!$A$2:$BZ$1001,$A113,col_user)))</f>
        <v/>
      </c>
      <c r="C113" s="24" t="str">
        <f>IF($A113&gt;nrows,"",IF(col_days=0,0,N(INDEX('Paste Export'!$A$2:$BZ$1001,$A113,col_days))))</f>
        <v/>
      </c>
      <c r="D113" s="24" t="str">
        <f>IF($A113&gt;nrows,"",IF(col_prompts=0,0,N(INDEX('Paste Export'!$A$2:$BZ$1001,$A113,col_prompts))))</f>
        <v/>
      </c>
      <c r="E113" s="24" t="str">
        <f>IF($A113&gt;nrows,"",IF(col_web=0,0,N(INDEX('Paste Export'!$A$2:$BZ$1001,$A113,col_web))))</f>
        <v/>
      </c>
      <c r="F113" s="26" t="str">
        <f t="shared" si="8"/>
        <v/>
      </c>
      <c r="G113" s="27" t="str">
        <f t="shared" si="9"/>
        <v/>
      </c>
      <c r="H113" s="24" t="str">
        <f>IF($A113&gt;nrows,"",IF(col_s1=0,0,--(LEN(INDEX('Paste Export'!$A$2:$BZ$1001,$A113,col_s1))&gt;0))+IF(col_s2=0,0,--(LEN(INDEX('Paste Export'!$A$2:$BZ$1001,$A113,col_s2))&gt;0))+IF(col_s3=0,0,--(LEN(INDEX('Paste Export'!$A$2:$BZ$1001,$A113,col_s3))&gt;0))+IF(col_s4=0,0,--(LEN(INDEX('Paste Export'!$A$2:$BZ$1001,$A113,col_s4))&gt;0))+IF(col_s5=0,0,--(LEN(INDEX('Paste Export'!$A$2:$BZ$1001,$A113,col_s5))&gt;0))+IF(col_s6=0,0,--(LEN(INDEX('Paste Export'!$A$2:$BZ$1001,$A113,col_s6))&gt;0))+IF(col_s7=0,0,--(LEN(INDEX('Paste Export'!$A$2:$BZ$1001,$A113,col_s7))&gt;0))+IF(col_s8=0,0,--(LEN(INDEX('Paste Export'!$A$2:$BZ$1001,$A113,col_s8))&gt;0)))</f>
        <v/>
      </c>
      <c r="I113" s="25" t="str">
        <f t="shared" si="10"/>
        <v/>
      </c>
      <c r="J113" s="25" t="str">
        <f t="shared" si="11"/>
        <v/>
      </c>
      <c r="K113" s="24" t="str">
        <f t="shared" si="12"/>
        <v/>
      </c>
      <c r="L113" s="24" t="str">
        <f t="shared" si="13"/>
        <v/>
      </c>
    </row>
    <row r="114" spans="1:12" x14ac:dyDescent="0.25">
      <c r="A114" s="24">
        <f t="shared" si="7"/>
        <v>113</v>
      </c>
      <c r="B114" s="25" t="str">
        <f>IF($A114&gt;nrows,"",IF(col_user=0,"",INDEX('Paste Export'!$A$2:$BZ$1001,$A114,col_user)))</f>
        <v/>
      </c>
      <c r="C114" s="24" t="str">
        <f>IF($A114&gt;nrows,"",IF(col_days=0,0,N(INDEX('Paste Export'!$A$2:$BZ$1001,$A114,col_days))))</f>
        <v/>
      </c>
      <c r="D114" s="24" t="str">
        <f>IF($A114&gt;nrows,"",IF(col_prompts=0,0,N(INDEX('Paste Export'!$A$2:$BZ$1001,$A114,col_prompts))))</f>
        <v/>
      </c>
      <c r="E114" s="24" t="str">
        <f>IF($A114&gt;nrows,"",IF(col_web=0,0,N(INDEX('Paste Export'!$A$2:$BZ$1001,$A114,col_web))))</f>
        <v/>
      </c>
      <c r="F114" s="26" t="str">
        <f t="shared" si="8"/>
        <v/>
      </c>
      <c r="G114" s="27" t="str">
        <f t="shared" si="9"/>
        <v/>
      </c>
      <c r="H114" s="24" t="str">
        <f>IF($A114&gt;nrows,"",IF(col_s1=0,0,--(LEN(INDEX('Paste Export'!$A$2:$BZ$1001,$A114,col_s1))&gt;0))+IF(col_s2=0,0,--(LEN(INDEX('Paste Export'!$A$2:$BZ$1001,$A114,col_s2))&gt;0))+IF(col_s3=0,0,--(LEN(INDEX('Paste Export'!$A$2:$BZ$1001,$A114,col_s3))&gt;0))+IF(col_s4=0,0,--(LEN(INDEX('Paste Export'!$A$2:$BZ$1001,$A114,col_s4))&gt;0))+IF(col_s5=0,0,--(LEN(INDEX('Paste Export'!$A$2:$BZ$1001,$A114,col_s5))&gt;0))+IF(col_s6=0,0,--(LEN(INDEX('Paste Export'!$A$2:$BZ$1001,$A114,col_s6))&gt;0))+IF(col_s7=0,0,--(LEN(INDEX('Paste Export'!$A$2:$BZ$1001,$A114,col_s7))&gt;0))+IF(col_s8=0,0,--(LEN(INDEX('Paste Export'!$A$2:$BZ$1001,$A114,col_s8))&gt;0)))</f>
        <v/>
      </c>
      <c r="I114" s="25" t="str">
        <f t="shared" si="10"/>
        <v/>
      </c>
      <c r="J114" s="25" t="str">
        <f t="shared" si="11"/>
        <v/>
      </c>
      <c r="K114" s="24" t="str">
        <f t="shared" si="12"/>
        <v/>
      </c>
      <c r="L114" s="24" t="str">
        <f t="shared" si="13"/>
        <v/>
      </c>
    </row>
    <row r="115" spans="1:12" x14ac:dyDescent="0.25">
      <c r="A115" s="24">
        <f t="shared" si="7"/>
        <v>114</v>
      </c>
      <c r="B115" s="25" t="str">
        <f>IF($A115&gt;nrows,"",IF(col_user=0,"",INDEX('Paste Export'!$A$2:$BZ$1001,$A115,col_user)))</f>
        <v/>
      </c>
      <c r="C115" s="24" t="str">
        <f>IF($A115&gt;nrows,"",IF(col_days=0,0,N(INDEX('Paste Export'!$A$2:$BZ$1001,$A115,col_days))))</f>
        <v/>
      </c>
      <c r="D115" s="24" t="str">
        <f>IF($A115&gt;nrows,"",IF(col_prompts=0,0,N(INDEX('Paste Export'!$A$2:$BZ$1001,$A115,col_prompts))))</f>
        <v/>
      </c>
      <c r="E115" s="24" t="str">
        <f>IF($A115&gt;nrows,"",IF(col_web=0,0,N(INDEX('Paste Export'!$A$2:$BZ$1001,$A115,col_web))))</f>
        <v/>
      </c>
      <c r="F115" s="26" t="str">
        <f t="shared" si="8"/>
        <v/>
      </c>
      <c r="G115" s="27" t="str">
        <f t="shared" si="9"/>
        <v/>
      </c>
      <c r="H115" s="24" t="str">
        <f>IF($A115&gt;nrows,"",IF(col_s1=0,0,--(LEN(INDEX('Paste Export'!$A$2:$BZ$1001,$A115,col_s1))&gt;0))+IF(col_s2=0,0,--(LEN(INDEX('Paste Export'!$A$2:$BZ$1001,$A115,col_s2))&gt;0))+IF(col_s3=0,0,--(LEN(INDEX('Paste Export'!$A$2:$BZ$1001,$A115,col_s3))&gt;0))+IF(col_s4=0,0,--(LEN(INDEX('Paste Export'!$A$2:$BZ$1001,$A115,col_s4))&gt;0))+IF(col_s5=0,0,--(LEN(INDEX('Paste Export'!$A$2:$BZ$1001,$A115,col_s5))&gt;0))+IF(col_s6=0,0,--(LEN(INDEX('Paste Export'!$A$2:$BZ$1001,$A115,col_s6))&gt;0))+IF(col_s7=0,0,--(LEN(INDEX('Paste Export'!$A$2:$BZ$1001,$A115,col_s7))&gt;0))+IF(col_s8=0,0,--(LEN(INDEX('Paste Export'!$A$2:$BZ$1001,$A115,col_s8))&gt;0)))</f>
        <v/>
      </c>
      <c r="I115" s="25" t="str">
        <f t="shared" si="10"/>
        <v/>
      </c>
      <c r="J115" s="25" t="str">
        <f t="shared" si="11"/>
        <v/>
      </c>
      <c r="K115" s="24" t="str">
        <f t="shared" si="12"/>
        <v/>
      </c>
      <c r="L115" s="24" t="str">
        <f t="shared" si="13"/>
        <v/>
      </c>
    </row>
    <row r="116" spans="1:12" x14ac:dyDescent="0.25">
      <c r="A116" s="24">
        <f t="shared" si="7"/>
        <v>115</v>
      </c>
      <c r="B116" s="25" t="str">
        <f>IF($A116&gt;nrows,"",IF(col_user=0,"",INDEX('Paste Export'!$A$2:$BZ$1001,$A116,col_user)))</f>
        <v/>
      </c>
      <c r="C116" s="24" t="str">
        <f>IF($A116&gt;nrows,"",IF(col_days=0,0,N(INDEX('Paste Export'!$A$2:$BZ$1001,$A116,col_days))))</f>
        <v/>
      </c>
      <c r="D116" s="24" t="str">
        <f>IF($A116&gt;nrows,"",IF(col_prompts=0,0,N(INDEX('Paste Export'!$A$2:$BZ$1001,$A116,col_prompts))))</f>
        <v/>
      </c>
      <c r="E116" s="24" t="str">
        <f>IF($A116&gt;nrows,"",IF(col_web=0,0,N(INDEX('Paste Export'!$A$2:$BZ$1001,$A116,col_web))))</f>
        <v/>
      </c>
      <c r="F116" s="26" t="str">
        <f t="shared" si="8"/>
        <v/>
      </c>
      <c r="G116" s="27" t="str">
        <f t="shared" si="9"/>
        <v/>
      </c>
      <c r="H116" s="24" t="str">
        <f>IF($A116&gt;nrows,"",IF(col_s1=0,0,--(LEN(INDEX('Paste Export'!$A$2:$BZ$1001,$A116,col_s1))&gt;0))+IF(col_s2=0,0,--(LEN(INDEX('Paste Export'!$A$2:$BZ$1001,$A116,col_s2))&gt;0))+IF(col_s3=0,0,--(LEN(INDEX('Paste Export'!$A$2:$BZ$1001,$A116,col_s3))&gt;0))+IF(col_s4=0,0,--(LEN(INDEX('Paste Export'!$A$2:$BZ$1001,$A116,col_s4))&gt;0))+IF(col_s5=0,0,--(LEN(INDEX('Paste Export'!$A$2:$BZ$1001,$A116,col_s5))&gt;0))+IF(col_s6=0,0,--(LEN(INDEX('Paste Export'!$A$2:$BZ$1001,$A116,col_s6))&gt;0))+IF(col_s7=0,0,--(LEN(INDEX('Paste Export'!$A$2:$BZ$1001,$A116,col_s7))&gt;0))+IF(col_s8=0,0,--(LEN(INDEX('Paste Export'!$A$2:$BZ$1001,$A116,col_s8))&gt;0)))</f>
        <v/>
      </c>
      <c r="I116" s="25" t="str">
        <f t="shared" si="10"/>
        <v/>
      </c>
      <c r="J116" s="25" t="str">
        <f t="shared" si="11"/>
        <v/>
      </c>
      <c r="K116" s="24" t="str">
        <f t="shared" si="12"/>
        <v/>
      </c>
      <c r="L116" s="24" t="str">
        <f t="shared" si="13"/>
        <v/>
      </c>
    </row>
    <row r="117" spans="1:12" x14ac:dyDescent="0.25">
      <c r="A117" s="24">
        <f t="shared" si="7"/>
        <v>116</v>
      </c>
      <c r="B117" s="25" t="str">
        <f>IF($A117&gt;nrows,"",IF(col_user=0,"",INDEX('Paste Export'!$A$2:$BZ$1001,$A117,col_user)))</f>
        <v/>
      </c>
      <c r="C117" s="24" t="str">
        <f>IF($A117&gt;nrows,"",IF(col_days=0,0,N(INDEX('Paste Export'!$A$2:$BZ$1001,$A117,col_days))))</f>
        <v/>
      </c>
      <c r="D117" s="24" t="str">
        <f>IF($A117&gt;nrows,"",IF(col_prompts=0,0,N(INDEX('Paste Export'!$A$2:$BZ$1001,$A117,col_prompts))))</f>
        <v/>
      </c>
      <c r="E117" s="24" t="str">
        <f>IF($A117&gt;nrows,"",IF(col_web=0,0,N(INDEX('Paste Export'!$A$2:$BZ$1001,$A117,col_web))))</f>
        <v/>
      </c>
      <c r="F117" s="26" t="str">
        <f t="shared" si="8"/>
        <v/>
      </c>
      <c r="G117" s="27" t="str">
        <f t="shared" si="9"/>
        <v/>
      </c>
      <c r="H117" s="24" t="str">
        <f>IF($A117&gt;nrows,"",IF(col_s1=0,0,--(LEN(INDEX('Paste Export'!$A$2:$BZ$1001,$A117,col_s1))&gt;0))+IF(col_s2=0,0,--(LEN(INDEX('Paste Export'!$A$2:$BZ$1001,$A117,col_s2))&gt;0))+IF(col_s3=0,0,--(LEN(INDEX('Paste Export'!$A$2:$BZ$1001,$A117,col_s3))&gt;0))+IF(col_s4=0,0,--(LEN(INDEX('Paste Export'!$A$2:$BZ$1001,$A117,col_s4))&gt;0))+IF(col_s5=0,0,--(LEN(INDEX('Paste Export'!$A$2:$BZ$1001,$A117,col_s5))&gt;0))+IF(col_s6=0,0,--(LEN(INDEX('Paste Export'!$A$2:$BZ$1001,$A117,col_s6))&gt;0))+IF(col_s7=0,0,--(LEN(INDEX('Paste Export'!$A$2:$BZ$1001,$A117,col_s7))&gt;0))+IF(col_s8=0,0,--(LEN(INDEX('Paste Export'!$A$2:$BZ$1001,$A117,col_s8))&gt;0)))</f>
        <v/>
      </c>
      <c r="I117" s="25" t="str">
        <f t="shared" si="10"/>
        <v/>
      </c>
      <c r="J117" s="25" t="str">
        <f t="shared" si="11"/>
        <v/>
      </c>
      <c r="K117" s="24" t="str">
        <f t="shared" si="12"/>
        <v/>
      </c>
      <c r="L117" s="24" t="str">
        <f t="shared" si="13"/>
        <v/>
      </c>
    </row>
    <row r="118" spans="1:12" x14ac:dyDescent="0.25">
      <c r="A118" s="24">
        <f t="shared" si="7"/>
        <v>117</v>
      </c>
      <c r="B118" s="25" t="str">
        <f>IF($A118&gt;nrows,"",IF(col_user=0,"",INDEX('Paste Export'!$A$2:$BZ$1001,$A118,col_user)))</f>
        <v/>
      </c>
      <c r="C118" s="24" t="str">
        <f>IF($A118&gt;nrows,"",IF(col_days=0,0,N(INDEX('Paste Export'!$A$2:$BZ$1001,$A118,col_days))))</f>
        <v/>
      </c>
      <c r="D118" s="24" t="str">
        <f>IF($A118&gt;nrows,"",IF(col_prompts=0,0,N(INDEX('Paste Export'!$A$2:$BZ$1001,$A118,col_prompts))))</f>
        <v/>
      </c>
      <c r="E118" s="24" t="str">
        <f>IF($A118&gt;nrows,"",IF(col_web=0,0,N(INDEX('Paste Export'!$A$2:$BZ$1001,$A118,col_web))))</f>
        <v/>
      </c>
      <c r="F118" s="26" t="str">
        <f t="shared" si="8"/>
        <v/>
      </c>
      <c r="G118" s="27" t="str">
        <f t="shared" si="9"/>
        <v/>
      </c>
      <c r="H118" s="24" t="str">
        <f>IF($A118&gt;nrows,"",IF(col_s1=0,0,--(LEN(INDEX('Paste Export'!$A$2:$BZ$1001,$A118,col_s1))&gt;0))+IF(col_s2=0,0,--(LEN(INDEX('Paste Export'!$A$2:$BZ$1001,$A118,col_s2))&gt;0))+IF(col_s3=0,0,--(LEN(INDEX('Paste Export'!$A$2:$BZ$1001,$A118,col_s3))&gt;0))+IF(col_s4=0,0,--(LEN(INDEX('Paste Export'!$A$2:$BZ$1001,$A118,col_s4))&gt;0))+IF(col_s5=0,0,--(LEN(INDEX('Paste Export'!$A$2:$BZ$1001,$A118,col_s5))&gt;0))+IF(col_s6=0,0,--(LEN(INDEX('Paste Export'!$A$2:$BZ$1001,$A118,col_s6))&gt;0))+IF(col_s7=0,0,--(LEN(INDEX('Paste Export'!$A$2:$BZ$1001,$A118,col_s7))&gt;0))+IF(col_s8=0,0,--(LEN(INDEX('Paste Export'!$A$2:$BZ$1001,$A118,col_s8))&gt;0)))</f>
        <v/>
      </c>
      <c r="I118" s="25" t="str">
        <f t="shared" si="10"/>
        <v/>
      </c>
      <c r="J118" s="25" t="str">
        <f t="shared" si="11"/>
        <v/>
      </c>
      <c r="K118" s="24" t="str">
        <f t="shared" si="12"/>
        <v/>
      </c>
      <c r="L118" s="24" t="str">
        <f t="shared" si="13"/>
        <v/>
      </c>
    </row>
    <row r="119" spans="1:12" x14ac:dyDescent="0.25">
      <c r="A119" s="24">
        <f t="shared" si="7"/>
        <v>118</v>
      </c>
      <c r="B119" s="25" t="str">
        <f>IF($A119&gt;nrows,"",IF(col_user=0,"",INDEX('Paste Export'!$A$2:$BZ$1001,$A119,col_user)))</f>
        <v/>
      </c>
      <c r="C119" s="24" t="str">
        <f>IF($A119&gt;nrows,"",IF(col_days=0,0,N(INDEX('Paste Export'!$A$2:$BZ$1001,$A119,col_days))))</f>
        <v/>
      </c>
      <c r="D119" s="24" t="str">
        <f>IF($A119&gt;nrows,"",IF(col_prompts=0,0,N(INDEX('Paste Export'!$A$2:$BZ$1001,$A119,col_prompts))))</f>
        <v/>
      </c>
      <c r="E119" s="24" t="str">
        <f>IF($A119&gt;nrows,"",IF(col_web=0,0,N(INDEX('Paste Export'!$A$2:$BZ$1001,$A119,col_web))))</f>
        <v/>
      </c>
      <c r="F119" s="26" t="str">
        <f t="shared" si="8"/>
        <v/>
      </c>
      <c r="G119" s="27" t="str">
        <f t="shared" si="9"/>
        <v/>
      </c>
      <c r="H119" s="24" t="str">
        <f>IF($A119&gt;nrows,"",IF(col_s1=0,0,--(LEN(INDEX('Paste Export'!$A$2:$BZ$1001,$A119,col_s1))&gt;0))+IF(col_s2=0,0,--(LEN(INDEX('Paste Export'!$A$2:$BZ$1001,$A119,col_s2))&gt;0))+IF(col_s3=0,0,--(LEN(INDEX('Paste Export'!$A$2:$BZ$1001,$A119,col_s3))&gt;0))+IF(col_s4=0,0,--(LEN(INDEX('Paste Export'!$A$2:$BZ$1001,$A119,col_s4))&gt;0))+IF(col_s5=0,0,--(LEN(INDEX('Paste Export'!$A$2:$BZ$1001,$A119,col_s5))&gt;0))+IF(col_s6=0,0,--(LEN(INDEX('Paste Export'!$A$2:$BZ$1001,$A119,col_s6))&gt;0))+IF(col_s7=0,0,--(LEN(INDEX('Paste Export'!$A$2:$BZ$1001,$A119,col_s7))&gt;0))+IF(col_s8=0,0,--(LEN(INDEX('Paste Export'!$A$2:$BZ$1001,$A119,col_s8))&gt;0)))</f>
        <v/>
      </c>
      <c r="I119" s="25" t="str">
        <f t="shared" si="10"/>
        <v/>
      </c>
      <c r="J119" s="25" t="str">
        <f t="shared" si="11"/>
        <v/>
      </c>
      <c r="K119" s="24" t="str">
        <f t="shared" si="12"/>
        <v/>
      </c>
      <c r="L119" s="24" t="str">
        <f t="shared" si="13"/>
        <v/>
      </c>
    </row>
    <row r="120" spans="1:12" x14ac:dyDescent="0.25">
      <c r="A120" s="24">
        <f t="shared" si="7"/>
        <v>119</v>
      </c>
      <c r="B120" s="25" t="str">
        <f>IF($A120&gt;nrows,"",IF(col_user=0,"",INDEX('Paste Export'!$A$2:$BZ$1001,$A120,col_user)))</f>
        <v/>
      </c>
      <c r="C120" s="24" t="str">
        <f>IF($A120&gt;nrows,"",IF(col_days=0,0,N(INDEX('Paste Export'!$A$2:$BZ$1001,$A120,col_days))))</f>
        <v/>
      </c>
      <c r="D120" s="24" t="str">
        <f>IF($A120&gt;nrows,"",IF(col_prompts=0,0,N(INDEX('Paste Export'!$A$2:$BZ$1001,$A120,col_prompts))))</f>
        <v/>
      </c>
      <c r="E120" s="24" t="str">
        <f>IF($A120&gt;nrows,"",IF(col_web=0,0,N(INDEX('Paste Export'!$A$2:$BZ$1001,$A120,col_web))))</f>
        <v/>
      </c>
      <c r="F120" s="26" t="str">
        <f t="shared" si="8"/>
        <v/>
      </c>
      <c r="G120" s="27" t="str">
        <f t="shared" si="9"/>
        <v/>
      </c>
      <c r="H120" s="24" t="str">
        <f>IF($A120&gt;nrows,"",IF(col_s1=0,0,--(LEN(INDEX('Paste Export'!$A$2:$BZ$1001,$A120,col_s1))&gt;0))+IF(col_s2=0,0,--(LEN(INDEX('Paste Export'!$A$2:$BZ$1001,$A120,col_s2))&gt;0))+IF(col_s3=0,0,--(LEN(INDEX('Paste Export'!$A$2:$BZ$1001,$A120,col_s3))&gt;0))+IF(col_s4=0,0,--(LEN(INDEX('Paste Export'!$A$2:$BZ$1001,$A120,col_s4))&gt;0))+IF(col_s5=0,0,--(LEN(INDEX('Paste Export'!$A$2:$BZ$1001,$A120,col_s5))&gt;0))+IF(col_s6=0,0,--(LEN(INDEX('Paste Export'!$A$2:$BZ$1001,$A120,col_s6))&gt;0))+IF(col_s7=0,0,--(LEN(INDEX('Paste Export'!$A$2:$BZ$1001,$A120,col_s7))&gt;0))+IF(col_s8=0,0,--(LEN(INDEX('Paste Export'!$A$2:$BZ$1001,$A120,col_s8))&gt;0)))</f>
        <v/>
      </c>
      <c r="I120" s="25" t="str">
        <f t="shared" si="10"/>
        <v/>
      </c>
      <c r="J120" s="25" t="str">
        <f t="shared" si="11"/>
        <v/>
      </c>
      <c r="K120" s="24" t="str">
        <f t="shared" si="12"/>
        <v/>
      </c>
      <c r="L120" s="24" t="str">
        <f t="shared" si="13"/>
        <v/>
      </c>
    </row>
    <row r="121" spans="1:12" x14ac:dyDescent="0.25">
      <c r="A121" s="24">
        <f t="shared" si="7"/>
        <v>120</v>
      </c>
      <c r="B121" s="25" t="str">
        <f>IF($A121&gt;nrows,"",IF(col_user=0,"",INDEX('Paste Export'!$A$2:$BZ$1001,$A121,col_user)))</f>
        <v/>
      </c>
      <c r="C121" s="24" t="str">
        <f>IF($A121&gt;nrows,"",IF(col_days=0,0,N(INDEX('Paste Export'!$A$2:$BZ$1001,$A121,col_days))))</f>
        <v/>
      </c>
      <c r="D121" s="24" t="str">
        <f>IF($A121&gt;nrows,"",IF(col_prompts=0,0,N(INDEX('Paste Export'!$A$2:$BZ$1001,$A121,col_prompts))))</f>
        <v/>
      </c>
      <c r="E121" s="24" t="str">
        <f>IF($A121&gt;nrows,"",IF(col_web=0,0,N(INDEX('Paste Export'!$A$2:$BZ$1001,$A121,col_web))))</f>
        <v/>
      </c>
      <c r="F121" s="26" t="str">
        <f t="shared" si="8"/>
        <v/>
      </c>
      <c r="G121" s="27" t="str">
        <f t="shared" si="9"/>
        <v/>
      </c>
      <c r="H121" s="24" t="str">
        <f>IF($A121&gt;nrows,"",IF(col_s1=0,0,--(LEN(INDEX('Paste Export'!$A$2:$BZ$1001,$A121,col_s1))&gt;0))+IF(col_s2=0,0,--(LEN(INDEX('Paste Export'!$A$2:$BZ$1001,$A121,col_s2))&gt;0))+IF(col_s3=0,0,--(LEN(INDEX('Paste Export'!$A$2:$BZ$1001,$A121,col_s3))&gt;0))+IF(col_s4=0,0,--(LEN(INDEX('Paste Export'!$A$2:$BZ$1001,$A121,col_s4))&gt;0))+IF(col_s5=0,0,--(LEN(INDEX('Paste Export'!$A$2:$BZ$1001,$A121,col_s5))&gt;0))+IF(col_s6=0,0,--(LEN(INDEX('Paste Export'!$A$2:$BZ$1001,$A121,col_s6))&gt;0))+IF(col_s7=0,0,--(LEN(INDEX('Paste Export'!$A$2:$BZ$1001,$A121,col_s7))&gt;0))+IF(col_s8=0,0,--(LEN(INDEX('Paste Export'!$A$2:$BZ$1001,$A121,col_s8))&gt;0)))</f>
        <v/>
      </c>
      <c r="I121" s="25" t="str">
        <f t="shared" si="10"/>
        <v/>
      </c>
      <c r="J121" s="25" t="str">
        <f t="shared" si="11"/>
        <v/>
      </c>
      <c r="K121" s="24" t="str">
        <f t="shared" si="12"/>
        <v/>
      </c>
      <c r="L121" s="24" t="str">
        <f t="shared" si="13"/>
        <v/>
      </c>
    </row>
    <row r="122" spans="1:12" x14ac:dyDescent="0.25">
      <c r="A122" s="24">
        <f t="shared" si="7"/>
        <v>121</v>
      </c>
      <c r="B122" s="25" t="str">
        <f>IF($A122&gt;nrows,"",IF(col_user=0,"",INDEX('Paste Export'!$A$2:$BZ$1001,$A122,col_user)))</f>
        <v/>
      </c>
      <c r="C122" s="24" t="str">
        <f>IF($A122&gt;nrows,"",IF(col_days=0,0,N(INDEX('Paste Export'!$A$2:$BZ$1001,$A122,col_days))))</f>
        <v/>
      </c>
      <c r="D122" s="24" t="str">
        <f>IF($A122&gt;nrows,"",IF(col_prompts=0,0,N(INDEX('Paste Export'!$A$2:$BZ$1001,$A122,col_prompts))))</f>
        <v/>
      </c>
      <c r="E122" s="24" t="str">
        <f>IF($A122&gt;nrows,"",IF(col_web=0,0,N(INDEX('Paste Export'!$A$2:$BZ$1001,$A122,col_web))))</f>
        <v/>
      </c>
      <c r="F122" s="26" t="str">
        <f t="shared" si="8"/>
        <v/>
      </c>
      <c r="G122" s="27" t="str">
        <f t="shared" si="9"/>
        <v/>
      </c>
      <c r="H122" s="24" t="str">
        <f>IF($A122&gt;nrows,"",IF(col_s1=0,0,--(LEN(INDEX('Paste Export'!$A$2:$BZ$1001,$A122,col_s1))&gt;0))+IF(col_s2=0,0,--(LEN(INDEX('Paste Export'!$A$2:$BZ$1001,$A122,col_s2))&gt;0))+IF(col_s3=0,0,--(LEN(INDEX('Paste Export'!$A$2:$BZ$1001,$A122,col_s3))&gt;0))+IF(col_s4=0,0,--(LEN(INDEX('Paste Export'!$A$2:$BZ$1001,$A122,col_s4))&gt;0))+IF(col_s5=0,0,--(LEN(INDEX('Paste Export'!$A$2:$BZ$1001,$A122,col_s5))&gt;0))+IF(col_s6=0,0,--(LEN(INDEX('Paste Export'!$A$2:$BZ$1001,$A122,col_s6))&gt;0))+IF(col_s7=0,0,--(LEN(INDEX('Paste Export'!$A$2:$BZ$1001,$A122,col_s7))&gt;0))+IF(col_s8=0,0,--(LEN(INDEX('Paste Export'!$A$2:$BZ$1001,$A122,col_s8))&gt;0)))</f>
        <v/>
      </c>
      <c r="I122" s="25" t="str">
        <f t="shared" si="10"/>
        <v/>
      </c>
      <c r="J122" s="25" t="str">
        <f t="shared" si="11"/>
        <v/>
      </c>
      <c r="K122" s="24" t="str">
        <f t="shared" si="12"/>
        <v/>
      </c>
      <c r="L122" s="24" t="str">
        <f t="shared" si="13"/>
        <v/>
      </c>
    </row>
    <row r="123" spans="1:12" x14ac:dyDescent="0.25">
      <c r="A123" s="24">
        <f t="shared" si="7"/>
        <v>122</v>
      </c>
      <c r="B123" s="25" t="str">
        <f>IF($A123&gt;nrows,"",IF(col_user=0,"",INDEX('Paste Export'!$A$2:$BZ$1001,$A123,col_user)))</f>
        <v/>
      </c>
      <c r="C123" s="24" t="str">
        <f>IF($A123&gt;nrows,"",IF(col_days=0,0,N(INDEX('Paste Export'!$A$2:$BZ$1001,$A123,col_days))))</f>
        <v/>
      </c>
      <c r="D123" s="24" t="str">
        <f>IF($A123&gt;nrows,"",IF(col_prompts=0,0,N(INDEX('Paste Export'!$A$2:$BZ$1001,$A123,col_prompts))))</f>
        <v/>
      </c>
      <c r="E123" s="24" t="str">
        <f>IF($A123&gt;nrows,"",IF(col_web=0,0,N(INDEX('Paste Export'!$A$2:$BZ$1001,$A123,col_web))))</f>
        <v/>
      </c>
      <c r="F123" s="26" t="str">
        <f t="shared" si="8"/>
        <v/>
      </c>
      <c r="G123" s="27" t="str">
        <f t="shared" si="9"/>
        <v/>
      </c>
      <c r="H123" s="24" t="str">
        <f>IF($A123&gt;nrows,"",IF(col_s1=0,0,--(LEN(INDEX('Paste Export'!$A$2:$BZ$1001,$A123,col_s1))&gt;0))+IF(col_s2=0,0,--(LEN(INDEX('Paste Export'!$A$2:$BZ$1001,$A123,col_s2))&gt;0))+IF(col_s3=0,0,--(LEN(INDEX('Paste Export'!$A$2:$BZ$1001,$A123,col_s3))&gt;0))+IF(col_s4=0,0,--(LEN(INDEX('Paste Export'!$A$2:$BZ$1001,$A123,col_s4))&gt;0))+IF(col_s5=0,0,--(LEN(INDEX('Paste Export'!$A$2:$BZ$1001,$A123,col_s5))&gt;0))+IF(col_s6=0,0,--(LEN(INDEX('Paste Export'!$A$2:$BZ$1001,$A123,col_s6))&gt;0))+IF(col_s7=0,0,--(LEN(INDEX('Paste Export'!$A$2:$BZ$1001,$A123,col_s7))&gt;0))+IF(col_s8=0,0,--(LEN(INDEX('Paste Export'!$A$2:$BZ$1001,$A123,col_s8))&gt;0)))</f>
        <v/>
      </c>
      <c r="I123" s="25" t="str">
        <f t="shared" si="10"/>
        <v/>
      </c>
      <c r="J123" s="25" t="str">
        <f t="shared" si="11"/>
        <v/>
      </c>
      <c r="K123" s="24" t="str">
        <f t="shared" si="12"/>
        <v/>
      </c>
      <c r="L123" s="24" t="str">
        <f t="shared" si="13"/>
        <v/>
      </c>
    </row>
    <row r="124" spans="1:12" x14ac:dyDescent="0.25">
      <c r="A124" s="24">
        <f t="shared" si="7"/>
        <v>123</v>
      </c>
      <c r="B124" s="25" t="str">
        <f>IF($A124&gt;nrows,"",IF(col_user=0,"",INDEX('Paste Export'!$A$2:$BZ$1001,$A124,col_user)))</f>
        <v/>
      </c>
      <c r="C124" s="24" t="str">
        <f>IF($A124&gt;nrows,"",IF(col_days=0,0,N(INDEX('Paste Export'!$A$2:$BZ$1001,$A124,col_days))))</f>
        <v/>
      </c>
      <c r="D124" s="24" t="str">
        <f>IF($A124&gt;nrows,"",IF(col_prompts=0,0,N(INDEX('Paste Export'!$A$2:$BZ$1001,$A124,col_prompts))))</f>
        <v/>
      </c>
      <c r="E124" s="24" t="str">
        <f>IF($A124&gt;nrows,"",IF(col_web=0,0,N(INDEX('Paste Export'!$A$2:$BZ$1001,$A124,col_web))))</f>
        <v/>
      </c>
      <c r="F124" s="26" t="str">
        <f t="shared" si="8"/>
        <v/>
      </c>
      <c r="G124" s="27" t="str">
        <f t="shared" si="9"/>
        <v/>
      </c>
      <c r="H124" s="24" t="str">
        <f>IF($A124&gt;nrows,"",IF(col_s1=0,0,--(LEN(INDEX('Paste Export'!$A$2:$BZ$1001,$A124,col_s1))&gt;0))+IF(col_s2=0,0,--(LEN(INDEX('Paste Export'!$A$2:$BZ$1001,$A124,col_s2))&gt;0))+IF(col_s3=0,0,--(LEN(INDEX('Paste Export'!$A$2:$BZ$1001,$A124,col_s3))&gt;0))+IF(col_s4=0,0,--(LEN(INDEX('Paste Export'!$A$2:$BZ$1001,$A124,col_s4))&gt;0))+IF(col_s5=0,0,--(LEN(INDEX('Paste Export'!$A$2:$BZ$1001,$A124,col_s5))&gt;0))+IF(col_s6=0,0,--(LEN(INDEX('Paste Export'!$A$2:$BZ$1001,$A124,col_s6))&gt;0))+IF(col_s7=0,0,--(LEN(INDEX('Paste Export'!$A$2:$BZ$1001,$A124,col_s7))&gt;0))+IF(col_s8=0,0,--(LEN(INDEX('Paste Export'!$A$2:$BZ$1001,$A124,col_s8))&gt;0)))</f>
        <v/>
      </c>
      <c r="I124" s="25" t="str">
        <f t="shared" si="10"/>
        <v/>
      </c>
      <c r="J124" s="25" t="str">
        <f t="shared" si="11"/>
        <v/>
      </c>
      <c r="K124" s="24" t="str">
        <f t="shared" si="12"/>
        <v/>
      </c>
      <c r="L124" s="24" t="str">
        <f t="shared" si="13"/>
        <v/>
      </c>
    </row>
    <row r="125" spans="1:12" x14ac:dyDescent="0.25">
      <c r="A125" s="24">
        <f t="shared" si="7"/>
        <v>124</v>
      </c>
      <c r="B125" s="25" t="str">
        <f>IF($A125&gt;nrows,"",IF(col_user=0,"",INDEX('Paste Export'!$A$2:$BZ$1001,$A125,col_user)))</f>
        <v/>
      </c>
      <c r="C125" s="24" t="str">
        <f>IF($A125&gt;nrows,"",IF(col_days=0,0,N(INDEX('Paste Export'!$A$2:$BZ$1001,$A125,col_days))))</f>
        <v/>
      </c>
      <c r="D125" s="24" t="str">
        <f>IF($A125&gt;nrows,"",IF(col_prompts=0,0,N(INDEX('Paste Export'!$A$2:$BZ$1001,$A125,col_prompts))))</f>
        <v/>
      </c>
      <c r="E125" s="24" t="str">
        <f>IF($A125&gt;nrows,"",IF(col_web=0,0,N(INDEX('Paste Export'!$A$2:$BZ$1001,$A125,col_web))))</f>
        <v/>
      </c>
      <c r="F125" s="26" t="str">
        <f t="shared" si="8"/>
        <v/>
      </c>
      <c r="G125" s="27" t="str">
        <f t="shared" si="9"/>
        <v/>
      </c>
      <c r="H125" s="24" t="str">
        <f>IF($A125&gt;nrows,"",IF(col_s1=0,0,--(LEN(INDEX('Paste Export'!$A$2:$BZ$1001,$A125,col_s1))&gt;0))+IF(col_s2=0,0,--(LEN(INDEX('Paste Export'!$A$2:$BZ$1001,$A125,col_s2))&gt;0))+IF(col_s3=0,0,--(LEN(INDEX('Paste Export'!$A$2:$BZ$1001,$A125,col_s3))&gt;0))+IF(col_s4=0,0,--(LEN(INDEX('Paste Export'!$A$2:$BZ$1001,$A125,col_s4))&gt;0))+IF(col_s5=0,0,--(LEN(INDEX('Paste Export'!$A$2:$BZ$1001,$A125,col_s5))&gt;0))+IF(col_s6=0,0,--(LEN(INDEX('Paste Export'!$A$2:$BZ$1001,$A125,col_s6))&gt;0))+IF(col_s7=0,0,--(LEN(INDEX('Paste Export'!$A$2:$BZ$1001,$A125,col_s7))&gt;0))+IF(col_s8=0,0,--(LEN(INDEX('Paste Export'!$A$2:$BZ$1001,$A125,col_s8))&gt;0)))</f>
        <v/>
      </c>
      <c r="I125" s="25" t="str">
        <f t="shared" si="10"/>
        <v/>
      </c>
      <c r="J125" s="25" t="str">
        <f t="shared" si="11"/>
        <v/>
      </c>
      <c r="K125" s="24" t="str">
        <f t="shared" si="12"/>
        <v/>
      </c>
      <c r="L125" s="24" t="str">
        <f t="shared" si="13"/>
        <v/>
      </c>
    </row>
    <row r="126" spans="1:12" x14ac:dyDescent="0.25">
      <c r="A126" s="24">
        <f t="shared" si="7"/>
        <v>125</v>
      </c>
      <c r="B126" s="25" t="str">
        <f>IF($A126&gt;nrows,"",IF(col_user=0,"",INDEX('Paste Export'!$A$2:$BZ$1001,$A126,col_user)))</f>
        <v/>
      </c>
      <c r="C126" s="24" t="str">
        <f>IF($A126&gt;nrows,"",IF(col_days=0,0,N(INDEX('Paste Export'!$A$2:$BZ$1001,$A126,col_days))))</f>
        <v/>
      </c>
      <c r="D126" s="24" t="str">
        <f>IF($A126&gt;nrows,"",IF(col_prompts=0,0,N(INDEX('Paste Export'!$A$2:$BZ$1001,$A126,col_prompts))))</f>
        <v/>
      </c>
      <c r="E126" s="24" t="str">
        <f>IF($A126&gt;nrows,"",IF(col_web=0,0,N(INDEX('Paste Export'!$A$2:$BZ$1001,$A126,col_web))))</f>
        <v/>
      </c>
      <c r="F126" s="26" t="str">
        <f t="shared" si="8"/>
        <v/>
      </c>
      <c r="G126" s="27" t="str">
        <f t="shared" si="9"/>
        <v/>
      </c>
      <c r="H126" s="24" t="str">
        <f>IF($A126&gt;nrows,"",IF(col_s1=0,0,--(LEN(INDEX('Paste Export'!$A$2:$BZ$1001,$A126,col_s1))&gt;0))+IF(col_s2=0,0,--(LEN(INDEX('Paste Export'!$A$2:$BZ$1001,$A126,col_s2))&gt;0))+IF(col_s3=0,0,--(LEN(INDEX('Paste Export'!$A$2:$BZ$1001,$A126,col_s3))&gt;0))+IF(col_s4=0,0,--(LEN(INDEX('Paste Export'!$A$2:$BZ$1001,$A126,col_s4))&gt;0))+IF(col_s5=0,0,--(LEN(INDEX('Paste Export'!$A$2:$BZ$1001,$A126,col_s5))&gt;0))+IF(col_s6=0,0,--(LEN(INDEX('Paste Export'!$A$2:$BZ$1001,$A126,col_s6))&gt;0))+IF(col_s7=0,0,--(LEN(INDEX('Paste Export'!$A$2:$BZ$1001,$A126,col_s7))&gt;0))+IF(col_s8=0,0,--(LEN(INDEX('Paste Export'!$A$2:$BZ$1001,$A126,col_s8))&gt;0)))</f>
        <v/>
      </c>
      <c r="I126" s="25" t="str">
        <f t="shared" si="10"/>
        <v/>
      </c>
      <c r="J126" s="25" t="str">
        <f t="shared" si="11"/>
        <v/>
      </c>
      <c r="K126" s="24" t="str">
        <f t="shared" si="12"/>
        <v/>
      </c>
      <c r="L126" s="24" t="str">
        <f t="shared" si="13"/>
        <v/>
      </c>
    </row>
    <row r="127" spans="1:12" x14ac:dyDescent="0.25">
      <c r="A127" s="24">
        <f t="shared" si="7"/>
        <v>126</v>
      </c>
      <c r="B127" s="25" t="str">
        <f>IF($A127&gt;nrows,"",IF(col_user=0,"",INDEX('Paste Export'!$A$2:$BZ$1001,$A127,col_user)))</f>
        <v/>
      </c>
      <c r="C127" s="24" t="str">
        <f>IF($A127&gt;nrows,"",IF(col_days=0,0,N(INDEX('Paste Export'!$A$2:$BZ$1001,$A127,col_days))))</f>
        <v/>
      </c>
      <c r="D127" s="24" t="str">
        <f>IF($A127&gt;nrows,"",IF(col_prompts=0,0,N(INDEX('Paste Export'!$A$2:$BZ$1001,$A127,col_prompts))))</f>
        <v/>
      </c>
      <c r="E127" s="24" t="str">
        <f>IF($A127&gt;nrows,"",IF(col_web=0,0,N(INDEX('Paste Export'!$A$2:$BZ$1001,$A127,col_web))))</f>
        <v/>
      </c>
      <c r="F127" s="26" t="str">
        <f t="shared" si="8"/>
        <v/>
      </c>
      <c r="G127" s="27" t="str">
        <f t="shared" si="9"/>
        <v/>
      </c>
      <c r="H127" s="24" t="str">
        <f>IF($A127&gt;nrows,"",IF(col_s1=0,0,--(LEN(INDEX('Paste Export'!$A$2:$BZ$1001,$A127,col_s1))&gt;0))+IF(col_s2=0,0,--(LEN(INDEX('Paste Export'!$A$2:$BZ$1001,$A127,col_s2))&gt;0))+IF(col_s3=0,0,--(LEN(INDEX('Paste Export'!$A$2:$BZ$1001,$A127,col_s3))&gt;0))+IF(col_s4=0,0,--(LEN(INDEX('Paste Export'!$A$2:$BZ$1001,$A127,col_s4))&gt;0))+IF(col_s5=0,0,--(LEN(INDEX('Paste Export'!$A$2:$BZ$1001,$A127,col_s5))&gt;0))+IF(col_s6=0,0,--(LEN(INDEX('Paste Export'!$A$2:$BZ$1001,$A127,col_s6))&gt;0))+IF(col_s7=0,0,--(LEN(INDEX('Paste Export'!$A$2:$BZ$1001,$A127,col_s7))&gt;0))+IF(col_s8=0,0,--(LEN(INDEX('Paste Export'!$A$2:$BZ$1001,$A127,col_s8))&gt;0)))</f>
        <v/>
      </c>
      <c r="I127" s="25" t="str">
        <f t="shared" si="10"/>
        <v/>
      </c>
      <c r="J127" s="25" t="str">
        <f t="shared" si="11"/>
        <v/>
      </c>
      <c r="K127" s="24" t="str">
        <f t="shared" si="12"/>
        <v/>
      </c>
      <c r="L127" s="24" t="str">
        <f t="shared" si="13"/>
        <v/>
      </c>
    </row>
    <row r="128" spans="1:12" x14ac:dyDescent="0.25">
      <c r="A128" s="24">
        <f t="shared" si="7"/>
        <v>127</v>
      </c>
      <c r="B128" s="25" t="str">
        <f>IF($A128&gt;nrows,"",IF(col_user=0,"",INDEX('Paste Export'!$A$2:$BZ$1001,$A128,col_user)))</f>
        <v/>
      </c>
      <c r="C128" s="24" t="str">
        <f>IF($A128&gt;nrows,"",IF(col_days=0,0,N(INDEX('Paste Export'!$A$2:$BZ$1001,$A128,col_days))))</f>
        <v/>
      </c>
      <c r="D128" s="24" t="str">
        <f>IF($A128&gt;nrows,"",IF(col_prompts=0,0,N(INDEX('Paste Export'!$A$2:$BZ$1001,$A128,col_prompts))))</f>
        <v/>
      </c>
      <c r="E128" s="24" t="str">
        <f>IF($A128&gt;nrows,"",IF(col_web=0,0,N(INDEX('Paste Export'!$A$2:$BZ$1001,$A128,col_web))))</f>
        <v/>
      </c>
      <c r="F128" s="26" t="str">
        <f t="shared" si="8"/>
        <v/>
      </c>
      <c r="G128" s="27" t="str">
        <f t="shared" si="9"/>
        <v/>
      </c>
      <c r="H128" s="24" t="str">
        <f>IF($A128&gt;nrows,"",IF(col_s1=0,0,--(LEN(INDEX('Paste Export'!$A$2:$BZ$1001,$A128,col_s1))&gt;0))+IF(col_s2=0,0,--(LEN(INDEX('Paste Export'!$A$2:$BZ$1001,$A128,col_s2))&gt;0))+IF(col_s3=0,0,--(LEN(INDEX('Paste Export'!$A$2:$BZ$1001,$A128,col_s3))&gt;0))+IF(col_s4=0,0,--(LEN(INDEX('Paste Export'!$A$2:$BZ$1001,$A128,col_s4))&gt;0))+IF(col_s5=0,0,--(LEN(INDEX('Paste Export'!$A$2:$BZ$1001,$A128,col_s5))&gt;0))+IF(col_s6=0,0,--(LEN(INDEX('Paste Export'!$A$2:$BZ$1001,$A128,col_s6))&gt;0))+IF(col_s7=0,0,--(LEN(INDEX('Paste Export'!$A$2:$BZ$1001,$A128,col_s7))&gt;0))+IF(col_s8=0,0,--(LEN(INDEX('Paste Export'!$A$2:$BZ$1001,$A128,col_s8))&gt;0)))</f>
        <v/>
      </c>
      <c r="I128" s="25" t="str">
        <f t="shared" si="10"/>
        <v/>
      </c>
      <c r="J128" s="25" t="str">
        <f t="shared" si="11"/>
        <v/>
      </c>
      <c r="K128" s="24" t="str">
        <f t="shared" si="12"/>
        <v/>
      </c>
      <c r="L128" s="24" t="str">
        <f t="shared" si="13"/>
        <v/>
      </c>
    </row>
    <row r="129" spans="1:12" x14ac:dyDescent="0.25">
      <c r="A129" s="24">
        <f t="shared" si="7"/>
        <v>128</v>
      </c>
      <c r="B129" s="25" t="str">
        <f>IF($A129&gt;nrows,"",IF(col_user=0,"",INDEX('Paste Export'!$A$2:$BZ$1001,$A129,col_user)))</f>
        <v/>
      </c>
      <c r="C129" s="24" t="str">
        <f>IF($A129&gt;nrows,"",IF(col_days=0,0,N(INDEX('Paste Export'!$A$2:$BZ$1001,$A129,col_days))))</f>
        <v/>
      </c>
      <c r="D129" s="24" t="str">
        <f>IF($A129&gt;nrows,"",IF(col_prompts=0,0,N(INDEX('Paste Export'!$A$2:$BZ$1001,$A129,col_prompts))))</f>
        <v/>
      </c>
      <c r="E129" s="24" t="str">
        <f>IF($A129&gt;nrows,"",IF(col_web=0,0,N(INDEX('Paste Export'!$A$2:$BZ$1001,$A129,col_web))))</f>
        <v/>
      </c>
      <c r="F129" s="26" t="str">
        <f t="shared" si="8"/>
        <v/>
      </c>
      <c r="G129" s="27" t="str">
        <f t="shared" si="9"/>
        <v/>
      </c>
      <c r="H129" s="24" t="str">
        <f>IF($A129&gt;nrows,"",IF(col_s1=0,0,--(LEN(INDEX('Paste Export'!$A$2:$BZ$1001,$A129,col_s1))&gt;0))+IF(col_s2=0,0,--(LEN(INDEX('Paste Export'!$A$2:$BZ$1001,$A129,col_s2))&gt;0))+IF(col_s3=0,0,--(LEN(INDEX('Paste Export'!$A$2:$BZ$1001,$A129,col_s3))&gt;0))+IF(col_s4=0,0,--(LEN(INDEX('Paste Export'!$A$2:$BZ$1001,$A129,col_s4))&gt;0))+IF(col_s5=0,0,--(LEN(INDEX('Paste Export'!$A$2:$BZ$1001,$A129,col_s5))&gt;0))+IF(col_s6=0,0,--(LEN(INDEX('Paste Export'!$A$2:$BZ$1001,$A129,col_s6))&gt;0))+IF(col_s7=0,0,--(LEN(INDEX('Paste Export'!$A$2:$BZ$1001,$A129,col_s7))&gt;0))+IF(col_s8=0,0,--(LEN(INDEX('Paste Export'!$A$2:$BZ$1001,$A129,col_s8))&gt;0)))</f>
        <v/>
      </c>
      <c r="I129" s="25" t="str">
        <f t="shared" si="10"/>
        <v/>
      </c>
      <c r="J129" s="25" t="str">
        <f t="shared" si="11"/>
        <v/>
      </c>
      <c r="K129" s="24" t="str">
        <f t="shared" si="12"/>
        <v/>
      </c>
      <c r="L129" s="24" t="str">
        <f t="shared" si="13"/>
        <v/>
      </c>
    </row>
    <row r="130" spans="1:12" x14ac:dyDescent="0.25">
      <c r="A130" s="24">
        <f t="shared" ref="A130:A193" si="14">ROW()-1</f>
        <v>129</v>
      </c>
      <c r="B130" s="25" t="str">
        <f>IF($A130&gt;nrows,"",IF(col_user=0,"",INDEX('Paste Export'!$A$2:$BZ$1001,$A130,col_user)))</f>
        <v/>
      </c>
      <c r="C130" s="24" t="str">
        <f>IF($A130&gt;nrows,"",IF(col_days=0,0,N(INDEX('Paste Export'!$A$2:$BZ$1001,$A130,col_days))))</f>
        <v/>
      </c>
      <c r="D130" s="24" t="str">
        <f>IF($A130&gt;nrows,"",IF(col_prompts=0,0,N(INDEX('Paste Export'!$A$2:$BZ$1001,$A130,col_prompts))))</f>
        <v/>
      </c>
      <c r="E130" s="24" t="str">
        <f>IF($A130&gt;nrows,"",IF(col_web=0,0,N(INDEX('Paste Export'!$A$2:$BZ$1001,$A130,col_web))))</f>
        <v/>
      </c>
      <c r="F130" s="26" t="str">
        <f t="shared" ref="F130:F193" si="15">IF($A130&gt;nrows,"",IFERROR($D130/$C130,0))</f>
        <v/>
      </c>
      <c r="G130" s="27" t="str">
        <f t="shared" ref="G130:G193" si="16">IF($A130&gt;nrows,"",IFERROR($E130/$D130,""))</f>
        <v/>
      </c>
      <c r="H130" s="24" t="str">
        <f>IF($A130&gt;nrows,"",IF(col_s1=0,0,--(LEN(INDEX('Paste Export'!$A$2:$BZ$1001,$A130,col_s1))&gt;0))+IF(col_s2=0,0,--(LEN(INDEX('Paste Export'!$A$2:$BZ$1001,$A130,col_s2))&gt;0))+IF(col_s3=0,0,--(LEN(INDEX('Paste Export'!$A$2:$BZ$1001,$A130,col_s3))&gt;0))+IF(col_s4=0,0,--(LEN(INDEX('Paste Export'!$A$2:$BZ$1001,$A130,col_s4))&gt;0))+IF(col_s5=0,0,--(LEN(INDEX('Paste Export'!$A$2:$BZ$1001,$A130,col_s5))&gt;0))+IF(col_s6=0,0,--(LEN(INDEX('Paste Export'!$A$2:$BZ$1001,$A130,col_s6))&gt;0))+IF(col_s7=0,0,--(LEN(INDEX('Paste Export'!$A$2:$BZ$1001,$A130,col_s7))&gt;0))+IF(col_s8=0,0,--(LEN(INDEX('Paste Export'!$A$2:$BZ$1001,$A130,col_s8))&gt;0)))</f>
        <v/>
      </c>
      <c r="I130" s="25" t="str">
        <f t="shared" ref="I130:I193" si="17">IF($A130&gt;nrows,"",IF($C130&gt;=freq_line,IF($D130&gt;=depth_line,"Embedded","Loyal but shallow"),IF($D130&gt;=depth_line,"Project-driven","Drifting")))</f>
        <v/>
      </c>
      <c r="J130" s="25" t="str">
        <f t="shared" ref="J130:J193" si="18">IF($A130&gt;nrows,"",IF($I130="Drifting",IF($H130&gt;=3,"tried and stopped","never started"),""))</f>
        <v/>
      </c>
      <c r="K130" s="24" t="str">
        <f t="shared" ref="K130:K193" si="19">IF($A130&gt;nrows,"",MAX($D130,1))</f>
        <v/>
      </c>
      <c r="L130" s="24" t="str">
        <f t="shared" ref="L130:L193" si="20">IF($A130&gt;nrows,"",IF(AND($C130=0,$D130=0),1,0))</f>
        <v/>
      </c>
    </row>
    <row r="131" spans="1:12" x14ac:dyDescent="0.25">
      <c r="A131" s="24">
        <f t="shared" si="14"/>
        <v>130</v>
      </c>
      <c r="B131" s="25" t="str">
        <f>IF($A131&gt;nrows,"",IF(col_user=0,"",INDEX('Paste Export'!$A$2:$BZ$1001,$A131,col_user)))</f>
        <v/>
      </c>
      <c r="C131" s="24" t="str">
        <f>IF($A131&gt;nrows,"",IF(col_days=0,0,N(INDEX('Paste Export'!$A$2:$BZ$1001,$A131,col_days))))</f>
        <v/>
      </c>
      <c r="D131" s="24" t="str">
        <f>IF($A131&gt;nrows,"",IF(col_prompts=0,0,N(INDEX('Paste Export'!$A$2:$BZ$1001,$A131,col_prompts))))</f>
        <v/>
      </c>
      <c r="E131" s="24" t="str">
        <f>IF($A131&gt;nrows,"",IF(col_web=0,0,N(INDEX('Paste Export'!$A$2:$BZ$1001,$A131,col_web))))</f>
        <v/>
      </c>
      <c r="F131" s="26" t="str">
        <f t="shared" si="15"/>
        <v/>
      </c>
      <c r="G131" s="27" t="str">
        <f t="shared" si="16"/>
        <v/>
      </c>
      <c r="H131" s="24" t="str">
        <f>IF($A131&gt;nrows,"",IF(col_s1=0,0,--(LEN(INDEX('Paste Export'!$A$2:$BZ$1001,$A131,col_s1))&gt;0))+IF(col_s2=0,0,--(LEN(INDEX('Paste Export'!$A$2:$BZ$1001,$A131,col_s2))&gt;0))+IF(col_s3=0,0,--(LEN(INDEX('Paste Export'!$A$2:$BZ$1001,$A131,col_s3))&gt;0))+IF(col_s4=0,0,--(LEN(INDEX('Paste Export'!$A$2:$BZ$1001,$A131,col_s4))&gt;0))+IF(col_s5=0,0,--(LEN(INDEX('Paste Export'!$A$2:$BZ$1001,$A131,col_s5))&gt;0))+IF(col_s6=0,0,--(LEN(INDEX('Paste Export'!$A$2:$BZ$1001,$A131,col_s6))&gt;0))+IF(col_s7=0,0,--(LEN(INDEX('Paste Export'!$A$2:$BZ$1001,$A131,col_s7))&gt;0))+IF(col_s8=0,0,--(LEN(INDEX('Paste Export'!$A$2:$BZ$1001,$A131,col_s8))&gt;0)))</f>
        <v/>
      </c>
      <c r="I131" s="25" t="str">
        <f t="shared" si="17"/>
        <v/>
      </c>
      <c r="J131" s="25" t="str">
        <f t="shared" si="18"/>
        <v/>
      </c>
      <c r="K131" s="24" t="str">
        <f t="shared" si="19"/>
        <v/>
      </c>
      <c r="L131" s="24" t="str">
        <f t="shared" si="20"/>
        <v/>
      </c>
    </row>
    <row r="132" spans="1:12" x14ac:dyDescent="0.25">
      <c r="A132" s="24">
        <f t="shared" si="14"/>
        <v>131</v>
      </c>
      <c r="B132" s="25" t="str">
        <f>IF($A132&gt;nrows,"",IF(col_user=0,"",INDEX('Paste Export'!$A$2:$BZ$1001,$A132,col_user)))</f>
        <v/>
      </c>
      <c r="C132" s="24" t="str">
        <f>IF($A132&gt;nrows,"",IF(col_days=0,0,N(INDEX('Paste Export'!$A$2:$BZ$1001,$A132,col_days))))</f>
        <v/>
      </c>
      <c r="D132" s="24" t="str">
        <f>IF($A132&gt;nrows,"",IF(col_prompts=0,0,N(INDEX('Paste Export'!$A$2:$BZ$1001,$A132,col_prompts))))</f>
        <v/>
      </c>
      <c r="E132" s="24" t="str">
        <f>IF($A132&gt;nrows,"",IF(col_web=0,0,N(INDEX('Paste Export'!$A$2:$BZ$1001,$A132,col_web))))</f>
        <v/>
      </c>
      <c r="F132" s="26" t="str">
        <f t="shared" si="15"/>
        <v/>
      </c>
      <c r="G132" s="27" t="str">
        <f t="shared" si="16"/>
        <v/>
      </c>
      <c r="H132" s="24" t="str">
        <f>IF($A132&gt;nrows,"",IF(col_s1=0,0,--(LEN(INDEX('Paste Export'!$A$2:$BZ$1001,$A132,col_s1))&gt;0))+IF(col_s2=0,0,--(LEN(INDEX('Paste Export'!$A$2:$BZ$1001,$A132,col_s2))&gt;0))+IF(col_s3=0,0,--(LEN(INDEX('Paste Export'!$A$2:$BZ$1001,$A132,col_s3))&gt;0))+IF(col_s4=0,0,--(LEN(INDEX('Paste Export'!$A$2:$BZ$1001,$A132,col_s4))&gt;0))+IF(col_s5=0,0,--(LEN(INDEX('Paste Export'!$A$2:$BZ$1001,$A132,col_s5))&gt;0))+IF(col_s6=0,0,--(LEN(INDEX('Paste Export'!$A$2:$BZ$1001,$A132,col_s6))&gt;0))+IF(col_s7=0,0,--(LEN(INDEX('Paste Export'!$A$2:$BZ$1001,$A132,col_s7))&gt;0))+IF(col_s8=0,0,--(LEN(INDEX('Paste Export'!$A$2:$BZ$1001,$A132,col_s8))&gt;0)))</f>
        <v/>
      </c>
      <c r="I132" s="25" t="str">
        <f t="shared" si="17"/>
        <v/>
      </c>
      <c r="J132" s="25" t="str">
        <f t="shared" si="18"/>
        <v/>
      </c>
      <c r="K132" s="24" t="str">
        <f t="shared" si="19"/>
        <v/>
      </c>
      <c r="L132" s="24" t="str">
        <f t="shared" si="20"/>
        <v/>
      </c>
    </row>
    <row r="133" spans="1:12" x14ac:dyDescent="0.25">
      <c r="A133" s="24">
        <f t="shared" si="14"/>
        <v>132</v>
      </c>
      <c r="B133" s="25" t="str">
        <f>IF($A133&gt;nrows,"",IF(col_user=0,"",INDEX('Paste Export'!$A$2:$BZ$1001,$A133,col_user)))</f>
        <v/>
      </c>
      <c r="C133" s="24" t="str">
        <f>IF($A133&gt;nrows,"",IF(col_days=0,0,N(INDEX('Paste Export'!$A$2:$BZ$1001,$A133,col_days))))</f>
        <v/>
      </c>
      <c r="D133" s="24" t="str">
        <f>IF($A133&gt;nrows,"",IF(col_prompts=0,0,N(INDEX('Paste Export'!$A$2:$BZ$1001,$A133,col_prompts))))</f>
        <v/>
      </c>
      <c r="E133" s="24" t="str">
        <f>IF($A133&gt;nrows,"",IF(col_web=0,0,N(INDEX('Paste Export'!$A$2:$BZ$1001,$A133,col_web))))</f>
        <v/>
      </c>
      <c r="F133" s="26" t="str">
        <f t="shared" si="15"/>
        <v/>
      </c>
      <c r="G133" s="27" t="str">
        <f t="shared" si="16"/>
        <v/>
      </c>
      <c r="H133" s="24" t="str">
        <f>IF($A133&gt;nrows,"",IF(col_s1=0,0,--(LEN(INDEX('Paste Export'!$A$2:$BZ$1001,$A133,col_s1))&gt;0))+IF(col_s2=0,0,--(LEN(INDEX('Paste Export'!$A$2:$BZ$1001,$A133,col_s2))&gt;0))+IF(col_s3=0,0,--(LEN(INDEX('Paste Export'!$A$2:$BZ$1001,$A133,col_s3))&gt;0))+IF(col_s4=0,0,--(LEN(INDEX('Paste Export'!$A$2:$BZ$1001,$A133,col_s4))&gt;0))+IF(col_s5=0,0,--(LEN(INDEX('Paste Export'!$A$2:$BZ$1001,$A133,col_s5))&gt;0))+IF(col_s6=0,0,--(LEN(INDEX('Paste Export'!$A$2:$BZ$1001,$A133,col_s6))&gt;0))+IF(col_s7=0,0,--(LEN(INDEX('Paste Export'!$A$2:$BZ$1001,$A133,col_s7))&gt;0))+IF(col_s8=0,0,--(LEN(INDEX('Paste Export'!$A$2:$BZ$1001,$A133,col_s8))&gt;0)))</f>
        <v/>
      </c>
      <c r="I133" s="25" t="str">
        <f t="shared" si="17"/>
        <v/>
      </c>
      <c r="J133" s="25" t="str">
        <f t="shared" si="18"/>
        <v/>
      </c>
      <c r="K133" s="24" t="str">
        <f t="shared" si="19"/>
        <v/>
      </c>
      <c r="L133" s="24" t="str">
        <f t="shared" si="20"/>
        <v/>
      </c>
    </row>
    <row r="134" spans="1:12" x14ac:dyDescent="0.25">
      <c r="A134" s="24">
        <f t="shared" si="14"/>
        <v>133</v>
      </c>
      <c r="B134" s="25" t="str">
        <f>IF($A134&gt;nrows,"",IF(col_user=0,"",INDEX('Paste Export'!$A$2:$BZ$1001,$A134,col_user)))</f>
        <v/>
      </c>
      <c r="C134" s="24" t="str">
        <f>IF($A134&gt;nrows,"",IF(col_days=0,0,N(INDEX('Paste Export'!$A$2:$BZ$1001,$A134,col_days))))</f>
        <v/>
      </c>
      <c r="D134" s="24" t="str">
        <f>IF($A134&gt;nrows,"",IF(col_prompts=0,0,N(INDEX('Paste Export'!$A$2:$BZ$1001,$A134,col_prompts))))</f>
        <v/>
      </c>
      <c r="E134" s="24" t="str">
        <f>IF($A134&gt;nrows,"",IF(col_web=0,0,N(INDEX('Paste Export'!$A$2:$BZ$1001,$A134,col_web))))</f>
        <v/>
      </c>
      <c r="F134" s="26" t="str">
        <f t="shared" si="15"/>
        <v/>
      </c>
      <c r="G134" s="27" t="str">
        <f t="shared" si="16"/>
        <v/>
      </c>
      <c r="H134" s="24" t="str">
        <f>IF($A134&gt;nrows,"",IF(col_s1=0,0,--(LEN(INDEX('Paste Export'!$A$2:$BZ$1001,$A134,col_s1))&gt;0))+IF(col_s2=0,0,--(LEN(INDEX('Paste Export'!$A$2:$BZ$1001,$A134,col_s2))&gt;0))+IF(col_s3=0,0,--(LEN(INDEX('Paste Export'!$A$2:$BZ$1001,$A134,col_s3))&gt;0))+IF(col_s4=0,0,--(LEN(INDEX('Paste Export'!$A$2:$BZ$1001,$A134,col_s4))&gt;0))+IF(col_s5=0,0,--(LEN(INDEX('Paste Export'!$A$2:$BZ$1001,$A134,col_s5))&gt;0))+IF(col_s6=0,0,--(LEN(INDEX('Paste Export'!$A$2:$BZ$1001,$A134,col_s6))&gt;0))+IF(col_s7=0,0,--(LEN(INDEX('Paste Export'!$A$2:$BZ$1001,$A134,col_s7))&gt;0))+IF(col_s8=0,0,--(LEN(INDEX('Paste Export'!$A$2:$BZ$1001,$A134,col_s8))&gt;0)))</f>
        <v/>
      </c>
      <c r="I134" s="25" t="str">
        <f t="shared" si="17"/>
        <v/>
      </c>
      <c r="J134" s="25" t="str">
        <f t="shared" si="18"/>
        <v/>
      </c>
      <c r="K134" s="24" t="str">
        <f t="shared" si="19"/>
        <v/>
      </c>
      <c r="L134" s="24" t="str">
        <f t="shared" si="20"/>
        <v/>
      </c>
    </row>
    <row r="135" spans="1:12" x14ac:dyDescent="0.25">
      <c r="A135" s="24">
        <f t="shared" si="14"/>
        <v>134</v>
      </c>
      <c r="B135" s="25" t="str">
        <f>IF($A135&gt;nrows,"",IF(col_user=0,"",INDEX('Paste Export'!$A$2:$BZ$1001,$A135,col_user)))</f>
        <v/>
      </c>
      <c r="C135" s="24" t="str">
        <f>IF($A135&gt;nrows,"",IF(col_days=0,0,N(INDEX('Paste Export'!$A$2:$BZ$1001,$A135,col_days))))</f>
        <v/>
      </c>
      <c r="D135" s="24" t="str">
        <f>IF($A135&gt;nrows,"",IF(col_prompts=0,0,N(INDEX('Paste Export'!$A$2:$BZ$1001,$A135,col_prompts))))</f>
        <v/>
      </c>
      <c r="E135" s="24" t="str">
        <f>IF($A135&gt;nrows,"",IF(col_web=0,0,N(INDEX('Paste Export'!$A$2:$BZ$1001,$A135,col_web))))</f>
        <v/>
      </c>
      <c r="F135" s="26" t="str">
        <f t="shared" si="15"/>
        <v/>
      </c>
      <c r="G135" s="27" t="str">
        <f t="shared" si="16"/>
        <v/>
      </c>
      <c r="H135" s="24" t="str">
        <f>IF($A135&gt;nrows,"",IF(col_s1=0,0,--(LEN(INDEX('Paste Export'!$A$2:$BZ$1001,$A135,col_s1))&gt;0))+IF(col_s2=0,0,--(LEN(INDEX('Paste Export'!$A$2:$BZ$1001,$A135,col_s2))&gt;0))+IF(col_s3=0,0,--(LEN(INDEX('Paste Export'!$A$2:$BZ$1001,$A135,col_s3))&gt;0))+IF(col_s4=0,0,--(LEN(INDEX('Paste Export'!$A$2:$BZ$1001,$A135,col_s4))&gt;0))+IF(col_s5=0,0,--(LEN(INDEX('Paste Export'!$A$2:$BZ$1001,$A135,col_s5))&gt;0))+IF(col_s6=0,0,--(LEN(INDEX('Paste Export'!$A$2:$BZ$1001,$A135,col_s6))&gt;0))+IF(col_s7=0,0,--(LEN(INDEX('Paste Export'!$A$2:$BZ$1001,$A135,col_s7))&gt;0))+IF(col_s8=0,0,--(LEN(INDEX('Paste Export'!$A$2:$BZ$1001,$A135,col_s8))&gt;0)))</f>
        <v/>
      </c>
      <c r="I135" s="25" t="str">
        <f t="shared" si="17"/>
        <v/>
      </c>
      <c r="J135" s="25" t="str">
        <f t="shared" si="18"/>
        <v/>
      </c>
      <c r="K135" s="24" t="str">
        <f t="shared" si="19"/>
        <v/>
      </c>
      <c r="L135" s="24" t="str">
        <f t="shared" si="20"/>
        <v/>
      </c>
    </row>
    <row r="136" spans="1:12" x14ac:dyDescent="0.25">
      <c r="A136" s="24">
        <f t="shared" si="14"/>
        <v>135</v>
      </c>
      <c r="B136" s="25" t="str">
        <f>IF($A136&gt;nrows,"",IF(col_user=0,"",INDEX('Paste Export'!$A$2:$BZ$1001,$A136,col_user)))</f>
        <v/>
      </c>
      <c r="C136" s="24" t="str">
        <f>IF($A136&gt;nrows,"",IF(col_days=0,0,N(INDEX('Paste Export'!$A$2:$BZ$1001,$A136,col_days))))</f>
        <v/>
      </c>
      <c r="D136" s="24" t="str">
        <f>IF($A136&gt;nrows,"",IF(col_prompts=0,0,N(INDEX('Paste Export'!$A$2:$BZ$1001,$A136,col_prompts))))</f>
        <v/>
      </c>
      <c r="E136" s="24" t="str">
        <f>IF($A136&gt;nrows,"",IF(col_web=0,0,N(INDEX('Paste Export'!$A$2:$BZ$1001,$A136,col_web))))</f>
        <v/>
      </c>
      <c r="F136" s="26" t="str">
        <f t="shared" si="15"/>
        <v/>
      </c>
      <c r="G136" s="27" t="str">
        <f t="shared" si="16"/>
        <v/>
      </c>
      <c r="H136" s="24" t="str">
        <f>IF($A136&gt;nrows,"",IF(col_s1=0,0,--(LEN(INDEX('Paste Export'!$A$2:$BZ$1001,$A136,col_s1))&gt;0))+IF(col_s2=0,0,--(LEN(INDEX('Paste Export'!$A$2:$BZ$1001,$A136,col_s2))&gt;0))+IF(col_s3=0,0,--(LEN(INDEX('Paste Export'!$A$2:$BZ$1001,$A136,col_s3))&gt;0))+IF(col_s4=0,0,--(LEN(INDEX('Paste Export'!$A$2:$BZ$1001,$A136,col_s4))&gt;0))+IF(col_s5=0,0,--(LEN(INDEX('Paste Export'!$A$2:$BZ$1001,$A136,col_s5))&gt;0))+IF(col_s6=0,0,--(LEN(INDEX('Paste Export'!$A$2:$BZ$1001,$A136,col_s6))&gt;0))+IF(col_s7=0,0,--(LEN(INDEX('Paste Export'!$A$2:$BZ$1001,$A136,col_s7))&gt;0))+IF(col_s8=0,0,--(LEN(INDEX('Paste Export'!$A$2:$BZ$1001,$A136,col_s8))&gt;0)))</f>
        <v/>
      </c>
      <c r="I136" s="25" t="str">
        <f t="shared" si="17"/>
        <v/>
      </c>
      <c r="J136" s="25" t="str">
        <f t="shared" si="18"/>
        <v/>
      </c>
      <c r="K136" s="24" t="str">
        <f t="shared" si="19"/>
        <v/>
      </c>
      <c r="L136" s="24" t="str">
        <f t="shared" si="20"/>
        <v/>
      </c>
    </row>
    <row r="137" spans="1:12" x14ac:dyDescent="0.25">
      <c r="A137" s="24">
        <f t="shared" si="14"/>
        <v>136</v>
      </c>
      <c r="B137" s="25" t="str">
        <f>IF($A137&gt;nrows,"",IF(col_user=0,"",INDEX('Paste Export'!$A$2:$BZ$1001,$A137,col_user)))</f>
        <v/>
      </c>
      <c r="C137" s="24" t="str">
        <f>IF($A137&gt;nrows,"",IF(col_days=0,0,N(INDEX('Paste Export'!$A$2:$BZ$1001,$A137,col_days))))</f>
        <v/>
      </c>
      <c r="D137" s="24" t="str">
        <f>IF($A137&gt;nrows,"",IF(col_prompts=0,0,N(INDEX('Paste Export'!$A$2:$BZ$1001,$A137,col_prompts))))</f>
        <v/>
      </c>
      <c r="E137" s="24" t="str">
        <f>IF($A137&gt;nrows,"",IF(col_web=0,0,N(INDEX('Paste Export'!$A$2:$BZ$1001,$A137,col_web))))</f>
        <v/>
      </c>
      <c r="F137" s="26" t="str">
        <f t="shared" si="15"/>
        <v/>
      </c>
      <c r="G137" s="27" t="str">
        <f t="shared" si="16"/>
        <v/>
      </c>
      <c r="H137" s="24" t="str">
        <f>IF($A137&gt;nrows,"",IF(col_s1=0,0,--(LEN(INDEX('Paste Export'!$A$2:$BZ$1001,$A137,col_s1))&gt;0))+IF(col_s2=0,0,--(LEN(INDEX('Paste Export'!$A$2:$BZ$1001,$A137,col_s2))&gt;0))+IF(col_s3=0,0,--(LEN(INDEX('Paste Export'!$A$2:$BZ$1001,$A137,col_s3))&gt;0))+IF(col_s4=0,0,--(LEN(INDEX('Paste Export'!$A$2:$BZ$1001,$A137,col_s4))&gt;0))+IF(col_s5=0,0,--(LEN(INDEX('Paste Export'!$A$2:$BZ$1001,$A137,col_s5))&gt;0))+IF(col_s6=0,0,--(LEN(INDEX('Paste Export'!$A$2:$BZ$1001,$A137,col_s6))&gt;0))+IF(col_s7=0,0,--(LEN(INDEX('Paste Export'!$A$2:$BZ$1001,$A137,col_s7))&gt;0))+IF(col_s8=0,0,--(LEN(INDEX('Paste Export'!$A$2:$BZ$1001,$A137,col_s8))&gt;0)))</f>
        <v/>
      </c>
      <c r="I137" s="25" t="str">
        <f t="shared" si="17"/>
        <v/>
      </c>
      <c r="J137" s="25" t="str">
        <f t="shared" si="18"/>
        <v/>
      </c>
      <c r="K137" s="24" t="str">
        <f t="shared" si="19"/>
        <v/>
      </c>
      <c r="L137" s="24" t="str">
        <f t="shared" si="20"/>
        <v/>
      </c>
    </row>
    <row r="138" spans="1:12" x14ac:dyDescent="0.25">
      <c r="A138" s="24">
        <f t="shared" si="14"/>
        <v>137</v>
      </c>
      <c r="B138" s="25" t="str">
        <f>IF($A138&gt;nrows,"",IF(col_user=0,"",INDEX('Paste Export'!$A$2:$BZ$1001,$A138,col_user)))</f>
        <v/>
      </c>
      <c r="C138" s="24" t="str">
        <f>IF($A138&gt;nrows,"",IF(col_days=0,0,N(INDEX('Paste Export'!$A$2:$BZ$1001,$A138,col_days))))</f>
        <v/>
      </c>
      <c r="D138" s="24" t="str">
        <f>IF($A138&gt;nrows,"",IF(col_prompts=0,0,N(INDEX('Paste Export'!$A$2:$BZ$1001,$A138,col_prompts))))</f>
        <v/>
      </c>
      <c r="E138" s="24" t="str">
        <f>IF($A138&gt;nrows,"",IF(col_web=0,0,N(INDEX('Paste Export'!$A$2:$BZ$1001,$A138,col_web))))</f>
        <v/>
      </c>
      <c r="F138" s="26" t="str">
        <f t="shared" si="15"/>
        <v/>
      </c>
      <c r="G138" s="27" t="str">
        <f t="shared" si="16"/>
        <v/>
      </c>
      <c r="H138" s="24" t="str">
        <f>IF($A138&gt;nrows,"",IF(col_s1=0,0,--(LEN(INDEX('Paste Export'!$A$2:$BZ$1001,$A138,col_s1))&gt;0))+IF(col_s2=0,0,--(LEN(INDEX('Paste Export'!$A$2:$BZ$1001,$A138,col_s2))&gt;0))+IF(col_s3=0,0,--(LEN(INDEX('Paste Export'!$A$2:$BZ$1001,$A138,col_s3))&gt;0))+IF(col_s4=0,0,--(LEN(INDEX('Paste Export'!$A$2:$BZ$1001,$A138,col_s4))&gt;0))+IF(col_s5=0,0,--(LEN(INDEX('Paste Export'!$A$2:$BZ$1001,$A138,col_s5))&gt;0))+IF(col_s6=0,0,--(LEN(INDEX('Paste Export'!$A$2:$BZ$1001,$A138,col_s6))&gt;0))+IF(col_s7=0,0,--(LEN(INDEX('Paste Export'!$A$2:$BZ$1001,$A138,col_s7))&gt;0))+IF(col_s8=0,0,--(LEN(INDEX('Paste Export'!$A$2:$BZ$1001,$A138,col_s8))&gt;0)))</f>
        <v/>
      </c>
      <c r="I138" s="25" t="str">
        <f t="shared" si="17"/>
        <v/>
      </c>
      <c r="J138" s="25" t="str">
        <f t="shared" si="18"/>
        <v/>
      </c>
      <c r="K138" s="24" t="str">
        <f t="shared" si="19"/>
        <v/>
      </c>
      <c r="L138" s="24" t="str">
        <f t="shared" si="20"/>
        <v/>
      </c>
    </row>
    <row r="139" spans="1:12" x14ac:dyDescent="0.25">
      <c r="A139" s="24">
        <f t="shared" si="14"/>
        <v>138</v>
      </c>
      <c r="B139" s="25" t="str">
        <f>IF($A139&gt;nrows,"",IF(col_user=0,"",INDEX('Paste Export'!$A$2:$BZ$1001,$A139,col_user)))</f>
        <v/>
      </c>
      <c r="C139" s="24" t="str">
        <f>IF($A139&gt;nrows,"",IF(col_days=0,0,N(INDEX('Paste Export'!$A$2:$BZ$1001,$A139,col_days))))</f>
        <v/>
      </c>
      <c r="D139" s="24" t="str">
        <f>IF($A139&gt;nrows,"",IF(col_prompts=0,0,N(INDEX('Paste Export'!$A$2:$BZ$1001,$A139,col_prompts))))</f>
        <v/>
      </c>
      <c r="E139" s="24" t="str">
        <f>IF($A139&gt;nrows,"",IF(col_web=0,0,N(INDEX('Paste Export'!$A$2:$BZ$1001,$A139,col_web))))</f>
        <v/>
      </c>
      <c r="F139" s="26" t="str">
        <f t="shared" si="15"/>
        <v/>
      </c>
      <c r="G139" s="27" t="str">
        <f t="shared" si="16"/>
        <v/>
      </c>
      <c r="H139" s="24" t="str">
        <f>IF($A139&gt;nrows,"",IF(col_s1=0,0,--(LEN(INDEX('Paste Export'!$A$2:$BZ$1001,$A139,col_s1))&gt;0))+IF(col_s2=0,0,--(LEN(INDEX('Paste Export'!$A$2:$BZ$1001,$A139,col_s2))&gt;0))+IF(col_s3=0,0,--(LEN(INDEX('Paste Export'!$A$2:$BZ$1001,$A139,col_s3))&gt;0))+IF(col_s4=0,0,--(LEN(INDEX('Paste Export'!$A$2:$BZ$1001,$A139,col_s4))&gt;0))+IF(col_s5=0,0,--(LEN(INDEX('Paste Export'!$A$2:$BZ$1001,$A139,col_s5))&gt;0))+IF(col_s6=0,0,--(LEN(INDEX('Paste Export'!$A$2:$BZ$1001,$A139,col_s6))&gt;0))+IF(col_s7=0,0,--(LEN(INDEX('Paste Export'!$A$2:$BZ$1001,$A139,col_s7))&gt;0))+IF(col_s8=0,0,--(LEN(INDEX('Paste Export'!$A$2:$BZ$1001,$A139,col_s8))&gt;0)))</f>
        <v/>
      </c>
      <c r="I139" s="25" t="str">
        <f t="shared" si="17"/>
        <v/>
      </c>
      <c r="J139" s="25" t="str">
        <f t="shared" si="18"/>
        <v/>
      </c>
      <c r="K139" s="24" t="str">
        <f t="shared" si="19"/>
        <v/>
      </c>
      <c r="L139" s="24" t="str">
        <f t="shared" si="20"/>
        <v/>
      </c>
    </row>
    <row r="140" spans="1:12" x14ac:dyDescent="0.25">
      <c r="A140" s="24">
        <f t="shared" si="14"/>
        <v>139</v>
      </c>
      <c r="B140" s="25" t="str">
        <f>IF($A140&gt;nrows,"",IF(col_user=0,"",INDEX('Paste Export'!$A$2:$BZ$1001,$A140,col_user)))</f>
        <v/>
      </c>
      <c r="C140" s="24" t="str">
        <f>IF($A140&gt;nrows,"",IF(col_days=0,0,N(INDEX('Paste Export'!$A$2:$BZ$1001,$A140,col_days))))</f>
        <v/>
      </c>
      <c r="D140" s="24" t="str">
        <f>IF($A140&gt;nrows,"",IF(col_prompts=0,0,N(INDEX('Paste Export'!$A$2:$BZ$1001,$A140,col_prompts))))</f>
        <v/>
      </c>
      <c r="E140" s="24" t="str">
        <f>IF($A140&gt;nrows,"",IF(col_web=0,0,N(INDEX('Paste Export'!$A$2:$BZ$1001,$A140,col_web))))</f>
        <v/>
      </c>
      <c r="F140" s="26" t="str">
        <f t="shared" si="15"/>
        <v/>
      </c>
      <c r="G140" s="27" t="str">
        <f t="shared" si="16"/>
        <v/>
      </c>
      <c r="H140" s="24" t="str">
        <f>IF($A140&gt;nrows,"",IF(col_s1=0,0,--(LEN(INDEX('Paste Export'!$A$2:$BZ$1001,$A140,col_s1))&gt;0))+IF(col_s2=0,0,--(LEN(INDEX('Paste Export'!$A$2:$BZ$1001,$A140,col_s2))&gt;0))+IF(col_s3=0,0,--(LEN(INDEX('Paste Export'!$A$2:$BZ$1001,$A140,col_s3))&gt;0))+IF(col_s4=0,0,--(LEN(INDEX('Paste Export'!$A$2:$BZ$1001,$A140,col_s4))&gt;0))+IF(col_s5=0,0,--(LEN(INDEX('Paste Export'!$A$2:$BZ$1001,$A140,col_s5))&gt;0))+IF(col_s6=0,0,--(LEN(INDEX('Paste Export'!$A$2:$BZ$1001,$A140,col_s6))&gt;0))+IF(col_s7=0,0,--(LEN(INDEX('Paste Export'!$A$2:$BZ$1001,$A140,col_s7))&gt;0))+IF(col_s8=0,0,--(LEN(INDEX('Paste Export'!$A$2:$BZ$1001,$A140,col_s8))&gt;0)))</f>
        <v/>
      </c>
      <c r="I140" s="25" t="str">
        <f t="shared" si="17"/>
        <v/>
      </c>
      <c r="J140" s="25" t="str">
        <f t="shared" si="18"/>
        <v/>
      </c>
      <c r="K140" s="24" t="str">
        <f t="shared" si="19"/>
        <v/>
      </c>
      <c r="L140" s="24" t="str">
        <f t="shared" si="20"/>
        <v/>
      </c>
    </row>
    <row r="141" spans="1:12" x14ac:dyDescent="0.25">
      <c r="A141" s="24">
        <f t="shared" si="14"/>
        <v>140</v>
      </c>
      <c r="B141" s="25" t="str">
        <f>IF($A141&gt;nrows,"",IF(col_user=0,"",INDEX('Paste Export'!$A$2:$BZ$1001,$A141,col_user)))</f>
        <v/>
      </c>
      <c r="C141" s="24" t="str">
        <f>IF($A141&gt;nrows,"",IF(col_days=0,0,N(INDEX('Paste Export'!$A$2:$BZ$1001,$A141,col_days))))</f>
        <v/>
      </c>
      <c r="D141" s="24" t="str">
        <f>IF($A141&gt;nrows,"",IF(col_prompts=0,0,N(INDEX('Paste Export'!$A$2:$BZ$1001,$A141,col_prompts))))</f>
        <v/>
      </c>
      <c r="E141" s="24" t="str">
        <f>IF($A141&gt;nrows,"",IF(col_web=0,0,N(INDEX('Paste Export'!$A$2:$BZ$1001,$A141,col_web))))</f>
        <v/>
      </c>
      <c r="F141" s="26" t="str">
        <f t="shared" si="15"/>
        <v/>
      </c>
      <c r="G141" s="27" t="str">
        <f t="shared" si="16"/>
        <v/>
      </c>
      <c r="H141" s="24" t="str">
        <f>IF($A141&gt;nrows,"",IF(col_s1=0,0,--(LEN(INDEX('Paste Export'!$A$2:$BZ$1001,$A141,col_s1))&gt;0))+IF(col_s2=0,0,--(LEN(INDEX('Paste Export'!$A$2:$BZ$1001,$A141,col_s2))&gt;0))+IF(col_s3=0,0,--(LEN(INDEX('Paste Export'!$A$2:$BZ$1001,$A141,col_s3))&gt;0))+IF(col_s4=0,0,--(LEN(INDEX('Paste Export'!$A$2:$BZ$1001,$A141,col_s4))&gt;0))+IF(col_s5=0,0,--(LEN(INDEX('Paste Export'!$A$2:$BZ$1001,$A141,col_s5))&gt;0))+IF(col_s6=0,0,--(LEN(INDEX('Paste Export'!$A$2:$BZ$1001,$A141,col_s6))&gt;0))+IF(col_s7=0,0,--(LEN(INDEX('Paste Export'!$A$2:$BZ$1001,$A141,col_s7))&gt;0))+IF(col_s8=0,0,--(LEN(INDEX('Paste Export'!$A$2:$BZ$1001,$A141,col_s8))&gt;0)))</f>
        <v/>
      </c>
      <c r="I141" s="25" t="str">
        <f t="shared" si="17"/>
        <v/>
      </c>
      <c r="J141" s="25" t="str">
        <f t="shared" si="18"/>
        <v/>
      </c>
      <c r="K141" s="24" t="str">
        <f t="shared" si="19"/>
        <v/>
      </c>
      <c r="L141" s="24" t="str">
        <f t="shared" si="20"/>
        <v/>
      </c>
    </row>
    <row r="142" spans="1:12" x14ac:dyDescent="0.25">
      <c r="A142" s="24">
        <f t="shared" si="14"/>
        <v>141</v>
      </c>
      <c r="B142" s="25" t="str">
        <f>IF($A142&gt;nrows,"",IF(col_user=0,"",INDEX('Paste Export'!$A$2:$BZ$1001,$A142,col_user)))</f>
        <v/>
      </c>
      <c r="C142" s="24" t="str">
        <f>IF($A142&gt;nrows,"",IF(col_days=0,0,N(INDEX('Paste Export'!$A$2:$BZ$1001,$A142,col_days))))</f>
        <v/>
      </c>
      <c r="D142" s="24" t="str">
        <f>IF($A142&gt;nrows,"",IF(col_prompts=0,0,N(INDEX('Paste Export'!$A$2:$BZ$1001,$A142,col_prompts))))</f>
        <v/>
      </c>
      <c r="E142" s="24" t="str">
        <f>IF($A142&gt;nrows,"",IF(col_web=0,0,N(INDEX('Paste Export'!$A$2:$BZ$1001,$A142,col_web))))</f>
        <v/>
      </c>
      <c r="F142" s="26" t="str">
        <f t="shared" si="15"/>
        <v/>
      </c>
      <c r="G142" s="27" t="str">
        <f t="shared" si="16"/>
        <v/>
      </c>
      <c r="H142" s="24" t="str">
        <f>IF($A142&gt;nrows,"",IF(col_s1=0,0,--(LEN(INDEX('Paste Export'!$A$2:$BZ$1001,$A142,col_s1))&gt;0))+IF(col_s2=0,0,--(LEN(INDEX('Paste Export'!$A$2:$BZ$1001,$A142,col_s2))&gt;0))+IF(col_s3=0,0,--(LEN(INDEX('Paste Export'!$A$2:$BZ$1001,$A142,col_s3))&gt;0))+IF(col_s4=0,0,--(LEN(INDEX('Paste Export'!$A$2:$BZ$1001,$A142,col_s4))&gt;0))+IF(col_s5=0,0,--(LEN(INDEX('Paste Export'!$A$2:$BZ$1001,$A142,col_s5))&gt;0))+IF(col_s6=0,0,--(LEN(INDEX('Paste Export'!$A$2:$BZ$1001,$A142,col_s6))&gt;0))+IF(col_s7=0,0,--(LEN(INDEX('Paste Export'!$A$2:$BZ$1001,$A142,col_s7))&gt;0))+IF(col_s8=0,0,--(LEN(INDEX('Paste Export'!$A$2:$BZ$1001,$A142,col_s8))&gt;0)))</f>
        <v/>
      </c>
      <c r="I142" s="25" t="str">
        <f t="shared" si="17"/>
        <v/>
      </c>
      <c r="J142" s="25" t="str">
        <f t="shared" si="18"/>
        <v/>
      </c>
      <c r="K142" s="24" t="str">
        <f t="shared" si="19"/>
        <v/>
      </c>
      <c r="L142" s="24" t="str">
        <f t="shared" si="20"/>
        <v/>
      </c>
    </row>
    <row r="143" spans="1:12" x14ac:dyDescent="0.25">
      <c r="A143" s="24">
        <f t="shared" si="14"/>
        <v>142</v>
      </c>
      <c r="B143" s="25" t="str">
        <f>IF($A143&gt;nrows,"",IF(col_user=0,"",INDEX('Paste Export'!$A$2:$BZ$1001,$A143,col_user)))</f>
        <v/>
      </c>
      <c r="C143" s="24" t="str">
        <f>IF($A143&gt;nrows,"",IF(col_days=0,0,N(INDEX('Paste Export'!$A$2:$BZ$1001,$A143,col_days))))</f>
        <v/>
      </c>
      <c r="D143" s="24" t="str">
        <f>IF($A143&gt;nrows,"",IF(col_prompts=0,0,N(INDEX('Paste Export'!$A$2:$BZ$1001,$A143,col_prompts))))</f>
        <v/>
      </c>
      <c r="E143" s="24" t="str">
        <f>IF($A143&gt;nrows,"",IF(col_web=0,0,N(INDEX('Paste Export'!$A$2:$BZ$1001,$A143,col_web))))</f>
        <v/>
      </c>
      <c r="F143" s="26" t="str">
        <f t="shared" si="15"/>
        <v/>
      </c>
      <c r="G143" s="27" t="str">
        <f t="shared" si="16"/>
        <v/>
      </c>
      <c r="H143" s="24" t="str">
        <f>IF($A143&gt;nrows,"",IF(col_s1=0,0,--(LEN(INDEX('Paste Export'!$A$2:$BZ$1001,$A143,col_s1))&gt;0))+IF(col_s2=0,0,--(LEN(INDEX('Paste Export'!$A$2:$BZ$1001,$A143,col_s2))&gt;0))+IF(col_s3=0,0,--(LEN(INDEX('Paste Export'!$A$2:$BZ$1001,$A143,col_s3))&gt;0))+IF(col_s4=0,0,--(LEN(INDEX('Paste Export'!$A$2:$BZ$1001,$A143,col_s4))&gt;0))+IF(col_s5=0,0,--(LEN(INDEX('Paste Export'!$A$2:$BZ$1001,$A143,col_s5))&gt;0))+IF(col_s6=0,0,--(LEN(INDEX('Paste Export'!$A$2:$BZ$1001,$A143,col_s6))&gt;0))+IF(col_s7=0,0,--(LEN(INDEX('Paste Export'!$A$2:$BZ$1001,$A143,col_s7))&gt;0))+IF(col_s8=0,0,--(LEN(INDEX('Paste Export'!$A$2:$BZ$1001,$A143,col_s8))&gt;0)))</f>
        <v/>
      </c>
      <c r="I143" s="25" t="str">
        <f t="shared" si="17"/>
        <v/>
      </c>
      <c r="J143" s="25" t="str">
        <f t="shared" si="18"/>
        <v/>
      </c>
      <c r="K143" s="24" t="str">
        <f t="shared" si="19"/>
        <v/>
      </c>
      <c r="L143" s="24" t="str">
        <f t="shared" si="20"/>
        <v/>
      </c>
    </row>
    <row r="144" spans="1:12" x14ac:dyDescent="0.25">
      <c r="A144" s="24">
        <f t="shared" si="14"/>
        <v>143</v>
      </c>
      <c r="B144" s="25" t="str">
        <f>IF($A144&gt;nrows,"",IF(col_user=0,"",INDEX('Paste Export'!$A$2:$BZ$1001,$A144,col_user)))</f>
        <v/>
      </c>
      <c r="C144" s="24" t="str">
        <f>IF($A144&gt;nrows,"",IF(col_days=0,0,N(INDEX('Paste Export'!$A$2:$BZ$1001,$A144,col_days))))</f>
        <v/>
      </c>
      <c r="D144" s="24" t="str">
        <f>IF($A144&gt;nrows,"",IF(col_prompts=0,0,N(INDEX('Paste Export'!$A$2:$BZ$1001,$A144,col_prompts))))</f>
        <v/>
      </c>
      <c r="E144" s="24" t="str">
        <f>IF($A144&gt;nrows,"",IF(col_web=0,0,N(INDEX('Paste Export'!$A$2:$BZ$1001,$A144,col_web))))</f>
        <v/>
      </c>
      <c r="F144" s="26" t="str">
        <f t="shared" si="15"/>
        <v/>
      </c>
      <c r="G144" s="27" t="str">
        <f t="shared" si="16"/>
        <v/>
      </c>
      <c r="H144" s="24" t="str">
        <f>IF($A144&gt;nrows,"",IF(col_s1=0,0,--(LEN(INDEX('Paste Export'!$A$2:$BZ$1001,$A144,col_s1))&gt;0))+IF(col_s2=0,0,--(LEN(INDEX('Paste Export'!$A$2:$BZ$1001,$A144,col_s2))&gt;0))+IF(col_s3=0,0,--(LEN(INDEX('Paste Export'!$A$2:$BZ$1001,$A144,col_s3))&gt;0))+IF(col_s4=0,0,--(LEN(INDEX('Paste Export'!$A$2:$BZ$1001,$A144,col_s4))&gt;0))+IF(col_s5=0,0,--(LEN(INDEX('Paste Export'!$A$2:$BZ$1001,$A144,col_s5))&gt;0))+IF(col_s6=0,0,--(LEN(INDEX('Paste Export'!$A$2:$BZ$1001,$A144,col_s6))&gt;0))+IF(col_s7=0,0,--(LEN(INDEX('Paste Export'!$A$2:$BZ$1001,$A144,col_s7))&gt;0))+IF(col_s8=0,0,--(LEN(INDEX('Paste Export'!$A$2:$BZ$1001,$A144,col_s8))&gt;0)))</f>
        <v/>
      </c>
      <c r="I144" s="25" t="str">
        <f t="shared" si="17"/>
        <v/>
      </c>
      <c r="J144" s="25" t="str">
        <f t="shared" si="18"/>
        <v/>
      </c>
      <c r="K144" s="24" t="str">
        <f t="shared" si="19"/>
        <v/>
      </c>
      <c r="L144" s="24" t="str">
        <f t="shared" si="20"/>
        <v/>
      </c>
    </row>
    <row r="145" spans="1:12" x14ac:dyDescent="0.25">
      <c r="A145" s="24">
        <f t="shared" si="14"/>
        <v>144</v>
      </c>
      <c r="B145" s="25" t="str">
        <f>IF($A145&gt;nrows,"",IF(col_user=0,"",INDEX('Paste Export'!$A$2:$BZ$1001,$A145,col_user)))</f>
        <v/>
      </c>
      <c r="C145" s="24" t="str">
        <f>IF($A145&gt;nrows,"",IF(col_days=0,0,N(INDEX('Paste Export'!$A$2:$BZ$1001,$A145,col_days))))</f>
        <v/>
      </c>
      <c r="D145" s="24" t="str">
        <f>IF($A145&gt;nrows,"",IF(col_prompts=0,0,N(INDEX('Paste Export'!$A$2:$BZ$1001,$A145,col_prompts))))</f>
        <v/>
      </c>
      <c r="E145" s="24" t="str">
        <f>IF($A145&gt;nrows,"",IF(col_web=0,0,N(INDEX('Paste Export'!$A$2:$BZ$1001,$A145,col_web))))</f>
        <v/>
      </c>
      <c r="F145" s="26" t="str">
        <f t="shared" si="15"/>
        <v/>
      </c>
      <c r="G145" s="27" t="str">
        <f t="shared" si="16"/>
        <v/>
      </c>
      <c r="H145" s="24" t="str">
        <f>IF($A145&gt;nrows,"",IF(col_s1=0,0,--(LEN(INDEX('Paste Export'!$A$2:$BZ$1001,$A145,col_s1))&gt;0))+IF(col_s2=0,0,--(LEN(INDEX('Paste Export'!$A$2:$BZ$1001,$A145,col_s2))&gt;0))+IF(col_s3=0,0,--(LEN(INDEX('Paste Export'!$A$2:$BZ$1001,$A145,col_s3))&gt;0))+IF(col_s4=0,0,--(LEN(INDEX('Paste Export'!$A$2:$BZ$1001,$A145,col_s4))&gt;0))+IF(col_s5=0,0,--(LEN(INDEX('Paste Export'!$A$2:$BZ$1001,$A145,col_s5))&gt;0))+IF(col_s6=0,0,--(LEN(INDEX('Paste Export'!$A$2:$BZ$1001,$A145,col_s6))&gt;0))+IF(col_s7=0,0,--(LEN(INDEX('Paste Export'!$A$2:$BZ$1001,$A145,col_s7))&gt;0))+IF(col_s8=0,0,--(LEN(INDEX('Paste Export'!$A$2:$BZ$1001,$A145,col_s8))&gt;0)))</f>
        <v/>
      </c>
      <c r="I145" s="25" t="str">
        <f t="shared" si="17"/>
        <v/>
      </c>
      <c r="J145" s="25" t="str">
        <f t="shared" si="18"/>
        <v/>
      </c>
      <c r="K145" s="24" t="str">
        <f t="shared" si="19"/>
        <v/>
      </c>
      <c r="L145" s="24" t="str">
        <f t="shared" si="20"/>
        <v/>
      </c>
    </row>
    <row r="146" spans="1:12" x14ac:dyDescent="0.25">
      <c r="A146" s="24">
        <f t="shared" si="14"/>
        <v>145</v>
      </c>
      <c r="B146" s="25" t="str">
        <f>IF($A146&gt;nrows,"",IF(col_user=0,"",INDEX('Paste Export'!$A$2:$BZ$1001,$A146,col_user)))</f>
        <v/>
      </c>
      <c r="C146" s="24" t="str">
        <f>IF($A146&gt;nrows,"",IF(col_days=0,0,N(INDEX('Paste Export'!$A$2:$BZ$1001,$A146,col_days))))</f>
        <v/>
      </c>
      <c r="D146" s="24" t="str">
        <f>IF($A146&gt;nrows,"",IF(col_prompts=0,0,N(INDEX('Paste Export'!$A$2:$BZ$1001,$A146,col_prompts))))</f>
        <v/>
      </c>
      <c r="E146" s="24" t="str">
        <f>IF($A146&gt;nrows,"",IF(col_web=0,0,N(INDEX('Paste Export'!$A$2:$BZ$1001,$A146,col_web))))</f>
        <v/>
      </c>
      <c r="F146" s="26" t="str">
        <f t="shared" si="15"/>
        <v/>
      </c>
      <c r="G146" s="27" t="str">
        <f t="shared" si="16"/>
        <v/>
      </c>
      <c r="H146" s="24" t="str">
        <f>IF($A146&gt;nrows,"",IF(col_s1=0,0,--(LEN(INDEX('Paste Export'!$A$2:$BZ$1001,$A146,col_s1))&gt;0))+IF(col_s2=0,0,--(LEN(INDEX('Paste Export'!$A$2:$BZ$1001,$A146,col_s2))&gt;0))+IF(col_s3=0,0,--(LEN(INDEX('Paste Export'!$A$2:$BZ$1001,$A146,col_s3))&gt;0))+IF(col_s4=0,0,--(LEN(INDEX('Paste Export'!$A$2:$BZ$1001,$A146,col_s4))&gt;0))+IF(col_s5=0,0,--(LEN(INDEX('Paste Export'!$A$2:$BZ$1001,$A146,col_s5))&gt;0))+IF(col_s6=0,0,--(LEN(INDEX('Paste Export'!$A$2:$BZ$1001,$A146,col_s6))&gt;0))+IF(col_s7=0,0,--(LEN(INDEX('Paste Export'!$A$2:$BZ$1001,$A146,col_s7))&gt;0))+IF(col_s8=0,0,--(LEN(INDEX('Paste Export'!$A$2:$BZ$1001,$A146,col_s8))&gt;0)))</f>
        <v/>
      </c>
      <c r="I146" s="25" t="str">
        <f t="shared" si="17"/>
        <v/>
      </c>
      <c r="J146" s="25" t="str">
        <f t="shared" si="18"/>
        <v/>
      </c>
      <c r="K146" s="24" t="str">
        <f t="shared" si="19"/>
        <v/>
      </c>
      <c r="L146" s="24" t="str">
        <f t="shared" si="20"/>
        <v/>
      </c>
    </row>
    <row r="147" spans="1:12" x14ac:dyDescent="0.25">
      <c r="A147" s="24">
        <f t="shared" si="14"/>
        <v>146</v>
      </c>
      <c r="B147" s="25" t="str">
        <f>IF($A147&gt;nrows,"",IF(col_user=0,"",INDEX('Paste Export'!$A$2:$BZ$1001,$A147,col_user)))</f>
        <v/>
      </c>
      <c r="C147" s="24" t="str">
        <f>IF($A147&gt;nrows,"",IF(col_days=0,0,N(INDEX('Paste Export'!$A$2:$BZ$1001,$A147,col_days))))</f>
        <v/>
      </c>
      <c r="D147" s="24" t="str">
        <f>IF($A147&gt;nrows,"",IF(col_prompts=0,0,N(INDEX('Paste Export'!$A$2:$BZ$1001,$A147,col_prompts))))</f>
        <v/>
      </c>
      <c r="E147" s="24" t="str">
        <f>IF($A147&gt;nrows,"",IF(col_web=0,0,N(INDEX('Paste Export'!$A$2:$BZ$1001,$A147,col_web))))</f>
        <v/>
      </c>
      <c r="F147" s="26" t="str">
        <f t="shared" si="15"/>
        <v/>
      </c>
      <c r="G147" s="27" t="str">
        <f t="shared" si="16"/>
        <v/>
      </c>
      <c r="H147" s="24" t="str">
        <f>IF($A147&gt;nrows,"",IF(col_s1=0,0,--(LEN(INDEX('Paste Export'!$A$2:$BZ$1001,$A147,col_s1))&gt;0))+IF(col_s2=0,0,--(LEN(INDEX('Paste Export'!$A$2:$BZ$1001,$A147,col_s2))&gt;0))+IF(col_s3=0,0,--(LEN(INDEX('Paste Export'!$A$2:$BZ$1001,$A147,col_s3))&gt;0))+IF(col_s4=0,0,--(LEN(INDEX('Paste Export'!$A$2:$BZ$1001,$A147,col_s4))&gt;0))+IF(col_s5=0,0,--(LEN(INDEX('Paste Export'!$A$2:$BZ$1001,$A147,col_s5))&gt;0))+IF(col_s6=0,0,--(LEN(INDEX('Paste Export'!$A$2:$BZ$1001,$A147,col_s6))&gt;0))+IF(col_s7=0,0,--(LEN(INDEX('Paste Export'!$A$2:$BZ$1001,$A147,col_s7))&gt;0))+IF(col_s8=0,0,--(LEN(INDEX('Paste Export'!$A$2:$BZ$1001,$A147,col_s8))&gt;0)))</f>
        <v/>
      </c>
      <c r="I147" s="25" t="str">
        <f t="shared" si="17"/>
        <v/>
      </c>
      <c r="J147" s="25" t="str">
        <f t="shared" si="18"/>
        <v/>
      </c>
      <c r="K147" s="24" t="str">
        <f t="shared" si="19"/>
        <v/>
      </c>
      <c r="L147" s="24" t="str">
        <f t="shared" si="20"/>
        <v/>
      </c>
    </row>
    <row r="148" spans="1:12" x14ac:dyDescent="0.25">
      <c r="A148" s="24">
        <f t="shared" si="14"/>
        <v>147</v>
      </c>
      <c r="B148" s="25" t="str">
        <f>IF($A148&gt;nrows,"",IF(col_user=0,"",INDEX('Paste Export'!$A$2:$BZ$1001,$A148,col_user)))</f>
        <v/>
      </c>
      <c r="C148" s="24" t="str">
        <f>IF($A148&gt;nrows,"",IF(col_days=0,0,N(INDEX('Paste Export'!$A$2:$BZ$1001,$A148,col_days))))</f>
        <v/>
      </c>
      <c r="D148" s="24" t="str">
        <f>IF($A148&gt;nrows,"",IF(col_prompts=0,0,N(INDEX('Paste Export'!$A$2:$BZ$1001,$A148,col_prompts))))</f>
        <v/>
      </c>
      <c r="E148" s="24" t="str">
        <f>IF($A148&gt;nrows,"",IF(col_web=0,0,N(INDEX('Paste Export'!$A$2:$BZ$1001,$A148,col_web))))</f>
        <v/>
      </c>
      <c r="F148" s="26" t="str">
        <f t="shared" si="15"/>
        <v/>
      </c>
      <c r="G148" s="27" t="str">
        <f t="shared" si="16"/>
        <v/>
      </c>
      <c r="H148" s="24" t="str">
        <f>IF($A148&gt;nrows,"",IF(col_s1=0,0,--(LEN(INDEX('Paste Export'!$A$2:$BZ$1001,$A148,col_s1))&gt;0))+IF(col_s2=0,0,--(LEN(INDEX('Paste Export'!$A$2:$BZ$1001,$A148,col_s2))&gt;0))+IF(col_s3=0,0,--(LEN(INDEX('Paste Export'!$A$2:$BZ$1001,$A148,col_s3))&gt;0))+IF(col_s4=0,0,--(LEN(INDEX('Paste Export'!$A$2:$BZ$1001,$A148,col_s4))&gt;0))+IF(col_s5=0,0,--(LEN(INDEX('Paste Export'!$A$2:$BZ$1001,$A148,col_s5))&gt;0))+IF(col_s6=0,0,--(LEN(INDEX('Paste Export'!$A$2:$BZ$1001,$A148,col_s6))&gt;0))+IF(col_s7=0,0,--(LEN(INDEX('Paste Export'!$A$2:$BZ$1001,$A148,col_s7))&gt;0))+IF(col_s8=0,0,--(LEN(INDEX('Paste Export'!$A$2:$BZ$1001,$A148,col_s8))&gt;0)))</f>
        <v/>
      </c>
      <c r="I148" s="25" t="str">
        <f t="shared" si="17"/>
        <v/>
      </c>
      <c r="J148" s="25" t="str">
        <f t="shared" si="18"/>
        <v/>
      </c>
      <c r="K148" s="24" t="str">
        <f t="shared" si="19"/>
        <v/>
      </c>
      <c r="L148" s="24" t="str">
        <f t="shared" si="20"/>
        <v/>
      </c>
    </row>
    <row r="149" spans="1:12" x14ac:dyDescent="0.25">
      <c r="A149" s="24">
        <f t="shared" si="14"/>
        <v>148</v>
      </c>
      <c r="B149" s="25" t="str">
        <f>IF($A149&gt;nrows,"",IF(col_user=0,"",INDEX('Paste Export'!$A$2:$BZ$1001,$A149,col_user)))</f>
        <v/>
      </c>
      <c r="C149" s="24" t="str">
        <f>IF($A149&gt;nrows,"",IF(col_days=0,0,N(INDEX('Paste Export'!$A$2:$BZ$1001,$A149,col_days))))</f>
        <v/>
      </c>
      <c r="D149" s="24" t="str">
        <f>IF($A149&gt;nrows,"",IF(col_prompts=0,0,N(INDEX('Paste Export'!$A$2:$BZ$1001,$A149,col_prompts))))</f>
        <v/>
      </c>
      <c r="E149" s="24" t="str">
        <f>IF($A149&gt;nrows,"",IF(col_web=0,0,N(INDEX('Paste Export'!$A$2:$BZ$1001,$A149,col_web))))</f>
        <v/>
      </c>
      <c r="F149" s="26" t="str">
        <f t="shared" si="15"/>
        <v/>
      </c>
      <c r="G149" s="27" t="str">
        <f t="shared" si="16"/>
        <v/>
      </c>
      <c r="H149" s="24" t="str">
        <f>IF($A149&gt;nrows,"",IF(col_s1=0,0,--(LEN(INDEX('Paste Export'!$A$2:$BZ$1001,$A149,col_s1))&gt;0))+IF(col_s2=0,0,--(LEN(INDEX('Paste Export'!$A$2:$BZ$1001,$A149,col_s2))&gt;0))+IF(col_s3=0,0,--(LEN(INDEX('Paste Export'!$A$2:$BZ$1001,$A149,col_s3))&gt;0))+IF(col_s4=0,0,--(LEN(INDEX('Paste Export'!$A$2:$BZ$1001,$A149,col_s4))&gt;0))+IF(col_s5=0,0,--(LEN(INDEX('Paste Export'!$A$2:$BZ$1001,$A149,col_s5))&gt;0))+IF(col_s6=0,0,--(LEN(INDEX('Paste Export'!$A$2:$BZ$1001,$A149,col_s6))&gt;0))+IF(col_s7=0,0,--(LEN(INDEX('Paste Export'!$A$2:$BZ$1001,$A149,col_s7))&gt;0))+IF(col_s8=0,0,--(LEN(INDEX('Paste Export'!$A$2:$BZ$1001,$A149,col_s8))&gt;0)))</f>
        <v/>
      </c>
      <c r="I149" s="25" t="str">
        <f t="shared" si="17"/>
        <v/>
      </c>
      <c r="J149" s="25" t="str">
        <f t="shared" si="18"/>
        <v/>
      </c>
      <c r="K149" s="24" t="str">
        <f t="shared" si="19"/>
        <v/>
      </c>
      <c r="L149" s="24" t="str">
        <f t="shared" si="20"/>
        <v/>
      </c>
    </row>
    <row r="150" spans="1:12" x14ac:dyDescent="0.25">
      <c r="A150" s="24">
        <f t="shared" si="14"/>
        <v>149</v>
      </c>
      <c r="B150" s="25" t="str">
        <f>IF($A150&gt;nrows,"",IF(col_user=0,"",INDEX('Paste Export'!$A$2:$BZ$1001,$A150,col_user)))</f>
        <v/>
      </c>
      <c r="C150" s="24" t="str">
        <f>IF($A150&gt;nrows,"",IF(col_days=0,0,N(INDEX('Paste Export'!$A$2:$BZ$1001,$A150,col_days))))</f>
        <v/>
      </c>
      <c r="D150" s="24" t="str">
        <f>IF($A150&gt;nrows,"",IF(col_prompts=0,0,N(INDEX('Paste Export'!$A$2:$BZ$1001,$A150,col_prompts))))</f>
        <v/>
      </c>
      <c r="E150" s="24" t="str">
        <f>IF($A150&gt;nrows,"",IF(col_web=0,0,N(INDEX('Paste Export'!$A$2:$BZ$1001,$A150,col_web))))</f>
        <v/>
      </c>
      <c r="F150" s="26" t="str">
        <f t="shared" si="15"/>
        <v/>
      </c>
      <c r="G150" s="27" t="str">
        <f t="shared" si="16"/>
        <v/>
      </c>
      <c r="H150" s="24" t="str">
        <f>IF($A150&gt;nrows,"",IF(col_s1=0,0,--(LEN(INDEX('Paste Export'!$A$2:$BZ$1001,$A150,col_s1))&gt;0))+IF(col_s2=0,0,--(LEN(INDEX('Paste Export'!$A$2:$BZ$1001,$A150,col_s2))&gt;0))+IF(col_s3=0,0,--(LEN(INDEX('Paste Export'!$A$2:$BZ$1001,$A150,col_s3))&gt;0))+IF(col_s4=0,0,--(LEN(INDEX('Paste Export'!$A$2:$BZ$1001,$A150,col_s4))&gt;0))+IF(col_s5=0,0,--(LEN(INDEX('Paste Export'!$A$2:$BZ$1001,$A150,col_s5))&gt;0))+IF(col_s6=0,0,--(LEN(INDEX('Paste Export'!$A$2:$BZ$1001,$A150,col_s6))&gt;0))+IF(col_s7=0,0,--(LEN(INDEX('Paste Export'!$A$2:$BZ$1001,$A150,col_s7))&gt;0))+IF(col_s8=0,0,--(LEN(INDEX('Paste Export'!$A$2:$BZ$1001,$A150,col_s8))&gt;0)))</f>
        <v/>
      </c>
      <c r="I150" s="25" t="str">
        <f t="shared" si="17"/>
        <v/>
      </c>
      <c r="J150" s="25" t="str">
        <f t="shared" si="18"/>
        <v/>
      </c>
      <c r="K150" s="24" t="str">
        <f t="shared" si="19"/>
        <v/>
      </c>
      <c r="L150" s="24" t="str">
        <f t="shared" si="20"/>
        <v/>
      </c>
    </row>
    <row r="151" spans="1:12" x14ac:dyDescent="0.25">
      <c r="A151" s="24">
        <f t="shared" si="14"/>
        <v>150</v>
      </c>
      <c r="B151" s="25" t="str">
        <f>IF($A151&gt;nrows,"",IF(col_user=0,"",INDEX('Paste Export'!$A$2:$BZ$1001,$A151,col_user)))</f>
        <v/>
      </c>
      <c r="C151" s="24" t="str">
        <f>IF($A151&gt;nrows,"",IF(col_days=0,0,N(INDEX('Paste Export'!$A$2:$BZ$1001,$A151,col_days))))</f>
        <v/>
      </c>
      <c r="D151" s="24" t="str">
        <f>IF($A151&gt;nrows,"",IF(col_prompts=0,0,N(INDEX('Paste Export'!$A$2:$BZ$1001,$A151,col_prompts))))</f>
        <v/>
      </c>
      <c r="E151" s="24" t="str">
        <f>IF($A151&gt;nrows,"",IF(col_web=0,0,N(INDEX('Paste Export'!$A$2:$BZ$1001,$A151,col_web))))</f>
        <v/>
      </c>
      <c r="F151" s="26" t="str">
        <f t="shared" si="15"/>
        <v/>
      </c>
      <c r="G151" s="27" t="str">
        <f t="shared" si="16"/>
        <v/>
      </c>
      <c r="H151" s="24" t="str">
        <f>IF($A151&gt;nrows,"",IF(col_s1=0,0,--(LEN(INDEX('Paste Export'!$A$2:$BZ$1001,$A151,col_s1))&gt;0))+IF(col_s2=0,0,--(LEN(INDEX('Paste Export'!$A$2:$BZ$1001,$A151,col_s2))&gt;0))+IF(col_s3=0,0,--(LEN(INDEX('Paste Export'!$A$2:$BZ$1001,$A151,col_s3))&gt;0))+IF(col_s4=0,0,--(LEN(INDEX('Paste Export'!$A$2:$BZ$1001,$A151,col_s4))&gt;0))+IF(col_s5=0,0,--(LEN(INDEX('Paste Export'!$A$2:$BZ$1001,$A151,col_s5))&gt;0))+IF(col_s6=0,0,--(LEN(INDEX('Paste Export'!$A$2:$BZ$1001,$A151,col_s6))&gt;0))+IF(col_s7=0,0,--(LEN(INDEX('Paste Export'!$A$2:$BZ$1001,$A151,col_s7))&gt;0))+IF(col_s8=0,0,--(LEN(INDEX('Paste Export'!$A$2:$BZ$1001,$A151,col_s8))&gt;0)))</f>
        <v/>
      </c>
      <c r="I151" s="25" t="str">
        <f t="shared" si="17"/>
        <v/>
      </c>
      <c r="J151" s="25" t="str">
        <f t="shared" si="18"/>
        <v/>
      </c>
      <c r="K151" s="24" t="str">
        <f t="shared" si="19"/>
        <v/>
      </c>
      <c r="L151" s="24" t="str">
        <f t="shared" si="20"/>
        <v/>
      </c>
    </row>
    <row r="152" spans="1:12" x14ac:dyDescent="0.25">
      <c r="A152" s="24">
        <f t="shared" si="14"/>
        <v>151</v>
      </c>
      <c r="B152" s="25" t="str">
        <f>IF($A152&gt;nrows,"",IF(col_user=0,"",INDEX('Paste Export'!$A$2:$BZ$1001,$A152,col_user)))</f>
        <v/>
      </c>
      <c r="C152" s="24" t="str">
        <f>IF($A152&gt;nrows,"",IF(col_days=0,0,N(INDEX('Paste Export'!$A$2:$BZ$1001,$A152,col_days))))</f>
        <v/>
      </c>
      <c r="D152" s="24" t="str">
        <f>IF($A152&gt;nrows,"",IF(col_prompts=0,0,N(INDEX('Paste Export'!$A$2:$BZ$1001,$A152,col_prompts))))</f>
        <v/>
      </c>
      <c r="E152" s="24" t="str">
        <f>IF($A152&gt;nrows,"",IF(col_web=0,0,N(INDEX('Paste Export'!$A$2:$BZ$1001,$A152,col_web))))</f>
        <v/>
      </c>
      <c r="F152" s="26" t="str">
        <f t="shared" si="15"/>
        <v/>
      </c>
      <c r="G152" s="27" t="str">
        <f t="shared" si="16"/>
        <v/>
      </c>
      <c r="H152" s="24" t="str">
        <f>IF($A152&gt;nrows,"",IF(col_s1=0,0,--(LEN(INDEX('Paste Export'!$A$2:$BZ$1001,$A152,col_s1))&gt;0))+IF(col_s2=0,0,--(LEN(INDEX('Paste Export'!$A$2:$BZ$1001,$A152,col_s2))&gt;0))+IF(col_s3=0,0,--(LEN(INDEX('Paste Export'!$A$2:$BZ$1001,$A152,col_s3))&gt;0))+IF(col_s4=0,0,--(LEN(INDEX('Paste Export'!$A$2:$BZ$1001,$A152,col_s4))&gt;0))+IF(col_s5=0,0,--(LEN(INDEX('Paste Export'!$A$2:$BZ$1001,$A152,col_s5))&gt;0))+IF(col_s6=0,0,--(LEN(INDEX('Paste Export'!$A$2:$BZ$1001,$A152,col_s6))&gt;0))+IF(col_s7=0,0,--(LEN(INDEX('Paste Export'!$A$2:$BZ$1001,$A152,col_s7))&gt;0))+IF(col_s8=0,0,--(LEN(INDEX('Paste Export'!$A$2:$BZ$1001,$A152,col_s8))&gt;0)))</f>
        <v/>
      </c>
      <c r="I152" s="25" t="str">
        <f t="shared" si="17"/>
        <v/>
      </c>
      <c r="J152" s="25" t="str">
        <f t="shared" si="18"/>
        <v/>
      </c>
      <c r="K152" s="24" t="str">
        <f t="shared" si="19"/>
        <v/>
      </c>
      <c r="L152" s="24" t="str">
        <f t="shared" si="20"/>
        <v/>
      </c>
    </row>
    <row r="153" spans="1:12" x14ac:dyDescent="0.25">
      <c r="A153" s="24">
        <f t="shared" si="14"/>
        <v>152</v>
      </c>
      <c r="B153" s="25" t="str">
        <f>IF($A153&gt;nrows,"",IF(col_user=0,"",INDEX('Paste Export'!$A$2:$BZ$1001,$A153,col_user)))</f>
        <v/>
      </c>
      <c r="C153" s="24" t="str">
        <f>IF($A153&gt;nrows,"",IF(col_days=0,0,N(INDEX('Paste Export'!$A$2:$BZ$1001,$A153,col_days))))</f>
        <v/>
      </c>
      <c r="D153" s="24" t="str">
        <f>IF($A153&gt;nrows,"",IF(col_prompts=0,0,N(INDEX('Paste Export'!$A$2:$BZ$1001,$A153,col_prompts))))</f>
        <v/>
      </c>
      <c r="E153" s="24" t="str">
        <f>IF($A153&gt;nrows,"",IF(col_web=0,0,N(INDEX('Paste Export'!$A$2:$BZ$1001,$A153,col_web))))</f>
        <v/>
      </c>
      <c r="F153" s="26" t="str">
        <f t="shared" si="15"/>
        <v/>
      </c>
      <c r="G153" s="27" t="str">
        <f t="shared" si="16"/>
        <v/>
      </c>
      <c r="H153" s="24" t="str">
        <f>IF($A153&gt;nrows,"",IF(col_s1=0,0,--(LEN(INDEX('Paste Export'!$A$2:$BZ$1001,$A153,col_s1))&gt;0))+IF(col_s2=0,0,--(LEN(INDEX('Paste Export'!$A$2:$BZ$1001,$A153,col_s2))&gt;0))+IF(col_s3=0,0,--(LEN(INDEX('Paste Export'!$A$2:$BZ$1001,$A153,col_s3))&gt;0))+IF(col_s4=0,0,--(LEN(INDEX('Paste Export'!$A$2:$BZ$1001,$A153,col_s4))&gt;0))+IF(col_s5=0,0,--(LEN(INDEX('Paste Export'!$A$2:$BZ$1001,$A153,col_s5))&gt;0))+IF(col_s6=0,0,--(LEN(INDEX('Paste Export'!$A$2:$BZ$1001,$A153,col_s6))&gt;0))+IF(col_s7=0,0,--(LEN(INDEX('Paste Export'!$A$2:$BZ$1001,$A153,col_s7))&gt;0))+IF(col_s8=0,0,--(LEN(INDEX('Paste Export'!$A$2:$BZ$1001,$A153,col_s8))&gt;0)))</f>
        <v/>
      </c>
      <c r="I153" s="25" t="str">
        <f t="shared" si="17"/>
        <v/>
      </c>
      <c r="J153" s="25" t="str">
        <f t="shared" si="18"/>
        <v/>
      </c>
      <c r="K153" s="24" t="str">
        <f t="shared" si="19"/>
        <v/>
      </c>
      <c r="L153" s="24" t="str">
        <f t="shared" si="20"/>
        <v/>
      </c>
    </row>
    <row r="154" spans="1:12" x14ac:dyDescent="0.25">
      <c r="A154" s="24">
        <f t="shared" si="14"/>
        <v>153</v>
      </c>
      <c r="B154" s="25" t="str">
        <f>IF($A154&gt;nrows,"",IF(col_user=0,"",INDEX('Paste Export'!$A$2:$BZ$1001,$A154,col_user)))</f>
        <v/>
      </c>
      <c r="C154" s="24" t="str">
        <f>IF($A154&gt;nrows,"",IF(col_days=0,0,N(INDEX('Paste Export'!$A$2:$BZ$1001,$A154,col_days))))</f>
        <v/>
      </c>
      <c r="D154" s="24" t="str">
        <f>IF($A154&gt;nrows,"",IF(col_prompts=0,0,N(INDEX('Paste Export'!$A$2:$BZ$1001,$A154,col_prompts))))</f>
        <v/>
      </c>
      <c r="E154" s="24" t="str">
        <f>IF($A154&gt;nrows,"",IF(col_web=0,0,N(INDEX('Paste Export'!$A$2:$BZ$1001,$A154,col_web))))</f>
        <v/>
      </c>
      <c r="F154" s="26" t="str">
        <f t="shared" si="15"/>
        <v/>
      </c>
      <c r="G154" s="27" t="str">
        <f t="shared" si="16"/>
        <v/>
      </c>
      <c r="H154" s="24" t="str">
        <f>IF($A154&gt;nrows,"",IF(col_s1=0,0,--(LEN(INDEX('Paste Export'!$A$2:$BZ$1001,$A154,col_s1))&gt;0))+IF(col_s2=0,0,--(LEN(INDEX('Paste Export'!$A$2:$BZ$1001,$A154,col_s2))&gt;0))+IF(col_s3=0,0,--(LEN(INDEX('Paste Export'!$A$2:$BZ$1001,$A154,col_s3))&gt;0))+IF(col_s4=0,0,--(LEN(INDEX('Paste Export'!$A$2:$BZ$1001,$A154,col_s4))&gt;0))+IF(col_s5=0,0,--(LEN(INDEX('Paste Export'!$A$2:$BZ$1001,$A154,col_s5))&gt;0))+IF(col_s6=0,0,--(LEN(INDEX('Paste Export'!$A$2:$BZ$1001,$A154,col_s6))&gt;0))+IF(col_s7=0,0,--(LEN(INDEX('Paste Export'!$A$2:$BZ$1001,$A154,col_s7))&gt;0))+IF(col_s8=0,0,--(LEN(INDEX('Paste Export'!$A$2:$BZ$1001,$A154,col_s8))&gt;0)))</f>
        <v/>
      </c>
      <c r="I154" s="25" t="str">
        <f t="shared" si="17"/>
        <v/>
      </c>
      <c r="J154" s="25" t="str">
        <f t="shared" si="18"/>
        <v/>
      </c>
      <c r="K154" s="24" t="str">
        <f t="shared" si="19"/>
        <v/>
      </c>
      <c r="L154" s="24" t="str">
        <f t="shared" si="20"/>
        <v/>
      </c>
    </row>
    <row r="155" spans="1:12" x14ac:dyDescent="0.25">
      <c r="A155" s="24">
        <f t="shared" si="14"/>
        <v>154</v>
      </c>
      <c r="B155" s="25" t="str">
        <f>IF($A155&gt;nrows,"",IF(col_user=0,"",INDEX('Paste Export'!$A$2:$BZ$1001,$A155,col_user)))</f>
        <v/>
      </c>
      <c r="C155" s="24" t="str">
        <f>IF($A155&gt;nrows,"",IF(col_days=0,0,N(INDEX('Paste Export'!$A$2:$BZ$1001,$A155,col_days))))</f>
        <v/>
      </c>
      <c r="D155" s="24" t="str">
        <f>IF($A155&gt;nrows,"",IF(col_prompts=0,0,N(INDEX('Paste Export'!$A$2:$BZ$1001,$A155,col_prompts))))</f>
        <v/>
      </c>
      <c r="E155" s="24" t="str">
        <f>IF($A155&gt;nrows,"",IF(col_web=0,0,N(INDEX('Paste Export'!$A$2:$BZ$1001,$A155,col_web))))</f>
        <v/>
      </c>
      <c r="F155" s="26" t="str">
        <f t="shared" si="15"/>
        <v/>
      </c>
      <c r="G155" s="27" t="str">
        <f t="shared" si="16"/>
        <v/>
      </c>
      <c r="H155" s="24" t="str">
        <f>IF($A155&gt;nrows,"",IF(col_s1=0,0,--(LEN(INDEX('Paste Export'!$A$2:$BZ$1001,$A155,col_s1))&gt;0))+IF(col_s2=0,0,--(LEN(INDEX('Paste Export'!$A$2:$BZ$1001,$A155,col_s2))&gt;0))+IF(col_s3=0,0,--(LEN(INDEX('Paste Export'!$A$2:$BZ$1001,$A155,col_s3))&gt;0))+IF(col_s4=0,0,--(LEN(INDEX('Paste Export'!$A$2:$BZ$1001,$A155,col_s4))&gt;0))+IF(col_s5=0,0,--(LEN(INDEX('Paste Export'!$A$2:$BZ$1001,$A155,col_s5))&gt;0))+IF(col_s6=0,0,--(LEN(INDEX('Paste Export'!$A$2:$BZ$1001,$A155,col_s6))&gt;0))+IF(col_s7=0,0,--(LEN(INDEX('Paste Export'!$A$2:$BZ$1001,$A155,col_s7))&gt;0))+IF(col_s8=0,0,--(LEN(INDEX('Paste Export'!$A$2:$BZ$1001,$A155,col_s8))&gt;0)))</f>
        <v/>
      </c>
      <c r="I155" s="25" t="str">
        <f t="shared" si="17"/>
        <v/>
      </c>
      <c r="J155" s="25" t="str">
        <f t="shared" si="18"/>
        <v/>
      </c>
      <c r="K155" s="24" t="str">
        <f t="shared" si="19"/>
        <v/>
      </c>
      <c r="L155" s="24" t="str">
        <f t="shared" si="20"/>
        <v/>
      </c>
    </row>
    <row r="156" spans="1:12" x14ac:dyDescent="0.25">
      <c r="A156" s="24">
        <f t="shared" si="14"/>
        <v>155</v>
      </c>
      <c r="B156" s="25" t="str">
        <f>IF($A156&gt;nrows,"",IF(col_user=0,"",INDEX('Paste Export'!$A$2:$BZ$1001,$A156,col_user)))</f>
        <v/>
      </c>
      <c r="C156" s="24" t="str">
        <f>IF($A156&gt;nrows,"",IF(col_days=0,0,N(INDEX('Paste Export'!$A$2:$BZ$1001,$A156,col_days))))</f>
        <v/>
      </c>
      <c r="D156" s="24" t="str">
        <f>IF($A156&gt;nrows,"",IF(col_prompts=0,0,N(INDEX('Paste Export'!$A$2:$BZ$1001,$A156,col_prompts))))</f>
        <v/>
      </c>
      <c r="E156" s="24" t="str">
        <f>IF($A156&gt;nrows,"",IF(col_web=0,0,N(INDEX('Paste Export'!$A$2:$BZ$1001,$A156,col_web))))</f>
        <v/>
      </c>
      <c r="F156" s="26" t="str">
        <f t="shared" si="15"/>
        <v/>
      </c>
      <c r="G156" s="27" t="str">
        <f t="shared" si="16"/>
        <v/>
      </c>
      <c r="H156" s="24" t="str">
        <f>IF($A156&gt;nrows,"",IF(col_s1=0,0,--(LEN(INDEX('Paste Export'!$A$2:$BZ$1001,$A156,col_s1))&gt;0))+IF(col_s2=0,0,--(LEN(INDEX('Paste Export'!$A$2:$BZ$1001,$A156,col_s2))&gt;0))+IF(col_s3=0,0,--(LEN(INDEX('Paste Export'!$A$2:$BZ$1001,$A156,col_s3))&gt;0))+IF(col_s4=0,0,--(LEN(INDEX('Paste Export'!$A$2:$BZ$1001,$A156,col_s4))&gt;0))+IF(col_s5=0,0,--(LEN(INDEX('Paste Export'!$A$2:$BZ$1001,$A156,col_s5))&gt;0))+IF(col_s6=0,0,--(LEN(INDEX('Paste Export'!$A$2:$BZ$1001,$A156,col_s6))&gt;0))+IF(col_s7=0,0,--(LEN(INDEX('Paste Export'!$A$2:$BZ$1001,$A156,col_s7))&gt;0))+IF(col_s8=0,0,--(LEN(INDEX('Paste Export'!$A$2:$BZ$1001,$A156,col_s8))&gt;0)))</f>
        <v/>
      </c>
      <c r="I156" s="25" t="str">
        <f t="shared" si="17"/>
        <v/>
      </c>
      <c r="J156" s="25" t="str">
        <f t="shared" si="18"/>
        <v/>
      </c>
      <c r="K156" s="24" t="str">
        <f t="shared" si="19"/>
        <v/>
      </c>
      <c r="L156" s="24" t="str">
        <f t="shared" si="20"/>
        <v/>
      </c>
    </row>
    <row r="157" spans="1:12" x14ac:dyDescent="0.25">
      <c r="A157" s="24">
        <f t="shared" si="14"/>
        <v>156</v>
      </c>
      <c r="B157" s="25" t="str">
        <f>IF($A157&gt;nrows,"",IF(col_user=0,"",INDEX('Paste Export'!$A$2:$BZ$1001,$A157,col_user)))</f>
        <v/>
      </c>
      <c r="C157" s="24" t="str">
        <f>IF($A157&gt;nrows,"",IF(col_days=0,0,N(INDEX('Paste Export'!$A$2:$BZ$1001,$A157,col_days))))</f>
        <v/>
      </c>
      <c r="D157" s="24" t="str">
        <f>IF($A157&gt;nrows,"",IF(col_prompts=0,0,N(INDEX('Paste Export'!$A$2:$BZ$1001,$A157,col_prompts))))</f>
        <v/>
      </c>
      <c r="E157" s="24" t="str">
        <f>IF($A157&gt;nrows,"",IF(col_web=0,0,N(INDEX('Paste Export'!$A$2:$BZ$1001,$A157,col_web))))</f>
        <v/>
      </c>
      <c r="F157" s="26" t="str">
        <f t="shared" si="15"/>
        <v/>
      </c>
      <c r="G157" s="27" t="str">
        <f t="shared" si="16"/>
        <v/>
      </c>
      <c r="H157" s="24" t="str">
        <f>IF($A157&gt;nrows,"",IF(col_s1=0,0,--(LEN(INDEX('Paste Export'!$A$2:$BZ$1001,$A157,col_s1))&gt;0))+IF(col_s2=0,0,--(LEN(INDEX('Paste Export'!$A$2:$BZ$1001,$A157,col_s2))&gt;0))+IF(col_s3=0,0,--(LEN(INDEX('Paste Export'!$A$2:$BZ$1001,$A157,col_s3))&gt;0))+IF(col_s4=0,0,--(LEN(INDEX('Paste Export'!$A$2:$BZ$1001,$A157,col_s4))&gt;0))+IF(col_s5=0,0,--(LEN(INDEX('Paste Export'!$A$2:$BZ$1001,$A157,col_s5))&gt;0))+IF(col_s6=0,0,--(LEN(INDEX('Paste Export'!$A$2:$BZ$1001,$A157,col_s6))&gt;0))+IF(col_s7=0,0,--(LEN(INDEX('Paste Export'!$A$2:$BZ$1001,$A157,col_s7))&gt;0))+IF(col_s8=0,0,--(LEN(INDEX('Paste Export'!$A$2:$BZ$1001,$A157,col_s8))&gt;0)))</f>
        <v/>
      </c>
      <c r="I157" s="25" t="str">
        <f t="shared" si="17"/>
        <v/>
      </c>
      <c r="J157" s="25" t="str">
        <f t="shared" si="18"/>
        <v/>
      </c>
      <c r="K157" s="24" t="str">
        <f t="shared" si="19"/>
        <v/>
      </c>
      <c r="L157" s="24" t="str">
        <f t="shared" si="20"/>
        <v/>
      </c>
    </row>
    <row r="158" spans="1:12" x14ac:dyDescent="0.25">
      <c r="A158" s="24">
        <f t="shared" si="14"/>
        <v>157</v>
      </c>
      <c r="B158" s="25" t="str">
        <f>IF($A158&gt;nrows,"",IF(col_user=0,"",INDEX('Paste Export'!$A$2:$BZ$1001,$A158,col_user)))</f>
        <v/>
      </c>
      <c r="C158" s="24" t="str">
        <f>IF($A158&gt;nrows,"",IF(col_days=0,0,N(INDEX('Paste Export'!$A$2:$BZ$1001,$A158,col_days))))</f>
        <v/>
      </c>
      <c r="D158" s="24" t="str">
        <f>IF($A158&gt;nrows,"",IF(col_prompts=0,0,N(INDEX('Paste Export'!$A$2:$BZ$1001,$A158,col_prompts))))</f>
        <v/>
      </c>
      <c r="E158" s="24" t="str">
        <f>IF($A158&gt;nrows,"",IF(col_web=0,0,N(INDEX('Paste Export'!$A$2:$BZ$1001,$A158,col_web))))</f>
        <v/>
      </c>
      <c r="F158" s="26" t="str">
        <f t="shared" si="15"/>
        <v/>
      </c>
      <c r="G158" s="27" t="str">
        <f t="shared" si="16"/>
        <v/>
      </c>
      <c r="H158" s="24" t="str">
        <f>IF($A158&gt;nrows,"",IF(col_s1=0,0,--(LEN(INDEX('Paste Export'!$A$2:$BZ$1001,$A158,col_s1))&gt;0))+IF(col_s2=0,0,--(LEN(INDEX('Paste Export'!$A$2:$BZ$1001,$A158,col_s2))&gt;0))+IF(col_s3=0,0,--(LEN(INDEX('Paste Export'!$A$2:$BZ$1001,$A158,col_s3))&gt;0))+IF(col_s4=0,0,--(LEN(INDEX('Paste Export'!$A$2:$BZ$1001,$A158,col_s4))&gt;0))+IF(col_s5=0,0,--(LEN(INDEX('Paste Export'!$A$2:$BZ$1001,$A158,col_s5))&gt;0))+IF(col_s6=0,0,--(LEN(INDEX('Paste Export'!$A$2:$BZ$1001,$A158,col_s6))&gt;0))+IF(col_s7=0,0,--(LEN(INDEX('Paste Export'!$A$2:$BZ$1001,$A158,col_s7))&gt;0))+IF(col_s8=0,0,--(LEN(INDEX('Paste Export'!$A$2:$BZ$1001,$A158,col_s8))&gt;0)))</f>
        <v/>
      </c>
      <c r="I158" s="25" t="str">
        <f t="shared" si="17"/>
        <v/>
      </c>
      <c r="J158" s="25" t="str">
        <f t="shared" si="18"/>
        <v/>
      </c>
      <c r="K158" s="24" t="str">
        <f t="shared" si="19"/>
        <v/>
      </c>
      <c r="L158" s="24" t="str">
        <f t="shared" si="20"/>
        <v/>
      </c>
    </row>
    <row r="159" spans="1:12" x14ac:dyDescent="0.25">
      <c r="A159" s="24">
        <f t="shared" si="14"/>
        <v>158</v>
      </c>
      <c r="B159" s="25" t="str">
        <f>IF($A159&gt;nrows,"",IF(col_user=0,"",INDEX('Paste Export'!$A$2:$BZ$1001,$A159,col_user)))</f>
        <v/>
      </c>
      <c r="C159" s="24" t="str">
        <f>IF($A159&gt;nrows,"",IF(col_days=0,0,N(INDEX('Paste Export'!$A$2:$BZ$1001,$A159,col_days))))</f>
        <v/>
      </c>
      <c r="D159" s="24" t="str">
        <f>IF($A159&gt;nrows,"",IF(col_prompts=0,0,N(INDEX('Paste Export'!$A$2:$BZ$1001,$A159,col_prompts))))</f>
        <v/>
      </c>
      <c r="E159" s="24" t="str">
        <f>IF($A159&gt;nrows,"",IF(col_web=0,0,N(INDEX('Paste Export'!$A$2:$BZ$1001,$A159,col_web))))</f>
        <v/>
      </c>
      <c r="F159" s="26" t="str">
        <f t="shared" si="15"/>
        <v/>
      </c>
      <c r="G159" s="27" t="str">
        <f t="shared" si="16"/>
        <v/>
      </c>
      <c r="H159" s="24" t="str">
        <f>IF($A159&gt;nrows,"",IF(col_s1=0,0,--(LEN(INDEX('Paste Export'!$A$2:$BZ$1001,$A159,col_s1))&gt;0))+IF(col_s2=0,0,--(LEN(INDEX('Paste Export'!$A$2:$BZ$1001,$A159,col_s2))&gt;0))+IF(col_s3=0,0,--(LEN(INDEX('Paste Export'!$A$2:$BZ$1001,$A159,col_s3))&gt;0))+IF(col_s4=0,0,--(LEN(INDEX('Paste Export'!$A$2:$BZ$1001,$A159,col_s4))&gt;0))+IF(col_s5=0,0,--(LEN(INDEX('Paste Export'!$A$2:$BZ$1001,$A159,col_s5))&gt;0))+IF(col_s6=0,0,--(LEN(INDEX('Paste Export'!$A$2:$BZ$1001,$A159,col_s6))&gt;0))+IF(col_s7=0,0,--(LEN(INDEX('Paste Export'!$A$2:$BZ$1001,$A159,col_s7))&gt;0))+IF(col_s8=0,0,--(LEN(INDEX('Paste Export'!$A$2:$BZ$1001,$A159,col_s8))&gt;0)))</f>
        <v/>
      </c>
      <c r="I159" s="25" t="str">
        <f t="shared" si="17"/>
        <v/>
      </c>
      <c r="J159" s="25" t="str">
        <f t="shared" si="18"/>
        <v/>
      </c>
      <c r="K159" s="24" t="str">
        <f t="shared" si="19"/>
        <v/>
      </c>
      <c r="L159" s="24" t="str">
        <f t="shared" si="20"/>
        <v/>
      </c>
    </row>
    <row r="160" spans="1:12" x14ac:dyDescent="0.25">
      <c r="A160" s="24">
        <f t="shared" si="14"/>
        <v>159</v>
      </c>
      <c r="B160" s="25" t="str">
        <f>IF($A160&gt;nrows,"",IF(col_user=0,"",INDEX('Paste Export'!$A$2:$BZ$1001,$A160,col_user)))</f>
        <v/>
      </c>
      <c r="C160" s="24" t="str">
        <f>IF($A160&gt;nrows,"",IF(col_days=0,0,N(INDEX('Paste Export'!$A$2:$BZ$1001,$A160,col_days))))</f>
        <v/>
      </c>
      <c r="D160" s="24" t="str">
        <f>IF($A160&gt;nrows,"",IF(col_prompts=0,0,N(INDEX('Paste Export'!$A$2:$BZ$1001,$A160,col_prompts))))</f>
        <v/>
      </c>
      <c r="E160" s="24" t="str">
        <f>IF($A160&gt;nrows,"",IF(col_web=0,0,N(INDEX('Paste Export'!$A$2:$BZ$1001,$A160,col_web))))</f>
        <v/>
      </c>
      <c r="F160" s="26" t="str">
        <f t="shared" si="15"/>
        <v/>
      </c>
      <c r="G160" s="27" t="str">
        <f t="shared" si="16"/>
        <v/>
      </c>
      <c r="H160" s="24" t="str">
        <f>IF($A160&gt;nrows,"",IF(col_s1=0,0,--(LEN(INDEX('Paste Export'!$A$2:$BZ$1001,$A160,col_s1))&gt;0))+IF(col_s2=0,0,--(LEN(INDEX('Paste Export'!$A$2:$BZ$1001,$A160,col_s2))&gt;0))+IF(col_s3=0,0,--(LEN(INDEX('Paste Export'!$A$2:$BZ$1001,$A160,col_s3))&gt;0))+IF(col_s4=0,0,--(LEN(INDEX('Paste Export'!$A$2:$BZ$1001,$A160,col_s4))&gt;0))+IF(col_s5=0,0,--(LEN(INDEX('Paste Export'!$A$2:$BZ$1001,$A160,col_s5))&gt;0))+IF(col_s6=0,0,--(LEN(INDEX('Paste Export'!$A$2:$BZ$1001,$A160,col_s6))&gt;0))+IF(col_s7=0,0,--(LEN(INDEX('Paste Export'!$A$2:$BZ$1001,$A160,col_s7))&gt;0))+IF(col_s8=0,0,--(LEN(INDEX('Paste Export'!$A$2:$BZ$1001,$A160,col_s8))&gt;0)))</f>
        <v/>
      </c>
      <c r="I160" s="25" t="str">
        <f t="shared" si="17"/>
        <v/>
      </c>
      <c r="J160" s="25" t="str">
        <f t="shared" si="18"/>
        <v/>
      </c>
      <c r="K160" s="24" t="str">
        <f t="shared" si="19"/>
        <v/>
      </c>
      <c r="L160" s="24" t="str">
        <f t="shared" si="20"/>
        <v/>
      </c>
    </row>
    <row r="161" spans="1:12" x14ac:dyDescent="0.25">
      <c r="A161" s="24">
        <f t="shared" si="14"/>
        <v>160</v>
      </c>
      <c r="B161" s="25" t="str">
        <f>IF($A161&gt;nrows,"",IF(col_user=0,"",INDEX('Paste Export'!$A$2:$BZ$1001,$A161,col_user)))</f>
        <v/>
      </c>
      <c r="C161" s="24" t="str">
        <f>IF($A161&gt;nrows,"",IF(col_days=0,0,N(INDEX('Paste Export'!$A$2:$BZ$1001,$A161,col_days))))</f>
        <v/>
      </c>
      <c r="D161" s="24" t="str">
        <f>IF($A161&gt;nrows,"",IF(col_prompts=0,0,N(INDEX('Paste Export'!$A$2:$BZ$1001,$A161,col_prompts))))</f>
        <v/>
      </c>
      <c r="E161" s="24" t="str">
        <f>IF($A161&gt;nrows,"",IF(col_web=0,0,N(INDEX('Paste Export'!$A$2:$BZ$1001,$A161,col_web))))</f>
        <v/>
      </c>
      <c r="F161" s="26" t="str">
        <f t="shared" si="15"/>
        <v/>
      </c>
      <c r="G161" s="27" t="str">
        <f t="shared" si="16"/>
        <v/>
      </c>
      <c r="H161" s="24" t="str">
        <f>IF($A161&gt;nrows,"",IF(col_s1=0,0,--(LEN(INDEX('Paste Export'!$A$2:$BZ$1001,$A161,col_s1))&gt;0))+IF(col_s2=0,0,--(LEN(INDEX('Paste Export'!$A$2:$BZ$1001,$A161,col_s2))&gt;0))+IF(col_s3=0,0,--(LEN(INDEX('Paste Export'!$A$2:$BZ$1001,$A161,col_s3))&gt;0))+IF(col_s4=0,0,--(LEN(INDEX('Paste Export'!$A$2:$BZ$1001,$A161,col_s4))&gt;0))+IF(col_s5=0,0,--(LEN(INDEX('Paste Export'!$A$2:$BZ$1001,$A161,col_s5))&gt;0))+IF(col_s6=0,0,--(LEN(INDEX('Paste Export'!$A$2:$BZ$1001,$A161,col_s6))&gt;0))+IF(col_s7=0,0,--(LEN(INDEX('Paste Export'!$A$2:$BZ$1001,$A161,col_s7))&gt;0))+IF(col_s8=0,0,--(LEN(INDEX('Paste Export'!$A$2:$BZ$1001,$A161,col_s8))&gt;0)))</f>
        <v/>
      </c>
      <c r="I161" s="25" t="str">
        <f t="shared" si="17"/>
        <v/>
      </c>
      <c r="J161" s="25" t="str">
        <f t="shared" si="18"/>
        <v/>
      </c>
      <c r="K161" s="24" t="str">
        <f t="shared" si="19"/>
        <v/>
      </c>
      <c r="L161" s="24" t="str">
        <f t="shared" si="20"/>
        <v/>
      </c>
    </row>
    <row r="162" spans="1:12" x14ac:dyDescent="0.25">
      <c r="A162" s="24">
        <f t="shared" si="14"/>
        <v>161</v>
      </c>
      <c r="B162" s="25" t="str">
        <f>IF($A162&gt;nrows,"",IF(col_user=0,"",INDEX('Paste Export'!$A$2:$BZ$1001,$A162,col_user)))</f>
        <v/>
      </c>
      <c r="C162" s="24" t="str">
        <f>IF($A162&gt;nrows,"",IF(col_days=0,0,N(INDEX('Paste Export'!$A$2:$BZ$1001,$A162,col_days))))</f>
        <v/>
      </c>
      <c r="D162" s="24" t="str">
        <f>IF($A162&gt;nrows,"",IF(col_prompts=0,0,N(INDEX('Paste Export'!$A$2:$BZ$1001,$A162,col_prompts))))</f>
        <v/>
      </c>
      <c r="E162" s="24" t="str">
        <f>IF($A162&gt;nrows,"",IF(col_web=0,0,N(INDEX('Paste Export'!$A$2:$BZ$1001,$A162,col_web))))</f>
        <v/>
      </c>
      <c r="F162" s="26" t="str">
        <f t="shared" si="15"/>
        <v/>
      </c>
      <c r="G162" s="27" t="str">
        <f t="shared" si="16"/>
        <v/>
      </c>
      <c r="H162" s="24" t="str">
        <f>IF($A162&gt;nrows,"",IF(col_s1=0,0,--(LEN(INDEX('Paste Export'!$A$2:$BZ$1001,$A162,col_s1))&gt;0))+IF(col_s2=0,0,--(LEN(INDEX('Paste Export'!$A$2:$BZ$1001,$A162,col_s2))&gt;0))+IF(col_s3=0,0,--(LEN(INDEX('Paste Export'!$A$2:$BZ$1001,$A162,col_s3))&gt;0))+IF(col_s4=0,0,--(LEN(INDEX('Paste Export'!$A$2:$BZ$1001,$A162,col_s4))&gt;0))+IF(col_s5=0,0,--(LEN(INDEX('Paste Export'!$A$2:$BZ$1001,$A162,col_s5))&gt;0))+IF(col_s6=0,0,--(LEN(INDEX('Paste Export'!$A$2:$BZ$1001,$A162,col_s6))&gt;0))+IF(col_s7=0,0,--(LEN(INDEX('Paste Export'!$A$2:$BZ$1001,$A162,col_s7))&gt;0))+IF(col_s8=0,0,--(LEN(INDEX('Paste Export'!$A$2:$BZ$1001,$A162,col_s8))&gt;0)))</f>
        <v/>
      </c>
      <c r="I162" s="25" t="str">
        <f t="shared" si="17"/>
        <v/>
      </c>
      <c r="J162" s="25" t="str">
        <f t="shared" si="18"/>
        <v/>
      </c>
      <c r="K162" s="24" t="str">
        <f t="shared" si="19"/>
        <v/>
      </c>
      <c r="L162" s="24" t="str">
        <f t="shared" si="20"/>
        <v/>
      </c>
    </row>
    <row r="163" spans="1:12" x14ac:dyDescent="0.25">
      <c r="A163" s="24">
        <f t="shared" si="14"/>
        <v>162</v>
      </c>
      <c r="B163" s="25" t="str">
        <f>IF($A163&gt;nrows,"",IF(col_user=0,"",INDEX('Paste Export'!$A$2:$BZ$1001,$A163,col_user)))</f>
        <v/>
      </c>
      <c r="C163" s="24" t="str">
        <f>IF($A163&gt;nrows,"",IF(col_days=0,0,N(INDEX('Paste Export'!$A$2:$BZ$1001,$A163,col_days))))</f>
        <v/>
      </c>
      <c r="D163" s="24" t="str">
        <f>IF($A163&gt;nrows,"",IF(col_prompts=0,0,N(INDEX('Paste Export'!$A$2:$BZ$1001,$A163,col_prompts))))</f>
        <v/>
      </c>
      <c r="E163" s="24" t="str">
        <f>IF($A163&gt;nrows,"",IF(col_web=0,0,N(INDEX('Paste Export'!$A$2:$BZ$1001,$A163,col_web))))</f>
        <v/>
      </c>
      <c r="F163" s="26" t="str">
        <f t="shared" si="15"/>
        <v/>
      </c>
      <c r="G163" s="27" t="str">
        <f t="shared" si="16"/>
        <v/>
      </c>
      <c r="H163" s="24" t="str">
        <f>IF($A163&gt;nrows,"",IF(col_s1=0,0,--(LEN(INDEX('Paste Export'!$A$2:$BZ$1001,$A163,col_s1))&gt;0))+IF(col_s2=0,0,--(LEN(INDEX('Paste Export'!$A$2:$BZ$1001,$A163,col_s2))&gt;0))+IF(col_s3=0,0,--(LEN(INDEX('Paste Export'!$A$2:$BZ$1001,$A163,col_s3))&gt;0))+IF(col_s4=0,0,--(LEN(INDEX('Paste Export'!$A$2:$BZ$1001,$A163,col_s4))&gt;0))+IF(col_s5=0,0,--(LEN(INDEX('Paste Export'!$A$2:$BZ$1001,$A163,col_s5))&gt;0))+IF(col_s6=0,0,--(LEN(INDEX('Paste Export'!$A$2:$BZ$1001,$A163,col_s6))&gt;0))+IF(col_s7=0,0,--(LEN(INDEX('Paste Export'!$A$2:$BZ$1001,$A163,col_s7))&gt;0))+IF(col_s8=0,0,--(LEN(INDEX('Paste Export'!$A$2:$BZ$1001,$A163,col_s8))&gt;0)))</f>
        <v/>
      </c>
      <c r="I163" s="25" t="str">
        <f t="shared" si="17"/>
        <v/>
      </c>
      <c r="J163" s="25" t="str">
        <f t="shared" si="18"/>
        <v/>
      </c>
      <c r="K163" s="24" t="str">
        <f t="shared" si="19"/>
        <v/>
      </c>
      <c r="L163" s="24" t="str">
        <f t="shared" si="20"/>
        <v/>
      </c>
    </row>
    <row r="164" spans="1:12" x14ac:dyDescent="0.25">
      <c r="A164" s="24">
        <f t="shared" si="14"/>
        <v>163</v>
      </c>
      <c r="B164" s="25" t="str">
        <f>IF($A164&gt;nrows,"",IF(col_user=0,"",INDEX('Paste Export'!$A$2:$BZ$1001,$A164,col_user)))</f>
        <v/>
      </c>
      <c r="C164" s="24" t="str">
        <f>IF($A164&gt;nrows,"",IF(col_days=0,0,N(INDEX('Paste Export'!$A$2:$BZ$1001,$A164,col_days))))</f>
        <v/>
      </c>
      <c r="D164" s="24" t="str">
        <f>IF($A164&gt;nrows,"",IF(col_prompts=0,0,N(INDEX('Paste Export'!$A$2:$BZ$1001,$A164,col_prompts))))</f>
        <v/>
      </c>
      <c r="E164" s="24" t="str">
        <f>IF($A164&gt;nrows,"",IF(col_web=0,0,N(INDEX('Paste Export'!$A$2:$BZ$1001,$A164,col_web))))</f>
        <v/>
      </c>
      <c r="F164" s="26" t="str">
        <f t="shared" si="15"/>
        <v/>
      </c>
      <c r="G164" s="27" t="str">
        <f t="shared" si="16"/>
        <v/>
      </c>
      <c r="H164" s="24" t="str">
        <f>IF($A164&gt;nrows,"",IF(col_s1=0,0,--(LEN(INDEX('Paste Export'!$A$2:$BZ$1001,$A164,col_s1))&gt;0))+IF(col_s2=0,0,--(LEN(INDEX('Paste Export'!$A$2:$BZ$1001,$A164,col_s2))&gt;0))+IF(col_s3=0,0,--(LEN(INDEX('Paste Export'!$A$2:$BZ$1001,$A164,col_s3))&gt;0))+IF(col_s4=0,0,--(LEN(INDEX('Paste Export'!$A$2:$BZ$1001,$A164,col_s4))&gt;0))+IF(col_s5=0,0,--(LEN(INDEX('Paste Export'!$A$2:$BZ$1001,$A164,col_s5))&gt;0))+IF(col_s6=0,0,--(LEN(INDEX('Paste Export'!$A$2:$BZ$1001,$A164,col_s6))&gt;0))+IF(col_s7=0,0,--(LEN(INDEX('Paste Export'!$A$2:$BZ$1001,$A164,col_s7))&gt;0))+IF(col_s8=0,0,--(LEN(INDEX('Paste Export'!$A$2:$BZ$1001,$A164,col_s8))&gt;0)))</f>
        <v/>
      </c>
      <c r="I164" s="25" t="str">
        <f t="shared" si="17"/>
        <v/>
      </c>
      <c r="J164" s="25" t="str">
        <f t="shared" si="18"/>
        <v/>
      </c>
      <c r="K164" s="24" t="str">
        <f t="shared" si="19"/>
        <v/>
      </c>
      <c r="L164" s="24" t="str">
        <f t="shared" si="20"/>
        <v/>
      </c>
    </row>
    <row r="165" spans="1:12" x14ac:dyDescent="0.25">
      <c r="A165" s="24">
        <f t="shared" si="14"/>
        <v>164</v>
      </c>
      <c r="B165" s="25" t="str">
        <f>IF($A165&gt;nrows,"",IF(col_user=0,"",INDEX('Paste Export'!$A$2:$BZ$1001,$A165,col_user)))</f>
        <v/>
      </c>
      <c r="C165" s="24" t="str">
        <f>IF($A165&gt;nrows,"",IF(col_days=0,0,N(INDEX('Paste Export'!$A$2:$BZ$1001,$A165,col_days))))</f>
        <v/>
      </c>
      <c r="D165" s="24" t="str">
        <f>IF($A165&gt;nrows,"",IF(col_prompts=0,0,N(INDEX('Paste Export'!$A$2:$BZ$1001,$A165,col_prompts))))</f>
        <v/>
      </c>
      <c r="E165" s="24" t="str">
        <f>IF($A165&gt;nrows,"",IF(col_web=0,0,N(INDEX('Paste Export'!$A$2:$BZ$1001,$A165,col_web))))</f>
        <v/>
      </c>
      <c r="F165" s="26" t="str">
        <f t="shared" si="15"/>
        <v/>
      </c>
      <c r="G165" s="27" t="str">
        <f t="shared" si="16"/>
        <v/>
      </c>
      <c r="H165" s="24" t="str">
        <f>IF($A165&gt;nrows,"",IF(col_s1=0,0,--(LEN(INDEX('Paste Export'!$A$2:$BZ$1001,$A165,col_s1))&gt;0))+IF(col_s2=0,0,--(LEN(INDEX('Paste Export'!$A$2:$BZ$1001,$A165,col_s2))&gt;0))+IF(col_s3=0,0,--(LEN(INDEX('Paste Export'!$A$2:$BZ$1001,$A165,col_s3))&gt;0))+IF(col_s4=0,0,--(LEN(INDEX('Paste Export'!$A$2:$BZ$1001,$A165,col_s4))&gt;0))+IF(col_s5=0,0,--(LEN(INDEX('Paste Export'!$A$2:$BZ$1001,$A165,col_s5))&gt;0))+IF(col_s6=0,0,--(LEN(INDEX('Paste Export'!$A$2:$BZ$1001,$A165,col_s6))&gt;0))+IF(col_s7=0,0,--(LEN(INDEX('Paste Export'!$A$2:$BZ$1001,$A165,col_s7))&gt;0))+IF(col_s8=0,0,--(LEN(INDEX('Paste Export'!$A$2:$BZ$1001,$A165,col_s8))&gt;0)))</f>
        <v/>
      </c>
      <c r="I165" s="25" t="str">
        <f t="shared" si="17"/>
        <v/>
      </c>
      <c r="J165" s="25" t="str">
        <f t="shared" si="18"/>
        <v/>
      </c>
      <c r="K165" s="24" t="str">
        <f t="shared" si="19"/>
        <v/>
      </c>
      <c r="L165" s="24" t="str">
        <f t="shared" si="20"/>
        <v/>
      </c>
    </row>
    <row r="166" spans="1:12" x14ac:dyDescent="0.25">
      <c r="A166" s="24">
        <f t="shared" si="14"/>
        <v>165</v>
      </c>
      <c r="B166" s="25" t="str">
        <f>IF($A166&gt;nrows,"",IF(col_user=0,"",INDEX('Paste Export'!$A$2:$BZ$1001,$A166,col_user)))</f>
        <v/>
      </c>
      <c r="C166" s="24" t="str">
        <f>IF($A166&gt;nrows,"",IF(col_days=0,0,N(INDEX('Paste Export'!$A$2:$BZ$1001,$A166,col_days))))</f>
        <v/>
      </c>
      <c r="D166" s="24" t="str">
        <f>IF($A166&gt;nrows,"",IF(col_prompts=0,0,N(INDEX('Paste Export'!$A$2:$BZ$1001,$A166,col_prompts))))</f>
        <v/>
      </c>
      <c r="E166" s="24" t="str">
        <f>IF($A166&gt;nrows,"",IF(col_web=0,0,N(INDEX('Paste Export'!$A$2:$BZ$1001,$A166,col_web))))</f>
        <v/>
      </c>
      <c r="F166" s="26" t="str">
        <f t="shared" si="15"/>
        <v/>
      </c>
      <c r="G166" s="27" t="str">
        <f t="shared" si="16"/>
        <v/>
      </c>
      <c r="H166" s="24" t="str">
        <f>IF($A166&gt;nrows,"",IF(col_s1=0,0,--(LEN(INDEX('Paste Export'!$A$2:$BZ$1001,$A166,col_s1))&gt;0))+IF(col_s2=0,0,--(LEN(INDEX('Paste Export'!$A$2:$BZ$1001,$A166,col_s2))&gt;0))+IF(col_s3=0,0,--(LEN(INDEX('Paste Export'!$A$2:$BZ$1001,$A166,col_s3))&gt;0))+IF(col_s4=0,0,--(LEN(INDEX('Paste Export'!$A$2:$BZ$1001,$A166,col_s4))&gt;0))+IF(col_s5=0,0,--(LEN(INDEX('Paste Export'!$A$2:$BZ$1001,$A166,col_s5))&gt;0))+IF(col_s6=0,0,--(LEN(INDEX('Paste Export'!$A$2:$BZ$1001,$A166,col_s6))&gt;0))+IF(col_s7=0,0,--(LEN(INDEX('Paste Export'!$A$2:$BZ$1001,$A166,col_s7))&gt;0))+IF(col_s8=0,0,--(LEN(INDEX('Paste Export'!$A$2:$BZ$1001,$A166,col_s8))&gt;0)))</f>
        <v/>
      </c>
      <c r="I166" s="25" t="str">
        <f t="shared" si="17"/>
        <v/>
      </c>
      <c r="J166" s="25" t="str">
        <f t="shared" si="18"/>
        <v/>
      </c>
      <c r="K166" s="24" t="str">
        <f t="shared" si="19"/>
        <v/>
      </c>
      <c r="L166" s="24" t="str">
        <f t="shared" si="20"/>
        <v/>
      </c>
    </row>
    <row r="167" spans="1:12" x14ac:dyDescent="0.25">
      <c r="A167" s="24">
        <f t="shared" si="14"/>
        <v>166</v>
      </c>
      <c r="B167" s="25" t="str">
        <f>IF($A167&gt;nrows,"",IF(col_user=0,"",INDEX('Paste Export'!$A$2:$BZ$1001,$A167,col_user)))</f>
        <v/>
      </c>
      <c r="C167" s="24" t="str">
        <f>IF($A167&gt;nrows,"",IF(col_days=0,0,N(INDEX('Paste Export'!$A$2:$BZ$1001,$A167,col_days))))</f>
        <v/>
      </c>
      <c r="D167" s="24" t="str">
        <f>IF($A167&gt;nrows,"",IF(col_prompts=0,0,N(INDEX('Paste Export'!$A$2:$BZ$1001,$A167,col_prompts))))</f>
        <v/>
      </c>
      <c r="E167" s="24" t="str">
        <f>IF($A167&gt;nrows,"",IF(col_web=0,0,N(INDEX('Paste Export'!$A$2:$BZ$1001,$A167,col_web))))</f>
        <v/>
      </c>
      <c r="F167" s="26" t="str">
        <f t="shared" si="15"/>
        <v/>
      </c>
      <c r="G167" s="27" t="str">
        <f t="shared" si="16"/>
        <v/>
      </c>
      <c r="H167" s="24" t="str">
        <f>IF($A167&gt;nrows,"",IF(col_s1=0,0,--(LEN(INDEX('Paste Export'!$A$2:$BZ$1001,$A167,col_s1))&gt;0))+IF(col_s2=0,0,--(LEN(INDEX('Paste Export'!$A$2:$BZ$1001,$A167,col_s2))&gt;0))+IF(col_s3=0,0,--(LEN(INDEX('Paste Export'!$A$2:$BZ$1001,$A167,col_s3))&gt;0))+IF(col_s4=0,0,--(LEN(INDEX('Paste Export'!$A$2:$BZ$1001,$A167,col_s4))&gt;0))+IF(col_s5=0,0,--(LEN(INDEX('Paste Export'!$A$2:$BZ$1001,$A167,col_s5))&gt;0))+IF(col_s6=0,0,--(LEN(INDEX('Paste Export'!$A$2:$BZ$1001,$A167,col_s6))&gt;0))+IF(col_s7=0,0,--(LEN(INDEX('Paste Export'!$A$2:$BZ$1001,$A167,col_s7))&gt;0))+IF(col_s8=0,0,--(LEN(INDEX('Paste Export'!$A$2:$BZ$1001,$A167,col_s8))&gt;0)))</f>
        <v/>
      </c>
      <c r="I167" s="25" t="str">
        <f t="shared" si="17"/>
        <v/>
      </c>
      <c r="J167" s="25" t="str">
        <f t="shared" si="18"/>
        <v/>
      </c>
      <c r="K167" s="24" t="str">
        <f t="shared" si="19"/>
        <v/>
      </c>
      <c r="L167" s="24" t="str">
        <f t="shared" si="20"/>
        <v/>
      </c>
    </row>
    <row r="168" spans="1:12" x14ac:dyDescent="0.25">
      <c r="A168" s="24">
        <f t="shared" si="14"/>
        <v>167</v>
      </c>
      <c r="B168" s="25" t="str">
        <f>IF($A168&gt;nrows,"",IF(col_user=0,"",INDEX('Paste Export'!$A$2:$BZ$1001,$A168,col_user)))</f>
        <v/>
      </c>
      <c r="C168" s="24" t="str">
        <f>IF($A168&gt;nrows,"",IF(col_days=0,0,N(INDEX('Paste Export'!$A$2:$BZ$1001,$A168,col_days))))</f>
        <v/>
      </c>
      <c r="D168" s="24" t="str">
        <f>IF($A168&gt;nrows,"",IF(col_prompts=0,0,N(INDEX('Paste Export'!$A$2:$BZ$1001,$A168,col_prompts))))</f>
        <v/>
      </c>
      <c r="E168" s="24" t="str">
        <f>IF($A168&gt;nrows,"",IF(col_web=0,0,N(INDEX('Paste Export'!$A$2:$BZ$1001,$A168,col_web))))</f>
        <v/>
      </c>
      <c r="F168" s="26" t="str">
        <f t="shared" si="15"/>
        <v/>
      </c>
      <c r="G168" s="27" t="str">
        <f t="shared" si="16"/>
        <v/>
      </c>
      <c r="H168" s="24" t="str">
        <f>IF($A168&gt;nrows,"",IF(col_s1=0,0,--(LEN(INDEX('Paste Export'!$A$2:$BZ$1001,$A168,col_s1))&gt;0))+IF(col_s2=0,0,--(LEN(INDEX('Paste Export'!$A$2:$BZ$1001,$A168,col_s2))&gt;0))+IF(col_s3=0,0,--(LEN(INDEX('Paste Export'!$A$2:$BZ$1001,$A168,col_s3))&gt;0))+IF(col_s4=0,0,--(LEN(INDEX('Paste Export'!$A$2:$BZ$1001,$A168,col_s4))&gt;0))+IF(col_s5=0,0,--(LEN(INDEX('Paste Export'!$A$2:$BZ$1001,$A168,col_s5))&gt;0))+IF(col_s6=0,0,--(LEN(INDEX('Paste Export'!$A$2:$BZ$1001,$A168,col_s6))&gt;0))+IF(col_s7=0,0,--(LEN(INDEX('Paste Export'!$A$2:$BZ$1001,$A168,col_s7))&gt;0))+IF(col_s8=0,0,--(LEN(INDEX('Paste Export'!$A$2:$BZ$1001,$A168,col_s8))&gt;0)))</f>
        <v/>
      </c>
      <c r="I168" s="25" t="str">
        <f t="shared" si="17"/>
        <v/>
      </c>
      <c r="J168" s="25" t="str">
        <f t="shared" si="18"/>
        <v/>
      </c>
      <c r="K168" s="24" t="str">
        <f t="shared" si="19"/>
        <v/>
      </c>
      <c r="L168" s="24" t="str">
        <f t="shared" si="20"/>
        <v/>
      </c>
    </row>
    <row r="169" spans="1:12" x14ac:dyDescent="0.25">
      <c r="A169" s="24">
        <f t="shared" si="14"/>
        <v>168</v>
      </c>
      <c r="B169" s="25" t="str">
        <f>IF($A169&gt;nrows,"",IF(col_user=0,"",INDEX('Paste Export'!$A$2:$BZ$1001,$A169,col_user)))</f>
        <v/>
      </c>
      <c r="C169" s="24" t="str">
        <f>IF($A169&gt;nrows,"",IF(col_days=0,0,N(INDEX('Paste Export'!$A$2:$BZ$1001,$A169,col_days))))</f>
        <v/>
      </c>
      <c r="D169" s="24" t="str">
        <f>IF($A169&gt;nrows,"",IF(col_prompts=0,0,N(INDEX('Paste Export'!$A$2:$BZ$1001,$A169,col_prompts))))</f>
        <v/>
      </c>
      <c r="E169" s="24" t="str">
        <f>IF($A169&gt;nrows,"",IF(col_web=0,0,N(INDEX('Paste Export'!$A$2:$BZ$1001,$A169,col_web))))</f>
        <v/>
      </c>
      <c r="F169" s="26" t="str">
        <f t="shared" si="15"/>
        <v/>
      </c>
      <c r="G169" s="27" t="str">
        <f t="shared" si="16"/>
        <v/>
      </c>
      <c r="H169" s="24" t="str">
        <f>IF($A169&gt;nrows,"",IF(col_s1=0,0,--(LEN(INDEX('Paste Export'!$A$2:$BZ$1001,$A169,col_s1))&gt;0))+IF(col_s2=0,0,--(LEN(INDEX('Paste Export'!$A$2:$BZ$1001,$A169,col_s2))&gt;0))+IF(col_s3=0,0,--(LEN(INDEX('Paste Export'!$A$2:$BZ$1001,$A169,col_s3))&gt;0))+IF(col_s4=0,0,--(LEN(INDEX('Paste Export'!$A$2:$BZ$1001,$A169,col_s4))&gt;0))+IF(col_s5=0,0,--(LEN(INDEX('Paste Export'!$A$2:$BZ$1001,$A169,col_s5))&gt;0))+IF(col_s6=0,0,--(LEN(INDEX('Paste Export'!$A$2:$BZ$1001,$A169,col_s6))&gt;0))+IF(col_s7=0,0,--(LEN(INDEX('Paste Export'!$A$2:$BZ$1001,$A169,col_s7))&gt;0))+IF(col_s8=0,0,--(LEN(INDEX('Paste Export'!$A$2:$BZ$1001,$A169,col_s8))&gt;0)))</f>
        <v/>
      </c>
      <c r="I169" s="25" t="str">
        <f t="shared" si="17"/>
        <v/>
      </c>
      <c r="J169" s="25" t="str">
        <f t="shared" si="18"/>
        <v/>
      </c>
      <c r="K169" s="24" t="str">
        <f t="shared" si="19"/>
        <v/>
      </c>
      <c r="L169" s="24" t="str">
        <f t="shared" si="20"/>
        <v/>
      </c>
    </row>
    <row r="170" spans="1:12" x14ac:dyDescent="0.25">
      <c r="A170" s="24">
        <f t="shared" si="14"/>
        <v>169</v>
      </c>
      <c r="B170" s="25" t="str">
        <f>IF($A170&gt;nrows,"",IF(col_user=0,"",INDEX('Paste Export'!$A$2:$BZ$1001,$A170,col_user)))</f>
        <v/>
      </c>
      <c r="C170" s="24" t="str">
        <f>IF($A170&gt;nrows,"",IF(col_days=0,0,N(INDEX('Paste Export'!$A$2:$BZ$1001,$A170,col_days))))</f>
        <v/>
      </c>
      <c r="D170" s="24" t="str">
        <f>IF($A170&gt;nrows,"",IF(col_prompts=0,0,N(INDEX('Paste Export'!$A$2:$BZ$1001,$A170,col_prompts))))</f>
        <v/>
      </c>
      <c r="E170" s="24" t="str">
        <f>IF($A170&gt;nrows,"",IF(col_web=0,0,N(INDEX('Paste Export'!$A$2:$BZ$1001,$A170,col_web))))</f>
        <v/>
      </c>
      <c r="F170" s="26" t="str">
        <f t="shared" si="15"/>
        <v/>
      </c>
      <c r="G170" s="27" t="str">
        <f t="shared" si="16"/>
        <v/>
      </c>
      <c r="H170" s="24" t="str">
        <f>IF($A170&gt;nrows,"",IF(col_s1=0,0,--(LEN(INDEX('Paste Export'!$A$2:$BZ$1001,$A170,col_s1))&gt;0))+IF(col_s2=0,0,--(LEN(INDEX('Paste Export'!$A$2:$BZ$1001,$A170,col_s2))&gt;0))+IF(col_s3=0,0,--(LEN(INDEX('Paste Export'!$A$2:$BZ$1001,$A170,col_s3))&gt;0))+IF(col_s4=0,0,--(LEN(INDEX('Paste Export'!$A$2:$BZ$1001,$A170,col_s4))&gt;0))+IF(col_s5=0,0,--(LEN(INDEX('Paste Export'!$A$2:$BZ$1001,$A170,col_s5))&gt;0))+IF(col_s6=0,0,--(LEN(INDEX('Paste Export'!$A$2:$BZ$1001,$A170,col_s6))&gt;0))+IF(col_s7=0,0,--(LEN(INDEX('Paste Export'!$A$2:$BZ$1001,$A170,col_s7))&gt;0))+IF(col_s8=0,0,--(LEN(INDEX('Paste Export'!$A$2:$BZ$1001,$A170,col_s8))&gt;0)))</f>
        <v/>
      </c>
      <c r="I170" s="25" t="str">
        <f t="shared" si="17"/>
        <v/>
      </c>
      <c r="J170" s="25" t="str">
        <f t="shared" si="18"/>
        <v/>
      </c>
      <c r="K170" s="24" t="str">
        <f t="shared" si="19"/>
        <v/>
      </c>
      <c r="L170" s="24" t="str">
        <f t="shared" si="20"/>
        <v/>
      </c>
    </row>
    <row r="171" spans="1:12" x14ac:dyDescent="0.25">
      <c r="A171" s="24">
        <f t="shared" si="14"/>
        <v>170</v>
      </c>
      <c r="B171" s="25" t="str">
        <f>IF($A171&gt;nrows,"",IF(col_user=0,"",INDEX('Paste Export'!$A$2:$BZ$1001,$A171,col_user)))</f>
        <v/>
      </c>
      <c r="C171" s="24" t="str">
        <f>IF($A171&gt;nrows,"",IF(col_days=0,0,N(INDEX('Paste Export'!$A$2:$BZ$1001,$A171,col_days))))</f>
        <v/>
      </c>
      <c r="D171" s="24" t="str">
        <f>IF($A171&gt;nrows,"",IF(col_prompts=0,0,N(INDEX('Paste Export'!$A$2:$BZ$1001,$A171,col_prompts))))</f>
        <v/>
      </c>
      <c r="E171" s="24" t="str">
        <f>IF($A171&gt;nrows,"",IF(col_web=0,0,N(INDEX('Paste Export'!$A$2:$BZ$1001,$A171,col_web))))</f>
        <v/>
      </c>
      <c r="F171" s="26" t="str">
        <f t="shared" si="15"/>
        <v/>
      </c>
      <c r="G171" s="27" t="str">
        <f t="shared" si="16"/>
        <v/>
      </c>
      <c r="H171" s="24" t="str">
        <f>IF($A171&gt;nrows,"",IF(col_s1=0,0,--(LEN(INDEX('Paste Export'!$A$2:$BZ$1001,$A171,col_s1))&gt;0))+IF(col_s2=0,0,--(LEN(INDEX('Paste Export'!$A$2:$BZ$1001,$A171,col_s2))&gt;0))+IF(col_s3=0,0,--(LEN(INDEX('Paste Export'!$A$2:$BZ$1001,$A171,col_s3))&gt;0))+IF(col_s4=0,0,--(LEN(INDEX('Paste Export'!$A$2:$BZ$1001,$A171,col_s4))&gt;0))+IF(col_s5=0,0,--(LEN(INDEX('Paste Export'!$A$2:$BZ$1001,$A171,col_s5))&gt;0))+IF(col_s6=0,0,--(LEN(INDEX('Paste Export'!$A$2:$BZ$1001,$A171,col_s6))&gt;0))+IF(col_s7=0,0,--(LEN(INDEX('Paste Export'!$A$2:$BZ$1001,$A171,col_s7))&gt;0))+IF(col_s8=0,0,--(LEN(INDEX('Paste Export'!$A$2:$BZ$1001,$A171,col_s8))&gt;0)))</f>
        <v/>
      </c>
      <c r="I171" s="25" t="str">
        <f t="shared" si="17"/>
        <v/>
      </c>
      <c r="J171" s="25" t="str">
        <f t="shared" si="18"/>
        <v/>
      </c>
      <c r="K171" s="24" t="str">
        <f t="shared" si="19"/>
        <v/>
      </c>
      <c r="L171" s="24" t="str">
        <f t="shared" si="20"/>
        <v/>
      </c>
    </row>
    <row r="172" spans="1:12" x14ac:dyDescent="0.25">
      <c r="A172" s="24">
        <f t="shared" si="14"/>
        <v>171</v>
      </c>
      <c r="B172" s="25" t="str">
        <f>IF($A172&gt;nrows,"",IF(col_user=0,"",INDEX('Paste Export'!$A$2:$BZ$1001,$A172,col_user)))</f>
        <v/>
      </c>
      <c r="C172" s="24" t="str">
        <f>IF($A172&gt;nrows,"",IF(col_days=0,0,N(INDEX('Paste Export'!$A$2:$BZ$1001,$A172,col_days))))</f>
        <v/>
      </c>
      <c r="D172" s="24" t="str">
        <f>IF($A172&gt;nrows,"",IF(col_prompts=0,0,N(INDEX('Paste Export'!$A$2:$BZ$1001,$A172,col_prompts))))</f>
        <v/>
      </c>
      <c r="E172" s="24" t="str">
        <f>IF($A172&gt;nrows,"",IF(col_web=0,0,N(INDEX('Paste Export'!$A$2:$BZ$1001,$A172,col_web))))</f>
        <v/>
      </c>
      <c r="F172" s="26" t="str">
        <f t="shared" si="15"/>
        <v/>
      </c>
      <c r="G172" s="27" t="str">
        <f t="shared" si="16"/>
        <v/>
      </c>
      <c r="H172" s="24" t="str">
        <f>IF($A172&gt;nrows,"",IF(col_s1=0,0,--(LEN(INDEX('Paste Export'!$A$2:$BZ$1001,$A172,col_s1))&gt;0))+IF(col_s2=0,0,--(LEN(INDEX('Paste Export'!$A$2:$BZ$1001,$A172,col_s2))&gt;0))+IF(col_s3=0,0,--(LEN(INDEX('Paste Export'!$A$2:$BZ$1001,$A172,col_s3))&gt;0))+IF(col_s4=0,0,--(LEN(INDEX('Paste Export'!$A$2:$BZ$1001,$A172,col_s4))&gt;0))+IF(col_s5=0,0,--(LEN(INDEX('Paste Export'!$A$2:$BZ$1001,$A172,col_s5))&gt;0))+IF(col_s6=0,0,--(LEN(INDEX('Paste Export'!$A$2:$BZ$1001,$A172,col_s6))&gt;0))+IF(col_s7=0,0,--(LEN(INDEX('Paste Export'!$A$2:$BZ$1001,$A172,col_s7))&gt;0))+IF(col_s8=0,0,--(LEN(INDEX('Paste Export'!$A$2:$BZ$1001,$A172,col_s8))&gt;0)))</f>
        <v/>
      </c>
      <c r="I172" s="25" t="str">
        <f t="shared" si="17"/>
        <v/>
      </c>
      <c r="J172" s="25" t="str">
        <f t="shared" si="18"/>
        <v/>
      </c>
      <c r="K172" s="24" t="str">
        <f t="shared" si="19"/>
        <v/>
      </c>
      <c r="L172" s="24" t="str">
        <f t="shared" si="20"/>
        <v/>
      </c>
    </row>
    <row r="173" spans="1:12" x14ac:dyDescent="0.25">
      <c r="A173" s="24">
        <f t="shared" si="14"/>
        <v>172</v>
      </c>
      <c r="B173" s="25" t="str">
        <f>IF($A173&gt;nrows,"",IF(col_user=0,"",INDEX('Paste Export'!$A$2:$BZ$1001,$A173,col_user)))</f>
        <v/>
      </c>
      <c r="C173" s="24" t="str">
        <f>IF($A173&gt;nrows,"",IF(col_days=0,0,N(INDEX('Paste Export'!$A$2:$BZ$1001,$A173,col_days))))</f>
        <v/>
      </c>
      <c r="D173" s="24" t="str">
        <f>IF($A173&gt;nrows,"",IF(col_prompts=0,0,N(INDEX('Paste Export'!$A$2:$BZ$1001,$A173,col_prompts))))</f>
        <v/>
      </c>
      <c r="E173" s="24" t="str">
        <f>IF($A173&gt;nrows,"",IF(col_web=0,0,N(INDEX('Paste Export'!$A$2:$BZ$1001,$A173,col_web))))</f>
        <v/>
      </c>
      <c r="F173" s="26" t="str">
        <f t="shared" si="15"/>
        <v/>
      </c>
      <c r="G173" s="27" t="str">
        <f t="shared" si="16"/>
        <v/>
      </c>
      <c r="H173" s="24" t="str">
        <f>IF($A173&gt;nrows,"",IF(col_s1=0,0,--(LEN(INDEX('Paste Export'!$A$2:$BZ$1001,$A173,col_s1))&gt;0))+IF(col_s2=0,0,--(LEN(INDEX('Paste Export'!$A$2:$BZ$1001,$A173,col_s2))&gt;0))+IF(col_s3=0,0,--(LEN(INDEX('Paste Export'!$A$2:$BZ$1001,$A173,col_s3))&gt;0))+IF(col_s4=0,0,--(LEN(INDEX('Paste Export'!$A$2:$BZ$1001,$A173,col_s4))&gt;0))+IF(col_s5=0,0,--(LEN(INDEX('Paste Export'!$A$2:$BZ$1001,$A173,col_s5))&gt;0))+IF(col_s6=0,0,--(LEN(INDEX('Paste Export'!$A$2:$BZ$1001,$A173,col_s6))&gt;0))+IF(col_s7=0,0,--(LEN(INDEX('Paste Export'!$A$2:$BZ$1001,$A173,col_s7))&gt;0))+IF(col_s8=0,0,--(LEN(INDEX('Paste Export'!$A$2:$BZ$1001,$A173,col_s8))&gt;0)))</f>
        <v/>
      </c>
      <c r="I173" s="25" t="str">
        <f t="shared" si="17"/>
        <v/>
      </c>
      <c r="J173" s="25" t="str">
        <f t="shared" si="18"/>
        <v/>
      </c>
      <c r="K173" s="24" t="str">
        <f t="shared" si="19"/>
        <v/>
      </c>
      <c r="L173" s="24" t="str">
        <f t="shared" si="20"/>
        <v/>
      </c>
    </row>
    <row r="174" spans="1:12" x14ac:dyDescent="0.25">
      <c r="A174" s="24">
        <f t="shared" si="14"/>
        <v>173</v>
      </c>
      <c r="B174" s="25" t="str">
        <f>IF($A174&gt;nrows,"",IF(col_user=0,"",INDEX('Paste Export'!$A$2:$BZ$1001,$A174,col_user)))</f>
        <v/>
      </c>
      <c r="C174" s="24" t="str">
        <f>IF($A174&gt;nrows,"",IF(col_days=0,0,N(INDEX('Paste Export'!$A$2:$BZ$1001,$A174,col_days))))</f>
        <v/>
      </c>
      <c r="D174" s="24" t="str">
        <f>IF($A174&gt;nrows,"",IF(col_prompts=0,0,N(INDEX('Paste Export'!$A$2:$BZ$1001,$A174,col_prompts))))</f>
        <v/>
      </c>
      <c r="E174" s="24" t="str">
        <f>IF($A174&gt;nrows,"",IF(col_web=0,0,N(INDEX('Paste Export'!$A$2:$BZ$1001,$A174,col_web))))</f>
        <v/>
      </c>
      <c r="F174" s="26" t="str">
        <f t="shared" si="15"/>
        <v/>
      </c>
      <c r="G174" s="27" t="str">
        <f t="shared" si="16"/>
        <v/>
      </c>
      <c r="H174" s="24" t="str">
        <f>IF($A174&gt;nrows,"",IF(col_s1=0,0,--(LEN(INDEX('Paste Export'!$A$2:$BZ$1001,$A174,col_s1))&gt;0))+IF(col_s2=0,0,--(LEN(INDEX('Paste Export'!$A$2:$BZ$1001,$A174,col_s2))&gt;0))+IF(col_s3=0,0,--(LEN(INDEX('Paste Export'!$A$2:$BZ$1001,$A174,col_s3))&gt;0))+IF(col_s4=0,0,--(LEN(INDEX('Paste Export'!$A$2:$BZ$1001,$A174,col_s4))&gt;0))+IF(col_s5=0,0,--(LEN(INDEX('Paste Export'!$A$2:$BZ$1001,$A174,col_s5))&gt;0))+IF(col_s6=0,0,--(LEN(INDEX('Paste Export'!$A$2:$BZ$1001,$A174,col_s6))&gt;0))+IF(col_s7=0,0,--(LEN(INDEX('Paste Export'!$A$2:$BZ$1001,$A174,col_s7))&gt;0))+IF(col_s8=0,0,--(LEN(INDEX('Paste Export'!$A$2:$BZ$1001,$A174,col_s8))&gt;0)))</f>
        <v/>
      </c>
      <c r="I174" s="25" t="str">
        <f t="shared" si="17"/>
        <v/>
      </c>
      <c r="J174" s="25" t="str">
        <f t="shared" si="18"/>
        <v/>
      </c>
      <c r="K174" s="24" t="str">
        <f t="shared" si="19"/>
        <v/>
      </c>
      <c r="L174" s="24" t="str">
        <f t="shared" si="20"/>
        <v/>
      </c>
    </row>
    <row r="175" spans="1:12" x14ac:dyDescent="0.25">
      <c r="A175" s="24">
        <f t="shared" si="14"/>
        <v>174</v>
      </c>
      <c r="B175" s="25" t="str">
        <f>IF($A175&gt;nrows,"",IF(col_user=0,"",INDEX('Paste Export'!$A$2:$BZ$1001,$A175,col_user)))</f>
        <v/>
      </c>
      <c r="C175" s="24" t="str">
        <f>IF($A175&gt;nrows,"",IF(col_days=0,0,N(INDEX('Paste Export'!$A$2:$BZ$1001,$A175,col_days))))</f>
        <v/>
      </c>
      <c r="D175" s="24" t="str">
        <f>IF($A175&gt;nrows,"",IF(col_prompts=0,0,N(INDEX('Paste Export'!$A$2:$BZ$1001,$A175,col_prompts))))</f>
        <v/>
      </c>
      <c r="E175" s="24" t="str">
        <f>IF($A175&gt;nrows,"",IF(col_web=0,0,N(INDEX('Paste Export'!$A$2:$BZ$1001,$A175,col_web))))</f>
        <v/>
      </c>
      <c r="F175" s="26" t="str">
        <f t="shared" si="15"/>
        <v/>
      </c>
      <c r="G175" s="27" t="str">
        <f t="shared" si="16"/>
        <v/>
      </c>
      <c r="H175" s="24" t="str">
        <f>IF($A175&gt;nrows,"",IF(col_s1=0,0,--(LEN(INDEX('Paste Export'!$A$2:$BZ$1001,$A175,col_s1))&gt;0))+IF(col_s2=0,0,--(LEN(INDEX('Paste Export'!$A$2:$BZ$1001,$A175,col_s2))&gt;0))+IF(col_s3=0,0,--(LEN(INDEX('Paste Export'!$A$2:$BZ$1001,$A175,col_s3))&gt;0))+IF(col_s4=0,0,--(LEN(INDEX('Paste Export'!$A$2:$BZ$1001,$A175,col_s4))&gt;0))+IF(col_s5=0,0,--(LEN(INDEX('Paste Export'!$A$2:$BZ$1001,$A175,col_s5))&gt;0))+IF(col_s6=0,0,--(LEN(INDEX('Paste Export'!$A$2:$BZ$1001,$A175,col_s6))&gt;0))+IF(col_s7=0,0,--(LEN(INDEX('Paste Export'!$A$2:$BZ$1001,$A175,col_s7))&gt;0))+IF(col_s8=0,0,--(LEN(INDEX('Paste Export'!$A$2:$BZ$1001,$A175,col_s8))&gt;0)))</f>
        <v/>
      </c>
      <c r="I175" s="25" t="str">
        <f t="shared" si="17"/>
        <v/>
      </c>
      <c r="J175" s="25" t="str">
        <f t="shared" si="18"/>
        <v/>
      </c>
      <c r="K175" s="24" t="str">
        <f t="shared" si="19"/>
        <v/>
      </c>
      <c r="L175" s="24" t="str">
        <f t="shared" si="20"/>
        <v/>
      </c>
    </row>
    <row r="176" spans="1:12" x14ac:dyDescent="0.25">
      <c r="A176" s="24">
        <f t="shared" si="14"/>
        <v>175</v>
      </c>
      <c r="B176" s="25" t="str">
        <f>IF($A176&gt;nrows,"",IF(col_user=0,"",INDEX('Paste Export'!$A$2:$BZ$1001,$A176,col_user)))</f>
        <v/>
      </c>
      <c r="C176" s="24" t="str">
        <f>IF($A176&gt;nrows,"",IF(col_days=0,0,N(INDEX('Paste Export'!$A$2:$BZ$1001,$A176,col_days))))</f>
        <v/>
      </c>
      <c r="D176" s="24" t="str">
        <f>IF($A176&gt;nrows,"",IF(col_prompts=0,0,N(INDEX('Paste Export'!$A$2:$BZ$1001,$A176,col_prompts))))</f>
        <v/>
      </c>
      <c r="E176" s="24" t="str">
        <f>IF($A176&gt;nrows,"",IF(col_web=0,0,N(INDEX('Paste Export'!$A$2:$BZ$1001,$A176,col_web))))</f>
        <v/>
      </c>
      <c r="F176" s="26" t="str">
        <f t="shared" si="15"/>
        <v/>
      </c>
      <c r="G176" s="27" t="str">
        <f t="shared" si="16"/>
        <v/>
      </c>
      <c r="H176" s="24" t="str">
        <f>IF($A176&gt;nrows,"",IF(col_s1=0,0,--(LEN(INDEX('Paste Export'!$A$2:$BZ$1001,$A176,col_s1))&gt;0))+IF(col_s2=0,0,--(LEN(INDEX('Paste Export'!$A$2:$BZ$1001,$A176,col_s2))&gt;0))+IF(col_s3=0,0,--(LEN(INDEX('Paste Export'!$A$2:$BZ$1001,$A176,col_s3))&gt;0))+IF(col_s4=0,0,--(LEN(INDEX('Paste Export'!$A$2:$BZ$1001,$A176,col_s4))&gt;0))+IF(col_s5=0,0,--(LEN(INDEX('Paste Export'!$A$2:$BZ$1001,$A176,col_s5))&gt;0))+IF(col_s6=0,0,--(LEN(INDEX('Paste Export'!$A$2:$BZ$1001,$A176,col_s6))&gt;0))+IF(col_s7=0,0,--(LEN(INDEX('Paste Export'!$A$2:$BZ$1001,$A176,col_s7))&gt;0))+IF(col_s8=0,0,--(LEN(INDEX('Paste Export'!$A$2:$BZ$1001,$A176,col_s8))&gt;0)))</f>
        <v/>
      </c>
      <c r="I176" s="25" t="str">
        <f t="shared" si="17"/>
        <v/>
      </c>
      <c r="J176" s="25" t="str">
        <f t="shared" si="18"/>
        <v/>
      </c>
      <c r="K176" s="24" t="str">
        <f t="shared" si="19"/>
        <v/>
      </c>
      <c r="L176" s="24" t="str">
        <f t="shared" si="20"/>
        <v/>
      </c>
    </row>
    <row r="177" spans="1:12" x14ac:dyDescent="0.25">
      <c r="A177" s="24">
        <f t="shared" si="14"/>
        <v>176</v>
      </c>
      <c r="B177" s="25" t="str">
        <f>IF($A177&gt;nrows,"",IF(col_user=0,"",INDEX('Paste Export'!$A$2:$BZ$1001,$A177,col_user)))</f>
        <v/>
      </c>
      <c r="C177" s="24" t="str">
        <f>IF($A177&gt;nrows,"",IF(col_days=0,0,N(INDEX('Paste Export'!$A$2:$BZ$1001,$A177,col_days))))</f>
        <v/>
      </c>
      <c r="D177" s="24" t="str">
        <f>IF($A177&gt;nrows,"",IF(col_prompts=0,0,N(INDEX('Paste Export'!$A$2:$BZ$1001,$A177,col_prompts))))</f>
        <v/>
      </c>
      <c r="E177" s="24" t="str">
        <f>IF($A177&gt;nrows,"",IF(col_web=0,0,N(INDEX('Paste Export'!$A$2:$BZ$1001,$A177,col_web))))</f>
        <v/>
      </c>
      <c r="F177" s="26" t="str">
        <f t="shared" si="15"/>
        <v/>
      </c>
      <c r="G177" s="27" t="str">
        <f t="shared" si="16"/>
        <v/>
      </c>
      <c r="H177" s="24" t="str">
        <f>IF($A177&gt;nrows,"",IF(col_s1=0,0,--(LEN(INDEX('Paste Export'!$A$2:$BZ$1001,$A177,col_s1))&gt;0))+IF(col_s2=0,0,--(LEN(INDEX('Paste Export'!$A$2:$BZ$1001,$A177,col_s2))&gt;0))+IF(col_s3=0,0,--(LEN(INDEX('Paste Export'!$A$2:$BZ$1001,$A177,col_s3))&gt;0))+IF(col_s4=0,0,--(LEN(INDEX('Paste Export'!$A$2:$BZ$1001,$A177,col_s4))&gt;0))+IF(col_s5=0,0,--(LEN(INDEX('Paste Export'!$A$2:$BZ$1001,$A177,col_s5))&gt;0))+IF(col_s6=0,0,--(LEN(INDEX('Paste Export'!$A$2:$BZ$1001,$A177,col_s6))&gt;0))+IF(col_s7=0,0,--(LEN(INDEX('Paste Export'!$A$2:$BZ$1001,$A177,col_s7))&gt;0))+IF(col_s8=0,0,--(LEN(INDEX('Paste Export'!$A$2:$BZ$1001,$A177,col_s8))&gt;0)))</f>
        <v/>
      </c>
      <c r="I177" s="25" t="str">
        <f t="shared" si="17"/>
        <v/>
      </c>
      <c r="J177" s="25" t="str">
        <f t="shared" si="18"/>
        <v/>
      </c>
      <c r="K177" s="24" t="str">
        <f t="shared" si="19"/>
        <v/>
      </c>
      <c r="L177" s="24" t="str">
        <f t="shared" si="20"/>
        <v/>
      </c>
    </row>
    <row r="178" spans="1:12" x14ac:dyDescent="0.25">
      <c r="A178" s="24">
        <f t="shared" si="14"/>
        <v>177</v>
      </c>
      <c r="B178" s="25" t="str">
        <f>IF($A178&gt;nrows,"",IF(col_user=0,"",INDEX('Paste Export'!$A$2:$BZ$1001,$A178,col_user)))</f>
        <v/>
      </c>
      <c r="C178" s="24" t="str">
        <f>IF($A178&gt;nrows,"",IF(col_days=0,0,N(INDEX('Paste Export'!$A$2:$BZ$1001,$A178,col_days))))</f>
        <v/>
      </c>
      <c r="D178" s="24" t="str">
        <f>IF($A178&gt;nrows,"",IF(col_prompts=0,0,N(INDEX('Paste Export'!$A$2:$BZ$1001,$A178,col_prompts))))</f>
        <v/>
      </c>
      <c r="E178" s="24" t="str">
        <f>IF($A178&gt;nrows,"",IF(col_web=0,0,N(INDEX('Paste Export'!$A$2:$BZ$1001,$A178,col_web))))</f>
        <v/>
      </c>
      <c r="F178" s="26" t="str">
        <f t="shared" si="15"/>
        <v/>
      </c>
      <c r="G178" s="27" t="str">
        <f t="shared" si="16"/>
        <v/>
      </c>
      <c r="H178" s="24" t="str">
        <f>IF($A178&gt;nrows,"",IF(col_s1=0,0,--(LEN(INDEX('Paste Export'!$A$2:$BZ$1001,$A178,col_s1))&gt;0))+IF(col_s2=0,0,--(LEN(INDEX('Paste Export'!$A$2:$BZ$1001,$A178,col_s2))&gt;0))+IF(col_s3=0,0,--(LEN(INDEX('Paste Export'!$A$2:$BZ$1001,$A178,col_s3))&gt;0))+IF(col_s4=0,0,--(LEN(INDEX('Paste Export'!$A$2:$BZ$1001,$A178,col_s4))&gt;0))+IF(col_s5=0,0,--(LEN(INDEX('Paste Export'!$A$2:$BZ$1001,$A178,col_s5))&gt;0))+IF(col_s6=0,0,--(LEN(INDEX('Paste Export'!$A$2:$BZ$1001,$A178,col_s6))&gt;0))+IF(col_s7=0,0,--(LEN(INDEX('Paste Export'!$A$2:$BZ$1001,$A178,col_s7))&gt;0))+IF(col_s8=0,0,--(LEN(INDEX('Paste Export'!$A$2:$BZ$1001,$A178,col_s8))&gt;0)))</f>
        <v/>
      </c>
      <c r="I178" s="25" t="str">
        <f t="shared" si="17"/>
        <v/>
      </c>
      <c r="J178" s="25" t="str">
        <f t="shared" si="18"/>
        <v/>
      </c>
      <c r="K178" s="24" t="str">
        <f t="shared" si="19"/>
        <v/>
      </c>
      <c r="L178" s="24" t="str">
        <f t="shared" si="20"/>
        <v/>
      </c>
    </row>
    <row r="179" spans="1:12" x14ac:dyDescent="0.25">
      <c r="A179" s="24">
        <f t="shared" si="14"/>
        <v>178</v>
      </c>
      <c r="B179" s="25" t="str">
        <f>IF($A179&gt;nrows,"",IF(col_user=0,"",INDEX('Paste Export'!$A$2:$BZ$1001,$A179,col_user)))</f>
        <v/>
      </c>
      <c r="C179" s="24" t="str">
        <f>IF($A179&gt;nrows,"",IF(col_days=0,0,N(INDEX('Paste Export'!$A$2:$BZ$1001,$A179,col_days))))</f>
        <v/>
      </c>
      <c r="D179" s="24" t="str">
        <f>IF($A179&gt;nrows,"",IF(col_prompts=0,0,N(INDEX('Paste Export'!$A$2:$BZ$1001,$A179,col_prompts))))</f>
        <v/>
      </c>
      <c r="E179" s="24" t="str">
        <f>IF($A179&gt;nrows,"",IF(col_web=0,0,N(INDEX('Paste Export'!$A$2:$BZ$1001,$A179,col_web))))</f>
        <v/>
      </c>
      <c r="F179" s="26" t="str">
        <f t="shared" si="15"/>
        <v/>
      </c>
      <c r="G179" s="27" t="str">
        <f t="shared" si="16"/>
        <v/>
      </c>
      <c r="H179" s="24" t="str">
        <f>IF($A179&gt;nrows,"",IF(col_s1=0,0,--(LEN(INDEX('Paste Export'!$A$2:$BZ$1001,$A179,col_s1))&gt;0))+IF(col_s2=0,0,--(LEN(INDEX('Paste Export'!$A$2:$BZ$1001,$A179,col_s2))&gt;0))+IF(col_s3=0,0,--(LEN(INDEX('Paste Export'!$A$2:$BZ$1001,$A179,col_s3))&gt;0))+IF(col_s4=0,0,--(LEN(INDEX('Paste Export'!$A$2:$BZ$1001,$A179,col_s4))&gt;0))+IF(col_s5=0,0,--(LEN(INDEX('Paste Export'!$A$2:$BZ$1001,$A179,col_s5))&gt;0))+IF(col_s6=0,0,--(LEN(INDEX('Paste Export'!$A$2:$BZ$1001,$A179,col_s6))&gt;0))+IF(col_s7=0,0,--(LEN(INDEX('Paste Export'!$A$2:$BZ$1001,$A179,col_s7))&gt;0))+IF(col_s8=0,0,--(LEN(INDEX('Paste Export'!$A$2:$BZ$1001,$A179,col_s8))&gt;0)))</f>
        <v/>
      </c>
      <c r="I179" s="25" t="str">
        <f t="shared" si="17"/>
        <v/>
      </c>
      <c r="J179" s="25" t="str">
        <f t="shared" si="18"/>
        <v/>
      </c>
      <c r="K179" s="24" t="str">
        <f t="shared" si="19"/>
        <v/>
      </c>
      <c r="L179" s="24" t="str">
        <f t="shared" si="20"/>
        <v/>
      </c>
    </row>
    <row r="180" spans="1:12" x14ac:dyDescent="0.25">
      <c r="A180" s="24">
        <f t="shared" si="14"/>
        <v>179</v>
      </c>
      <c r="B180" s="25" t="str">
        <f>IF($A180&gt;nrows,"",IF(col_user=0,"",INDEX('Paste Export'!$A$2:$BZ$1001,$A180,col_user)))</f>
        <v/>
      </c>
      <c r="C180" s="24" t="str">
        <f>IF($A180&gt;nrows,"",IF(col_days=0,0,N(INDEX('Paste Export'!$A$2:$BZ$1001,$A180,col_days))))</f>
        <v/>
      </c>
      <c r="D180" s="24" t="str">
        <f>IF($A180&gt;nrows,"",IF(col_prompts=0,0,N(INDEX('Paste Export'!$A$2:$BZ$1001,$A180,col_prompts))))</f>
        <v/>
      </c>
      <c r="E180" s="24" t="str">
        <f>IF($A180&gt;nrows,"",IF(col_web=0,0,N(INDEX('Paste Export'!$A$2:$BZ$1001,$A180,col_web))))</f>
        <v/>
      </c>
      <c r="F180" s="26" t="str">
        <f t="shared" si="15"/>
        <v/>
      </c>
      <c r="G180" s="27" t="str">
        <f t="shared" si="16"/>
        <v/>
      </c>
      <c r="H180" s="24" t="str">
        <f>IF($A180&gt;nrows,"",IF(col_s1=0,0,--(LEN(INDEX('Paste Export'!$A$2:$BZ$1001,$A180,col_s1))&gt;0))+IF(col_s2=0,0,--(LEN(INDEX('Paste Export'!$A$2:$BZ$1001,$A180,col_s2))&gt;0))+IF(col_s3=0,0,--(LEN(INDEX('Paste Export'!$A$2:$BZ$1001,$A180,col_s3))&gt;0))+IF(col_s4=0,0,--(LEN(INDEX('Paste Export'!$A$2:$BZ$1001,$A180,col_s4))&gt;0))+IF(col_s5=0,0,--(LEN(INDEX('Paste Export'!$A$2:$BZ$1001,$A180,col_s5))&gt;0))+IF(col_s6=0,0,--(LEN(INDEX('Paste Export'!$A$2:$BZ$1001,$A180,col_s6))&gt;0))+IF(col_s7=0,0,--(LEN(INDEX('Paste Export'!$A$2:$BZ$1001,$A180,col_s7))&gt;0))+IF(col_s8=0,0,--(LEN(INDEX('Paste Export'!$A$2:$BZ$1001,$A180,col_s8))&gt;0)))</f>
        <v/>
      </c>
      <c r="I180" s="25" t="str">
        <f t="shared" si="17"/>
        <v/>
      </c>
      <c r="J180" s="25" t="str">
        <f t="shared" si="18"/>
        <v/>
      </c>
      <c r="K180" s="24" t="str">
        <f t="shared" si="19"/>
        <v/>
      </c>
      <c r="L180" s="24" t="str">
        <f t="shared" si="20"/>
        <v/>
      </c>
    </row>
    <row r="181" spans="1:12" x14ac:dyDescent="0.25">
      <c r="A181" s="24">
        <f t="shared" si="14"/>
        <v>180</v>
      </c>
      <c r="B181" s="25" t="str">
        <f>IF($A181&gt;nrows,"",IF(col_user=0,"",INDEX('Paste Export'!$A$2:$BZ$1001,$A181,col_user)))</f>
        <v/>
      </c>
      <c r="C181" s="24" t="str">
        <f>IF($A181&gt;nrows,"",IF(col_days=0,0,N(INDEX('Paste Export'!$A$2:$BZ$1001,$A181,col_days))))</f>
        <v/>
      </c>
      <c r="D181" s="24" t="str">
        <f>IF($A181&gt;nrows,"",IF(col_prompts=0,0,N(INDEX('Paste Export'!$A$2:$BZ$1001,$A181,col_prompts))))</f>
        <v/>
      </c>
      <c r="E181" s="24" t="str">
        <f>IF($A181&gt;nrows,"",IF(col_web=0,0,N(INDEX('Paste Export'!$A$2:$BZ$1001,$A181,col_web))))</f>
        <v/>
      </c>
      <c r="F181" s="26" t="str">
        <f t="shared" si="15"/>
        <v/>
      </c>
      <c r="G181" s="27" t="str">
        <f t="shared" si="16"/>
        <v/>
      </c>
      <c r="H181" s="24" t="str">
        <f>IF($A181&gt;nrows,"",IF(col_s1=0,0,--(LEN(INDEX('Paste Export'!$A$2:$BZ$1001,$A181,col_s1))&gt;0))+IF(col_s2=0,0,--(LEN(INDEX('Paste Export'!$A$2:$BZ$1001,$A181,col_s2))&gt;0))+IF(col_s3=0,0,--(LEN(INDEX('Paste Export'!$A$2:$BZ$1001,$A181,col_s3))&gt;0))+IF(col_s4=0,0,--(LEN(INDEX('Paste Export'!$A$2:$BZ$1001,$A181,col_s4))&gt;0))+IF(col_s5=0,0,--(LEN(INDEX('Paste Export'!$A$2:$BZ$1001,$A181,col_s5))&gt;0))+IF(col_s6=0,0,--(LEN(INDEX('Paste Export'!$A$2:$BZ$1001,$A181,col_s6))&gt;0))+IF(col_s7=0,0,--(LEN(INDEX('Paste Export'!$A$2:$BZ$1001,$A181,col_s7))&gt;0))+IF(col_s8=0,0,--(LEN(INDEX('Paste Export'!$A$2:$BZ$1001,$A181,col_s8))&gt;0)))</f>
        <v/>
      </c>
      <c r="I181" s="25" t="str">
        <f t="shared" si="17"/>
        <v/>
      </c>
      <c r="J181" s="25" t="str">
        <f t="shared" si="18"/>
        <v/>
      </c>
      <c r="K181" s="24" t="str">
        <f t="shared" si="19"/>
        <v/>
      </c>
      <c r="L181" s="24" t="str">
        <f t="shared" si="20"/>
        <v/>
      </c>
    </row>
    <row r="182" spans="1:12" x14ac:dyDescent="0.25">
      <c r="A182" s="24">
        <f t="shared" si="14"/>
        <v>181</v>
      </c>
      <c r="B182" s="25" t="str">
        <f>IF($A182&gt;nrows,"",IF(col_user=0,"",INDEX('Paste Export'!$A$2:$BZ$1001,$A182,col_user)))</f>
        <v/>
      </c>
      <c r="C182" s="24" t="str">
        <f>IF($A182&gt;nrows,"",IF(col_days=0,0,N(INDEX('Paste Export'!$A$2:$BZ$1001,$A182,col_days))))</f>
        <v/>
      </c>
      <c r="D182" s="24" t="str">
        <f>IF($A182&gt;nrows,"",IF(col_prompts=0,0,N(INDEX('Paste Export'!$A$2:$BZ$1001,$A182,col_prompts))))</f>
        <v/>
      </c>
      <c r="E182" s="24" t="str">
        <f>IF($A182&gt;nrows,"",IF(col_web=0,0,N(INDEX('Paste Export'!$A$2:$BZ$1001,$A182,col_web))))</f>
        <v/>
      </c>
      <c r="F182" s="26" t="str">
        <f t="shared" si="15"/>
        <v/>
      </c>
      <c r="G182" s="27" t="str">
        <f t="shared" si="16"/>
        <v/>
      </c>
      <c r="H182" s="24" t="str">
        <f>IF($A182&gt;nrows,"",IF(col_s1=0,0,--(LEN(INDEX('Paste Export'!$A$2:$BZ$1001,$A182,col_s1))&gt;0))+IF(col_s2=0,0,--(LEN(INDEX('Paste Export'!$A$2:$BZ$1001,$A182,col_s2))&gt;0))+IF(col_s3=0,0,--(LEN(INDEX('Paste Export'!$A$2:$BZ$1001,$A182,col_s3))&gt;0))+IF(col_s4=0,0,--(LEN(INDEX('Paste Export'!$A$2:$BZ$1001,$A182,col_s4))&gt;0))+IF(col_s5=0,0,--(LEN(INDEX('Paste Export'!$A$2:$BZ$1001,$A182,col_s5))&gt;0))+IF(col_s6=0,0,--(LEN(INDEX('Paste Export'!$A$2:$BZ$1001,$A182,col_s6))&gt;0))+IF(col_s7=0,0,--(LEN(INDEX('Paste Export'!$A$2:$BZ$1001,$A182,col_s7))&gt;0))+IF(col_s8=0,0,--(LEN(INDEX('Paste Export'!$A$2:$BZ$1001,$A182,col_s8))&gt;0)))</f>
        <v/>
      </c>
      <c r="I182" s="25" t="str">
        <f t="shared" si="17"/>
        <v/>
      </c>
      <c r="J182" s="25" t="str">
        <f t="shared" si="18"/>
        <v/>
      </c>
      <c r="K182" s="24" t="str">
        <f t="shared" si="19"/>
        <v/>
      </c>
      <c r="L182" s="24" t="str">
        <f t="shared" si="20"/>
        <v/>
      </c>
    </row>
    <row r="183" spans="1:12" x14ac:dyDescent="0.25">
      <c r="A183" s="24">
        <f t="shared" si="14"/>
        <v>182</v>
      </c>
      <c r="B183" s="25" t="str">
        <f>IF($A183&gt;nrows,"",IF(col_user=0,"",INDEX('Paste Export'!$A$2:$BZ$1001,$A183,col_user)))</f>
        <v/>
      </c>
      <c r="C183" s="24" t="str">
        <f>IF($A183&gt;nrows,"",IF(col_days=0,0,N(INDEX('Paste Export'!$A$2:$BZ$1001,$A183,col_days))))</f>
        <v/>
      </c>
      <c r="D183" s="24" t="str">
        <f>IF($A183&gt;nrows,"",IF(col_prompts=0,0,N(INDEX('Paste Export'!$A$2:$BZ$1001,$A183,col_prompts))))</f>
        <v/>
      </c>
      <c r="E183" s="24" t="str">
        <f>IF($A183&gt;nrows,"",IF(col_web=0,0,N(INDEX('Paste Export'!$A$2:$BZ$1001,$A183,col_web))))</f>
        <v/>
      </c>
      <c r="F183" s="26" t="str">
        <f t="shared" si="15"/>
        <v/>
      </c>
      <c r="G183" s="27" t="str">
        <f t="shared" si="16"/>
        <v/>
      </c>
      <c r="H183" s="24" t="str">
        <f>IF($A183&gt;nrows,"",IF(col_s1=0,0,--(LEN(INDEX('Paste Export'!$A$2:$BZ$1001,$A183,col_s1))&gt;0))+IF(col_s2=0,0,--(LEN(INDEX('Paste Export'!$A$2:$BZ$1001,$A183,col_s2))&gt;0))+IF(col_s3=0,0,--(LEN(INDEX('Paste Export'!$A$2:$BZ$1001,$A183,col_s3))&gt;0))+IF(col_s4=0,0,--(LEN(INDEX('Paste Export'!$A$2:$BZ$1001,$A183,col_s4))&gt;0))+IF(col_s5=0,0,--(LEN(INDEX('Paste Export'!$A$2:$BZ$1001,$A183,col_s5))&gt;0))+IF(col_s6=0,0,--(LEN(INDEX('Paste Export'!$A$2:$BZ$1001,$A183,col_s6))&gt;0))+IF(col_s7=0,0,--(LEN(INDEX('Paste Export'!$A$2:$BZ$1001,$A183,col_s7))&gt;0))+IF(col_s8=0,0,--(LEN(INDEX('Paste Export'!$A$2:$BZ$1001,$A183,col_s8))&gt;0)))</f>
        <v/>
      </c>
      <c r="I183" s="25" t="str">
        <f t="shared" si="17"/>
        <v/>
      </c>
      <c r="J183" s="25" t="str">
        <f t="shared" si="18"/>
        <v/>
      </c>
      <c r="K183" s="24" t="str">
        <f t="shared" si="19"/>
        <v/>
      </c>
      <c r="L183" s="24" t="str">
        <f t="shared" si="20"/>
        <v/>
      </c>
    </row>
    <row r="184" spans="1:12" x14ac:dyDescent="0.25">
      <c r="A184" s="24">
        <f t="shared" si="14"/>
        <v>183</v>
      </c>
      <c r="B184" s="25" t="str">
        <f>IF($A184&gt;nrows,"",IF(col_user=0,"",INDEX('Paste Export'!$A$2:$BZ$1001,$A184,col_user)))</f>
        <v/>
      </c>
      <c r="C184" s="24" t="str">
        <f>IF($A184&gt;nrows,"",IF(col_days=0,0,N(INDEX('Paste Export'!$A$2:$BZ$1001,$A184,col_days))))</f>
        <v/>
      </c>
      <c r="D184" s="24" t="str">
        <f>IF($A184&gt;nrows,"",IF(col_prompts=0,0,N(INDEX('Paste Export'!$A$2:$BZ$1001,$A184,col_prompts))))</f>
        <v/>
      </c>
      <c r="E184" s="24" t="str">
        <f>IF($A184&gt;nrows,"",IF(col_web=0,0,N(INDEX('Paste Export'!$A$2:$BZ$1001,$A184,col_web))))</f>
        <v/>
      </c>
      <c r="F184" s="26" t="str">
        <f t="shared" si="15"/>
        <v/>
      </c>
      <c r="G184" s="27" t="str">
        <f t="shared" si="16"/>
        <v/>
      </c>
      <c r="H184" s="24" t="str">
        <f>IF($A184&gt;nrows,"",IF(col_s1=0,0,--(LEN(INDEX('Paste Export'!$A$2:$BZ$1001,$A184,col_s1))&gt;0))+IF(col_s2=0,0,--(LEN(INDEX('Paste Export'!$A$2:$BZ$1001,$A184,col_s2))&gt;0))+IF(col_s3=0,0,--(LEN(INDEX('Paste Export'!$A$2:$BZ$1001,$A184,col_s3))&gt;0))+IF(col_s4=0,0,--(LEN(INDEX('Paste Export'!$A$2:$BZ$1001,$A184,col_s4))&gt;0))+IF(col_s5=0,0,--(LEN(INDEX('Paste Export'!$A$2:$BZ$1001,$A184,col_s5))&gt;0))+IF(col_s6=0,0,--(LEN(INDEX('Paste Export'!$A$2:$BZ$1001,$A184,col_s6))&gt;0))+IF(col_s7=0,0,--(LEN(INDEX('Paste Export'!$A$2:$BZ$1001,$A184,col_s7))&gt;0))+IF(col_s8=0,0,--(LEN(INDEX('Paste Export'!$A$2:$BZ$1001,$A184,col_s8))&gt;0)))</f>
        <v/>
      </c>
      <c r="I184" s="25" t="str">
        <f t="shared" si="17"/>
        <v/>
      </c>
      <c r="J184" s="25" t="str">
        <f t="shared" si="18"/>
        <v/>
      </c>
      <c r="K184" s="24" t="str">
        <f t="shared" si="19"/>
        <v/>
      </c>
      <c r="L184" s="24" t="str">
        <f t="shared" si="20"/>
        <v/>
      </c>
    </row>
    <row r="185" spans="1:12" x14ac:dyDescent="0.25">
      <c r="A185" s="24">
        <f t="shared" si="14"/>
        <v>184</v>
      </c>
      <c r="B185" s="25" t="str">
        <f>IF($A185&gt;nrows,"",IF(col_user=0,"",INDEX('Paste Export'!$A$2:$BZ$1001,$A185,col_user)))</f>
        <v/>
      </c>
      <c r="C185" s="24" t="str">
        <f>IF($A185&gt;nrows,"",IF(col_days=0,0,N(INDEX('Paste Export'!$A$2:$BZ$1001,$A185,col_days))))</f>
        <v/>
      </c>
      <c r="D185" s="24" t="str">
        <f>IF($A185&gt;nrows,"",IF(col_prompts=0,0,N(INDEX('Paste Export'!$A$2:$BZ$1001,$A185,col_prompts))))</f>
        <v/>
      </c>
      <c r="E185" s="24" t="str">
        <f>IF($A185&gt;nrows,"",IF(col_web=0,0,N(INDEX('Paste Export'!$A$2:$BZ$1001,$A185,col_web))))</f>
        <v/>
      </c>
      <c r="F185" s="26" t="str">
        <f t="shared" si="15"/>
        <v/>
      </c>
      <c r="G185" s="27" t="str">
        <f t="shared" si="16"/>
        <v/>
      </c>
      <c r="H185" s="24" t="str">
        <f>IF($A185&gt;nrows,"",IF(col_s1=0,0,--(LEN(INDEX('Paste Export'!$A$2:$BZ$1001,$A185,col_s1))&gt;0))+IF(col_s2=0,0,--(LEN(INDEX('Paste Export'!$A$2:$BZ$1001,$A185,col_s2))&gt;0))+IF(col_s3=0,0,--(LEN(INDEX('Paste Export'!$A$2:$BZ$1001,$A185,col_s3))&gt;0))+IF(col_s4=0,0,--(LEN(INDEX('Paste Export'!$A$2:$BZ$1001,$A185,col_s4))&gt;0))+IF(col_s5=0,0,--(LEN(INDEX('Paste Export'!$A$2:$BZ$1001,$A185,col_s5))&gt;0))+IF(col_s6=0,0,--(LEN(INDEX('Paste Export'!$A$2:$BZ$1001,$A185,col_s6))&gt;0))+IF(col_s7=0,0,--(LEN(INDEX('Paste Export'!$A$2:$BZ$1001,$A185,col_s7))&gt;0))+IF(col_s8=0,0,--(LEN(INDEX('Paste Export'!$A$2:$BZ$1001,$A185,col_s8))&gt;0)))</f>
        <v/>
      </c>
      <c r="I185" s="25" t="str">
        <f t="shared" si="17"/>
        <v/>
      </c>
      <c r="J185" s="25" t="str">
        <f t="shared" si="18"/>
        <v/>
      </c>
      <c r="K185" s="24" t="str">
        <f t="shared" si="19"/>
        <v/>
      </c>
      <c r="L185" s="24" t="str">
        <f t="shared" si="20"/>
        <v/>
      </c>
    </row>
    <row r="186" spans="1:12" x14ac:dyDescent="0.25">
      <c r="A186" s="24">
        <f t="shared" si="14"/>
        <v>185</v>
      </c>
      <c r="B186" s="25" t="str">
        <f>IF($A186&gt;nrows,"",IF(col_user=0,"",INDEX('Paste Export'!$A$2:$BZ$1001,$A186,col_user)))</f>
        <v/>
      </c>
      <c r="C186" s="24" t="str">
        <f>IF($A186&gt;nrows,"",IF(col_days=0,0,N(INDEX('Paste Export'!$A$2:$BZ$1001,$A186,col_days))))</f>
        <v/>
      </c>
      <c r="D186" s="24" t="str">
        <f>IF($A186&gt;nrows,"",IF(col_prompts=0,0,N(INDEX('Paste Export'!$A$2:$BZ$1001,$A186,col_prompts))))</f>
        <v/>
      </c>
      <c r="E186" s="24" t="str">
        <f>IF($A186&gt;nrows,"",IF(col_web=0,0,N(INDEX('Paste Export'!$A$2:$BZ$1001,$A186,col_web))))</f>
        <v/>
      </c>
      <c r="F186" s="26" t="str">
        <f t="shared" si="15"/>
        <v/>
      </c>
      <c r="G186" s="27" t="str">
        <f t="shared" si="16"/>
        <v/>
      </c>
      <c r="H186" s="24" t="str">
        <f>IF($A186&gt;nrows,"",IF(col_s1=0,0,--(LEN(INDEX('Paste Export'!$A$2:$BZ$1001,$A186,col_s1))&gt;0))+IF(col_s2=0,0,--(LEN(INDEX('Paste Export'!$A$2:$BZ$1001,$A186,col_s2))&gt;0))+IF(col_s3=0,0,--(LEN(INDEX('Paste Export'!$A$2:$BZ$1001,$A186,col_s3))&gt;0))+IF(col_s4=0,0,--(LEN(INDEX('Paste Export'!$A$2:$BZ$1001,$A186,col_s4))&gt;0))+IF(col_s5=0,0,--(LEN(INDEX('Paste Export'!$A$2:$BZ$1001,$A186,col_s5))&gt;0))+IF(col_s6=0,0,--(LEN(INDEX('Paste Export'!$A$2:$BZ$1001,$A186,col_s6))&gt;0))+IF(col_s7=0,0,--(LEN(INDEX('Paste Export'!$A$2:$BZ$1001,$A186,col_s7))&gt;0))+IF(col_s8=0,0,--(LEN(INDEX('Paste Export'!$A$2:$BZ$1001,$A186,col_s8))&gt;0)))</f>
        <v/>
      </c>
      <c r="I186" s="25" t="str">
        <f t="shared" si="17"/>
        <v/>
      </c>
      <c r="J186" s="25" t="str">
        <f t="shared" si="18"/>
        <v/>
      </c>
      <c r="K186" s="24" t="str">
        <f t="shared" si="19"/>
        <v/>
      </c>
      <c r="L186" s="24" t="str">
        <f t="shared" si="20"/>
        <v/>
      </c>
    </row>
    <row r="187" spans="1:12" x14ac:dyDescent="0.25">
      <c r="A187" s="24">
        <f t="shared" si="14"/>
        <v>186</v>
      </c>
      <c r="B187" s="25" t="str">
        <f>IF($A187&gt;nrows,"",IF(col_user=0,"",INDEX('Paste Export'!$A$2:$BZ$1001,$A187,col_user)))</f>
        <v/>
      </c>
      <c r="C187" s="24" t="str">
        <f>IF($A187&gt;nrows,"",IF(col_days=0,0,N(INDEX('Paste Export'!$A$2:$BZ$1001,$A187,col_days))))</f>
        <v/>
      </c>
      <c r="D187" s="24" t="str">
        <f>IF($A187&gt;nrows,"",IF(col_prompts=0,0,N(INDEX('Paste Export'!$A$2:$BZ$1001,$A187,col_prompts))))</f>
        <v/>
      </c>
      <c r="E187" s="24" t="str">
        <f>IF($A187&gt;nrows,"",IF(col_web=0,0,N(INDEX('Paste Export'!$A$2:$BZ$1001,$A187,col_web))))</f>
        <v/>
      </c>
      <c r="F187" s="26" t="str">
        <f t="shared" si="15"/>
        <v/>
      </c>
      <c r="G187" s="27" t="str">
        <f t="shared" si="16"/>
        <v/>
      </c>
      <c r="H187" s="24" t="str">
        <f>IF($A187&gt;nrows,"",IF(col_s1=0,0,--(LEN(INDEX('Paste Export'!$A$2:$BZ$1001,$A187,col_s1))&gt;0))+IF(col_s2=0,0,--(LEN(INDEX('Paste Export'!$A$2:$BZ$1001,$A187,col_s2))&gt;0))+IF(col_s3=0,0,--(LEN(INDEX('Paste Export'!$A$2:$BZ$1001,$A187,col_s3))&gt;0))+IF(col_s4=0,0,--(LEN(INDEX('Paste Export'!$A$2:$BZ$1001,$A187,col_s4))&gt;0))+IF(col_s5=0,0,--(LEN(INDEX('Paste Export'!$A$2:$BZ$1001,$A187,col_s5))&gt;0))+IF(col_s6=0,0,--(LEN(INDEX('Paste Export'!$A$2:$BZ$1001,$A187,col_s6))&gt;0))+IF(col_s7=0,0,--(LEN(INDEX('Paste Export'!$A$2:$BZ$1001,$A187,col_s7))&gt;0))+IF(col_s8=0,0,--(LEN(INDEX('Paste Export'!$A$2:$BZ$1001,$A187,col_s8))&gt;0)))</f>
        <v/>
      </c>
      <c r="I187" s="25" t="str">
        <f t="shared" si="17"/>
        <v/>
      </c>
      <c r="J187" s="25" t="str">
        <f t="shared" si="18"/>
        <v/>
      </c>
      <c r="K187" s="24" t="str">
        <f t="shared" si="19"/>
        <v/>
      </c>
      <c r="L187" s="24" t="str">
        <f t="shared" si="20"/>
        <v/>
      </c>
    </row>
    <row r="188" spans="1:12" x14ac:dyDescent="0.25">
      <c r="A188" s="24">
        <f t="shared" si="14"/>
        <v>187</v>
      </c>
      <c r="B188" s="25" t="str">
        <f>IF($A188&gt;nrows,"",IF(col_user=0,"",INDEX('Paste Export'!$A$2:$BZ$1001,$A188,col_user)))</f>
        <v/>
      </c>
      <c r="C188" s="24" t="str">
        <f>IF($A188&gt;nrows,"",IF(col_days=0,0,N(INDEX('Paste Export'!$A$2:$BZ$1001,$A188,col_days))))</f>
        <v/>
      </c>
      <c r="D188" s="24" t="str">
        <f>IF($A188&gt;nrows,"",IF(col_prompts=0,0,N(INDEX('Paste Export'!$A$2:$BZ$1001,$A188,col_prompts))))</f>
        <v/>
      </c>
      <c r="E188" s="24" t="str">
        <f>IF($A188&gt;nrows,"",IF(col_web=0,0,N(INDEX('Paste Export'!$A$2:$BZ$1001,$A188,col_web))))</f>
        <v/>
      </c>
      <c r="F188" s="26" t="str">
        <f t="shared" si="15"/>
        <v/>
      </c>
      <c r="G188" s="27" t="str">
        <f t="shared" si="16"/>
        <v/>
      </c>
      <c r="H188" s="24" t="str">
        <f>IF($A188&gt;nrows,"",IF(col_s1=0,0,--(LEN(INDEX('Paste Export'!$A$2:$BZ$1001,$A188,col_s1))&gt;0))+IF(col_s2=0,0,--(LEN(INDEX('Paste Export'!$A$2:$BZ$1001,$A188,col_s2))&gt;0))+IF(col_s3=0,0,--(LEN(INDEX('Paste Export'!$A$2:$BZ$1001,$A188,col_s3))&gt;0))+IF(col_s4=0,0,--(LEN(INDEX('Paste Export'!$A$2:$BZ$1001,$A188,col_s4))&gt;0))+IF(col_s5=0,0,--(LEN(INDEX('Paste Export'!$A$2:$BZ$1001,$A188,col_s5))&gt;0))+IF(col_s6=0,0,--(LEN(INDEX('Paste Export'!$A$2:$BZ$1001,$A188,col_s6))&gt;0))+IF(col_s7=0,0,--(LEN(INDEX('Paste Export'!$A$2:$BZ$1001,$A188,col_s7))&gt;0))+IF(col_s8=0,0,--(LEN(INDEX('Paste Export'!$A$2:$BZ$1001,$A188,col_s8))&gt;0)))</f>
        <v/>
      </c>
      <c r="I188" s="25" t="str">
        <f t="shared" si="17"/>
        <v/>
      </c>
      <c r="J188" s="25" t="str">
        <f t="shared" si="18"/>
        <v/>
      </c>
      <c r="K188" s="24" t="str">
        <f t="shared" si="19"/>
        <v/>
      </c>
      <c r="L188" s="24" t="str">
        <f t="shared" si="20"/>
        <v/>
      </c>
    </row>
    <row r="189" spans="1:12" x14ac:dyDescent="0.25">
      <c r="A189" s="24">
        <f t="shared" si="14"/>
        <v>188</v>
      </c>
      <c r="B189" s="25" t="str">
        <f>IF($A189&gt;nrows,"",IF(col_user=0,"",INDEX('Paste Export'!$A$2:$BZ$1001,$A189,col_user)))</f>
        <v/>
      </c>
      <c r="C189" s="24" t="str">
        <f>IF($A189&gt;nrows,"",IF(col_days=0,0,N(INDEX('Paste Export'!$A$2:$BZ$1001,$A189,col_days))))</f>
        <v/>
      </c>
      <c r="D189" s="24" t="str">
        <f>IF($A189&gt;nrows,"",IF(col_prompts=0,0,N(INDEX('Paste Export'!$A$2:$BZ$1001,$A189,col_prompts))))</f>
        <v/>
      </c>
      <c r="E189" s="24" t="str">
        <f>IF($A189&gt;nrows,"",IF(col_web=0,0,N(INDEX('Paste Export'!$A$2:$BZ$1001,$A189,col_web))))</f>
        <v/>
      </c>
      <c r="F189" s="26" t="str">
        <f t="shared" si="15"/>
        <v/>
      </c>
      <c r="G189" s="27" t="str">
        <f t="shared" si="16"/>
        <v/>
      </c>
      <c r="H189" s="24" t="str">
        <f>IF($A189&gt;nrows,"",IF(col_s1=0,0,--(LEN(INDEX('Paste Export'!$A$2:$BZ$1001,$A189,col_s1))&gt;0))+IF(col_s2=0,0,--(LEN(INDEX('Paste Export'!$A$2:$BZ$1001,$A189,col_s2))&gt;0))+IF(col_s3=0,0,--(LEN(INDEX('Paste Export'!$A$2:$BZ$1001,$A189,col_s3))&gt;0))+IF(col_s4=0,0,--(LEN(INDEX('Paste Export'!$A$2:$BZ$1001,$A189,col_s4))&gt;0))+IF(col_s5=0,0,--(LEN(INDEX('Paste Export'!$A$2:$BZ$1001,$A189,col_s5))&gt;0))+IF(col_s6=0,0,--(LEN(INDEX('Paste Export'!$A$2:$BZ$1001,$A189,col_s6))&gt;0))+IF(col_s7=0,0,--(LEN(INDEX('Paste Export'!$A$2:$BZ$1001,$A189,col_s7))&gt;0))+IF(col_s8=0,0,--(LEN(INDEX('Paste Export'!$A$2:$BZ$1001,$A189,col_s8))&gt;0)))</f>
        <v/>
      </c>
      <c r="I189" s="25" t="str">
        <f t="shared" si="17"/>
        <v/>
      </c>
      <c r="J189" s="25" t="str">
        <f t="shared" si="18"/>
        <v/>
      </c>
      <c r="K189" s="24" t="str">
        <f t="shared" si="19"/>
        <v/>
      </c>
      <c r="L189" s="24" t="str">
        <f t="shared" si="20"/>
        <v/>
      </c>
    </row>
    <row r="190" spans="1:12" x14ac:dyDescent="0.25">
      <c r="A190" s="24">
        <f t="shared" si="14"/>
        <v>189</v>
      </c>
      <c r="B190" s="25" t="str">
        <f>IF($A190&gt;nrows,"",IF(col_user=0,"",INDEX('Paste Export'!$A$2:$BZ$1001,$A190,col_user)))</f>
        <v/>
      </c>
      <c r="C190" s="24" t="str">
        <f>IF($A190&gt;nrows,"",IF(col_days=0,0,N(INDEX('Paste Export'!$A$2:$BZ$1001,$A190,col_days))))</f>
        <v/>
      </c>
      <c r="D190" s="24" t="str">
        <f>IF($A190&gt;nrows,"",IF(col_prompts=0,0,N(INDEX('Paste Export'!$A$2:$BZ$1001,$A190,col_prompts))))</f>
        <v/>
      </c>
      <c r="E190" s="24" t="str">
        <f>IF($A190&gt;nrows,"",IF(col_web=0,0,N(INDEX('Paste Export'!$A$2:$BZ$1001,$A190,col_web))))</f>
        <v/>
      </c>
      <c r="F190" s="26" t="str">
        <f t="shared" si="15"/>
        <v/>
      </c>
      <c r="G190" s="27" t="str">
        <f t="shared" si="16"/>
        <v/>
      </c>
      <c r="H190" s="24" t="str">
        <f>IF($A190&gt;nrows,"",IF(col_s1=0,0,--(LEN(INDEX('Paste Export'!$A$2:$BZ$1001,$A190,col_s1))&gt;0))+IF(col_s2=0,0,--(LEN(INDEX('Paste Export'!$A$2:$BZ$1001,$A190,col_s2))&gt;0))+IF(col_s3=0,0,--(LEN(INDEX('Paste Export'!$A$2:$BZ$1001,$A190,col_s3))&gt;0))+IF(col_s4=0,0,--(LEN(INDEX('Paste Export'!$A$2:$BZ$1001,$A190,col_s4))&gt;0))+IF(col_s5=0,0,--(LEN(INDEX('Paste Export'!$A$2:$BZ$1001,$A190,col_s5))&gt;0))+IF(col_s6=0,0,--(LEN(INDEX('Paste Export'!$A$2:$BZ$1001,$A190,col_s6))&gt;0))+IF(col_s7=0,0,--(LEN(INDEX('Paste Export'!$A$2:$BZ$1001,$A190,col_s7))&gt;0))+IF(col_s8=0,0,--(LEN(INDEX('Paste Export'!$A$2:$BZ$1001,$A190,col_s8))&gt;0)))</f>
        <v/>
      </c>
      <c r="I190" s="25" t="str">
        <f t="shared" si="17"/>
        <v/>
      </c>
      <c r="J190" s="25" t="str">
        <f t="shared" si="18"/>
        <v/>
      </c>
      <c r="K190" s="24" t="str">
        <f t="shared" si="19"/>
        <v/>
      </c>
      <c r="L190" s="24" t="str">
        <f t="shared" si="20"/>
        <v/>
      </c>
    </row>
    <row r="191" spans="1:12" x14ac:dyDescent="0.25">
      <c r="A191" s="24">
        <f t="shared" si="14"/>
        <v>190</v>
      </c>
      <c r="B191" s="25" t="str">
        <f>IF($A191&gt;nrows,"",IF(col_user=0,"",INDEX('Paste Export'!$A$2:$BZ$1001,$A191,col_user)))</f>
        <v/>
      </c>
      <c r="C191" s="24" t="str">
        <f>IF($A191&gt;nrows,"",IF(col_days=0,0,N(INDEX('Paste Export'!$A$2:$BZ$1001,$A191,col_days))))</f>
        <v/>
      </c>
      <c r="D191" s="24" t="str">
        <f>IF($A191&gt;nrows,"",IF(col_prompts=0,0,N(INDEX('Paste Export'!$A$2:$BZ$1001,$A191,col_prompts))))</f>
        <v/>
      </c>
      <c r="E191" s="24" t="str">
        <f>IF($A191&gt;nrows,"",IF(col_web=0,0,N(INDEX('Paste Export'!$A$2:$BZ$1001,$A191,col_web))))</f>
        <v/>
      </c>
      <c r="F191" s="26" t="str">
        <f t="shared" si="15"/>
        <v/>
      </c>
      <c r="G191" s="27" t="str">
        <f t="shared" si="16"/>
        <v/>
      </c>
      <c r="H191" s="24" t="str">
        <f>IF($A191&gt;nrows,"",IF(col_s1=0,0,--(LEN(INDEX('Paste Export'!$A$2:$BZ$1001,$A191,col_s1))&gt;0))+IF(col_s2=0,0,--(LEN(INDEX('Paste Export'!$A$2:$BZ$1001,$A191,col_s2))&gt;0))+IF(col_s3=0,0,--(LEN(INDEX('Paste Export'!$A$2:$BZ$1001,$A191,col_s3))&gt;0))+IF(col_s4=0,0,--(LEN(INDEX('Paste Export'!$A$2:$BZ$1001,$A191,col_s4))&gt;0))+IF(col_s5=0,0,--(LEN(INDEX('Paste Export'!$A$2:$BZ$1001,$A191,col_s5))&gt;0))+IF(col_s6=0,0,--(LEN(INDEX('Paste Export'!$A$2:$BZ$1001,$A191,col_s6))&gt;0))+IF(col_s7=0,0,--(LEN(INDEX('Paste Export'!$A$2:$BZ$1001,$A191,col_s7))&gt;0))+IF(col_s8=0,0,--(LEN(INDEX('Paste Export'!$A$2:$BZ$1001,$A191,col_s8))&gt;0)))</f>
        <v/>
      </c>
      <c r="I191" s="25" t="str">
        <f t="shared" si="17"/>
        <v/>
      </c>
      <c r="J191" s="25" t="str">
        <f t="shared" si="18"/>
        <v/>
      </c>
      <c r="K191" s="24" t="str">
        <f t="shared" si="19"/>
        <v/>
      </c>
      <c r="L191" s="24" t="str">
        <f t="shared" si="20"/>
        <v/>
      </c>
    </row>
    <row r="192" spans="1:12" x14ac:dyDescent="0.25">
      <c r="A192" s="24">
        <f t="shared" si="14"/>
        <v>191</v>
      </c>
      <c r="B192" s="25" t="str">
        <f>IF($A192&gt;nrows,"",IF(col_user=0,"",INDEX('Paste Export'!$A$2:$BZ$1001,$A192,col_user)))</f>
        <v/>
      </c>
      <c r="C192" s="24" t="str">
        <f>IF($A192&gt;nrows,"",IF(col_days=0,0,N(INDEX('Paste Export'!$A$2:$BZ$1001,$A192,col_days))))</f>
        <v/>
      </c>
      <c r="D192" s="24" t="str">
        <f>IF($A192&gt;nrows,"",IF(col_prompts=0,0,N(INDEX('Paste Export'!$A$2:$BZ$1001,$A192,col_prompts))))</f>
        <v/>
      </c>
      <c r="E192" s="24" t="str">
        <f>IF($A192&gt;nrows,"",IF(col_web=0,0,N(INDEX('Paste Export'!$A$2:$BZ$1001,$A192,col_web))))</f>
        <v/>
      </c>
      <c r="F192" s="26" t="str">
        <f t="shared" si="15"/>
        <v/>
      </c>
      <c r="G192" s="27" t="str">
        <f t="shared" si="16"/>
        <v/>
      </c>
      <c r="H192" s="24" t="str">
        <f>IF($A192&gt;nrows,"",IF(col_s1=0,0,--(LEN(INDEX('Paste Export'!$A$2:$BZ$1001,$A192,col_s1))&gt;0))+IF(col_s2=0,0,--(LEN(INDEX('Paste Export'!$A$2:$BZ$1001,$A192,col_s2))&gt;0))+IF(col_s3=0,0,--(LEN(INDEX('Paste Export'!$A$2:$BZ$1001,$A192,col_s3))&gt;0))+IF(col_s4=0,0,--(LEN(INDEX('Paste Export'!$A$2:$BZ$1001,$A192,col_s4))&gt;0))+IF(col_s5=0,0,--(LEN(INDEX('Paste Export'!$A$2:$BZ$1001,$A192,col_s5))&gt;0))+IF(col_s6=0,0,--(LEN(INDEX('Paste Export'!$A$2:$BZ$1001,$A192,col_s6))&gt;0))+IF(col_s7=0,0,--(LEN(INDEX('Paste Export'!$A$2:$BZ$1001,$A192,col_s7))&gt;0))+IF(col_s8=0,0,--(LEN(INDEX('Paste Export'!$A$2:$BZ$1001,$A192,col_s8))&gt;0)))</f>
        <v/>
      </c>
      <c r="I192" s="25" t="str">
        <f t="shared" si="17"/>
        <v/>
      </c>
      <c r="J192" s="25" t="str">
        <f t="shared" si="18"/>
        <v/>
      </c>
      <c r="K192" s="24" t="str">
        <f t="shared" si="19"/>
        <v/>
      </c>
      <c r="L192" s="24" t="str">
        <f t="shared" si="20"/>
        <v/>
      </c>
    </row>
    <row r="193" spans="1:12" x14ac:dyDescent="0.25">
      <c r="A193" s="24">
        <f t="shared" si="14"/>
        <v>192</v>
      </c>
      <c r="B193" s="25" t="str">
        <f>IF($A193&gt;nrows,"",IF(col_user=0,"",INDEX('Paste Export'!$A$2:$BZ$1001,$A193,col_user)))</f>
        <v/>
      </c>
      <c r="C193" s="24" t="str">
        <f>IF($A193&gt;nrows,"",IF(col_days=0,0,N(INDEX('Paste Export'!$A$2:$BZ$1001,$A193,col_days))))</f>
        <v/>
      </c>
      <c r="D193" s="24" t="str">
        <f>IF($A193&gt;nrows,"",IF(col_prompts=0,0,N(INDEX('Paste Export'!$A$2:$BZ$1001,$A193,col_prompts))))</f>
        <v/>
      </c>
      <c r="E193" s="24" t="str">
        <f>IF($A193&gt;nrows,"",IF(col_web=0,0,N(INDEX('Paste Export'!$A$2:$BZ$1001,$A193,col_web))))</f>
        <v/>
      </c>
      <c r="F193" s="26" t="str">
        <f t="shared" si="15"/>
        <v/>
      </c>
      <c r="G193" s="27" t="str">
        <f t="shared" si="16"/>
        <v/>
      </c>
      <c r="H193" s="24" t="str">
        <f>IF($A193&gt;nrows,"",IF(col_s1=0,0,--(LEN(INDEX('Paste Export'!$A$2:$BZ$1001,$A193,col_s1))&gt;0))+IF(col_s2=0,0,--(LEN(INDEX('Paste Export'!$A$2:$BZ$1001,$A193,col_s2))&gt;0))+IF(col_s3=0,0,--(LEN(INDEX('Paste Export'!$A$2:$BZ$1001,$A193,col_s3))&gt;0))+IF(col_s4=0,0,--(LEN(INDEX('Paste Export'!$A$2:$BZ$1001,$A193,col_s4))&gt;0))+IF(col_s5=0,0,--(LEN(INDEX('Paste Export'!$A$2:$BZ$1001,$A193,col_s5))&gt;0))+IF(col_s6=0,0,--(LEN(INDEX('Paste Export'!$A$2:$BZ$1001,$A193,col_s6))&gt;0))+IF(col_s7=0,0,--(LEN(INDEX('Paste Export'!$A$2:$BZ$1001,$A193,col_s7))&gt;0))+IF(col_s8=0,0,--(LEN(INDEX('Paste Export'!$A$2:$BZ$1001,$A193,col_s8))&gt;0)))</f>
        <v/>
      </c>
      <c r="I193" s="25" t="str">
        <f t="shared" si="17"/>
        <v/>
      </c>
      <c r="J193" s="25" t="str">
        <f t="shared" si="18"/>
        <v/>
      </c>
      <c r="K193" s="24" t="str">
        <f t="shared" si="19"/>
        <v/>
      </c>
      <c r="L193" s="24" t="str">
        <f t="shared" si="20"/>
        <v/>
      </c>
    </row>
    <row r="194" spans="1:12" x14ac:dyDescent="0.25">
      <c r="A194" s="24">
        <f t="shared" ref="A194:A257" si="21">ROW()-1</f>
        <v>193</v>
      </c>
      <c r="B194" s="25" t="str">
        <f>IF($A194&gt;nrows,"",IF(col_user=0,"",INDEX('Paste Export'!$A$2:$BZ$1001,$A194,col_user)))</f>
        <v/>
      </c>
      <c r="C194" s="24" t="str">
        <f>IF($A194&gt;nrows,"",IF(col_days=0,0,N(INDEX('Paste Export'!$A$2:$BZ$1001,$A194,col_days))))</f>
        <v/>
      </c>
      <c r="D194" s="24" t="str">
        <f>IF($A194&gt;nrows,"",IF(col_prompts=0,0,N(INDEX('Paste Export'!$A$2:$BZ$1001,$A194,col_prompts))))</f>
        <v/>
      </c>
      <c r="E194" s="24" t="str">
        <f>IF($A194&gt;nrows,"",IF(col_web=0,0,N(INDEX('Paste Export'!$A$2:$BZ$1001,$A194,col_web))))</f>
        <v/>
      </c>
      <c r="F194" s="26" t="str">
        <f t="shared" ref="F194:F257" si="22">IF($A194&gt;nrows,"",IFERROR($D194/$C194,0))</f>
        <v/>
      </c>
      <c r="G194" s="27" t="str">
        <f t="shared" ref="G194:G257" si="23">IF($A194&gt;nrows,"",IFERROR($E194/$D194,""))</f>
        <v/>
      </c>
      <c r="H194" s="24" t="str">
        <f>IF($A194&gt;nrows,"",IF(col_s1=0,0,--(LEN(INDEX('Paste Export'!$A$2:$BZ$1001,$A194,col_s1))&gt;0))+IF(col_s2=0,0,--(LEN(INDEX('Paste Export'!$A$2:$BZ$1001,$A194,col_s2))&gt;0))+IF(col_s3=0,0,--(LEN(INDEX('Paste Export'!$A$2:$BZ$1001,$A194,col_s3))&gt;0))+IF(col_s4=0,0,--(LEN(INDEX('Paste Export'!$A$2:$BZ$1001,$A194,col_s4))&gt;0))+IF(col_s5=0,0,--(LEN(INDEX('Paste Export'!$A$2:$BZ$1001,$A194,col_s5))&gt;0))+IF(col_s6=0,0,--(LEN(INDEX('Paste Export'!$A$2:$BZ$1001,$A194,col_s6))&gt;0))+IF(col_s7=0,0,--(LEN(INDEX('Paste Export'!$A$2:$BZ$1001,$A194,col_s7))&gt;0))+IF(col_s8=0,0,--(LEN(INDEX('Paste Export'!$A$2:$BZ$1001,$A194,col_s8))&gt;0)))</f>
        <v/>
      </c>
      <c r="I194" s="25" t="str">
        <f t="shared" ref="I194:I257" si="24">IF($A194&gt;nrows,"",IF($C194&gt;=freq_line,IF($D194&gt;=depth_line,"Embedded","Loyal but shallow"),IF($D194&gt;=depth_line,"Project-driven","Drifting")))</f>
        <v/>
      </c>
      <c r="J194" s="25" t="str">
        <f t="shared" ref="J194:J257" si="25">IF($A194&gt;nrows,"",IF($I194="Drifting",IF($H194&gt;=3,"tried and stopped","never started"),""))</f>
        <v/>
      </c>
      <c r="K194" s="24" t="str">
        <f t="shared" ref="K194:K257" si="26">IF($A194&gt;nrows,"",MAX($D194,1))</f>
        <v/>
      </c>
      <c r="L194" s="24" t="str">
        <f t="shared" ref="L194:L257" si="27">IF($A194&gt;nrows,"",IF(AND($C194=0,$D194=0),1,0))</f>
        <v/>
      </c>
    </row>
    <row r="195" spans="1:12" x14ac:dyDescent="0.25">
      <c r="A195" s="24">
        <f t="shared" si="21"/>
        <v>194</v>
      </c>
      <c r="B195" s="25" t="str">
        <f>IF($A195&gt;nrows,"",IF(col_user=0,"",INDEX('Paste Export'!$A$2:$BZ$1001,$A195,col_user)))</f>
        <v/>
      </c>
      <c r="C195" s="24" t="str">
        <f>IF($A195&gt;nrows,"",IF(col_days=0,0,N(INDEX('Paste Export'!$A$2:$BZ$1001,$A195,col_days))))</f>
        <v/>
      </c>
      <c r="D195" s="24" t="str">
        <f>IF($A195&gt;nrows,"",IF(col_prompts=0,0,N(INDEX('Paste Export'!$A$2:$BZ$1001,$A195,col_prompts))))</f>
        <v/>
      </c>
      <c r="E195" s="24" t="str">
        <f>IF($A195&gt;nrows,"",IF(col_web=0,0,N(INDEX('Paste Export'!$A$2:$BZ$1001,$A195,col_web))))</f>
        <v/>
      </c>
      <c r="F195" s="26" t="str">
        <f t="shared" si="22"/>
        <v/>
      </c>
      <c r="G195" s="27" t="str">
        <f t="shared" si="23"/>
        <v/>
      </c>
      <c r="H195" s="24" t="str">
        <f>IF($A195&gt;nrows,"",IF(col_s1=0,0,--(LEN(INDEX('Paste Export'!$A$2:$BZ$1001,$A195,col_s1))&gt;0))+IF(col_s2=0,0,--(LEN(INDEX('Paste Export'!$A$2:$BZ$1001,$A195,col_s2))&gt;0))+IF(col_s3=0,0,--(LEN(INDEX('Paste Export'!$A$2:$BZ$1001,$A195,col_s3))&gt;0))+IF(col_s4=0,0,--(LEN(INDEX('Paste Export'!$A$2:$BZ$1001,$A195,col_s4))&gt;0))+IF(col_s5=0,0,--(LEN(INDEX('Paste Export'!$A$2:$BZ$1001,$A195,col_s5))&gt;0))+IF(col_s6=0,0,--(LEN(INDEX('Paste Export'!$A$2:$BZ$1001,$A195,col_s6))&gt;0))+IF(col_s7=0,0,--(LEN(INDEX('Paste Export'!$A$2:$BZ$1001,$A195,col_s7))&gt;0))+IF(col_s8=0,0,--(LEN(INDEX('Paste Export'!$A$2:$BZ$1001,$A195,col_s8))&gt;0)))</f>
        <v/>
      </c>
      <c r="I195" s="25" t="str">
        <f t="shared" si="24"/>
        <v/>
      </c>
      <c r="J195" s="25" t="str">
        <f t="shared" si="25"/>
        <v/>
      </c>
      <c r="K195" s="24" t="str">
        <f t="shared" si="26"/>
        <v/>
      </c>
      <c r="L195" s="24" t="str">
        <f t="shared" si="27"/>
        <v/>
      </c>
    </row>
    <row r="196" spans="1:12" x14ac:dyDescent="0.25">
      <c r="A196" s="24">
        <f t="shared" si="21"/>
        <v>195</v>
      </c>
      <c r="B196" s="25" t="str">
        <f>IF($A196&gt;nrows,"",IF(col_user=0,"",INDEX('Paste Export'!$A$2:$BZ$1001,$A196,col_user)))</f>
        <v/>
      </c>
      <c r="C196" s="24" t="str">
        <f>IF($A196&gt;nrows,"",IF(col_days=0,0,N(INDEX('Paste Export'!$A$2:$BZ$1001,$A196,col_days))))</f>
        <v/>
      </c>
      <c r="D196" s="24" t="str">
        <f>IF($A196&gt;nrows,"",IF(col_prompts=0,0,N(INDEX('Paste Export'!$A$2:$BZ$1001,$A196,col_prompts))))</f>
        <v/>
      </c>
      <c r="E196" s="24" t="str">
        <f>IF($A196&gt;nrows,"",IF(col_web=0,0,N(INDEX('Paste Export'!$A$2:$BZ$1001,$A196,col_web))))</f>
        <v/>
      </c>
      <c r="F196" s="26" t="str">
        <f t="shared" si="22"/>
        <v/>
      </c>
      <c r="G196" s="27" t="str">
        <f t="shared" si="23"/>
        <v/>
      </c>
      <c r="H196" s="24" t="str">
        <f>IF($A196&gt;nrows,"",IF(col_s1=0,0,--(LEN(INDEX('Paste Export'!$A$2:$BZ$1001,$A196,col_s1))&gt;0))+IF(col_s2=0,0,--(LEN(INDEX('Paste Export'!$A$2:$BZ$1001,$A196,col_s2))&gt;0))+IF(col_s3=0,0,--(LEN(INDEX('Paste Export'!$A$2:$BZ$1001,$A196,col_s3))&gt;0))+IF(col_s4=0,0,--(LEN(INDEX('Paste Export'!$A$2:$BZ$1001,$A196,col_s4))&gt;0))+IF(col_s5=0,0,--(LEN(INDEX('Paste Export'!$A$2:$BZ$1001,$A196,col_s5))&gt;0))+IF(col_s6=0,0,--(LEN(INDEX('Paste Export'!$A$2:$BZ$1001,$A196,col_s6))&gt;0))+IF(col_s7=0,0,--(LEN(INDEX('Paste Export'!$A$2:$BZ$1001,$A196,col_s7))&gt;0))+IF(col_s8=0,0,--(LEN(INDEX('Paste Export'!$A$2:$BZ$1001,$A196,col_s8))&gt;0)))</f>
        <v/>
      </c>
      <c r="I196" s="25" t="str">
        <f t="shared" si="24"/>
        <v/>
      </c>
      <c r="J196" s="25" t="str">
        <f t="shared" si="25"/>
        <v/>
      </c>
      <c r="K196" s="24" t="str">
        <f t="shared" si="26"/>
        <v/>
      </c>
      <c r="L196" s="24" t="str">
        <f t="shared" si="27"/>
        <v/>
      </c>
    </row>
    <row r="197" spans="1:12" x14ac:dyDescent="0.25">
      <c r="A197" s="24">
        <f t="shared" si="21"/>
        <v>196</v>
      </c>
      <c r="B197" s="25" t="str">
        <f>IF($A197&gt;nrows,"",IF(col_user=0,"",INDEX('Paste Export'!$A$2:$BZ$1001,$A197,col_user)))</f>
        <v/>
      </c>
      <c r="C197" s="24" t="str">
        <f>IF($A197&gt;nrows,"",IF(col_days=0,0,N(INDEX('Paste Export'!$A$2:$BZ$1001,$A197,col_days))))</f>
        <v/>
      </c>
      <c r="D197" s="24" t="str">
        <f>IF($A197&gt;nrows,"",IF(col_prompts=0,0,N(INDEX('Paste Export'!$A$2:$BZ$1001,$A197,col_prompts))))</f>
        <v/>
      </c>
      <c r="E197" s="24" t="str">
        <f>IF($A197&gt;nrows,"",IF(col_web=0,0,N(INDEX('Paste Export'!$A$2:$BZ$1001,$A197,col_web))))</f>
        <v/>
      </c>
      <c r="F197" s="26" t="str">
        <f t="shared" si="22"/>
        <v/>
      </c>
      <c r="G197" s="27" t="str">
        <f t="shared" si="23"/>
        <v/>
      </c>
      <c r="H197" s="24" t="str">
        <f>IF($A197&gt;nrows,"",IF(col_s1=0,0,--(LEN(INDEX('Paste Export'!$A$2:$BZ$1001,$A197,col_s1))&gt;0))+IF(col_s2=0,0,--(LEN(INDEX('Paste Export'!$A$2:$BZ$1001,$A197,col_s2))&gt;0))+IF(col_s3=0,0,--(LEN(INDEX('Paste Export'!$A$2:$BZ$1001,$A197,col_s3))&gt;0))+IF(col_s4=0,0,--(LEN(INDEX('Paste Export'!$A$2:$BZ$1001,$A197,col_s4))&gt;0))+IF(col_s5=0,0,--(LEN(INDEX('Paste Export'!$A$2:$BZ$1001,$A197,col_s5))&gt;0))+IF(col_s6=0,0,--(LEN(INDEX('Paste Export'!$A$2:$BZ$1001,$A197,col_s6))&gt;0))+IF(col_s7=0,0,--(LEN(INDEX('Paste Export'!$A$2:$BZ$1001,$A197,col_s7))&gt;0))+IF(col_s8=0,0,--(LEN(INDEX('Paste Export'!$A$2:$BZ$1001,$A197,col_s8))&gt;0)))</f>
        <v/>
      </c>
      <c r="I197" s="25" t="str">
        <f t="shared" si="24"/>
        <v/>
      </c>
      <c r="J197" s="25" t="str">
        <f t="shared" si="25"/>
        <v/>
      </c>
      <c r="K197" s="24" t="str">
        <f t="shared" si="26"/>
        <v/>
      </c>
      <c r="L197" s="24" t="str">
        <f t="shared" si="27"/>
        <v/>
      </c>
    </row>
    <row r="198" spans="1:12" x14ac:dyDescent="0.25">
      <c r="A198" s="24">
        <f t="shared" si="21"/>
        <v>197</v>
      </c>
      <c r="B198" s="25" t="str">
        <f>IF($A198&gt;nrows,"",IF(col_user=0,"",INDEX('Paste Export'!$A$2:$BZ$1001,$A198,col_user)))</f>
        <v/>
      </c>
      <c r="C198" s="24" t="str">
        <f>IF($A198&gt;nrows,"",IF(col_days=0,0,N(INDEX('Paste Export'!$A$2:$BZ$1001,$A198,col_days))))</f>
        <v/>
      </c>
      <c r="D198" s="24" t="str">
        <f>IF($A198&gt;nrows,"",IF(col_prompts=0,0,N(INDEX('Paste Export'!$A$2:$BZ$1001,$A198,col_prompts))))</f>
        <v/>
      </c>
      <c r="E198" s="24" t="str">
        <f>IF($A198&gt;nrows,"",IF(col_web=0,0,N(INDEX('Paste Export'!$A$2:$BZ$1001,$A198,col_web))))</f>
        <v/>
      </c>
      <c r="F198" s="26" t="str">
        <f t="shared" si="22"/>
        <v/>
      </c>
      <c r="G198" s="27" t="str">
        <f t="shared" si="23"/>
        <v/>
      </c>
      <c r="H198" s="24" t="str">
        <f>IF($A198&gt;nrows,"",IF(col_s1=0,0,--(LEN(INDEX('Paste Export'!$A$2:$BZ$1001,$A198,col_s1))&gt;0))+IF(col_s2=0,0,--(LEN(INDEX('Paste Export'!$A$2:$BZ$1001,$A198,col_s2))&gt;0))+IF(col_s3=0,0,--(LEN(INDEX('Paste Export'!$A$2:$BZ$1001,$A198,col_s3))&gt;0))+IF(col_s4=0,0,--(LEN(INDEX('Paste Export'!$A$2:$BZ$1001,$A198,col_s4))&gt;0))+IF(col_s5=0,0,--(LEN(INDEX('Paste Export'!$A$2:$BZ$1001,$A198,col_s5))&gt;0))+IF(col_s6=0,0,--(LEN(INDEX('Paste Export'!$A$2:$BZ$1001,$A198,col_s6))&gt;0))+IF(col_s7=0,0,--(LEN(INDEX('Paste Export'!$A$2:$BZ$1001,$A198,col_s7))&gt;0))+IF(col_s8=0,0,--(LEN(INDEX('Paste Export'!$A$2:$BZ$1001,$A198,col_s8))&gt;0)))</f>
        <v/>
      </c>
      <c r="I198" s="25" t="str">
        <f t="shared" si="24"/>
        <v/>
      </c>
      <c r="J198" s="25" t="str">
        <f t="shared" si="25"/>
        <v/>
      </c>
      <c r="K198" s="24" t="str">
        <f t="shared" si="26"/>
        <v/>
      </c>
      <c r="L198" s="24" t="str">
        <f t="shared" si="27"/>
        <v/>
      </c>
    </row>
    <row r="199" spans="1:12" x14ac:dyDescent="0.25">
      <c r="A199" s="24">
        <f t="shared" si="21"/>
        <v>198</v>
      </c>
      <c r="B199" s="25" t="str">
        <f>IF($A199&gt;nrows,"",IF(col_user=0,"",INDEX('Paste Export'!$A$2:$BZ$1001,$A199,col_user)))</f>
        <v/>
      </c>
      <c r="C199" s="24" t="str">
        <f>IF($A199&gt;nrows,"",IF(col_days=0,0,N(INDEX('Paste Export'!$A$2:$BZ$1001,$A199,col_days))))</f>
        <v/>
      </c>
      <c r="D199" s="24" t="str">
        <f>IF($A199&gt;nrows,"",IF(col_prompts=0,0,N(INDEX('Paste Export'!$A$2:$BZ$1001,$A199,col_prompts))))</f>
        <v/>
      </c>
      <c r="E199" s="24" t="str">
        <f>IF($A199&gt;nrows,"",IF(col_web=0,0,N(INDEX('Paste Export'!$A$2:$BZ$1001,$A199,col_web))))</f>
        <v/>
      </c>
      <c r="F199" s="26" t="str">
        <f t="shared" si="22"/>
        <v/>
      </c>
      <c r="G199" s="27" t="str">
        <f t="shared" si="23"/>
        <v/>
      </c>
      <c r="H199" s="24" t="str">
        <f>IF($A199&gt;nrows,"",IF(col_s1=0,0,--(LEN(INDEX('Paste Export'!$A$2:$BZ$1001,$A199,col_s1))&gt;0))+IF(col_s2=0,0,--(LEN(INDEX('Paste Export'!$A$2:$BZ$1001,$A199,col_s2))&gt;0))+IF(col_s3=0,0,--(LEN(INDEX('Paste Export'!$A$2:$BZ$1001,$A199,col_s3))&gt;0))+IF(col_s4=0,0,--(LEN(INDEX('Paste Export'!$A$2:$BZ$1001,$A199,col_s4))&gt;0))+IF(col_s5=0,0,--(LEN(INDEX('Paste Export'!$A$2:$BZ$1001,$A199,col_s5))&gt;0))+IF(col_s6=0,0,--(LEN(INDEX('Paste Export'!$A$2:$BZ$1001,$A199,col_s6))&gt;0))+IF(col_s7=0,0,--(LEN(INDEX('Paste Export'!$A$2:$BZ$1001,$A199,col_s7))&gt;0))+IF(col_s8=0,0,--(LEN(INDEX('Paste Export'!$A$2:$BZ$1001,$A199,col_s8))&gt;0)))</f>
        <v/>
      </c>
      <c r="I199" s="25" t="str">
        <f t="shared" si="24"/>
        <v/>
      </c>
      <c r="J199" s="25" t="str">
        <f t="shared" si="25"/>
        <v/>
      </c>
      <c r="K199" s="24" t="str">
        <f t="shared" si="26"/>
        <v/>
      </c>
      <c r="L199" s="24" t="str">
        <f t="shared" si="27"/>
        <v/>
      </c>
    </row>
    <row r="200" spans="1:12" x14ac:dyDescent="0.25">
      <c r="A200" s="24">
        <f t="shared" si="21"/>
        <v>199</v>
      </c>
      <c r="B200" s="25" t="str">
        <f>IF($A200&gt;nrows,"",IF(col_user=0,"",INDEX('Paste Export'!$A$2:$BZ$1001,$A200,col_user)))</f>
        <v/>
      </c>
      <c r="C200" s="24" t="str">
        <f>IF($A200&gt;nrows,"",IF(col_days=0,0,N(INDEX('Paste Export'!$A$2:$BZ$1001,$A200,col_days))))</f>
        <v/>
      </c>
      <c r="D200" s="24" t="str">
        <f>IF($A200&gt;nrows,"",IF(col_prompts=0,0,N(INDEX('Paste Export'!$A$2:$BZ$1001,$A200,col_prompts))))</f>
        <v/>
      </c>
      <c r="E200" s="24" t="str">
        <f>IF($A200&gt;nrows,"",IF(col_web=0,0,N(INDEX('Paste Export'!$A$2:$BZ$1001,$A200,col_web))))</f>
        <v/>
      </c>
      <c r="F200" s="26" t="str">
        <f t="shared" si="22"/>
        <v/>
      </c>
      <c r="G200" s="27" t="str">
        <f t="shared" si="23"/>
        <v/>
      </c>
      <c r="H200" s="24" t="str">
        <f>IF($A200&gt;nrows,"",IF(col_s1=0,0,--(LEN(INDEX('Paste Export'!$A$2:$BZ$1001,$A200,col_s1))&gt;0))+IF(col_s2=0,0,--(LEN(INDEX('Paste Export'!$A$2:$BZ$1001,$A200,col_s2))&gt;0))+IF(col_s3=0,0,--(LEN(INDEX('Paste Export'!$A$2:$BZ$1001,$A200,col_s3))&gt;0))+IF(col_s4=0,0,--(LEN(INDEX('Paste Export'!$A$2:$BZ$1001,$A200,col_s4))&gt;0))+IF(col_s5=0,0,--(LEN(INDEX('Paste Export'!$A$2:$BZ$1001,$A200,col_s5))&gt;0))+IF(col_s6=0,0,--(LEN(INDEX('Paste Export'!$A$2:$BZ$1001,$A200,col_s6))&gt;0))+IF(col_s7=0,0,--(LEN(INDEX('Paste Export'!$A$2:$BZ$1001,$A200,col_s7))&gt;0))+IF(col_s8=0,0,--(LEN(INDEX('Paste Export'!$A$2:$BZ$1001,$A200,col_s8))&gt;0)))</f>
        <v/>
      </c>
      <c r="I200" s="25" t="str">
        <f t="shared" si="24"/>
        <v/>
      </c>
      <c r="J200" s="25" t="str">
        <f t="shared" si="25"/>
        <v/>
      </c>
      <c r="K200" s="24" t="str">
        <f t="shared" si="26"/>
        <v/>
      </c>
      <c r="L200" s="24" t="str">
        <f t="shared" si="27"/>
        <v/>
      </c>
    </row>
    <row r="201" spans="1:12" x14ac:dyDescent="0.25">
      <c r="A201" s="24">
        <f t="shared" si="21"/>
        <v>200</v>
      </c>
      <c r="B201" s="25" t="str">
        <f>IF($A201&gt;nrows,"",IF(col_user=0,"",INDEX('Paste Export'!$A$2:$BZ$1001,$A201,col_user)))</f>
        <v/>
      </c>
      <c r="C201" s="24" t="str">
        <f>IF($A201&gt;nrows,"",IF(col_days=0,0,N(INDEX('Paste Export'!$A$2:$BZ$1001,$A201,col_days))))</f>
        <v/>
      </c>
      <c r="D201" s="24" t="str">
        <f>IF($A201&gt;nrows,"",IF(col_prompts=0,0,N(INDEX('Paste Export'!$A$2:$BZ$1001,$A201,col_prompts))))</f>
        <v/>
      </c>
      <c r="E201" s="24" t="str">
        <f>IF($A201&gt;nrows,"",IF(col_web=0,0,N(INDEX('Paste Export'!$A$2:$BZ$1001,$A201,col_web))))</f>
        <v/>
      </c>
      <c r="F201" s="26" t="str">
        <f t="shared" si="22"/>
        <v/>
      </c>
      <c r="G201" s="27" t="str">
        <f t="shared" si="23"/>
        <v/>
      </c>
      <c r="H201" s="24" t="str">
        <f>IF($A201&gt;nrows,"",IF(col_s1=0,0,--(LEN(INDEX('Paste Export'!$A$2:$BZ$1001,$A201,col_s1))&gt;0))+IF(col_s2=0,0,--(LEN(INDEX('Paste Export'!$A$2:$BZ$1001,$A201,col_s2))&gt;0))+IF(col_s3=0,0,--(LEN(INDEX('Paste Export'!$A$2:$BZ$1001,$A201,col_s3))&gt;0))+IF(col_s4=0,0,--(LEN(INDEX('Paste Export'!$A$2:$BZ$1001,$A201,col_s4))&gt;0))+IF(col_s5=0,0,--(LEN(INDEX('Paste Export'!$A$2:$BZ$1001,$A201,col_s5))&gt;0))+IF(col_s6=0,0,--(LEN(INDEX('Paste Export'!$A$2:$BZ$1001,$A201,col_s6))&gt;0))+IF(col_s7=0,0,--(LEN(INDEX('Paste Export'!$A$2:$BZ$1001,$A201,col_s7))&gt;0))+IF(col_s8=0,0,--(LEN(INDEX('Paste Export'!$A$2:$BZ$1001,$A201,col_s8))&gt;0)))</f>
        <v/>
      </c>
      <c r="I201" s="25" t="str">
        <f t="shared" si="24"/>
        <v/>
      </c>
      <c r="J201" s="25" t="str">
        <f t="shared" si="25"/>
        <v/>
      </c>
      <c r="K201" s="24" t="str">
        <f t="shared" si="26"/>
        <v/>
      </c>
      <c r="L201" s="24" t="str">
        <f t="shared" si="27"/>
        <v/>
      </c>
    </row>
    <row r="202" spans="1:12" x14ac:dyDescent="0.25">
      <c r="A202" s="24">
        <f t="shared" si="21"/>
        <v>201</v>
      </c>
      <c r="B202" s="25" t="str">
        <f>IF($A202&gt;nrows,"",IF(col_user=0,"",INDEX('Paste Export'!$A$2:$BZ$1001,$A202,col_user)))</f>
        <v/>
      </c>
      <c r="C202" s="24" t="str">
        <f>IF($A202&gt;nrows,"",IF(col_days=0,0,N(INDEX('Paste Export'!$A$2:$BZ$1001,$A202,col_days))))</f>
        <v/>
      </c>
      <c r="D202" s="24" t="str">
        <f>IF($A202&gt;nrows,"",IF(col_prompts=0,0,N(INDEX('Paste Export'!$A$2:$BZ$1001,$A202,col_prompts))))</f>
        <v/>
      </c>
      <c r="E202" s="24" t="str">
        <f>IF($A202&gt;nrows,"",IF(col_web=0,0,N(INDEX('Paste Export'!$A$2:$BZ$1001,$A202,col_web))))</f>
        <v/>
      </c>
      <c r="F202" s="26" t="str">
        <f t="shared" si="22"/>
        <v/>
      </c>
      <c r="G202" s="27" t="str">
        <f t="shared" si="23"/>
        <v/>
      </c>
      <c r="H202" s="24" t="str">
        <f>IF($A202&gt;nrows,"",IF(col_s1=0,0,--(LEN(INDEX('Paste Export'!$A$2:$BZ$1001,$A202,col_s1))&gt;0))+IF(col_s2=0,0,--(LEN(INDEX('Paste Export'!$A$2:$BZ$1001,$A202,col_s2))&gt;0))+IF(col_s3=0,0,--(LEN(INDEX('Paste Export'!$A$2:$BZ$1001,$A202,col_s3))&gt;0))+IF(col_s4=0,0,--(LEN(INDEX('Paste Export'!$A$2:$BZ$1001,$A202,col_s4))&gt;0))+IF(col_s5=0,0,--(LEN(INDEX('Paste Export'!$A$2:$BZ$1001,$A202,col_s5))&gt;0))+IF(col_s6=0,0,--(LEN(INDEX('Paste Export'!$A$2:$BZ$1001,$A202,col_s6))&gt;0))+IF(col_s7=0,0,--(LEN(INDEX('Paste Export'!$A$2:$BZ$1001,$A202,col_s7))&gt;0))+IF(col_s8=0,0,--(LEN(INDEX('Paste Export'!$A$2:$BZ$1001,$A202,col_s8))&gt;0)))</f>
        <v/>
      </c>
      <c r="I202" s="25" t="str">
        <f t="shared" si="24"/>
        <v/>
      </c>
      <c r="J202" s="25" t="str">
        <f t="shared" si="25"/>
        <v/>
      </c>
      <c r="K202" s="24" t="str">
        <f t="shared" si="26"/>
        <v/>
      </c>
      <c r="L202" s="24" t="str">
        <f t="shared" si="27"/>
        <v/>
      </c>
    </row>
    <row r="203" spans="1:12" x14ac:dyDescent="0.25">
      <c r="A203" s="24">
        <f t="shared" si="21"/>
        <v>202</v>
      </c>
      <c r="B203" s="25" t="str">
        <f>IF($A203&gt;nrows,"",IF(col_user=0,"",INDEX('Paste Export'!$A$2:$BZ$1001,$A203,col_user)))</f>
        <v/>
      </c>
      <c r="C203" s="24" t="str">
        <f>IF($A203&gt;nrows,"",IF(col_days=0,0,N(INDEX('Paste Export'!$A$2:$BZ$1001,$A203,col_days))))</f>
        <v/>
      </c>
      <c r="D203" s="24" t="str">
        <f>IF($A203&gt;nrows,"",IF(col_prompts=0,0,N(INDEX('Paste Export'!$A$2:$BZ$1001,$A203,col_prompts))))</f>
        <v/>
      </c>
      <c r="E203" s="24" t="str">
        <f>IF($A203&gt;nrows,"",IF(col_web=0,0,N(INDEX('Paste Export'!$A$2:$BZ$1001,$A203,col_web))))</f>
        <v/>
      </c>
      <c r="F203" s="26" t="str">
        <f t="shared" si="22"/>
        <v/>
      </c>
      <c r="G203" s="27" t="str">
        <f t="shared" si="23"/>
        <v/>
      </c>
      <c r="H203" s="24" t="str">
        <f>IF($A203&gt;nrows,"",IF(col_s1=0,0,--(LEN(INDEX('Paste Export'!$A$2:$BZ$1001,$A203,col_s1))&gt;0))+IF(col_s2=0,0,--(LEN(INDEX('Paste Export'!$A$2:$BZ$1001,$A203,col_s2))&gt;0))+IF(col_s3=0,0,--(LEN(INDEX('Paste Export'!$A$2:$BZ$1001,$A203,col_s3))&gt;0))+IF(col_s4=0,0,--(LEN(INDEX('Paste Export'!$A$2:$BZ$1001,$A203,col_s4))&gt;0))+IF(col_s5=0,0,--(LEN(INDEX('Paste Export'!$A$2:$BZ$1001,$A203,col_s5))&gt;0))+IF(col_s6=0,0,--(LEN(INDEX('Paste Export'!$A$2:$BZ$1001,$A203,col_s6))&gt;0))+IF(col_s7=0,0,--(LEN(INDEX('Paste Export'!$A$2:$BZ$1001,$A203,col_s7))&gt;0))+IF(col_s8=0,0,--(LEN(INDEX('Paste Export'!$A$2:$BZ$1001,$A203,col_s8))&gt;0)))</f>
        <v/>
      </c>
      <c r="I203" s="25" t="str">
        <f t="shared" si="24"/>
        <v/>
      </c>
      <c r="J203" s="25" t="str">
        <f t="shared" si="25"/>
        <v/>
      </c>
      <c r="K203" s="24" t="str">
        <f t="shared" si="26"/>
        <v/>
      </c>
      <c r="L203" s="24" t="str">
        <f t="shared" si="27"/>
        <v/>
      </c>
    </row>
    <row r="204" spans="1:12" x14ac:dyDescent="0.25">
      <c r="A204" s="24">
        <f t="shared" si="21"/>
        <v>203</v>
      </c>
      <c r="B204" s="25" t="str">
        <f>IF($A204&gt;nrows,"",IF(col_user=0,"",INDEX('Paste Export'!$A$2:$BZ$1001,$A204,col_user)))</f>
        <v/>
      </c>
      <c r="C204" s="24" t="str">
        <f>IF($A204&gt;nrows,"",IF(col_days=0,0,N(INDEX('Paste Export'!$A$2:$BZ$1001,$A204,col_days))))</f>
        <v/>
      </c>
      <c r="D204" s="24" t="str">
        <f>IF($A204&gt;nrows,"",IF(col_prompts=0,0,N(INDEX('Paste Export'!$A$2:$BZ$1001,$A204,col_prompts))))</f>
        <v/>
      </c>
      <c r="E204" s="24" t="str">
        <f>IF($A204&gt;nrows,"",IF(col_web=0,0,N(INDEX('Paste Export'!$A$2:$BZ$1001,$A204,col_web))))</f>
        <v/>
      </c>
      <c r="F204" s="26" t="str">
        <f t="shared" si="22"/>
        <v/>
      </c>
      <c r="G204" s="27" t="str">
        <f t="shared" si="23"/>
        <v/>
      </c>
      <c r="H204" s="24" t="str">
        <f>IF($A204&gt;nrows,"",IF(col_s1=0,0,--(LEN(INDEX('Paste Export'!$A$2:$BZ$1001,$A204,col_s1))&gt;0))+IF(col_s2=0,0,--(LEN(INDEX('Paste Export'!$A$2:$BZ$1001,$A204,col_s2))&gt;0))+IF(col_s3=0,0,--(LEN(INDEX('Paste Export'!$A$2:$BZ$1001,$A204,col_s3))&gt;0))+IF(col_s4=0,0,--(LEN(INDEX('Paste Export'!$A$2:$BZ$1001,$A204,col_s4))&gt;0))+IF(col_s5=0,0,--(LEN(INDEX('Paste Export'!$A$2:$BZ$1001,$A204,col_s5))&gt;0))+IF(col_s6=0,0,--(LEN(INDEX('Paste Export'!$A$2:$BZ$1001,$A204,col_s6))&gt;0))+IF(col_s7=0,0,--(LEN(INDEX('Paste Export'!$A$2:$BZ$1001,$A204,col_s7))&gt;0))+IF(col_s8=0,0,--(LEN(INDEX('Paste Export'!$A$2:$BZ$1001,$A204,col_s8))&gt;0)))</f>
        <v/>
      </c>
      <c r="I204" s="25" t="str">
        <f t="shared" si="24"/>
        <v/>
      </c>
      <c r="J204" s="25" t="str">
        <f t="shared" si="25"/>
        <v/>
      </c>
      <c r="K204" s="24" t="str">
        <f t="shared" si="26"/>
        <v/>
      </c>
      <c r="L204" s="24" t="str">
        <f t="shared" si="27"/>
        <v/>
      </c>
    </row>
    <row r="205" spans="1:12" x14ac:dyDescent="0.25">
      <c r="A205" s="24">
        <f t="shared" si="21"/>
        <v>204</v>
      </c>
      <c r="B205" s="25" t="str">
        <f>IF($A205&gt;nrows,"",IF(col_user=0,"",INDEX('Paste Export'!$A$2:$BZ$1001,$A205,col_user)))</f>
        <v/>
      </c>
      <c r="C205" s="24" t="str">
        <f>IF($A205&gt;nrows,"",IF(col_days=0,0,N(INDEX('Paste Export'!$A$2:$BZ$1001,$A205,col_days))))</f>
        <v/>
      </c>
      <c r="D205" s="24" t="str">
        <f>IF($A205&gt;nrows,"",IF(col_prompts=0,0,N(INDEX('Paste Export'!$A$2:$BZ$1001,$A205,col_prompts))))</f>
        <v/>
      </c>
      <c r="E205" s="24" t="str">
        <f>IF($A205&gt;nrows,"",IF(col_web=0,0,N(INDEX('Paste Export'!$A$2:$BZ$1001,$A205,col_web))))</f>
        <v/>
      </c>
      <c r="F205" s="26" t="str">
        <f t="shared" si="22"/>
        <v/>
      </c>
      <c r="G205" s="27" t="str">
        <f t="shared" si="23"/>
        <v/>
      </c>
      <c r="H205" s="24" t="str">
        <f>IF($A205&gt;nrows,"",IF(col_s1=0,0,--(LEN(INDEX('Paste Export'!$A$2:$BZ$1001,$A205,col_s1))&gt;0))+IF(col_s2=0,0,--(LEN(INDEX('Paste Export'!$A$2:$BZ$1001,$A205,col_s2))&gt;0))+IF(col_s3=0,0,--(LEN(INDEX('Paste Export'!$A$2:$BZ$1001,$A205,col_s3))&gt;0))+IF(col_s4=0,0,--(LEN(INDEX('Paste Export'!$A$2:$BZ$1001,$A205,col_s4))&gt;0))+IF(col_s5=0,0,--(LEN(INDEX('Paste Export'!$A$2:$BZ$1001,$A205,col_s5))&gt;0))+IF(col_s6=0,0,--(LEN(INDEX('Paste Export'!$A$2:$BZ$1001,$A205,col_s6))&gt;0))+IF(col_s7=0,0,--(LEN(INDEX('Paste Export'!$A$2:$BZ$1001,$A205,col_s7))&gt;0))+IF(col_s8=0,0,--(LEN(INDEX('Paste Export'!$A$2:$BZ$1001,$A205,col_s8))&gt;0)))</f>
        <v/>
      </c>
      <c r="I205" s="25" t="str">
        <f t="shared" si="24"/>
        <v/>
      </c>
      <c r="J205" s="25" t="str">
        <f t="shared" si="25"/>
        <v/>
      </c>
      <c r="K205" s="24" t="str">
        <f t="shared" si="26"/>
        <v/>
      </c>
      <c r="L205" s="24" t="str">
        <f t="shared" si="27"/>
        <v/>
      </c>
    </row>
    <row r="206" spans="1:12" x14ac:dyDescent="0.25">
      <c r="A206" s="24">
        <f t="shared" si="21"/>
        <v>205</v>
      </c>
      <c r="B206" s="25" t="str">
        <f>IF($A206&gt;nrows,"",IF(col_user=0,"",INDEX('Paste Export'!$A$2:$BZ$1001,$A206,col_user)))</f>
        <v/>
      </c>
      <c r="C206" s="24" t="str">
        <f>IF($A206&gt;nrows,"",IF(col_days=0,0,N(INDEX('Paste Export'!$A$2:$BZ$1001,$A206,col_days))))</f>
        <v/>
      </c>
      <c r="D206" s="24" t="str">
        <f>IF($A206&gt;nrows,"",IF(col_prompts=0,0,N(INDEX('Paste Export'!$A$2:$BZ$1001,$A206,col_prompts))))</f>
        <v/>
      </c>
      <c r="E206" s="24" t="str">
        <f>IF($A206&gt;nrows,"",IF(col_web=0,0,N(INDEX('Paste Export'!$A$2:$BZ$1001,$A206,col_web))))</f>
        <v/>
      </c>
      <c r="F206" s="26" t="str">
        <f t="shared" si="22"/>
        <v/>
      </c>
      <c r="G206" s="27" t="str">
        <f t="shared" si="23"/>
        <v/>
      </c>
      <c r="H206" s="24" t="str">
        <f>IF($A206&gt;nrows,"",IF(col_s1=0,0,--(LEN(INDEX('Paste Export'!$A$2:$BZ$1001,$A206,col_s1))&gt;0))+IF(col_s2=0,0,--(LEN(INDEX('Paste Export'!$A$2:$BZ$1001,$A206,col_s2))&gt;0))+IF(col_s3=0,0,--(LEN(INDEX('Paste Export'!$A$2:$BZ$1001,$A206,col_s3))&gt;0))+IF(col_s4=0,0,--(LEN(INDEX('Paste Export'!$A$2:$BZ$1001,$A206,col_s4))&gt;0))+IF(col_s5=0,0,--(LEN(INDEX('Paste Export'!$A$2:$BZ$1001,$A206,col_s5))&gt;0))+IF(col_s6=0,0,--(LEN(INDEX('Paste Export'!$A$2:$BZ$1001,$A206,col_s6))&gt;0))+IF(col_s7=0,0,--(LEN(INDEX('Paste Export'!$A$2:$BZ$1001,$A206,col_s7))&gt;0))+IF(col_s8=0,0,--(LEN(INDEX('Paste Export'!$A$2:$BZ$1001,$A206,col_s8))&gt;0)))</f>
        <v/>
      </c>
      <c r="I206" s="25" t="str">
        <f t="shared" si="24"/>
        <v/>
      </c>
      <c r="J206" s="25" t="str">
        <f t="shared" si="25"/>
        <v/>
      </c>
      <c r="K206" s="24" t="str">
        <f t="shared" si="26"/>
        <v/>
      </c>
      <c r="L206" s="24" t="str">
        <f t="shared" si="27"/>
        <v/>
      </c>
    </row>
    <row r="207" spans="1:12" x14ac:dyDescent="0.25">
      <c r="A207" s="24">
        <f t="shared" si="21"/>
        <v>206</v>
      </c>
      <c r="B207" s="25" t="str">
        <f>IF($A207&gt;nrows,"",IF(col_user=0,"",INDEX('Paste Export'!$A$2:$BZ$1001,$A207,col_user)))</f>
        <v/>
      </c>
      <c r="C207" s="24" t="str">
        <f>IF($A207&gt;nrows,"",IF(col_days=0,0,N(INDEX('Paste Export'!$A$2:$BZ$1001,$A207,col_days))))</f>
        <v/>
      </c>
      <c r="D207" s="24" t="str">
        <f>IF($A207&gt;nrows,"",IF(col_prompts=0,0,N(INDEX('Paste Export'!$A$2:$BZ$1001,$A207,col_prompts))))</f>
        <v/>
      </c>
      <c r="E207" s="24" t="str">
        <f>IF($A207&gt;nrows,"",IF(col_web=0,0,N(INDEX('Paste Export'!$A$2:$BZ$1001,$A207,col_web))))</f>
        <v/>
      </c>
      <c r="F207" s="26" t="str">
        <f t="shared" si="22"/>
        <v/>
      </c>
      <c r="G207" s="27" t="str">
        <f t="shared" si="23"/>
        <v/>
      </c>
      <c r="H207" s="24" t="str">
        <f>IF($A207&gt;nrows,"",IF(col_s1=0,0,--(LEN(INDEX('Paste Export'!$A$2:$BZ$1001,$A207,col_s1))&gt;0))+IF(col_s2=0,0,--(LEN(INDEX('Paste Export'!$A$2:$BZ$1001,$A207,col_s2))&gt;0))+IF(col_s3=0,0,--(LEN(INDEX('Paste Export'!$A$2:$BZ$1001,$A207,col_s3))&gt;0))+IF(col_s4=0,0,--(LEN(INDEX('Paste Export'!$A$2:$BZ$1001,$A207,col_s4))&gt;0))+IF(col_s5=0,0,--(LEN(INDEX('Paste Export'!$A$2:$BZ$1001,$A207,col_s5))&gt;0))+IF(col_s6=0,0,--(LEN(INDEX('Paste Export'!$A$2:$BZ$1001,$A207,col_s6))&gt;0))+IF(col_s7=0,0,--(LEN(INDEX('Paste Export'!$A$2:$BZ$1001,$A207,col_s7))&gt;0))+IF(col_s8=0,0,--(LEN(INDEX('Paste Export'!$A$2:$BZ$1001,$A207,col_s8))&gt;0)))</f>
        <v/>
      </c>
      <c r="I207" s="25" t="str">
        <f t="shared" si="24"/>
        <v/>
      </c>
      <c r="J207" s="25" t="str">
        <f t="shared" si="25"/>
        <v/>
      </c>
      <c r="K207" s="24" t="str">
        <f t="shared" si="26"/>
        <v/>
      </c>
      <c r="L207" s="24" t="str">
        <f t="shared" si="27"/>
        <v/>
      </c>
    </row>
    <row r="208" spans="1:12" x14ac:dyDescent="0.25">
      <c r="A208" s="24">
        <f t="shared" si="21"/>
        <v>207</v>
      </c>
      <c r="B208" s="25" t="str">
        <f>IF($A208&gt;nrows,"",IF(col_user=0,"",INDEX('Paste Export'!$A$2:$BZ$1001,$A208,col_user)))</f>
        <v/>
      </c>
      <c r="C208" s="24" t="str">
        <f>IF($A208&gt;nrows,"",IF(col_days=0,0,N(INDEX('Paste Export'!$A$2:$BZ$1001,$A208,col_days))))</f>
        <v/>
      </c>
      <c r="D208" s="24" t="str">
        <f>IF($A208&gt;nrows,"",IF(col_prompts=0,0,N(INDEX('Paste Export'!$A$2:$BZ$1001,$A208,col_prompts))))</f>
        <v/>
      </c>
      <c r="E208" s="24" t="str">
        <f>IF($A208&gt;nrows,"",IF(col_web=0,0,N(INDEX('Paste Export'!$A$2:$BZ$1001,$A208,col_web))))</f>
        <v/>
      </c>
      <c r="F208" s="26" t="str">
        <f t="shared" si="22"/>
        <v/>
      </c>
      <c r="G208" s="27" t="str">
        <f t="shared" si="23"/>
        <v/>
      </c>
      <c r="H208" s="24" t="str">
        <f>IF($A208&gt;nrows,"",IF(col_s1=0,0,--(LEN(INDEX('Paste Export'!$A$2:$BZ$1001,$A208,col_s1))&gt;0))+IF(col_s2=0,0,--(LEN(INDEX('Paste Export'!$A$2:$BZ$1001,$A208,col_s2))&gt;0))+IF(col_s3=0,0,--(LEN(INDEX('Paste Export'!$A$2:$BZ$1001,$A208,col_s3))&gt;0))+IF(col_s4=0,0,--(LEN(INDEX('Paste Export'!$A$2:$BZ$1001,$A208,col_s4))&gt;0))+IF(col_s5=0,0,--(LEN(INDEX('Paste Export'!$A$2:$BZ$1001,$A208,col_s5))&gt;0))+IF(col_s6=0,0,--(LEN(INDEX('Paste Export'!$A$2:$BZ$1001,$A208,col_s6))&gt;0))+IF(col_s7=0,0,--(LEN(INDEX('Paste Export'!$A$2:$BZ$1001,$A208,col_s7))&gt;0))+IF(col_s8=0,0,--(LEN(INDEX('Paste Export'!$A$2:$BZ$1001,$A208,col_s8))&gt;0)))</f>
        <v/>
      </c>
      <c r="I208" s="25" t="str">
        <f t="shared" si="24"/>
        <v/>
      </c>
      <c r="J208" s="25" t="str">
        <f t="shared" si="25"/>
        <v/>
      </c>
      <c r="K208" s="24" t="str">
        <f t="shared" si="26"/>
        <v/>
      </c>
      <c r="L208" s="24" t="str">
        <f t="shared" si="27"/>
        <v/>
      </c>
    </row>
    <row r="209" spans="1:12" x14ac:dyDescent="0.25">
      <c r="A209" s="24">
        <f t="shared" si="21"/>
        <v>208</v>
      </c>
      <c r="B209" s="25" t="str">
        <f>IF($A209&gt;nrows,"",IF(col_user=0,"",INDEX('Paste Export'!$A$2:$BZ$1001,$A209,col_user)))</f>
        <v/>
      </c>
      <c r="C209" s="24" t="str">
        <f>IF($A209&gt;nrows,"",IF(col_days=0,0,N(INDEX('Paste Export'!$A$2:$BZ$1001,$A209,col_days))))</f>
        <v/>
      </c>
      <c r="D209" s="24" t="str">
        <f>IF($A209&gt;nrows,"",IF(col_prompts=0,0,N(INDEX('Paste Export'!$A$2:$BZ$1001,$A209,col_prompts))))</f>
        <v/>
      </c>
      <c r="E209" s="24" t="str">
        <f>IF($A209&gt;nrows,"",IF(col_web=0,0,N(INDEX('Paste Export'!$A$2:$BZ$1001,$A209,col_web))))</f>
        <v/>
      </c>
      <c r="F209" s="26" t="str">
        <f t="shared" si="22"/>
        <v/>
      </c>
      <c r="G209" s="27" t="str">
        <f t="shared" si="23"/>
        <v/>
      </c>
      <c r="H209" s="24" t="str">
        <f>IF($A209&gt;nrows,"",IF(col_s1=0,0,--(LEN(INDEX('Paste Export'!$A$2:$BZ$1001,$A209,col_s1))&gt;0))+IF(col_s2=0,0,--(LEN(INDEX('Paste Export'!$A$2:$BZ$1001,$A209,col_s2))&gt;0))+IF(col_s3=0,0,--(LEN(INDEX('Paste Export'!$A$2:$BZ$1001,$A209,col_s3))&gt;0))+IF(col_s4=0,0,--(LEN(INDEX('Paste Export'!$A$2:$BZ$1001,$A209,col_s4))&gt;0))+IF(col_s5=0,0,--(LEN(INDEX('Paste Export'!$A$2:$BZ$1001,$A209,col_s5))&gt;0))+IF(col_s6=0,0,--(LEN(INDEX('Paste Export'!$A$2:$BZ$1001,$A209,col_s6))&gt;0))+IF(col_s7=0,0,--(LEN(INDEX('Paste Export'!$A$2:$BZ$1001,$A209,col_s7))&gt;0))+IF(col_s8=0,0,--(LEN(INDEX('Paste Export'!$A$2:$BZ$1001,$A209,col_s8))&gt;0)))</f>
        <v/>
      </c>
      <c r="I209" s="25" t="str">
        <f t="shared" si="24"/>
        <v/>
      </c>
      <c r="J209" s="25" t="str">
        <f t="shared" si="25"/>
        <v/>
      </c>
      <c r="K209" s="24" t="str">
        <f t="shared" si="26"/>
        <v/>
      </c>
      <c r="L209" s="24" t="str">
        <f t="shared" si="27"/>
        <v/>
      </c>
    </row>
    <row r="210" spans="1:12" x14ac:dyDescent="0.25">
      <c r="A210" s="24">
        <f t="shared" si="21"/>
        <v>209</v>
      </c>
      <c r="B210" s="25" t="str">
        <f>IF($A210&gt;nrows,"",IF(col_user=0,"",INDEX('Paste Export'!$A$2:$BZ$1001,$A210,col_user)))</f>
        <v/>
      </c>
      <c r="C210" s="24" t="str">
        <f>IF($A210&gt;nrows,"",IF(col_days=0,0,N(INDEX('Paste Export'!$A$2:$BZ$1001,$A210,col_days))))</f>
        <v/>
      </c>
      <c r="D210" s="24" t="str">
        <f>IF($A210&gt;nrows,"",IF(col_prompts=0,0,N(INDEX('Paste Export'!$A$2:$BZ$1001,$A210,col_prompts))))</f>
        <v/>
      </c>
      <c r="E210" s="24" t="str">
        <f>IF($A210&gt;nrows,"",IF(col_web=0,0,N(INDEX('Paste Export'!$A$2:$BZ$1001,$A210,col_web))))</f>
        <v/>
      </c>
      <c r="F210" s="26" t="str">
        <f t="shared" si="22"/>
        <v/>
      </c>
      <c r="G210" s="27" t="str">
        <f t="shared" si="23"/>
        <v/>
      </c>
      <c r="H210" s="24" t="str">
        <f>IF($A210&gt;nrows,"",IF(col_s1=0,0,--(LEN(INDEX('Paste Export'!$A$2:$BZ$1001,$A210,col_s1))&gt;0))+IF(col_s2=0,0,--(LEN(INDEX('Paste Export'!$A$2:$BZ$1001,$A210,col_s2))&gt;0))+IF(col_s3=0,0,--(LEN(INDEX('Paste Export'!$A$2:$BZ$1001,$A210,col_s3))&gt;0))+IF(col_s4=0,0,--(LEN(INDEX('Paste Export'!$A$2:$BZ$1001,$A210,col_s4))&gt;0))+IF(col_s5=0,0,--(LEN(INDEX('Paste Export'!$A$2:$BZ$1001,$A210,col_s5))&gt;0))+IF(col_s6=0,0,--(LEN(INDEX('Paste Export'!$A$2:$BZ$1001,$A210,col_s6))&gt;0))+IF(col_s7=0,0,--(LEN(INDEX('Paste Export'!$A$2:$BZ$1001,$A210,col_s7))&gt;0))+IF(col_s8=0,0,--(LEN(INDEX('Paste Export'!$A$2:$BZ$1001,$A210,col_s8))&gt;0)))</f>
        <v/>
      </c>
      <c r="I210" s="25" t="str">
        <f t="shared" si="24"/>
        <v/>
      </c>
      <c r="J210" s="25" t="str">
        <f t="shared" si="25"/>
        <v/>
      </c>
      <c r="K210" s="24" t="str">
        <f t="shared" si="26"/>
        <v/>
      </c>
      <c r="L210" s="24" t="str">
        <f t="shared" si="27"/>
        <v/>
      </c>
    </row>
    <row r="211" spans="1:12" x14ac:dyDescent="0.25">
      <c r="A211" s="24">
        <f t="shared" si="21"/>
        <v>210</v>
      </c>
      <c r="B211" s="25" t="str">
        <f>IF($A211&gt;nrows,"",IF(col_user=0,"",INDEX('Paste Export'!$A$2:$BZ$1001,$A211,col_user)))</f>
        <v/>
      </c>
      <c r="C211" s="24" t="str">
        <f>IF($A211&gt;nrows,"",IF(col_days=0,0,N(INDEX('Paste Export'!$A$2:$BZ$1001,$A211,col_days))))</f>
        <v/>
      </c>
      <c r="D211" s="24" t="str">
        <f>IF($A211&gt;nrows,"",IF(col_prompts=0,0,N(INDEX('Paste Export'!$A$2:$BZ$1001,$A211,col_prompts))))</f>
        <v/>
      </c>
      <c r="E211" s="24" t="str">
        <f>IF($A211&gt;nrows,"",IF(col_web=0,0,N(INDEX('Paste Export'!$A$2:$BZ$1001,$A211,col_web))))</f>
        <v/>
      </c>
      <c r="F211" s="26" t="str">
        <f t="shared" si="22"/>
        <v/>
      </c>
      <c r="G211" s="27" t="str">
        <f t="shared" si="23"/>
        <v/>
      </c>
      <c r="H211" s="24" t="str">
        <f>IF($A211&gt;nrows,"",IF(col_s1=0,0,--(LEN(INDEX('Paste Export'!$A$2:$BZ$1001,$A211,col_s1))&gt;0))+IF(col_s2=0,0,--(LEN(INDEX('Paste Export'!$A$2:$BZ$1001,$A211,col_s2))&gt;0))+IF(col_s3=0,0,--(LEN(INDEX('Paste Export'!$A$2:$BZ$1001,$A211,col_s3))&gt;0))+IF(col_s4=0,0,--(LEN(INDEX('Paste Export'!$A$2:$BZ$1001,$A211,col_s4))&gt;0))+IF(col_s5=0,0,--(LEN(INDEX('Paste Export'!$A$2:$BZ$1001,$A211,col_s5))&gt;0))+IF(col_s6=0,0,--(LEN(INDEX('Paste Export'!$A$2:$BZ$1001,$A211,col_s6))&gt;0))+IF(col_s7=0,0,--(LEN(INDEX('Paste Export'!$A$2:$BZ$1001,$A211,col_s7))&gt;0))+IF(col_s8=0,0,--(LEN(INDEX('Paste Export'!$A$2:$BZ$1001,$A211,col_s8))&gt;0)))</f>
        <v/>
      </c>
      <c r="I211" s="25" t="str">
        <f t="shared" si="24"/>
        <v/>
      </c>
      <c r="J211" s="25" t="str">
        <f t="shared" si="25"/>
        <v/>
      </c>
      <c r="K211" s="24" t="str">
        <f t="shared" si="26"/>
        <v/>
      </c>
      <c r="L211" s="24" t="str">
        <f t="shared" si="27"/>
        <v/>
      </c>
    </row>
    <row r="212" spans="1:12" x14ac:dyDescent="0.25">
      <c r="A212" s="24">
        <f t="shared" si="21"/>
        <v>211</v>
      </c>
      <c r="B212" s="25" t="str">
        <f>IF($A212&gt;nrows,"",IF(col_user=0,"",INDEX('Paste Export'!$A$2:$BZ$1001,$A212,col_user)))</f>
        <v/>
      </c>
      <c r="C212" s="24" t="str">
        <f>IF($A212&gt;nrows,"",IF(col_days=0,0,N(INDEX('Paste Export'!$A$2:$BZ$1001,$A212,col_days))))</f>
        <v/>
      </c>
      <c r="D212" s="24" t="str">
        <f>IF($A212&gt;nrows,"",IF(col_prompts=0,0,N(INDEX('Paste Export'!$A$2:$BZ$1001,$A212,col_prompts))))</f>
        <v/>
      </c>
      <c r="E212" s="24" t="str">
        <f>IF($A212&gt;nrows,"",IF(col_web=0,0,N(INDEX('Paste Export'!$A$2:$BZ$1001,$A212,col_web))))</f>
        <v/>
      </c>
      <c r="F212" s="26" t="str">
        <f t="shared" si="22"/>
        <v/>
      </c>
      <c r="G212" s="27" t="str">
        <f t="shared" si="23"/>
        <v/>
      </c>
      <c r="H212" s="24" t="str">
        <f>IF($A212&gt;nrows,"",IF(col_s1=0,0,--(LEN(INDEX('Paste Export'!$A$2:$BZ$1001,$A212,col_s1))&gt;0))+IF(col_s2=0,0,--(LEN(INDEX('Paste Export'!$A$2:$BZ$1001,$A212,col_s2))&gt;0))+IF(col_s3=0,0,--(LEN(INDEX('Paste Export'!$A$2:$BZ$1001,$A212,col_s3))&gt;0))+IF(col_s4=0,0,--(LEN(INDEX('Paste Export'!$A$2:$BZ$1001,$A212,col_s4))&gt;0))+IF(col_s5=0,0,--(LEN(INDEX('Paste Export'!$A$2:$BZ$1001,$A212,col_s5))&gt;0))+IF(col_s6=0,0,--(LEN(INDEX('Paste Export'!$A$2:$BZ$1001,$A212,col_s6))&gt;0))+IF(col_s7=0,0,--(LEN(INDEX('Paste Export'!$A$2:$BZ$1001,$A212,col_s7))&gt;0))+IF(col_s8=0,0,--(LEN(INDEX('Paste Export'!$A$2:$BZ$1001,$A212,col_s8))&gt;0)))</f>
        <v/>
      </c>
      <c r="I212" s="25" t="str">
        <f t="shared" si="24"/>
        <v/>
      </c>
      <c r="J212" s="25" t="str">
        <f t="shared" si="25"/>
        <v/>
      </c>
      <c r="K212" s="24" t="str">
        <f t="shared" si="26"/>
        <v/>
      </c>
      <c r="L212" s="24" t="str">
        <f t="shared" si="27"/>
        <v/>
      </c>
    </row>
    <row r="213" spans="1:12" x14ac:dyDescent="0.25">
      <c r="A213" s="24">
        <f t="shared" si="21"/>
        <v>212</v>
      </c>
      <c r="B213" s="25" t="str">
        <f>IF($A213&gt;nrows,"",IF(col_user=0,"",INDEX('Paste Export'!$A$2:$BZ$1001,$A213,col_user)))</f>
        <v/>
      </c>
      <c r="C213" s="24" t="str">
        <f>IF($A213&gt;nrows,"",IF(col_days=0,0,N(INDEX('Paste Export'!$A$2:$BZ$1001,$A213,col_days))))</f>
        <v/>
      </c>
      <c r="D213" s="24" t="str">
        <f>IF($A213&gt;nrows,"",IF(col_prompts=0,0,N(INDEX('Paste Export'!$A$2:$BZ$1001,$A213,col_prompts))))</f>
        <v/>
      </c>
      <c r="E213" s="24" t="str">
        <f>IF($A213&gt;nrows,"",IF(col_web=0,0,N(INDEX('Paste Export'!$A$2:$BZ$1001,$A213,col_web))))</f>
        <v/>
      </c>
      <c r="F213" s="26" t="str">
        <f t="shared" si="22"/>
        <v/>
      </c>
      <c r="G213" s="27" t="str">
        <f t="shared" si="23"/>
        <v/>
      </c>
      <c r="H213" s="24" t="str">
        <f>IF($A213&gt;nrows,"",IF(col_s1=0,0,--(LEN(INDEX('Paste Export'!$A$2:$BZ$1001,$A213,col_s1))&gt;0))+IF(col_s2=0,0,--(LEN(INDEX('Paste Export'!$A$2:$BZ$1001,$A213,col_s2))&gt;0))+IF(col_s3=0,0,--(LEN(INDEX('Paste Export'!$A$2:$BZ$1001,$A213,col_s3))&gt;0))+IF(col_s4=0,0,--(LEN(INDEX('Paste Export'!$A$2:$BZ$1001,$A213,col_s4))&gt;0))+IF(col_s5=0,0,--(LEN(INDEX('Paste Export'!$A$2:$BZ$1001,$A213,col_s5))&gt;0))+IF(col_s6=0,0,--(LEN(INDEX('Paste Export'!$A$2:$BZ$1001,$A213,col_s6))&gt;0))+IF(col_s7=0,0,--(LEN(INDEX('Paste Export'!$A$2:$BZ$1001,$A213,col_s7))&gt;0))+IF(col_s8=0,0,--(LEN(INDEX('Paste Export'!$A$2:$BZ$1001,$A213,col_s8))&gt;0)))</f>
        <v/>
      </c>
      <c r="I213" s="25" t="str">
        <f t="shared" si="24"/>
        <v/>
      </c>
      <c r="J213" s="25" t="str">
        <f t="shared" si="25"/>
        <v/>
      </c>
      <c r="K213" s="24" t="str">
        <f t="shared" si="26"/>
        <v/>
      </c>
      <c r="L213" s="24" t="str">
        <f t="shared" si="27"/>
        <v/>
      </c>
    </row>
    <row r="214" spans="1:12" x14ac:dyDescent="0.25">
      <c r="A214" s="24">
        <f t="shared" si="21"/>
        <v>213</v>
      </c>
      <c r="B214" s="25" t="str">
        <f>IF($A214&gt;nrows,"",IF(col_user=0,"",INDEX('Paste Export'!$A$2:$BZ$1001,$A214,col_user)))</f>
        <v/>
      </c>
      <c r="C214" s="24" t="str">
        <f>IF($A214&gt;nrows,"",IF(col_days=0,0,N(INDEX('Paste Export'!$A$2:$BZ$1001,$A214,col_days))))</f>
        <v/>
      </c>
      <c r="D214" s="24" t="str">
        <f>IF($A214&gt;nrows,"",IF(col_prompts=0,0,N(INDEX('Paste Export'!$A$2:$BZ$1001,$A214,col_prompts))))</f>
        <v/>
      </c>
      <c r="E214" s="24" t="str">
        <f>IF($A214&gt;nrows,"",IF(col_web=0,0,N(INDEX('Paste Export'!$A$2:$BZ$1001,$A214,col_web))))</f>
        <v/>
      </c>
      <c r="F214" s="26" t="str">
        <f t="shared" si="22"/>
        <v/>
      </c>
      <c r="G214" s="27" t="str">
        <f t="shared" si="23"/>
        <v/>
      </c>
      <c r="H214" s="24" t="str">
        <f>IF($A214&gt;nrows,"",IF(col_s1=0,0,--(LEN(INDEX('Paste Export'!$A$2:$BZ$1001,$A214,col_s1))&gt;0))+IF(col_s2=0,0,--(LEN(INDEX('Paste Export'!$A$2:$BZ$1001,$A214,col_s2))&gt;0))+IF(col_s3=0,0,--(LEN(INDEX('Paste Export'!$A$2:$BZ$1001,$A214,col_s3))&gt;0))+IF(col_s4=0,0,--(LEN(INDEX('Paste Export'!$A$2:$BZ$1001,$A214,col_s4))&gt;0))+IF(col_s5=0,0,--(LEN(INDEX('Paste Export'!$A$2:$BZ$1001,$A214,col_s5))&gt;0))+IF(col_s6=0,0,--(LEN(INDEX('Paste Export'!$A$2:$BZ$1001,$A214,col_s6))&gt;0))+IF(col_s7=0,0,--(LEN(INDEX('Paste Export'!$A$2:$BZ$1001,$A214,col_s7))&gt;0))+IF(col_s8=0,0,--(LEN(INDEX('Paste Export'!$A$2:$BZ$1001,$A214,col_s8))&gt;0)))</f>
        <v/>
      </c>
      <c r="I214" s="25" t="str">
        <f t="shared" si="24"/>
        <v/>
      </c>
      <c r="J214" s="25" t="str">
        <f t="shared" si="25"/>
        <v/>
      </c>
      <c r="K214" s="24" t="str">
        <f t="shared" si="26"/>
        <v/>
      </c>
      <c r="L214" s="24" t="str">
        <f t="shared" si="27"/>
        <v/>
      </c>
    </row>
    <row r="215" spans="1:12" x14ac:dyDescent="0.25">
      <c r="A215" s="24">
        <f t="shared" si="21"/>
        <v>214</v>
      </c>
      <c r="B215" s="25" t="str">
        <f>IF($A215&gt;nrows,"",IF(col_user=0,"",INDEX('Paste Export'!$A$2:$BZ$1001,$A215,col_user)))</f>
        <v/>
      </c>
      <c r="C215" s="24" t="str">
        <f>IF($A215&gt;nrows,"",IF(col_days=0,0,N(INDEX('Paste Export'!$A$2:$BZ$1001,$A215,col_days))))</f>
        <v/>
      </c>
      <c r="D215" s="24" t="str">
        <f>IF($A215&gt;nrows,"",IF(col_prompts=0,0,N(INDEX('Paste Export'!$A$2:$BZ$1001,$A215,col_prompts))))</f>
        <v/>
      </c>
      <c r="E215" s="24" t="str">
        <f>IF($A215&gt;nrows,"",IF(col_web=0,0,N(INDEX('Paste Export'!$A$2:$BZ$1001,$A215,col_web))))</f>
        <v/>
      </c>
      <c r="F215" s="26" t="str">
        <f t="shared" si="22"/>
        <v/>
      </c>
      <c r="G215" s="27" t="str">
        <f t="shared" si="23"/>
        <v/>
      </c>
      <c r="H215" s="24" t="str">
        <f>IF($A215&gt;nrows,"",IF(col_s1=0,0,--(LEN(INDEX('Paste Export'!$A$2:$BZ$1001,$A215,col_s1))&gt;0))+IF(col_s2=0,0,--(LEN(INDEX('Paste Export'!$A$2:$BZ$1001,$A215,col_s2))&gt;0))+IF(col_s3=0,0,--(LEN(INDEX('Paste Export'!$A$2:$BZ$1001,$A215,col_s3))&gt;0))+IF(col_s4=0,0,--(LEN(INDEX('Paste Export'!$A$2:$BZ$1001,$A215,col_s4))&gt;0))+IF(col_s5=0,0,--(LEN(INDEX('Paste Export'!$A$2:$BZ$1001,$A215,col_s5))&gt;0))+IF(col_s6=0,0,--(LEN(INDEX('Paste Export'!$A$2:$BZ$1001,$A215,col_s6))&gt;0))+IF(col_s7=0,0,--(LEN(INDEX('Paste Export'!$A$2:$BZ$1001,$A215,col_s7))&gt;0))+IF(col_s8=0,0,--(LEN(INDEX('Paste Export'!$A$2:$BZ$1001,$A215,col_s8))&gt;0)))</f>
        <v/>
      </c>
      <c r="I215" s="25" t="str">
        <f t="shared" si="24"/>
        <v/>
      </c>
      <c r="J215" s="25" t="str">
        <f t="shared" si="25"/>
        <v/>
      </c>
      <c r="K215" s="24" t="str">
        <f t="shared" si="26"/>
        <v/>
      </c>
      <c r="L215" s="24" t="str">
        <f t="shared" si="27"/>
        <v/>
      </c>
    </row>
    <row r="216" spans="1:12" x14ac:dyDescent="0.25">
      <c r="A216" s="24">
        <f t="shared" si="21"/>
        <v>215</v>
      </c>
      <c r="B216" s="25" t="str">
        <f>IF($A216&gt;nrows,"",IF(col_user=0,"",INDEX('Paste Export'!$A$2:$BZ$1001,$A216,col_user)))</f>
        <v/>
      </c>
      <c r="C216" s="24" t="str">
        <f>IF($A216&gt;nrows,"",IF(col_days=0,0,N(INDEX('Paste Export'!$A$2:$BZ$1001,$A216,col_days))))</f>
        <v/>
      </c>
      <c r="D216" s="24" t="str">
        <f>IF($A216&gt;nrows,"",IF(col_prompts=0,0,N(INDEX('Paste Export'!$A$2:$BZ$1001,$A216,col_prompts))))</f>
        <v/>
      </c>
      <c r="E216" s="24" t="str">
        <f>IF($A216&gt;nrows,"",IF(col_web=0,0,N(INDEX('Paste Export'!$A$2:$BZ$1001,$A216,col_web))))</f>
        <v/>
      </c>
      <c r="F216" s="26" t="str">
        <f t="shared" si="22"/>
        <v/>
      </c>
      <c r="G216" s="27" t="str">
        <f t="shared" si="23"/>
        <v/>
      </c>
      <c r="H216" s="24" t="str">
        <f>IF($A216&gt;nrows,"",IF(col_s1=0,0,--(LEN(INDEX('Paste Export'!$A$2:$BZ$1001,$A216,col_s1))&gt;0))+IF(col_s2=0,0,--(LEN(INDEX('Paste Export'!$A$2:$BZ$1001,$A216,col_s2))&gt;0))+IF(col_s3=0,0,--(LEN(INDEX('Paste Export'!$A$2:$BZ$1001,$A216,col_s3))&gt;0))+IF(col_s4=0,0,--(LEN(INDEX('Paste Export'!$A$2:$BZ$1001,$A216,col_s4))&gt;0))+IF(col_s5=0,0,--(LEN(INDEX('Paste Export'!$A$2:$BZ$1001,$A216,col_s5))&gt;0))+IF(col_s6=0,0,--(LEN(INDEX('Paste Export'!$A$2:$BZ$1001,$A216,col_s6))&gt;0))+IF(col_s7=0,0,--(LEN(INDEX('Paste Export'!$A$2:$BZ$1001,$A216,col_s7))&gt;0))+IF(col_s8=0,0,--(LEN(INDEX('Paste Export'!$A$2:$BZ$1001,$A216,col_s8))&gt;0)))</f>
        <v/>
      </c>
      <c r="I216" s="25" t="str">
        <f t="shared" si="24"/>
        <v/>
      </c>
      <c r="J216" s="25" t="str">
        <f t="shared" si="25"/>
        <v/>
      </c>
      <c r="K216" s="24" t="str">
        <f t="shared" si="26"/>
        <v/>
      </c>
      <c r="L216" s="24" t="str">
        <f t="shared" si="27"/>
        <v/>
      </c>
    </row>
    <row r="217" spans="1:12" x14ac:dyDescent="0.25">
      <c r="A217" s="24">
        <f t="shared" si="21"/>
        <v>216</v>
      </c>
      <c r="B217" s="25" t="str">
        <f>IF($A217&gt;nrows,"",IF(col_user=0,"",INDEX('Paste Export'!$A$2:$BZ$1001,$A217,col_user)))</f>
        <v/>
      </c>
      <c r="C217" s="24" t="str">
        <f>IF($A217&gt;nrows,"",IF(col_days=0,0,N(INDEX('Paste Export'!$A$2:$BZ$1001,$A217,col_days))))</f>
        <v/>
      </c>
      <c r="D217" s="24" t="str">
        <f>IF($A217&gt;nrows,"",IF(col_prompts=0,0,N(INDEX('Paste Export'!$A$2:$BZ$1001,$A217,col_prompts))))</f>
        <v/>
      </c>
      <c r="E217" s="24" t="str">
        <f>IF($A217&gt;nrows,"",IF(col_web=0,0,N(INDEX('Paste Export'!$A$2:$BZ$1001,$A217,col_web))))</f>
        <v/>
      </c>
      <c r="F217" s="26" t="str">
        <f t="shared" si="22"/>
        <v/>
      </c>
      <c r="G217" s="27" t="str">
        <f t="shared" si="23"/>
        <v/>
      </c>
      <c r="H217" s="24" t="str">
        <f>IF($A217&gt;nrows,"",IF(col_s1=0,0,--(LEN(INDEX('Paste Export'!$A$2:$BZ$1001,$A217,col_s1))&gt;0))+IF(col_s2=0,0,--(LEN(INDEX('Paste Export'!$A$2:$BZ$1001,$A217,col_s2))&gt;0))+IF(col_s3=0,0,--(LEN(INDEX('Paste Export'!$A$2:$BZ$1001,$A217,col_s3))&gt;0))+IF(col_s4=0,0,--(LEN(INDEX('Paste Export'!$A$2:$BZ$1001,$A217,col_s4))&gt;0))+IF(col_s5=0,0,--(LEN(INDEX('Paste Export'!$A$2:$BZ$1001,$A217,col_s5))&gt;0))+IF(col_s6=0,0,--(LEN(INDEX('Paste Export'!$A$2:$BZ$1001,$A217,col_s6))&gt;0))+IF(col_s7=0,0,--(LEN(INDEX('Paste Export'!$A$2:$BZ$1001,$A217,col_s7))&gt;0))+IF(col_s8=0,0,--(LEN(INDEX('Paste Export'!$A$2:$BZ$1001,$A217,col_s8))&gt;0)))</f>
        <v/>
      </c>
      <c r="I217" s="25" t="str">
        <f t="shared" si="24"/>
        <v/>
      </c>
      <c r="J217" s="25" t="str">
        <f t="shared" si="25"/>
        <v/>
      </c>
      <c r="K217" s="24" t="str">
        <f t="shared" si="26"/>
        <v/>
      </c>
      <c r="L217" s="24" t="str">
        <f t="shared" si="27"/>
        <v/>
      </c>
    </row>
    <row r="218" spans="1:12" x14ac:dyDescent="0.25">
      <c r="A218" s="24">
        <f t="shared" si="21"/>
        <v>217</v>
      </c>
      <c r="B218" s="25" t="str">
        <f>IF($A218&gt;nrows,"",IF(col_user=0,"",INDEX('Paste Export'!$A$2:$BZ$1001,$A218,col_user)))</f>
        <v/>
      </c>
      <c r="C218" s="24" t="str">
        <f>IF($A218&gt;nrows,"",IF(col_days=0,0,N(INDEX('Paste Export'!$A$2:$BZ$1001,$A218,col_days))))</f>
        <v/>
      </c>
      <c r="D218" s="24" t="str">
        <f>IF($A218&gt;nrows,"",IF(col_prompts=0,0,N(INDEX('Paste Export'!$A$2:$BZ$1001,$A218,col_prompts))))</f>
        <v/>
      </c>
      <c r="E218" s="24" t="str">
        <f>IF($A218&gt;nrows,"",IF(col_web=0,0,N(INDEX('Paste Export'!$A$2:$BZ$1001,$A218,col_web))))</f>
        <v/>
      </c>
      <c r="F218" s="26" t="str">
        <f t="shared" si="22"/>
        <v/>
      </c>
      <c r="G218" s="27" t="str">
        <f t="shared" si="23"/>
        <v/>
      </c>
      <c r="H218" s="24" t="str">
        <f>IF($A218&gt;nrows,"",IF(col_s1=0,0,--(LEN(INDEX('Paste Export'!$A$2:$BZ$1001,$A218,col_s1))&gt;0))+IF(col_s2=0,0,--(LEN(INDEX('Paste Export'!$A$2:$BZ$1001,$A218,col_s2))&gt;0))+IF(col_s3=0,0,--(LEN(INDEX('Paste Export'!$A$2:$BZ$1001,$A218,col_s3))&gt;0))+IF(col_s4=0,0,--(LEN(INDEX('Paste Export'!$A$2:$BZ$1001,$A218,col_s4))&gt;0))+IF(col_s5=0,0,--(LEN(INDEX('Paste Export'!$A$2:$BZ$1001,$A218,col_s5))&gt;0))+IF(col_s6=0,0,--(LEN(INDEX('Paste Export'!$A$2:$BZ$1001,$A218,col_s6))&gt;0))+IF(col_s7=0,0,--(LEN(INDEX('Paste Export'!$A$2:$BZ$1001,$A218,col_s7))&gt;0))+IF(col_s8=0,0,--(LEN(INDEX('Paste Export'!$A$2:$BZ$1001,$A218,col_s8))&gt;0)))</f>
        <v/>
      </c>
      <c r="I218" s="25" t="str">
        <f t="shared" si="24"/>
        <v/>
      </c>
      <c r="J218" s="25" t="str">
        <f t="shared" si="25"/>
        <v/>
      </c>
      <c r="K218" s="24" t="str">
        <f t="shared" si="26"/>
        <v/>
      </c>
      <c r="L218" s="24" t="str">
        <f t="shared" si="27"/>
        <v/>
      </c>
    </row>
    <row r="219" spans="1:12" x14ac:dyDescent="0.25">
      <c r="A219" s="24">
        <f t="shared" si="21"/>
        <v>218</v>
      </c>
      <c r="B219" s="25" t="str">
        <f>IF($A219&gt;nrows,"",IF(col_user=0,"",INDEX('Paste Export'!$A$2:$BZ$1001,$A219,col_user)))</f>
        <v/>
      </c>
      <c r="C219" s="24" t="str">
        <f>IF($A219&gt;nrows,"",IF(col_days=0,0,N(INDEX('Paste Export'!$A$2:$BZ$1001,$A219,col_days))))</f>
        <v/>
      </c>
      <c r="D219" s="24" t="str">
        <f>IF($A219&gt;nrows,"",IF(col_prompts=0,0,N(INDEX('Paste Export'!$A$2:$BZ$1001,$A219,col_prompts))))</f>
        <v/>
      </c>
      <c r="E219" s="24" t="str">
        <f>IF($A219&gt;nrows,"",IF(col_web=0,0,N(INDEX('Paste Export'!$A$2:$BZ$1001,$A219,col_web))))</f>
        <v/>
      </c>
      <c r="F219" s="26" t="str">
        <f t="shared" si="22"/>
        <v/>
      </c>
      <c r="G219" s="27" t="str">
        <f t="shared" si="23"/>
        <v/>
      </c>
      <c r="H219" s="24" t="str">
        <f>IF($A219&gt;nrows,"",IF(col_s1=0,0,--(LEN(INDEX('Paste Export'!$A$2:$BZ$1001,$A219,col_s1))&gt;0))+IF(col_s2=0,0,--(LEN(INDEX('Paste Export'!$A$2:$BZ$1001,$A219,col_s2))&gt;0))+IF(col_s3=0,0,--(LEN(INDEX('Paste Export'!$A$2:$BZ$1001,$A219,col_s3))&gt;0))+IF(col_s4=0,0,--(LEN(INDEX('Paste Export'!$A$2:$BZ$1001,$A219,col_s4))&gt;0))+IF(col_s5=0,0,--(LEN(INDEX('Paste Export'!$A$2:$BZ$1001,$A219,col_s5))&gt;0))+IF(col_s6=0,0,--(LEN(INDEX('Paste Export'!$A$2:$BZ$1001,$A219,col_s6))&gt;0))+IF(col_s7=0,0,--(LEN(INDEX('Paste Export'!$A$2:$BZ$1001,$A219,col_s7))&gt;0))+IF(col_s8=0,0,--(LEN(INDEX('Paste Export'!$A$2:$BZ$1001,$A219,col_s8))&gt;0)))</f>
        <v/>
      </c>
      <c r="I219" s="25" t="str">
        <f t="shared" si="24"/>
        <v/>
      </c>
      <c r="J219" s="25" t="str">
        <f t="shared" si="25"/>
        <v/>
      </c>
      <c r="K219" s="24" t="str">
        <f t="shared" si="26"/>
        <v/>
      </c>
      <c r="L219" s="24" t="str">
        <f t="shared" si="27"/>
        <v/>
      </c>
    </row>
    <row r="220" spans="1:12" x14ac:dyDescent="0.25">
      <c r="A220" s="24">
        <f t="shared" si="21"/>
        <v>219</v>
      </c>
      <c r="B220" s="25" t="str">
        <f>IF($A220&gt;nrows,"",IF(col_user=0,"",INDEX('Paste Export'!$A$2:$BZ$1001,$A220,col_user)))</f>
        <v/>
      </c>
      <c r="C220" s="24" t="str">
        <f>IF($A220&gt;nrows,"",IF(col_days=0,0,N(INDEX('Paste Export'!$A$2:$BZ$1001,$A220,col_days))))</f>
        <v/>
      </c>
      <c r="D220" s="24" t="str">
        <f>IF($A220&gt;nrows,"",IF(col_prompts=0,0,N(INDEX('Paste Export'!$A$2:$BZ$1001,$A220,col_prompts))))</f>
        <v/>
      </c>
      <c r="E220" s="24" t="str">
        <f>IF($A220&gt;nrows,"",IF(col_web=0,0,N(INDEX('Paste Export'!$A$2:$BZ$1001,$A220,col_web))))</f>
        <v/>
      </c>
      <c r="F220" s="26" t="str">
        <f t="shared" si="22"/>
        <v/>
      </c>
      <c r="G220" s="27" t="str">
        <f t="shared" si="23"/>
        <v/>
      </c>
      <c r="H220" s="24" t="str">
        <f>IF($A220&gt;nrows,"",IF(col_s1=0,0,--(LEN(INDEX('Paste Export'!$A$2:$BZ$1001,$A220,col_s1))&gt;0))+IF(col_s2=0,0,--(LEN(INDEX('Paste Export'!$A$2:$BZ$1001,$A220,col_s2))&gt;0))+IF(col_s3=0,0,--(LEN(INDEX('Paste Export'!$A$2:$BZ$1001,$A220,col_s3))&gt;0))+IF(col_s4=0,0,--(LEN(INDEX('Paste Export'!$A$2:$BZ$1001,$A220,col_s4))&gt;0))+IF(col_s5=0,0,--(LEN(INDEX('Paste Export'!$A$2:$BZ$1001,$A220,col_s5))&gt;0))+IF(col_s6=0,0,--(LEN(INDEX('Paste Export'!$A$2:$BZ$1001,$A220,col_s6))&gt;0))+IF(col_s7=0,0,--(LEN(INDEX('Paste Export'!$A$2:$BZ$1001,$A220,col_s7))&gt;0))+IF(col_s8=0,0,--(LEN(INDEX('Paste Export'!$A$2:$BZ$1001,$A220,col_s8))&gt;0)))</f>
        <v/>
      </c>
      <c r="I220" s="25" t="str">
        <f t="shared" si="24"/>
        <v/>
      </c>
      <c r="J220" s="25" t="str">
        <f t="shared" si="25"/>
        <v/>
      </c>
      <c r="K220" s="24" t="str">
        <f t="shared" si="26"/>
        <v/>
      </c>
      <c r="L220" s="24" t="str">
        <f t="shared" si="27"/>
        <v/>
      </c>
    </row>
    <row r="221" spans="1:12" x14ac:dyDescent="0.25">
      <c r="A221" s="24">
        <f t="shared" si="21"/>
        <v>220</v>
      </c>
      <c r="B221" s="25" t="str">
        <f>IF($A221&gt;nrows,"",IF(col_user=0,"",INDEX('Paste Export'!$A$2:$BZ$1001,$A221,col_user)))</f>
        <v/>
      </c>
      <c r="C221" s="24" t="str">
        <f>IF($A221&gt;nrows,"",IF(col_days=0,0,N(INDEX('Paste Export'!$A$2:$BZ$1001,$A221,col_days))))</f>
        <v/>
      </c>
      <c r="D221" s="24" t="str">
        <f>IF($A221&gt;nrows,"",IF(col_prompts=0,0,N(INDEX('Paste Export'!$A$2:$BZ$1001,$A221,col_prompts))))</f>
        <v/>
      </c>
      <c r="E221" s="24" t="str">
        <f>IF($A221&gt;nrows,"",IF(col_web=0,0,N(INDEX('Paste Export'!$A$2:$BZ$1001,$A221,col_web))))</f>
        <v/>
      </c>
      <c r="F221" s="26" t="str">
        <f t="shared" si="22"/>
        <v/>
      </c>
      <c r="G221" s="27" t="str">
        <f t="shared" si="23"/>
        <v/>
      </c>
      <c r="H221" s="24" t="str">
        <f>IF($A221&gt;nrows,"",IF(col_s1=0,0,--(LEN(INDEX('Paste Export'!$A$2:$BZ$1001,$A221,col_s1))&gt;0))+IF(col_s2=0,0,--(LEN(INDEX('Paste Export'!$A$2:$BZ$1001,$A221,col_s2))&gt;0))+IF(col_s3=0,0,--(LEN(INDEX('Paste Export'!$A$2:$BZ$1001,$A221,col_s3))&gt;0))+IF(col_s4=0,0,--(LEN(INDEX('Paste Export'!$A$2:$BZ$1001,$A221,col_s4))&gt;0))+IF(col_s5=0,0,--(LEN(INDEX('Paste Export'!$A$2:$BZ$1001,$A221,col_s5))&gt;0))+IF(col_s6=0,0,--(LEN(INDEX('Paste Export'!$A$2:$BZ$1001,$A221,col_s6))&gt;0))+IF(col_s7=0,0,--(LEN(INDEX('Paste Export'!$A$2:$BZ$1001,$A221,col_s7))&gt;0))+IF(col_s8=0,0,--(LEN(INDEX('Paste Export'!$A$2:$BZ$1001,$A221,col_s8))&gt;0)))</f>
        <v/>
      </c>
      <c r="I221" s="25" t="str">
        <f t="shared" si="24"/>
        <v/>
      </c>
      <c r="J221" s="25" t="str">
        <f t="shared" si="25"/>
        <v/>
      </c>
      <c r="K221" s="24" t="str">
        <f t="shared" si="26"/>
        <v/>
      </c>
      <c r="L221" s="24" t="str">
        <f t="shared" si="27"/>
        <v/>
      </c>
    </row>
    <row r="222" spans="1:12" x14ac:dyDescent="0.25">
      <c r="A222" s="24">
        <f t="shared" si="21"/>
        <v>221</v>
      </c>
      <c r="B222" s="25" t="str">
        <f>IF($A222&gt;nrows,"",IF(col_user=0,"",INDEX('Paste Export'!$A$2:$BZ$1001,$A222,col_user)))</f>
        <v/>
      </c>
      <c r="C222" s="24" t="str">
        <f>IF($A222&gt;nrows,"",IF(col_days=0,0,N(INDEX('Paste Export'!$A$2:$BZ$1001,$A222,col_days))))</f>
        <v/>
      </c>
      <c r="D222" s="24" t="str">
        <f>IF($A222&gt;nrows,"",IF(col_prompts=0,0,N(INDEX('Paste Export'!$A$2:$BZ$1001,$A222,col_prompts))))</f>
        <v/>
      </c>
      <c r="E222" s="24" t="str">
        <f>IF($A222&gt;nrows,"",IF(col_web=0,0,N(INDEX('Paste Export'!$A$2:$BZ$1001,$A222,col_web))))</f>
        <v/>
      </c>
      <c r="F222" s="26" t="str">
        <f t="shared" si="22"/>
        <v/>
      </c>
      <c r="G222" s="27" t="str">
        <f t="shared" si="23"/>
        <v/>
      </c>
      <c r="H222" s="24" t="str">
        <f>IF($A222&gt;nrows,"",IF(col_s1=0,0,--(LEN(INDEX('Paste Export'!$A$2:$BZ$1001,$A222,col_s1))&gt;0))+IF(col_s2=0,0,--(LEN(INDEX('Paste Export'!$A$2:$BZ$1001,$A222,col_s2))&gt;0))+IF(col_s3=0,0,--(LEN(INDEX('Paste Export'!$A$2:$BZ$1001,$A222,col_s3))&gt;0))+IF(col_s4=0,0,--(LEN(INDEX('Paste Export'!$A$2:$BZ$1001,$A222,col_s4))&gt;0))+IF(col_s5=0,0,--(LEN(INDEX('Paste Export'!$A$2:$BZ$1001,$A222,col_s5))&gt;0))+IF(col_s6=0,0,--(LEN(INDEX('Paste Export'!$A$2:$BZ$1001,$A222,col_s6))&gt;0))+IF(col_s7=0,0,--(LEN(INDEX('Paste Export'!$A$2:$BZ$1001,$A222,col_s7))&gt;0))+IF(col_s8=0,0,--(LEN(INDEX('Paste Export'!$A$2:$BZ$1001,$A222,col_s8))&gt;0)))</f>
        <v/>
      </c>
      <c r="I222" s="25" t="str">
        <f t="shared" si="24"/>
        <v/>
      </c>
      <c r="J222" s="25" t="str">
        <f t="shared" si="25"/>
        <v/>
      </c>
      <c r="K222" s="24" t="str">
        <f t="shared" si="26"/>
        <v/>
      </c>
      <c r="L222" s="24" t="str">
        <f t="shared" si="27"/>
        <v/>
      </c>
    </row>
    <row r="223" spans="1:12" x14ac:dyDescent="0.25">
      <c r="A223" s="24">
        <f t="shared" si="21"/>
        <v>222</v>
      </c>
      <c r="B223" s="25" t="str">
        <f>IF($A223&gt;nrows,"",IF(col_user=0,"",INDEX('Paste Export'!$A$2:$BZ$1001,$A223,col_user)))</f>
        <v/>
      </c>
      <c r="C223" s="24" t="str">
        <f>IF($A223&gt;nrows,"",IF(col_days=0,0,N(INDEX('Paste Export'!$A$2:$BZ$1001,$A223,col_days))))</f>
        <v/>
      </c>
      <c r="D223" s="24" t="str">
        <f>IF($A223&gt;nrows,"",IF(col_prompts=0,0,N(INDEX('Paste Export'!$A$2:$BZ$1001,$A223,col_prompts))))</f>
        <v/>
      </c>
      <c r="E223" s="24" t="str">
        <f>IF($A223&gt;nrows,"",IF(col_web=0,0,N(INDEX('Paste Export'!$A$2:$BZ$1001,$A223,col_web))))</f>
        <v/>
      </c>
      <c r="F223" s="26" t="str">
        <f t="shared" si="22"/>
        <v/>
      </c>
      <c r="G223" s="27" t="str">
        <f t="shared" si="23"/>
        <v/>
      </c>
      <c r="H223" s="24" t="str">
        <f>IF($A223&gt;nrows,"",IF(col_s1=0,0,--(LEN(INDEX('Paste Export'!$A$2:$BZ$1001,$A223,col_s1))&gt;0))+IF(col_s2=0,0,--(LEN(INDEX('Paste Export'!$A$2:$BZ$1001,$A223,col_s2))&gt;0))+IF(col_s3=0,0,--(LEN(INDEX('Paste Export'!$A$2:$BZ$1001,$A223,col_s3))&gt;0))+IF(col_s4=0,0,--(LEN(INDEX('Paste Export'!$A$2:$BZ$1001,$A223,col_s4))&gt;0))+IF(col_s5=0,0,--(LEN(INDEX('Paste Export'!$A$2:$BZ$1001,$A223,col_s5))&gt;0))+IF(col_s6=0,0,--(LEN(INDEX('Paste Export'!$A$2:$BZ$1001,$A223,col_s6))&gt;0))+IF(col_s7=0,0,--(LEN(INDEX('Paste Export'!$A$2:$BZ$1001,$A223,col_s7))&gt;0))+IF(col_s8=0,0,--(LEN(INDEX('Paste Export'!$A$2:$BZ$1001,$A223,col_s8))&gt;0)))</f>
        <v/>
      </c>
      <c r="I223" s="25" t="str">
        <f t="shared" si="24"/>
        <v/>
      </c>
      <c r="J223" s="25" t="str">
        <f t="shared" si="25"/>
        <v/>
      </c>
      <c r="K223" s="24" t="str">
        <f t="shared" si="26"/>
        <v/>
      </c>
      <c r="L223" s="24" t="str">
        <f t="shared" si="27"/>
        <v/>
      </c>
    </row>
    <row r="224" spans="1:12" x14ac:dyDescent="0.25">
      <c r="A224" s="24">
        <f t="shared" si="21"/>
        <v>223</v>
      </c>
      <c r="B224" s="25" t="str">
        <f>IF($A224&gt;nrows,"",IF(col_user=0,"",INDEX('Paste Export'!$A$2:$BZ$1001,$A224,col_user)))</f>
        <v/>
      </c>
      <c r="C224" s="24" t="str">
        <f>IF($A224&gt;nrows,"",IF(col_days=0,0,N(INDEX('Paste Export'!$A$2:$BZ$1001,$A224,col_days))))</f>
        <v/>
      </c>
      <c r="D224" s="24" t="str">
        <f>IF($A224&gt;nrows,"",IF(col_prompts=0,0,N(INDEX('Paste Export'!$A$2:$BZ$1001,$A224,col_prompts))))</f>
        <v/>
      </c>
      <c r="E224" s="24" t="str">
        <f>IF($A224&gt;nrows,"",IF(col_web=0,0,N(INDEX('Paste Export'!$A$2:$BZ$1001,$A224,col_web))))</f>
        <v/>
      </c>
      <c r="F224" s="26" t="str">
        <f t="shared" si="22"/>
        <v/>
      </c>
      <c r="G224" s="27" t="str">
        <f t="shared" si="23"/>
        <v/>
      </c>
      <c r="H224" s="24" t="str">
        <f>IF($A224&gt;nrows,"",IF(col_s1=0,0,--(LEN(INDEX('Paste Export'!$A$2:$BZ$1001,$A224,col_s1))&gt;0))+IF(col_s2=0,0,--(LEN(INDEX('Paste Export'!$A$2:$BZ$1001,$A224,col_s2))&gt;0))+IF(col_s3=0,0,--(LEN(INDEX('Paste Export'!$A$2:$BZ$1001,$A224,col_s3))&gt;0))+IF(col_s4=0,0,--(LEN(INDEX('Paste Export'!$A$2:$BZ$1001,$A224,col_s4))&gt;0))+IF(col_s5=0,0,--(LEN(INDEX('Paste Export'!$A$2:$BZ$1001,$A224,col_s5))&gt;0))+IF(col_s6=0,0,--(LEN(INDEX('Paste Export'!$A$2:$BZ$1001,$A224,col_s6))&gt;0))+IF(col_s7=0,0,--(LEN(INDEX('Paste Export'!$A$2:$BZ$1001,$A224,col_s7))&gt;0))+IF(col_s8=0,0,--(LEN(INDEX('Paste Export'!$A$2:$BZ$1001,$A224,col_s8))&gt;0)))</f>
        <v/>
      </c>
      <c r="I224" s="25" t="str">
        <f t="shared" si="24"/>
        <v/>
      </c>
      <c r="J224" s="25" t="str">
        <f t="shared" si="25"/>
        <v/>
      </c>
      <c r="K224" s="24" t="str">
        <f t="shared" si="26"/>
        <v/>
      </c>
      <c r="L224" s="24" t="str">
        <f t="shared" si="27"/>
        <v/>
      </c>
    </row>
    <row r="225" spans="1:12" x14ac:dyDescent="0.25">
      <c r="A225" s="24">
        <f t="shared" si="21"/>
        <v>224</v>
      </c>
      <c r="B225" s="25" t="str">
        <f>IF($A225&gt;nrows,"",IF(col_user=0,"",INDEX('Paste Export'!$A$2:$BZ$1001,$A225,col_user)))</f>
        <v/>
      </c>
      <c r="C225" s="24" t="str">
        <f>IF($A225&gt;nrows,"",IF(col_days=0,0,N(INDEX('Paste Export'!$A$2:$BZ$1001,$A225,col_days))))</f>
        <v/>
      </c>
      <c r="D225" s="24" t="str">
        <f>IF($A225&gt;nrows,"",IF(col_prompts=0,0,N(INDEX('Paste Export'!$A$2:$BZ$1001,$A225,col_prompts))))</f>
        <v/>
      </c>
      <c r="E225" s="24" t="str">
        <f>IF($A225&gt;nrows,"",IF(col_web=0,0,N(INDEX('Paste Export'!$A$2:$BZ$1001,$A225,col_web))))</f>
        <v/>
      </c>
      <c r="F225" s="26" t="str">
        <f t="shared" si="22"/>
        <v/>
      </c>
      <c r="G225" s="27" t="str">
        <f t="shared" si="23"/>
        <v/>
      </c>
      <c r="H225" s="24" t="str">
        <f>IF($A225&gt;nrows,"",IF(col_s1=0,0,--(LEN(INDEX('Paste Export'!$A$2:$BZ$1001,$A225,col_s1))&gt;0))+IF(col_s2=0,0,--(LEN(INDEX('Paste Export'!$A$2:$BZ$1001,$A225,col_s2))&gt;0))+IF(col_s3=0,0,--(LEN(INDEX('Paste Export'!$A$2:$BZ$1001,$A225,col_s3))&gt;0))+IF(col_s4=0,0,--(LEN(INDEX('Paste Export'!$A$2:$BZ$1001,$A225,col_s4))&gt;0))+IF(col_s5=0,0,--(LEN(INDEX('Paste Export'!$A$2:$BZ$1001,$A225,col_s5))&gt;0))+IF(col_s6=0,0,--(LEN(INDEX('Paste Export'!$A$2:$BZ$1001,$A225,col_s6))&gt;0))+IF(col_s7=0,0,--(LEN(INDEX('Paste Export'!$A$2:$BZ$1001,$A225,col_s7))&gt;0))+IF(col_s8=0,0,--(LEN(INDEX('Paste Export'!$A$2:$BZ$1001,$A225,col_s8))&gt;0)))</f>
        <v/>
      </c>
      <c r="I225" s="25" t="str">
        <f t="shared" si="24"/>
        <v/>
      </c>
      <c r="J225" s="25" t="str">
        <f t="shared" si="25"/>
        <v/>
      </c>
      <c r="K225" s="24" t="str">
        <f t="shared" si="26"/>
        <v/>
      </c>
      <c r="L225" s="24" t="str">
        <f t="shared" si="27"/>
        <v/>
      </c>
    </row>
    <row r="226" spans="1:12" x14ac:dyDescent="0.25">
      <c r="A226" s="24">
        <f t="shared" si="21"/>
        <v>225</v>
      </c>
      <c r="B226" s="25" t="str">
        <f>IF($A226&gt;nrows,"",IF(col_user=0,"",INDEX('Paste Export'!$A$2:$BZ$1001,$A226,col_user)))</f>
        <v/>
      </c>
      <c r="C226" s="24" t="str">
        <f>IF($A226&gt;nrows,"",IF(col_days=0,0,N(INDEX('Paste Export'!$A$2:$BZ$1001,$A226,col_days))))</f>
        <v/>
      </c>
      <c r="D226" s="24" t="str">
        <f>IF($A226&gt;nrows,"",IF(col_prompts=0,0,N(INDEX('Paste Export'!$A$2:$BZ$1001,$A226,col_prompts))))</f>
        <v/>
      </c>
      <c r="E226" s="24" t="str">
        <f>IF($A226&gt;nrows,"",IF(col_web=0,0,N(INDEX('Paste Export'!$A$2:$BZ$1001,$A226,col_web))))</f>
        <v/>
      </c>
      <c r="F226" s="26" t="str">
        <f t="shared" si="22"/>
        <v/>
      </c>
      <c r="G226" s="27" t="str">
        <f t="shared" si="23"/>
        <v/>
      </c>
      <c r="H226" s="24" t="str">
        <f>IF($A226&gt;nrows,"",IF(col_s1=0,0,--(LEN(INDEX('Paste Export'!$A$2:$BZ$1001,$A226,col_s1))&gt;0))+IF(col_s2=0,0,--(LEN(INDEX('Paste Export'!$A$2:$BZ$1001,$A226,col_s2))&gt;0))+IF(col_s3=0,0,--(LEN(INDEX('Paste Export'!$A$2:$BZ$1001,$A226,col_s3))&gt;0))+IF(col_s4=0,0,--(LEN(INDEX('Paste Export'!$A$2:$BZ$1001,$A226,col_s4))&gt;0))+IF(col_s5=0,0,--(LEN(INDEX('Paste Export'!$A$2:$BZ$1001,$A226,col_s5))&gt;0))+IF(col_s6=0,0,--(LEN(INDEX('Paste Export'!$A$2:$BZ$1001,$A226,col_s6))&gt;0))+IF(col_s7=0,0,--(LEN(INDEX('Paste Export'!$A$2:$BZ$1001,$A226,col_s7))&gt;0))+IF(col_s8=0,0,--(LEN(INDEX('Paste Export'!$A$2:$BZ$1001,$A226,col_s8))&gt;0)))</f>
        <v/>
      </c>
      <c r="I226" s="25" t="str">
        <f t="shared" si="24"/>
        <v/>
      </c>
      <c r="J226" s="25" t="str">
        <f t="shared" si="25"/>
        <v/>
      </c>
      <c r="K226" s="24" t="str">
        <f t="shared" si="26"/>
        <v/>
      </c>
      <c r="L226" s="24" t="str">
        <f t="shared" si="27"/>
        <v/>
      </c>
    </row>
    <row r="227" spans="1:12" x14ac:dyDescent="0.25">
      <c r="A227" s="24">
        <f t="shared" si="21"/>
        <v>226</v>
      </c>
      <c r="B227" s="25" t="str">
        <f>IF($A227&gt;nrows,"",IF(col_user=0,"",INDEX('Paste Export'!$A$2:$BZ$1001,$A227,col_user)))</f>
        <v/>
      </c>
      <c r="C227" s="24" t="str">
        <f>IF($A227&gt;nrows,"",IF(col_days=0,0,N(INDEX('Paste Export'!$A$2:$BZ$1001,$A227,col_days))))</f>
        <v/>
      </c>
      <c r="D227" s="24" t="str">
        <f>IF($A227&gt;nrows,"",IF(col_prompts=0,0,N(INDEX('Paste Export'!$A$2:$BZ$1001,$A227,col_prompts))))</f>
        <v/>
      </c>
      <c r="E227" s="24" t="str">
        <f>IF($A227&gt;nrows,"",IF(col_web=0,0,N(INDEX('Paste Export'!$A$2:$BZ$1001,$A227,col_web))))</f>
        <v/>
      </c>
      <c r="F227" s="26" t="str">
        <f t="shared" si="22"/>
        <v/>
      </c>
      <c r="G227" s="27" t="str">
        <f t="shared" si="23"/>
        <v/>
      </c>
      <c r="H227" s="24" t="str">
        <f>IF($A227&gt;nrows,"",IF(col_s1=0,0,--(LEN(INDEX('Paste Export'!$A$2:$BZ$1001,$A227,col_s1))&gt;0))+IF(col_s2=0,0,--(LEN(INDEX('Paste Export'!$A$2:$BZ$1001,$A227,col_s2))&gt;0))+IF(col_s3=0,0,--(LEN(INDEX('Paste Export'!$A$2:$BZ$1001,$A227,col_s3))&gt;0))+IF(col_s4=0,0,--(LEN(INDEX('Paste Export'!$A$2:$BZ$1001,$A227,col_s4))&gt;0))+IF(col_s5=0,0,--(LEN(INDEX('Paste Export'!$A$2:$BZ$1001,$A227,col_s5))&gt;0))+IF(col_s6=0,0,--(LEN(INDEX('Paste Export'!$A$2:$BZ$1001,$A227,col_s6))&gt;0))+IF(col_s7=0,0,--(LEN(INDEX('Paste Export'!$A$2:$BZ$1001,$A227,col_s7))&gt;0))+IF(col_s8=0,0,--(LEN(INDEX('Paste Export'!$A$2:$BZ$1001,$A227,col_s8))&gt;0)))</f>
        <v/>
      </c>
      <c r="I227" s="25" t="str">
        <f t="shared" si="24"/>
        <v/>
      </c>
      <c r="J227" s="25" t="str">
        <f t="shared" si="25"/>
        <v/>
      </c>
      <c r="K227" s="24" t="str">
        <f t="shared" si="26"/>
        <v/>
      </c>
      <c r="L227" s="24" t="str">
        <f t="shared" si="27"/>
        <v/>
      </c>
    </row>
    <row r="228" spans="1:12" x14ac:dyDescent="0.25">
      <c r="A228" s="24">
        <f t="shared" si="21"/>
        <v>227</v>
      </c>
      <c r="B228" s="25" t="str">
        <f>IF($A228&gt;nrows,"",IF(col_user=0,"",INDEX('Paste Export'!$A$2:$BZ$1001,$A228,col_user)))</f>
        <v/>
      </c>
      <c r="C228" s="24" t="str">
        <f>IF($A228&gt;nrows,"",IF(col_days=0,0,N(INDEX('Paste Export'!$A$2:$BZ$1001,$A228,col_days))))</f>
        <v/>
      </c>
      <c r="D228" s="24" t="str">
        <f>IF($A228&gt;nrows,"",IF(col_prompts=0,0,N(INDEX('Paste Export'!$A$2:$BZ$1001,$A228,col_prompts))))</f>
        <v/>
      </c>
      <c r="E228" s="24" t="str">
        <f>IF($A228&gt;nrows,"",IF(col_web=0,0,N(INDEX('Paste Export'!$A$2:$BZ$1001,$A228,col_web))))</f>
        <v/>
      </c>
      <c r="F228" s="26" t="str">
        <f t="shared" si="22"/>
        <v/>
      </c>
      <c r="G228" s="27" t="str">
        <f t="shared" si="23"/>
        <v/>
      </c>
      <c r="H228" s="24" t="str">
        <f>IF($A228&gt;nrows,"",IF(col_s1=0,0,--(LEN(INDEX('Paste Export'!$A$2:$BZ$1001,$A228,col_s1))&gt;0))+IF(col_s2=0,0,--(LEN(INDEX('Paste Export'!$A$2:$BZ$1001,$A228,col_s2))&gt;0))+IF(col_s3=0,0,--(LEN(INDEX('Paste Export'!$A$2:$BZ$1001,$A228,col_s3))&gt;0))+IF(col_s4=0,0,--(LEN(INDEX('Paste Export'!$A$2:$BZ$1001,$A228,col_s4))&gt;0))+IF(col_s5=0,0,--(LEN(INDEX('Paste Export'!$A$2:$BZ$1001,$A228,col_s5))&gt;0))+IF(col_s6=0,0,--(LEN(INDEX('Paste Export'!$A$2:$BZ$1001,$A228,col_s6))&gt;0))+IF(col_s7=0,0,--(LEN(INDEX('Paste Export'!$A$2:$BZ$1001,$A228,col_s7))&gt;0))+IF(col_s8=0,0,--(LEN(INDEX('Paste Export'!$A$2:$BZ$1001,$A228,col_s8))&gt;0)))</f>
        <v/>
      </c>
      <c r="I228" s="25" t="str">
        <f t="shared" si="24"/>
        <v/>
      </c>
      <c r="J228" s="25" t="str">
        <f t="shared" si="25"/>
        <v/>
      </c>
      <c r="K228" s="24" t="str">
        <f t="shared" si="26"/>
        <v/>
      </c>
      <c r="L228" s="24" t="str">
        <f t="shared" si="27"/>
        <v/>
      </c>
    </row>
    <row r="229" spans="1:12" x14ac:dyDescent="0.25">
      <c r="A229" s="24">
        <f t="shared" si="21"/>
        <v>228</v>
      </c>
      <c r="B229" s="25" t="str">
        <f>IF($A229&gt;nrows,"",IF(col_user=0,"",INDEX('Paste Export'!$A$2:$BZ$1001,$A229,col_user)))</f>
        <v/>
      </c>
      <c r="C229" s="24" t="str">
        <f>IF($A229&gt;nrows,"",IF(col_days=0,0,N(INDEX('Paste Export'!$A$2:$BZ$1001,$A229,col_days))))</f>
        <v/>
      </c>
      <c r="D229" s="24" t="str">
        <f>IF($A229&gt;nrows,"",IF(col_prompts=0,0,N(INDEX('Paste Export'!$A$2:$BZ$1001,$A229,col_prompts))))</f>
        <v/>
      </c>
      <c r="E229" s="24" t="str">
        <f>IF($A229&gt;nrows,"",IF(col_web=0,0,N(INDEX('Paste Export'!$A$2:$BZ$1001,$A229,col_web))))</f>
        <v/>
      </c>
      <c r="F229" s="26" t="str">
        <f t="shared" si="22"/>
        <v/>
      </c>
      <c r="G229" s="27" t="str">
        <f t="shared" si="23"/>
        <v/>
      </c>
      <c r="H229" s="24" t="str">
        <f>IF($A229&gt;nrows,"",IF(col_s1=0,0,--(LEN(INDEX('Paste Export'!$A$2:$BZ$1001,$A229,col_s1))&gt;0))+IF(col_s2=0,0,--(LEN(INDEX('Paste Export'!$A$2:$BZ$1001,$A229,col_s2))&gt;0))+IF(col_s3=0,0,--(LEN(INDEX('Paste Export'!$A$2:$BZ$1001,$A229,col_s3))&gt;0))+IF(col_s4=0,0,--(LEN(INDEX('Paste Export'!$A$2:$BZ$1001,$A229,col_s4))&gt;0))+IF(col_s5=0,0,--(LEN(INDEX('Paste Export'!$A$2:$BZ$1001,$A229,col_s5))&gt;0))+IF(col_s6=0,0,--(LEN(INDEX('Paste Export'!$A$2:$BZ$1001,$A229,col_s6))&gt;0))+IF(col_s7=0,0,--(LEN(INDEX('Paste Export'!$A$2:$BZ$1001,$A229,col_s7))&gt;0))+IF(col_s8=0,0,--(LEN(INDEX('Paste Export'!$A$2:$BZ$1001,$A229,col_s8))&gt;0)))</f>
        <v/>
      </c>
      <c r="I229" s="25" t="str">
        <f t="shared" si="24"/>
        <v/>
      </c>
      <c r="J229" s="25" t="str">
        <f t="shared" si="25"/>
        <v/>
      </c>
      <c r="K229" s="24" t="str">
        <f t="shared" si="26"/>
        <v/>
      </c>
      <c r="L229" s="24" t="str">
        <f t="shared" si="27"/>
        <v/>
      </c>
    </row>
    <row r="230" spans="1:12" x14ac:dyDescent="0.25">
      <c r="A230" s="24">
        <f t="shared" si="21"/>
        <v>229</v>
      </c>
      <c r="B230" s="25" t="str">
        <f>IF($A230&gt;nrows,"",IF(col_user=0,"",INDEX('Paste Export'!$A$2:$BZ$1001,$A230,col_user)))</f>
        <v/>
      </c>
      <c r="C230" s="24" t="str">
        <f>IF($A230&gt;nrows,"",IF(col_days=0,0,N(INDEX('Paste Export'!$A$2:$BZ$1001,$A230,col_days))))</f>
        <v/>
      </c>
      <c r="D230" s="24" t="str">
        <f>IF($A230&gt;nrows,"",IF(col_prompts=0,0,N(INDEX('Paste Export'!$A$2:$BZ$1001,$A230,col_prompts))))</f>
        <v/>
      </c>
      <c r="E230" s="24" t="str">
        <f>IF($A230&gt;nrows,"",IF(col_web=0,0,N(INDEX('Paste Export'!$A$2:$BZ$1001,$A230,col_web))))</f>
        <v/>
      </c>
      <c r="F230" s="26" t="str">
        <f t="shared" si="22"/>
        <v/>
      </c>
      <c r="G230" s="27" t="str">
        <f t="shared" si="23"/>
        <v/>
      </c>
      <c r="H230" s="24" t="str">
        <f>IF($A230&gt;nrows,"",IF(col_s1=0,0,--(LEN(INDEX('Paste Export'!$A$2:$BZ$1001,$A230,col_s1))&gt;0))+IF(col_s2=0,0,--(LEN(INDEX('Paste Export'!$A$2:$BZ$1001,$A230,col_s2))&gt;0))+IF(col_s3=0,0,--(LEN(INDEX('Paste Export'!$A$2:$BZ$1001,$A230,col_s3))&gt;0))+IF(col_s4=0,0,--(LEN(INDEX('Paste Export'!$A$2:$BZ$1001,$A230,col_s4))&gt;0))+IF(col_s5=0,0,--(LEN(INDEX('Paste Export'!$A$2:$BZ$1001,$A230,col_s5))&gt;0))+IF(col_s6=0,0,--(LEN(INDEX('Paste Export'!$A$2:$BZ$1001,$A230,col_s6))&gt;0))+IF(col_s7=0,0,--(LEN(INDEX('Paste Export'!$A$2:$BZ$1001,$A230,col_s7))&gt;0))+IF(col_s8=0,0,--(LEN(INDEX('Paste Export'!$A$2:$BZ$1001,$A230,col_s8))&gt;0)))</f>
        <v/>
      </c>
      <c r="I230" s="25" t="str">
        <f t="shared" si="24"/>
        <v/>
      </c>
      <c r="J230" s="25" t="str">
        <f t="shared" si="25"/>
        <v/>
      </c>
      <c r="K230" s="24" t="str">
        <f t="shared" si="26"/>
        <v/>
      </c>
      <c r="L230" s="24" t="str">
        <f t="shared" si="27"/>
        <v/>
      </c>
    </row>
    <row r="231" spans="1:12" x14ac:dyDescent="0.25">
      <c r="A231" s="24">
        <f t="shared" si="21"/>
        <v>230</v>
      </c>
      <c r="B231" s="25" t="str">
        <f>IF($A231&gt;nrows,"",IF(col_user=0,"",INDEX('Paste Export'!$A$2:$BZ$1001,$A231,col_user)))</f>
        <v/>
      </c>
      <c r="C231" s="24" t="str">
        <f>IF($A231&gt;nrows,"",IF(col_days=0,0,N(INDEX('Paste Export'!$A$2:$BZ$1001,$A231,col_days))))</f>
        <v/>
      </c>
      <c r="D231" s="24" t="str">
        <f>IF($A231&gt;nrows,"",IF(col_prompts=0,0,N(INDEX('Paste Export'!$A$2:$BZ$1001,$A231,col_prompts))))</f>
        <v/>
      </c>
      <c r="E231" s="24" t="str">
        <f>IF($A231&gt;nrows,"",IF(col_web=0,0,N(INDEX('Paste Export'!$A$2:$BZ$1001,$A231,col_web))))</f>
        <v/>
      </c>
      <c r="F231" s="26" t="str">
        <f t="shared" si="22"/>
        <v/>
      </c>
      <c r="G231" s="27" t="str">
        <f t="shared" si="23"/>
        <v/>
      </c>
      <c r="H231" s="24" t="str">
        <f>IF($A231&gt;nrows,"",IF(col_s1=0,0,--(LEN(INDEX('Paste Export'!$A$2:$BZ$1001,$A231,col_s1))&gt;0))+IF(col_s2=0,0,--(LEN(INDEX('Paste Export'!$A$2:$BZ$1001,$A231,col_s2))&gt;0))+IF(col_s3=0,0,--(LEN(INDEX('Paste Export'!$A$2:$BZ$1001,$A231,col_s3))&gt;0))+IF(col_s4=0,0,--(LEN(INDEX('Paste Export'!$A$2:$BZ$1001,$A231,col_s4))&gt;0))+IF(col_s5=0,0,--(LEN(INDEX('Paste Export'!$A$2:$BZ$1001,$A231,col_s5))&gt;0))+IF(col_s6=0,0,--(LEN(INDEX('Paste Export'!$A$2:$BZ$1001,$A231,col_s6))&gt;0))+IF(col_s7=0,0,--(LEN(INDEX('Paste Export'!$A$2:$BZ$1001,$A231,col_s7))&gt;0))+IF(col_s8=0,0,--(LEN(INDEX('Paste Export'!$A$2:$BZ$1001,$A231,col_s8))&gt;0)))</f>
        <v/>
      </c>
      <c r="I231" s="25" t="str">
        <f t="shared" si="24"/>
        <v/>
      </c>
      <c r="J231" s="25" t="str">
        <f t="shared" si="25"/>
        <v/>
      </c>
      <c r="K231" s="24" t="str">
        <f t="shared" si="26"/>
        <v/>
      </c>
      <c r="L231" s="24" t="str">
        <f t="shared" si="27"/>
        <v/>
      </c>
    </row>
    <row r="232" spans="1:12" x14ac:dyDescent="0.25">
      <c r="A232" s="24">
        <f t="shared" si="21"/>
        <v>231</v>
      </c>
      <c r="B232" s="25" t="str">
        <f>IF($A232&gt;nrows,"",IF(col_user=0,"",INDEX('Paste Export'!$A$2:$BZ$1001,$A232,col_user)))</f>
        <v/>
      </c>
      <c r="C232" s="24" t="str">
        <f>IF($A232&gt;nrows,"",IF(col_days=0,0,N(INDEX('Paste Export'!$A$2:$BZ$1001,$A232,col_days))))</f>
        <v/>
      </c>
      <c r="D232" s="24" t="str">
        <f>IF($A232&gt;nrows,"",IF(col_prompts=0,0,N(INDEX('Paste Export'!$A$2:$BZ$1001,$A232,col_prompts))))</f>
        <v/>
      </c>
      <c r="E232" s="24" t="str">
        <f>IF($A232&gt;nrows,"",IF(col_web=0,0,N(INDEX('Paste Export'!$A$2:$BZ$1001,$A232,col_web))))</f>
        <v/>
      </c>
      <c r="F232" s="26" t="str">
        <f t="shared" si="22"/>
        <v/>
      </c>
      <c r="G232" s="27" t="str">
        <f t="shared" si="23"/>
        <v/>
      </c>
      <c r="H232" s="24" t="str">
        <f>IF($A232&gt;nrows,"",IF(col_s1=0,0,--(LEN(INDEX('Paste Export'!$A$2:$BZ$1001,$A232,col_s1))&gt;0))+IF(col_s2=0,0,--(LEN(INDEX('Paste Export'!$A$2:$BZ$1001,$A232,col_s2))&gt;0))+IF(col_s3=0,0,--(LEN(INDEX('Paste Export'!$A$2:$BZ$1001,$A232,col_s3))&gt;0))+IF(col_s4=0,0,--(LEN(INDEX('Paste Export'!$A$2:$BZ$1001,$A232,col_s4))&gt;0))+IF(col_s5=0,0,--(LEN(INDEX('Paste Export'!$A$2:$BZ$1001,$A232,col_s5))&gt;0))+IF(col_s6=0,0,--(LEN(INDEX('Paste Export'!$A$2:$BZ$1001,$A232,col_s6))&gt;0))+IF(col_s7=0,0,--(LEN(INDEX('Paste Export'!$A$2:$BZ$1001,$A232,col_s7))&gt;0))+IF(col_s8=0,0,--(LEN(INDEX('Paste Export'!$A$2:$BZ$1001,$A232,col_s8))&gt;0)))</f>
        <v/>
      </c>
      <c r="I232" s="25" t="str">
        <f t="shared" si="24"/>
        <v/>
      </c>
      <c r="J232" s="25" t="str">
        <f t="shared" si="25"/>
        <v/>
      </c>
      <c r="K232" s="24" t="str">
        <f t="shared" si="26"/>
        <v/>
      </c>
      <c r="L232" s="24" t="str">
        <f t="shared" si="27"/>
        <v/>
      </c>
    </row>
    <row r="233" spans="1:12" x14ac:dyDescent="0.25">
      <c r="A233" s="24">
        <f t="shared" si="21"/>
        <v>232</v>
      </c>
      <c r="B233" s="25" t="str">
        <f>IF($A233&gt;nrows,"",IF(col_user=0,"",INDEX('Paste Export'!$A$2:$BZ$1001,$A233,col_user)))</f>
        <v/>
      </c>
      <c r="C233" s="24" t="str">
        <f>IF($A233&gt;nrows,"",IF(col_days=0,0,N(INDEX('Paste Export'!$A$2:$BZ$1001,$A233,col_days))))</f>
        <v/>
      </c>
      <c r="D233" s="24" t="str">
        <f>IF($A233&gt;nrows,"",IF(col_prompts=0,0,N(INDEX('Paste Export'!$A$2:$BZ$1001,$A233,col_prompts))))</f>
        <v/>
      </c>
      <c r="E233" s="24" t="str">
        <f>IF($A233&gt;nrows,"",IF(col_web=0,0,N(INDEX('Paste Export'!$A$2:$BZ$1001,$A233,col_web))))</f>
        <v/>
      </c>
      <c r="F233" s="26" t="str">
        <f t="shared" si="22"/>
        <v/>
      </c>
      <c r="G233" s="27" t="str">
        <f t="shared" si="23"/>
        <v/>
      </c>
      <c r="H233" s="24" t="str">
        <f>IF($A233&gt;nrows,"",IF(col_s1=0,0,--(LEN(INDEX('Paste Export'!$A$2:$BZ$1001,$A233,col_s1))&gt;0))+IF(col_s2=0,0,--(LEN(INDEX('Paste Export'!$A$2:$BZ$1001,$A233,col_s2))&gt;0))+IF(col_s3=0,0,--(LEN(INDEX('Paste Export'!$A$2:$BZ$1001,$A233,col_s3))&gt;0))+IF(col_s4=0,0,--(LEN(INDEX('Paste Export'!$A$2:$BZ$1001,$A233,col_s4))&gt;0))+IF(col_s5=0,0,--(LEN(INDEX('Paste Export'!$A$2:$BZ$1001,$A233,col_s5))&gt;0))+IF(col_s6=0,0,--(LEN(INDEX('Paste Export'!$A$2:$BZ$1001,$A233,col_s6))&gt;0))+IF(col_s7=0,0,--(LEN(INDEX('Paste Export'!$A$2:$BZ$1001,$A233,col_s7))&gt;0))+IF(col_s8=0,0,--(LEN(INDEX('Paste Export'!$A$2:$BZ$1001,$A233,col_s8))&gt;0)))</f>
        <v/>
      </c>
      <c r="I233" s="25" t="str">
        <f t="shared" si="24"/>
        <v/>
      </c>
      <c r="J233" s="25" t="str">
        <f t="shared" si="25"/>
        <v/>
      </c>
      <c r="K233" s="24" t="str">
        <f t="shared" si="26"/>
        <v/>
      </c>
      <c r="L233" s="24" t="str">
        <f t="shared" si="27"/>
        <v/>
      </c>
    </row>
    <row r="234" spans="1:12" x14ac:dyDescent="0.25">
      <c r="A234" s="24">
        <f t="shared" si="21"/>
        <v>233</v>
      </c>
      <c r="B234" s="25" t="str">
        <f>IF($A234&gt;nrows,"",IF(col_user=0,"",INDEX('Paste Export'!$A$2:$BZ$1001,$A234,col_user)))</f>
        <v/>
      </c>
      <c r="C234" s="24" t="str">
        <f>IF($A234&gt;nrows,"",IF(col_days=0,0,N(INDEX('Paste Export'!$A$2:$BZ$1001,$A234,col_days))))</f>
        <v/>
      </c>
      <c r="D234" s="24" t="str">
        <f>IF($A234&gt;nrows,"",IF(col_prompts=0,0,N(INDEX('Paste Export'!$A$2:$BZ$1001,$A234,col_prompts))))</f>
        <v/>
      </c>
      <c r="E234" s="24" t="str">
        <f>IF($A234&gt;nrows,"",IF(col_web=0,0,N(INDEX('Paste Export'!$A$2:$BZ$1001,$A234,col_web))))</f>
        <v/>
      </c>
      <c r="F234" s="26" t="str">
        <f t="shared" si="22"/>
        <v/>
      </c>
      <c r="G234" s="27" t="str">
        <f t="shared" si="23"/>
        <v/>
      </c>
      <c r="H234" s="24" t="str">
        <f>IF($A234&gt;nrows,"",IF(col_s1=0,0,--(LEN(INDEX('Paste Export'!$A$2:$BZ$1001,$A234,col_s1))&gt;0))+IF(col_s2=0,0,--(LEN(INDEX('Paste Export'!$A$2:$BZ$1001,$A234,col_s2))&gt;0))+IF(col_s3=0,0,--(LEN(INDEX('Paste Export'!$A$2:$BZ$1001,$A234,col_s3))&gt;0))+IF(col_s4=0,0,--(LEN(INDEX('Paste Export'!$A$2:$BZ$1001,$A234,col_s4))&gt;0))+IF(col_s5=0,0,--(LEN(INDEX('Paste Export'!$A$2:$BZ$1001,$A234,col_s5))&gt;0))+IF(col_s6=0,0,--(LEN(INDEX('Paste Export'!$A$2:$BZ$1001,$A234,col_s6))&gt;0))+IF(col_s7=0,0,--(LEN(INDEX('Paste Export'!$A$2:$BZ$1001,$A234,col_s7))&gt;0))+IF(col_s8=0,0,--(LEN(INDEX('Paste Export'!$A$2:$BZ$1001,$A234,col_s8))&gt;0)))</f>
        <v/>
      </c>
      <c r="I234" s="25" t="str">
        <f t="shared" si="24"/>
        <v/>
      </c>
      <c r="J234" s="25" t="str">
        <f t="shared" si="25"/>
        <v/>
      </c>
      <c r="K234" s="24" t="str">
        <f t="shared" si="26"/>
        <v/>
      </c>
      <c r="L234" s="24" t="str">
        <f t="shared" si="27"/>
        <v/>
      </c>
    </row>
    <row r="235" spans="1:12" x14ac:dyDescent="0.25">
      <c r="A235" s="24">
        <f t="shared" si="21"/>
        <v>234</v>
      </c>
      <c r="B235" s="25" t="str">
        <f>IF($A235&gt;nrows,"",IF(col_user=0,"",INDEX('Paste Export'!$A$2:$BZ$1001,$A235,col_user)))</f>
        <v/>
      </c>
      <c r="C235" s="24" t="str">
        <f>IF($A235&gt;nrows,"",IF(col_days=0,0,N(INDEX('Paste Export'!$A$2:$BZ$1001,$A235,col_days))))</f>
        <v/>
      </c>
      <c r="D235" s="24" t="str">
        <f>IF($A235&gt;nrows,"",IF(col_prompts=0,0,N(INDEX('Paste Export'!$A$2:$BZ$1001,$A235,col_prompts))))</f>
        <v/>
      </c>
      <c r="E235" s="24" t="str">
        <f>IF($A235&gt;nrows,"",IF(col_web=0,0,N(INDEX('Paste Export'!$A$2:$BZ$1001,$A235,col_web))))</f>
        <v/>
      </c>
      <c r="F235" s="26" t="str">
        <f t="shared" si="22"/>
        <v/>
      </c>
      <c r="G235" s="27" t="str">
        <f t="shared" si="23"/>
        <v/>
      </c>
      <c r="H235" s="24" t="str">
        <f>IF($A235&gt;nrows,"",IF(col_s1=0,0,--(LEN(INDEX('Paste Export'!$A$2:$BZ$1001,$A235,col_s1))&gt;0))+IF(col_s2=0,0,--(LEN(INDEX('Paste Export'!$A$2:$BZ$1001,$A235,col_s2))&gt;0))+IF(col_s3=0,0,--(LEN(INDEX('Paste Export'!$A$2:$BZ$1001,$A235,col_s3))&gt;0))+IF(col_s4=0,0,--(LEN(INDEX('Paste Export'!$A$2:$BZ$1001,$A235,col_s4))&gt;0))+IF(col_s5=0,0,--(LEN(INDEX('Paste Export'!$A$2:$BZ$1001,$A235,col_s5))&gt;0))+IF(col_s6=0,0,--(LEN(INDEX('Paste Export'!$A$2:$BZ$1001,$A235,col_s6))&gt;0))+IF(col_s7=0,0,--(LEN(INDEX('Paste Export'!$A$2:$BZ$1001,$A235,col_s7))&gt;0))+IF(col_s8=0,0,--(LEN(INDEX('Paste Export'!$A$2:$BZ$1001,$A235,col_s8))&gt;0)))</f>
        <v/>
      </c>
      <c r="I235" s="25" t="str">
        <f t="shared" si="24"/>
        <v/>
      </c>
      <c r="J235" s="25" t="str">
        <f t="shared" si="25"/>
        <v/>
      </c>
      <c r="K235" s="24" t="str">
        <f t="shared" si="26"/>
        <v/>
      </c>
      <c r="L235" s="24" t="str">
        <f t="shared" si="27"/>
        <v/>
      </c>
    </row>
    <row r="236" spans="1:12" x14ac:dyDescent="0.25">
      <c r="A236" s="24">
        <f t="shared" si="21"/>
        <v>235</v>
      </c>
      <c r="B236" s="25" t="str">
        <f>IF($A236&gt;nrows,"",IF(col_user=0,"",INDEX('Paste Export'!$A$2:$BZ$1001,$A236,col_user)))</f>
        <v/>
      </c>
      <c r="C236" s="24" t="str">
        <f>IF($A236&gt;nrows,"",IF(col_days=0,0,N(INDEX('Paste Export'!$A$2:$BZ$1001,$A236,col_days))))</f>
        <v/>
      </c>
      <c r="D236" s="24" t="str">
        <f>IF($A236&gt;nrows,"",IF(col_prompts=0,0,N(INDEX('Paste Export'!$A$2:$BZ$1001,$A236,col_prompts))))</f>
        <v/>
      </c>
      <c r="E236" s="24" t="str">
        <f>IF($A236&gt;nrows,"",IF(col_web=0,0,N(INDEX('Paste Export'!$A$2:$BZ$1001,$A236,col_web))))</f>
        <v/>
      </c>
      <c r="F236" s="26" t="str">
        <f t="shared" si="22"/>
        <v/>
      </c>
      <c r="G236" s="27" t="str">
        <f t="shared" si="23"/>
        <v/>
      </c>
      <c r="H236" s="24" t="str">
        <f>IF($A236&gt;nrows,"",IF(col_s1=0,0,--(LEN(INDEX('Paste Export'!$A$2:$BZ$1001,$A236,col_s1))&gt;0))+IF(col_s2=0,0,--(LEN(INDEX('Paste Export'!$A$2:$BZ$1001,$A236,col_s2))&gt;0))+IF(col_s3=0,0,--(LEN(INDEX('Paste Export'!$A$2:$BZ$1001,$A236,col_s3))&gt;0))+IF(col_s4=0,0,--(LEN(INDEX('Paste Export'!$A$2:$BZ$1001,$A236,col_s4))&gt;0))+IF(col_s5=0,0,--(LEN(INDEX('Paste Export'!$A$2:$BZ$1001,$A236,col_s5))&gt;0))+IF(col_s6=0,0,--(LEN(INDEX('Paste Export'!$A$2:$BZ$1001,$A236,col_s6))&gt;0))+IF(col_s7=0,0,--(LEN(INDEX('Paste Export'!$A$2:$BZ$1001,$A236,col_s7))&gt;0))+IF(col_s8=0,0,--(LEN(INDEX('Paste Export'!$A$2:$BZ$1001,$A236,col_s8))&gt;0)))</f>
        <v/>
      </c>
      <c r="I236" s="25" t="str">
        <f t="shared" si="24"/>
        <v/>
      </c>
      <c r="J236" s="25" t="str">
        <f t="shared" si="25"/>
        <v/>
      </c>
      <c r="K236" s="24" t="str">
        <f t="shared" si="26"/>
        <v/>
      </c>
      <c r="L236" s="24" t="str">
        <f t="shared" si="27"/>
        <v/>
      </c>
    </row>
    <row r="237" spans="1:12" x14ac:dyDescent="0.25">
      <c r="A237" s="24">
        <f t="shared" si="21"/>
        <v>236</v>
      </c>
      <c r="B237" s="25" t="str">
        <f>IF($A237&gt;nrows,"",IF(col_user=0,"",INDEX('Paste Export'!$A$2:$BZ$1001,$A237,col_user)))</f>
        <v/>
      </c>
      <c r="C237" s="24" t="str">
        <f>IF($A237&gt;nrows,"",IF(col_days=0,0,N(INDEX('Paste Export'!$A$2:$BZ$1001,$A237,col_days))))</f>
        <v/>
      </c>
      <c r="D237" s="24" t="str">
        <f>IF($A237&gt;nrows,"",IF(col_prompts=0,0,N(INDEX('Paste Export'!$A$2:$BZ$1001,$A237,col_prompts))))</f>
        <v/>
      </c>
      <c r="E237" s="24" t="str">
        <f>IF($A237&gt;nrows,"",IF(col_web=0,0,N(INDEX('Paste Export'!$A$2:$BZ$1001,$A237,col_web))))</f>
        <v/>
      </c>
      <c r="F237" s="26" t="str">
        <f t="shared" si="22"/>
        <v/>
      </c>
      <c r="G237" s="27" t="str">
        <f t="shared" si="23"/>
        <v/>
      </c>
      <c r="H237" s="24" t="str">
        <f>IF($A237&gt;nrows,"",IF(col_s1=0,0,--(LEN(INDEX('Paste Export'!$A$2:$BZ$1001,$A237,col_s1))&gt;0))+IF(col_s2=0,0,--(LEN(INDEX('Paste Export'!$A$2:$BZ$1001,$A237,col_s2))&gt;0))+IF(col_s3=0,0,--(LEN(INDEX('Paste Export'!$A$2:$BZ$1001,$A237,col_s3))&gt;0))+IF(col_s4=0,0,--(LEN(INDEX('Paste Export'!$A$2:$BZ$1001,$A237,col_s4))&gt;0))+IF(col_s5=0,0,--(LEN(INDEX('Paste Export'!$A$2:$BZ$1001,$A237,col_s5))&gt;0))+IF(col_s6=0,0,--(LEN(INDEX('Paste Export'!$A$2:$BZ$1001,$A237,col_s6))&gt;0))+IF(col_s7=0,0,--(LEN(INDEX('Paste Export'!$A$2:$BZ$1001,$A237,col_s7))&gt;0))+IF(col_s8=0,0,--(LEN(INDEX('Paste Export'!$A$2:$BZ$1001,$A237,col_s8))&gt;0)))</f>
        <v/>
      </c>
      <c r="I237" s="25" t="str">
        <f t="shared" si="24"/>
        <v/>
      </c>
      <c r="J237" s="25" t="str">
        <f t="shared" si="25"/>
        <v/>
      </c>
      <c r="K237" s="24" t="str">
        <f t="shared" si="26"/>
        <v/>
      </c>
      <c r="L237" s="24" t="str">
        <f t="shared" si="27"/>
        <v/>
      </c>
    </row>
    <row r="238" spans="1:12" x14ac:dyDescent="0.25">
      <c r="A238" s="24">
        <f t="shared" si="21"/>
        <v>237</v>
      </c>
      <c r="B238" s="25" t="str">
        <f>IF($A238&gt;nrows,"",IF(col_user=0,"",INDEX('Paste Export'!$A$2:$BZ$1001,$A238,col_user)))</f>
        <v/>
      </c>
      <c r="C238" s="24" t="str">
        <f>IF($A238&gt;nrows,"",IF(col_days=0,0,N(INDEX('Paste Export'!$A$2:$BZ$1001,$A238,col_days))))</f>
        <v/>
      </c>
      <c r="D238" s="24" t="str">
        <f>IF($A238&gt;nrows,"",IF(col_prompts=0,0,N(INDEX('Paste Export'!$A$2:$BZ$1001,$A238,col_prompts))))</f>
        <v/>
      </c>
      <c r="E238" s="24" t="str">
        <f>IF($A238&gt;nrows,"",IF(col_web=0,0,N(INDEX('Paste Export'!$A$2:$BZ$1001,$A238,col_web))))</f>
        <v/>
      </c>
      <c r="F238" s="26" t="str">
        <f t="shared" si="22"/>
        <v/>
      </c>
      <c r="G238" s="27" t="str">
        <f t="shared" si="23"/>
        <v/>
      </c>
      <c r="H238" s="24" t="str">
        <f>IF($A238&gt;nrows,"",IF(col_s1=0,0,--(LEN(INDEX('Paste Export'!$A$2:$BZ$1001,$A238,col_s1))&gt;0))+IF(col_s2=0,0,--(LEN(INDEX('Paste Export'!$A$2:$BZ$1001,$A238,col_s2))&gt;0))+IF(col_s3=0,0,--(LEN(INDEX('Paste Export'!$A$2:$BZ$1001,$A238,col_s3))&gt;0))+IF(col_s4=0,0,--(LEN(INDEX('Paste Export'!$A$2:$BZ$1001,$A238,col_s4))&gt;0))+IF(col_s5=0,0,--(LEN(INDEX('Paste Export'!$A$2:$BZ$1001,$A238,col_s5))&gt;0))+IF(col_s6=0,0,--(LEN(INDEX('Paste Export'!$A$2:$BZ$1001,$A238,col_s6))&gt;0))+IF(col_s7=0,0,--(LEN(INDEX('Paste Export'!$A$2:$BZ$1001,$A238,col_s7))&gt;0))+IF(col_s8=0,0,--(LEN(INDEX('Paste Export'!$A$2:$BZ$1001,$A238,col_s8))&gt;0)))</f>
        <v/>
      </c>
      <c r="I238" s="25" t="str">
        <f t="shared" si="24"/>
        <v/>
      </c>
      <c r="J238" s="25" t="str">
        <f t="shared" si="25"/>
        <v/>
      </c>
      <c r="K238" s="24" t="str">
        <f t="shared" si="26"/>
        <v/>
      </c>
      <c r="L238" s="24" t="str">
        <f t="shared" si="27"/>
        <v/>
      </c>
    </row>
    <row r="239" spans="1:12" x14ac:dyDescent="0.25">
      <c r="A239" s="24">
        <f t="shared" si="21"/>
        <v>238</v>
      </c>
      <c r="B239" s="25" t="str">
        <f>IF($A239&gt;nrows,"",IF(col_user=0,"",INDEX('Paste Export'!$A$2:$BZ$1001,$A239,col_user)))</f>
        <v/>
      </c>
      <c r="C239" s="24" t="str">
        <f>IF($A239&gt;nrows,"",IF(col_days=0,0,N(INDEX('Paste Export'!$A$2:$BZ$1001,$A239,col_days))))</f>
        <v/>
      </c>
      <c r="D239" s="24" t="str">
        <f>IF($A239&gt;nrows,"",IF(col_prompts=0,0,N(INDEX('Paste Export'!$A$2:$BZ$1001,$A239,col_prompts))))</f>
        <v/>
      </c>
      <c r="E239" s="24" t="str">
        <f>IF($A239&gt;nrows,"",IF(col_web=0,0,N(INDEX('Paste Export'!$A$2:$BZ$1001,$A239,col_web))))</f>
        <v/>
      </c>
      <c r="F239" s="26" t="str">
        <f t="shared" si="22"/>
        <v/>
      </c>
      <c r="G239" s="27" t="str">
        <f t="shared" si="23"/>
        <v/>
      </c>
      <c r="H239" s="24" t="str">
        <f>IF($A239&gt;nrows,"",IF(col_s1=0,0,--(LEN(INDEX('Paste Export'!$A$2:$BZ$1001,$A239,col_s1))&gt;0))+IF(col_s2=0,0,--(LEN(INDEX('Paste Export'!$A$2:$BZ$1001,$A239,col_s2))&gt;0))+IF(col_s3=0,0,--(LEN(INDEX('Paste Export'!$A$2:$BZ$1001,$A239,col_s3))&gt;0))+IF(col_s4=0,0,--(LEN(INDEX('Paste Export'!$A$2:$BZ$1001,$A239,col_s4))&gt;0))+IF(col_s5=0,0,--(LEN(INDEX('Paste Export'!$A$2:$BZ$1001,$A239,col_s5))&gt;0))+IF(col_s6=0,0,--(LEN(INDEX('Paste Export'!$A$2:$BZ$1001,$A239,col_s6))&gt;0))+IF(col_s7=0,0,--(LEN(INDEX('Paste Export'!$A$2:$BZ$1001,$A239,col_s7))&gt;0))+IF(col_s8=0,0,--(LEN(INDEX('Paste Export'!$A$2:$BZ$1001,$A239,col_s8))&gt;0)))</f>
        <v/>
      </c>
      <c r="I239" s="25" t="str">
        <f t="shared" si="24"/>
        <v/>
      </c>
      <c r="J239" s="25" t="str">
        <f t="shared" si="25"/>
        <v/>
      </c>
      <c r="K239" s="24" t="str">
        <f t="shared" si="26"/>
        <v/>
      </c>
      <c r="L239" s="24" t="str">
        <f t="shared" si="27"/>
        <v/>
      </c>
    </row>
    <row r="240" spans="1:12" x14ac:dyDescent="0.25">
      <c r="A240" s="24">
        <f t="shared" si="21"/>
        <v>239</v>
      </c>
      <c r="B240" s="25" t="str">
        <f>IF($A240&gt;nrows,"",IF(col_user=0,"",INDEX('Paste Export'!$A$2:$BZ$1001,$A240,col_user)))</f>
        <v/>
      </c>
      <c r="C240" s="24" t="str">
        <f>IF($A240&gt;nrows,"",IF(col_days=0,0,N(INDEX('Paste Export'!$A$2:$BZ$1001,$A240,col_days))))</f>
        <v/>
      </c>
      <c r="D240" s="24" t="str">
        <f>IF($A240&gt;nrows,"",IF(col_prompts=0,0,N(INDEX('Paste Export'!$A$2:$BZ$1001,$A240,col_prompts))))</f>
        <v/>
      </c>
      <c r="E240" s="24" t="str">
        <f>IF($A240&gt;nrows,"",IF(col_web=0,0,N(INDEX('Paste Export'!$A$2:$BZ$1001,$A240,col_web))))</f>
        <v/>
      </c>
      <c r="F240" s="26" t="str">
        <f t="shared" si="22"/>
        <v/>
      </c>
      <c r="G240" s="27" t="str">
        <f t="shared" si="23"/>
        <v/>
      </c>
      <c r="H240" s="24" t="str">
        <f>IF($A240&gt;nrows,"",IF(col_s1=0,0,--(LEN(INDEX('Paste Export'!$A$2:$BZ$1001,$A240,col_s1))&gt;0))+IF(col_s2=0,0,--(LEN(INDEX('Paste Export'!$A$2:$BZ$1001,$A240,col_s2))&gt;0))+IF(col_s3=0,0,--(LEN(INDEX('Paste Export'!$A$2:$BZ$1001,$A240,col_s3))&gt;0))+IF(col_s4=0,0,--(LEN(INDEX('Paste Export'!$A$2:$BZ$1001,$A240,col_s4))&gt;0))+IF(col_s5=0,0,--(LEN(INDEX('Paste Export'!$A$2:$BZ$1001,$A240,col_s5))&gt;0))+IF(col_s6=0,0,--(LEN(INDEX('Paste Export'!$A$2:$BZ$1001,$A240,col_s6))&gt;0))+IF(col_s7=0,0,--(LEN(INDEX('Paste Export'!$A$2:$BZ$1001,$A240,col_s7))&gt;0))+IF(col_s8=0,0,--(LEN(INDEX('Paste Export'!$A$2:$BZ$1001,$A240,col_s8))&gt;0)))</f>
        <v/>
      </c>
      <c r="I240" s="25" t="str">
        <f t="shared" si="24"/>
        <v/>
      </c>
      <c r="J240" s="25" t="str">
        <f t="shared" si="25"/>
        <v/>
      </c>
      <c r="K240" s="24" t="str">
        <f t="shared" si="26"/>
        <v/>
      </c>
      <c r="L240" s="24" t="str">
        <f t="shared" si="27"/>
        <v/>
      </c>
    </row>
    <row r="241" spans="1:12" x14ac:dyDescent="0.25">
      <c r="A241" s="24">
        <f t="shared" si="21"/>
        <v>240</v>
      </c>
      <c r="B241" s="25" t="str">
        <f>IF($A241&gt;nrows,"",IF(col_user=0,"",INDEX('Paste Export'!$A$2:$BZ$1001,$A241,col_user)))</f>
        <v/>
      </c>
      <c r="C241" s="24" t="str">
        <f>IF($A241&gt;nrows,"",IF(col_days=0,0,N(INDEX('Paste Export'!$A$2:$BZ$1001,$A241,col_days))))</f>
        <v/>
      </c>
      <c r="D241" s="24" t="str">
        <f>IF($A241&gt;nrows,"",IF(col_prompts=0,0,N(INDEX('Paste Export'!$A$2:$BZ$1001,$A241,col_prompts))))</f>
        <v/>
      </c>
      <c r="E241" s="24" t="str">
        <f>IF($A241&gt;nrows,"",IF(col_web=0,0,N(INDEX('Paste Export'!$A$2:$BZ$1001,$A241,col_web))))</f>
        <v/>
      </c>
      <c r="F241" s="26" t="str">
        <f t="shared" si="22"/>
        <v/>
      </c>
      <c r="G241" s="27" t="str">
        <f t="shared" si="23"/>
        <v/>
      </c>
      <c r="H241" s="24" t="str">
        <f>IF($A241&gt;nrows,"",IF(col_s1=0,0,--(LEN(INDEX('Paste Export'!$A$2:$BZ$1001,$A241,col_s1))&gt;0))+IF(col_s2=0,0,--(LEN(INDEX('Paste Export'!$A$2:$BZ$1001,$A241,col_s2))&gt;0))+IF(col_s3=0,0,--(LEN(INDEX('Paste Export'!$A$2:$BZ$1001,$A241,col_s3))&gt;0))+IF(col_s4=0,0,--(LEN(INDEX('Paste Export'!$A$2:$BZ$1001,$A241,col_s4))&gt;0))+IF(col_s5=0,0,--(LEN(INDEX('Paste Export'!$A$2:$BZ$1001,$A241,col_s5))&gt;0))+IF(col_s6=0,0,--(LEN(INDEX('Paste Export'!$A$2:$BZ$1001,$A241,col_s6))&gt;0))+IF(col_s7=0,0,--(LEN(INDEX('Paste Export'!$A$2:$BZ$1001,$A241,col_s7))&gt;0))+IF(col_s8=0,0,--(LEN(INDEX('Paste Export'!$A$2:$BZ$1001,$A241,col_s8))&gt;0)))</f>
        <v/>
      </c>
      <c r="I241" s="25" t="str">
        <f t="shared" si="24"/>
        <v/>
      </c>
      <c r="J241" s="25" t="str">
        <f t="shared" si="25"/>
        <v/>
      </c>
      <c r="K241" s="24" t="str">
        <f t="shared" si="26"/>
        <v/>
      </c>
      <c r="L241" s="24" t="str">
        <f t="shared" si="27"/>
        <v/>
      </c>
    </row>
    <row r="242" spans="1:12" x14ac:dyDescent="0.25">
      <c r="A242" s="24">
        <f t="shared" si="21"/>
        <v>241</v>
      </c>
      <c r="B242" s="25" t="str">
        <f>IF($A242&gt;nrows,"",IF(col_user=0,"",INDEX('Paste Export'!$A$2:$BZ$1001,$A242,col_user)))</f>
        <v/>
      </c>
      <c r="C242" s="24" t="str">
        <f>IF($A242&gt;nrows,"",IF(col_days=0,0,N(INDEX('Paste Export'!$A$2:$BZ$1001,$A242,col_days))))</f>
        <v/>
      </c>
      <c r="D242" s="24" t="str">
        <f>IF($A242&gt;nrows,"",IF(col_prompts=0,0,N(INDEX('Paste Export'!$A$2:$BZ$1001,$A242,col_prompts))))</f>
        <v/>
      </c>
      <c r="E242" s="24" t="str">
        <f>IF($A242&gt;nrows,"",IF(col_web=0,0,N(INDEX('Paste Export'!$A$2:$BZ$1001,$A242,col_web))))</f>
        <v/>
      </c>
      <c r="F242" s="26" t="str">
        <f t="shared" si="22"/>
        <v/>
      </c>
      <c r="G242" s="27" t="str">
        <f t="shared" si="23"/>
        <v/>
      </c>
      <c r="H242" s="24" t="str">
        <f>IF($A242&gt;nrows,"",IF(col_s1=0,0,--(LEN(INDEX('Paste Export'!$A$2:$BZ$1001,$A242,col_s1))&gt;0))+IF(col_s2=0,0,--(LEN(INDEX('Paste Export'!$A$2:$BZ$1001,$A242,col_s2))&gt;0))+IF(col_s3=0,0,--(LEN(INDEX('Paste Export'!$A$2:$BZ$1001,$A242,col_s3))&gt;0))+IF(col_s4=0,0,--(LEN(INDEX('Paste Export'!$A$2:$BZ$1001,$A242,col_s4))&gt;0))+IF(col_s5=0,0,--(LEN(INDEX('Paste Export'!$A$2:$BZ$1001,$A242,col_s5))&gt;0))+IF(col_s6=0,0,--(LEN(INDEX('Paste Export'!$A$2:$BZ$1001,$A242,col_s6))&gt;0))+IF(col_s7=0,0,--(LEN(INDEX('Paste Export'!$A$2:$BZ$1001,$A242,col_s7))&gt;0))+IF(col_s8=0,0,--(LEN(INDEX('Paste Export'!$A$2:$BZ$1001,$A242,col_s8))&gt;0)))</f>
        <v/>
      </c>
      <c r="I242" s="25" t="str">
        <f t="shared" si="24"/>
        <v/>
      </c>
      <c r="J242" s="25" t="str">
        <f t="shared" si="25"/>
        <v/>
      </c>
      <c r="K242" s="24" t="str">
        <f t="shared" si="26"/>
        <v/>
      </c>
      <c r="L242" s="24" t="str">
        <f t="shared" si="27"/>
        <v/>
      </c>
    </row>
    <row r="243" spans="1:12" x14ac:dyDescent="0.25">
      <c r="A243" s="24">
        <f t="shared" si="21"/>
        <v>242</v>
      </c>
      <c r="B243" s="25" t="str">
        <f>IF($A243&gt;nrows,"",IF(col_user=0,"",INDEX('Paste Export'!$A$2:$BZ$1001,$A243,col_user)))</f>
        <v/>
      </c>
      <c r="C243" s="24" t="str">
        <f>IF($A243&gt;nrows,"",IF(col_days=0,0,N(INDEX('Paste Export'!$A$2:$BZ$1001,$A243,col_days))))</f>
        <v/>
      </c>
      <c r="D243" s="24" t="str">
        <f>IF($A243&gt;nrows,"",IF(col_prompts=0,0,N(INDEX('Paste Export'!$A$2:$BZ$1001,$A243,col_prompts))))</f>
        <v/>
      </c>
      <c r="E243" s="24" t="str">
        <f>IF($A243&gt;nrows,"",IF(col_web=0,0,N(INDEX('Paste Export'!$A$2:$BZ$1001,$A243,col_web))))</f>
        <v/>
      </c>
      <c r="F243" s="26" t="str">
        <f t="shared" si="22"/>
        <v/>
      </c>
      <c r="G243" s="27" t="str">
        <f t="shared" si="23"/>
        <v/>
      </c>
      <c r="H243" s="24" t="str">
        <f>IF($A243&gt;nrows,"",IF(col_s1=0,0,--(LEN(INDEX('Paste Export'!$A$2:$BZ$1001,$A243,col_s1))&gt;0))+IF(col_s2=0,0,--(LEN(INDEX('Paste Export'!$A$2:$BZ$1001,$A243,col_s2))&gt;0))+IF(col_s3=0,0,--(LEN(INDEX('Paste Export'!$A$2:$BZ$1001,$A243,col_s3))&gt;0))+IF(col_s4=0,0,--(LEN(INDEX('Paste Export'!$A$2:$BZ$1001,$A243,col_s4))&gt;0))+IF(col_s5=0,0,--(LEN(INDEX('Paste Export'!$A$2:$BZ$1001,$A243,col_s5))&gt;0))+IF(col_s6=0,0,--(LEN(INDEX('Paste Export'!$A$2:$BZ$1001,$A243,col_s6))&gt;0))+IF(col_s7=0,0,--(LEN(INDEX('Paste Export'!$A$2:$BZ$1001,$A243,col_s7))&gt;0))+IF(col_s8=0,0,--(LEN(INDEX('Paste Export'!$A$2:$BZ$1001,$A243,col_s8))&gt;0)))</f>
        <v/>
      </c>
      <c r="I243" s="25" t="str">
        <f t="shared" si="24"/>
        <v/>
      </c>
      <c r="J243" s="25" t="str">
        <f t="shared" si="25"/>
        <v/>
      </c>
      <c r="K243" s="24" t="str">
        <f t="shared" si="26"/>
        <v/>
      </c>
      <c r="L243" s="24" t="str">
        <f t="shared" si="27"/>
        <v/>
      </c>
    </row>
    <row r="244" spans="1:12" x14ac:dyDescent="0.25">
      <c r="A244" s="24">
        <f t="shared" si="21"/>
        <v>243</v>
      </c>
      <c r="B244" s="25" t="str">
        <f>IF($A244&gt;nrows,"",IF(col_user=0,"",INDEX('Paste Export'!$A$2:$BZ$1001,$A244,col_user)))</f>
        <v/>
      </c>
      <c r="C244" s="24" t="str">
        <f>IF($A244&gt;nrows,"",IF(col_days=0,0,N(INDEX('Paste Export'!$A$2:$BZ$1001,$A244,col_days))))</f>
        <v/>
      </c>
      <c r="D244" s="24" t="str">
        <f>IF($A244&gt;nrows,"",IF(col_prompts=0,0,N(INDEX('Paste Export'!$A$2:$BZ$1001,$A244,col_prompts))))</f>
        <v/>
      </c>
      <c r="E244" s="24" t="str">
        <f>IF($A244&gt;nrows,"",IF(col_web=0,0,N(INDEX('Paste Export'!$A$2:$BZ$1001,$A244,col_web))))</f>
        <v/>
      </c>
      <c r="F244" s="26" t="str">
        <f t="shared" si="22"/>
        <v/>
      </c>
      <c r="G244" s="27" t="str">
        <f t="shared" si="23"/>
        <v/>
      </c>
      <c r="H244" s="24" t="str">
        <f>IF($A244&gt;nrows,"",IF(col_s1=0,0,--(LEN(INDEX('Paste Export'!$A$2:$BZ$1001,$A244,col_s1))&gt;0))+IF(col_s2=0,0,--(LEN(INDEX('Paste Export'!$A$2:$BZ$1001,$A244,col_s2))&gt;0))+IF(col_s3=0,0,--(LEN(INDEX('Paste Export'!$A$2:$BZ$1001,$A244,col_s3))&gt;0))+IF(col_s4=0,0,--(LEN(INDEX('Paste Export'!$A$2:$BZ$1001,$A244,col_s4))&gt;0))+IF(col_s5=0,0,--(LEN(INDEX('Paste Export'!$A$2:$BZ$1001,$A244,col_s5))&gt;0))+IF(col_s6=0,0,--(LEN(INDEX('Paste Export'!$A$2:$BZ$1001,$A244,col_s6))&gt;0))+IF(col_s7=0,0,--(LEN(INDEX('Paste Export'!$A$2:$BZ$1001,$A244,col_s7))&gt;0))+IF(col_s8=0,0,--(LEN(INDEX('Paste Export'!$A$2:$BZ$1001,$A244,col_s8))&gt;0)))</f>
        <v/>
      </c>
      <c r="I244" s="25" t="str">
        <f t="shared" si="24"/>
        <v/>
      </c>
      <c r="J244" s="25" t="str">
        <f t="shared" si="25"/>
        <v/>
      </c>
      <c r="K244" s="24" t="str">
        <f t="shared" si="26"/>
        <v/>
      </c>
      <c r="L244" s="24" t="str">
        <f t="shared" si="27"/>
        <v/>
      </c>
    </row>
    <row r="245" spans="1:12" x14ac:dyDescent="0.25">
      <c r="A245" s="24">
        <f t="shared" si="21"/>
        <v>244</v>
      </c>
      <c r="B245" s="25" t="str">
        <f>IF($A245&gt;nrows,"",IF(col_user=0,"",INDEX('Paste Export'!$A$2:$BZ$1001,$A245,col_user)))</f>
        <v/>
      </c>
      <c r="C245" s="24" t="str">
        <f>IF($A245&gt;nrows,"",IF(col_days=0,0,N(INDEX('Paste Export'!$A$2:$BZ$1001,$A245,col_days))))</f>
        <v/>
      </c>
      <c r="D245" s="24" t="str">
        <f>IF($A245&gt;nrows,"",IF(col_prompts=0,0,N(INDEX('Paste Export'!$A$2:$BZ$1001,$A245,col_prompts))))</f>
        <v/>
      </c>
      <c r="E245" s="24" t="str">
        <f>IF($A245&gt;nrows,"",IF(col_web=0,0,N(INDEX('Paste Export'!$A$2:$BZ$1001,$A245,col_web))))</f>
        <v/>
      </c>
      <c r="F245" s="26" t="str">
        <f t="shared" si="22"/>
        <v/>
      </c>
      <c r="G245" s="27" t="str">
        <f t="shared" si="23"/>
        <v/>
      </c>
      <c r="H245" s="24" t="str">
        <f>IF($A245&gt;nrows,"",IF(col_s1=0,0,--(LEN(INDEX('Paste Export'!$A$2:$BZ$1001,$A245,col_s1))&gt;0))+IF(col_s2=0,0,--(LEN(INDEX('Paste Export'!$A$2:$BZ$1001,$A245,col_s2))&gt;0))+IF(col_s3=0,0,--(LEN(INDEX('Paste Export'!$A$2:$BZ$1001,$A245,col_s3))&gt;0))+IF(col_s4=0,0,--(LEN(INDEX('Paste Export'!$A$2:$BZ$1001,$A245,col_s4))&gt;0))+IF(col_s5=0,0,--(LEN(INDEX('Paste Export'!$A$2:$BZ$1001,$A245,col_s5))&gt;0))+IF(col_s6=0,0,--(LEN(INDEX('Paste Export'!$A$2:$BZ$1001,$A245,col_s6))&gt;0))+IF(col_s7=0,0,--(LEN(INDEX('Paste Export'!$A$2:$BZ$1001,$A245,col_s7))&gt;0))+IF(col_s8=0,0,--(LEN(INDEX('Paste Export'!$A$2:$BZ$1001,$A245,col_s8))&gt;0)))</f>
        <v/>
      </c>
      <c r="I245" s="25" t="str">
        <f t="shared" si="24"/>
        <v/>
      </c>
      <c r="J245" s="25" t="str">
        <f t="shared" si="25"/>
        <v/>
      </c>
      <c r="K245" s="24" t="str">
        <f t="shared" si="26"/>
        <v/>
      </c>
      <c r="L245" s="24" t="str">
        <f t="shared" si="27"/>
        <v/>
      </c>
    </row>
    <row r="246" spans="1:12" x14ac:dyDescent="0.25">
      <c r="A246" s="24">
        <f t="shared" si="21"/>
        <v>245</v>
      </c>
      <c r="B246" s="25" t="str">
        <f>IF($A246&gt;nrows,"",IF(col_user=0,"",INDEX('Paste Export'!$A$2:$BZ$1001,$A246,col_user)))</f>
        <v/>
      </c>
      <c r="C246" s="24" t="str">
        <f>IF($A246&gt;nrows,"",IF(col_days=0,0,N(INDEX('Paste Export'!$A$2:$BZ$1001,$A246,col_days))))</f>
        <v/>
      </c>
      <c r="D246" s="24" t="str">
        <f>IF($A246&gt;nrows,"",IF(col_prompts=0,0,N(INDEX('Paste Export'!$A$2:$BZ$1001,$A246,col_prompts))))</f>
        <v/>
      </c>
      <c r="E246" s="24" t="str">
        <f>IF($A246&gt;nrows,"",IF(col_web=0,0,N(INDEX('Paste Export'!$A$2:$BZ$1001,$A246,col_web))))</f>
        <v/>
      </c>
      <c r="F246" s="26" t="str">
        <f t="shared" si="22"/>
        <v/>
      </c>
      <c r="G246" s="27" t="str">
        <f t="shared" si="23"/>
        <v/>
      </c>
      <c r="H246" s="24" t="str">
        <f>IF($A246&gt;nrows,"",IF(col_s1=0,0,--(LEN(INDEX('Paste Export'!$A$2:$BZ$1001,$A246,col_s1))&gt;0))+IF(col_s2=0,0,--(LEN(INDEX('Paste Export'!$A$2:$BZ$1001,$A246,col_s2))&gt;0))+IF(col_s3=0,0,--(LEN(INDEX('Paste Export'!$A$2:$BZ$1001,$A246,col_s3))&gt;0))+IF(col_s4=0,0,--(LEN(INDEX('Paste Export'!$A$2:$BZ$1001,$A246,col_s4))&gt;0))+IF(col_s5=0,0,--(LEN(INDEX('Paste Export'!$A$2:$BZ$1001,$A246,col_s5))&gt;0))+IF(col_s6=0,0,--(LEN(INDEX('Paste Export'!$A$2:$BZ$1001,$A246,col_s6))&gt;0))+IF(col_s7=0,0,--(LEN(INDEX('Paste Export'!$A$2:$BZ$1001,$A246,col_s7))&gt;0))+IF(col_s8=0,0,--(LEN(INDEX('Paste Export'!$A$2:$BZ$1001,$A246,col_s8))&gt;0)))</f>
        <v/>
      </c>
      <c r="I246" s="25" t="str">
        <f t="shared" si="24"/>
        <v/>
      </c>
      <c r="J246" s="25" t="str">
        <f t="shared" si="25"/>
        <v/>
      </c>
      <c r="K246" s="24" t="str">
        <f t="shared" si="26"/>
        <v/>
      </c>
      <c r="L246" s="24" t="str">
        <f t="shared" si="27"/>
        <v/>
      </c>
    </row>
    <row r="247" spans="1:12" x14ac:dyDescent="0.25">
      <c r="A247" s="24">
        <f t="shared" si="21"/>
        <v>246</v>
      </c>
      <c r="B247" s="25" t="str">
        <f>IF($A247&gt;nrows,"",IF(col_user=0,"",INDEX('Paste Export'!$A$2:$BZ$1001,$A247,col_user)))</f>
        <v/>
      </c>
      <c r="C247" s="24" t="str">
        <f>IF($A247&gt;nrows,"",IF(col_days=0,0,N(INDEX('Paste Export'!$A$2:$BZ$1001,$A247,col_days))))</f>
        <v/>
      </c>
      <c r="D247" s="24" t="str">
        <f>IF($A247&gt;nrows,"",IF(col_prompts=0,0,N(INDEX('Paste Export'!$A$2:$BZ$1001,$A247,col_prompts))))</f>
        <v/>
      </c>
      <c r="E247" s="24" t="str">
        <f>IF($A247&gt;nrows,"",IF(col_web=0,0,N(INDEX('Paste Export'!$A$2:$BZ$1001,$A247,col_web))))</f>
        <v/>
      </c>
      <c r="F247" s="26" t="str">
        <f t="shared" si="22"/>
        <v/>
      </c>
      <c r="G247" s="27" t="str">
        <f t="shared" si="23"/>
        <v/>
      </c>
      <c r="H247" s="24" t="str">
        <f>IF($A247&gt;nrows,"",IF(col_s1=0,0,--(LEN(INDEX('Paste Export'!$A$2:$BZ$1001,$A247,col_s1))&gt;0))+IF(col_s2=0,0,--(LEN(INDEX('Paste Export'!$A$2:$BZ$1001,$A247,col_s2))&gt;0))+IF(col_s3=0,0,--(LEN(INDEX('Paste Export'!$A$2:$BZ$1001,$A247,col_s3))&gt;0))+IF(col_s4=0,0,--(LEN(INDEX('Paste Export'!$A$2:$BZ$1001,$A247,col_s4))&gt;0))+IF(col_s5=0,0,--(LEN(INDEX('Paste Export'!$A$2:$BZ$1001,$A247,col_s5))&gt;0))+IF(col_s6=0,0,--(LEN(INDEX('Paste Export'!$A$2:$BZ$1001,$A247,col_s6))&gt;0))+IF(col_s7=0,0,--(LEN(INDEX('Paste Export'!$A$2:$BZ$1001,$A247,col_s7))&gt;0))+IF(col_s8=0,0,--(LEN(INDEX('Paste Export'!$A$2:$BZ$1001,$A247,col_s8))&gt;0)))</f>
        <v/>
      </c>
      <c r="I247" s="25" t="str">
        <f t="shared" si="24"/>
        <v/>
      </c>
      <c r="J247" s="25" t="str">
        <f t="shared" si="25"/>
        <v/>
      </c>
      <c r="K247" s="24" t="str">
        <f t="shared" si="26"/>
        <v/>
      </c>
      <c r="L247" s="24" t="str">
        <f t="shared" si="27"/>
        <v/>
      </c>
    </row>
    <row r="248" spans="1:12" x14ac:dyDescent="0.25">
      <c r="A248" s="24">
        <f t="shared" si="21"/>
        <v>247</v>
      </c>
      <c r="B248" s="25" t="str">
        <f>IF($A248&gt;nrows,"",IF(col_user=0,"",INDEX('Paste Export'!$A$2:$BZ$1001,$A248,col_user)))</f>
        <v/>
      </c>
      <c r="C248" s="24" t="str">
        <f>IF($A248&gt;nrows,"",IF(col_days=0,0,N(INDEX('Paste Export'!$A$2:$BZ$1001,$A248,col_days))))</f>
        <v/>
      </c>
      <c r="D248" s="24" t="str">
        <f>IF($A248&gt;nrows,"",IF(col_prompts=0,0,N(INDEX('Paste Export'!$A$2:$BZ$1001,$A248,col_prompts))))</f>
        <v/>
      </c>
      <c r="E248" s="24" t="str">
        <f>IF($A248&gt;nrows,"",IF(col_web=0,0,N(INDEX('Paste Export'!$A$2:$BZ$1001,$A248,col_web))))</f>
        <v/>
      </c>
      <c r="F248" s="26" t="str">
        <f t="shared" si="22"/>
        <v/>
      </c>
      <c r="G248" s="27" t="str">
        <f t="shared" si="23"/>
        <v/>
      </c>
      <c r="H248" s="24" t="str">
        <f>IF($A248&gt;nrows,"",IF(col_s1=0,0,--(LEN(INDEX('Paste Export'!$A$2:$BZ$1001,$A248,col_s1))&gt;0))+IF(col_s2=0,0,--(LEN(INDEX('Paste Export'!$A$2:$BZ$1001,$A248,col_s2))&gt;0))+IF(col_s3=0,0,--(LEN(INDEX('Paste Export'!$A$2:$BZ$1001,$A248,col_s3))&gt;0))+IF(col_s4=0,0,--(LEN(INDEX('Paste Export'!$A$2:$BZ$1001,$A248,col_s4))&gt;0))+IF(col_s5=0,0,--(LEN(INDEX('Paste Export'!$A$2:$BZ$1001,$A248,col_s5))&gt;0))+IF(col_s6=0,0,--(LEN(INDEX('Paste Export'!$A$2:$BZ$1001,$A248,col_s6))&gt;0))+IF(col_s7=0,0,--(LEN(INDEX('Paste Export'!$A$2:$BZ$1001,$A248,col_s7))&gt;0))+IF(col_s8=0,0,--(LEN(INDEX('Paste Export'!$A$2:$BZ$1001,$A248,col_s8))&gt;0)))</f>
        <v/>
      </c>
      <c r="I248" s="25" t="str">
        <f t="shared" si="24"/>
        <v/>
      </c>
      <c r="J248" s="25" t="str">
        <f t="shared" si="25"/>
        <v/>
      </c>
      <c r="K248" s="24" t="str">
        <f t="shared" si="26"/>
        <v/>
      </c>
      <c r="L248" s="24" t="str">
        <f t="shared" si="27"/>
        <v/>
      </c>
    </row>
    <row r="249" spans="1:12" x14ac:dyDescent="0.25">
      <c r="A249" s="24">
        <f t="shared" si="21"/>
        <v>248</v>
      </c>
      <c r="B249" s="25" t="str">
        <f>IF($A249&gt;nrows,"",IF(col_user=0,"",INDEX('Paste Export'!$A$2:$BZ$1001,$A249,col_user)))</f>
        <v/>
      </c>
      <c r="C249" s="24" t="str">
        <f>IF($A249&gt;nrows,"",IF(col_days=0,0,N(INDEX('Paste Export'!$A$2:$BZ$1001,$A249,col_days))))</f>
        <v/>
      </c>
      <c r="D249" s="24" t="str">
        <f>IF($A249&gt;nrows,"",IF(col_prompts=0,0,N(INDEX('Paste Export'!$A$2:$BZ$1001,$A249,col_prompts))))</f>
        <v/>
      </c>
      <c r="E249" s="24" t="str">
        <f>IF($A249&gt;nrows,"",IF(col_web=0,0,N(INDEX('Paste Export'!$A$2:$BZ$1001,$A249,col_web))))</f>
        <v/>
      </c>
      <c r="F249" s="26" t="str">
        <f t="shared" si="22"/>
        <v/>
      </c>
      <c r="G249" s="27" t="str">
        <f t="shared" si="23"/>
        <v/>
      </c>
      <c r="H249" s="24" t="str">
        <f>IF($A249&gt;nrows,"",IF(col_s1=0,0,--(LEN(INDEX('Paste Export'!$A$2:$BZ$1001,$A249,col_s1))&gt;0))+IF(col_s2=0,0,--(LEN(INDEX('Paste Export'!$A$2:$BZ$1001,$A249,col_s2))&gt;0))+IF(col_s3=0,0,--(LEN(INDEX('Paste Export'!$A$2:$BZ$1001,$A249,col_s3))&gt;0))+IF(col_s4=0,0,--(LEN(INDEX('Paste Export'!$A$2:$BZ$1001,$A249,col_s4))&gt;0))+IF(col_s5=0,0,--(LEN(INDEX('Paste Export'!$A$2:$BZ$1001,$A249,col_s5))&gt;0))+IF(col_s6=0,0,--(LEN(INDEX('Paste Export'!$A$2:$BZ$1001,$A249,col_s6))&gt;0))+IF(col_s7=0,0,--(LEN(INDEX('Paste Export'!$A$2:$BZ$1001,$A249,col_s7))&gt;0))+IF(col_s8=0,0,--(LEN(INDEX('Paste Export'!$A$2:$BZ$1001,$A249,col_s8))&gt;0)))</f>
        <v/>
      </c>
      <c r="I249" s="25" t="str">
        <f t="shared" si="24"/>
        <v/>
      </c>
      <c r="J249" s="25" t="str">
        <f t="shared" si="25"/>
        <v/>
      </c>
      <c r="K249" s="24" t="str">
        <f t="shared" si="26"/>
        <v/>
      </c>
      <c r="L249" s="24" t="str">
        <f t="shared" si="27"/>
        <v/>
      </c>
    </row>
    <row r="250" spans="1:12" x14ac:dyDescent="0.25">
      <c r="A250" s="24">
        <f t="shared" si="21"/>
        <v>249</v>
      </c>
      <c r="B250" s="25" t="str">
        <f>IF($A250&gt;nrows,"",IF(col_user=0,"",INDEX('Paste Export'!$A$2:$BZ$1001,$A250,col_user)))</f>
        <v/>
      </c>
      <c r="C250" s="24" t="str">
        <f>IF($A250&gt;nrows,"",IF(col_days=0,0,N(INDEX('Paste Export'!$A$2:$BZ$1001,$A250,col_days))))</f>
        <v/>
      </c>
      <c r="D250" s="24" t="str">
        <f>IF($A250&gt;nrows,"",IF(col_prompts=0,0,N(INDEX('Paste Export'!$A$2:$BZ$1001,$A250,col_prompts))))</f>
        <v/>
      </c>
      <c r="E250" s="24" t="str">
        <f>IF($A250&gt;nrows,"",IF(col_web=0,0,N(INDEX('Paste Export'!$A$2:$BZ$1001,$A250,col_web))))</f>
        <v/>
      </c>
      <c r="F250" s="26" t="str">
        <f t="shared" si="22"/>
        <v/>
      </c>
      <c r="G250" s="27" t="str">
        <f t="shared" si="23"/>
        <v/>
      </c>
      <c r="H250" s="24" t="str">
        <f>IF($A250&gt;nrows,"",IF(col_s1=0,0,--(LEN(INDEX('Paste Export'!$A$2:$BZ$1001,$A250,col_s1))&gt;0))+IF(col_s2=0,0,--(LEN(INDEX('Paste Export'!$A$2:$BZ$1001,$A250,col_s2))&gt;0))+IF(col_s3=0,0,--(LEN(INDEX('Paste Export'!$A$2:$BZ$1001,$A250,col_s3))&gt;0))+IF(col_s4=0,0,--(LEN(INDEX('Paste Export'!$A$2:$BZ$1001,$A250,col_s4))&gt;0))+IF(col_s5=0,0,--(LEN(INDEX('Paste Export'!$A$2:$BZ$1001,$A250,col_s5))&gt;0))+IF(col_s6=0,0,--(LEN(INDEX('Paste Export'!$A$2:$BZ$1001,$A250,col_s6))&gt;0))+IF(col_s7=0,0,--(LEN(INDEX('Paste Export'!$A$2:$BZ$1001,$A250,col_s7))&gt;0))+IF(col_s8=0,0,--(LEN(INDEX('Paste Export'!$A$2:$BZ$1001,$A250,col_s8))&gt;0)))</f>
        <v/>
      </c>
      <c r="I250" s="25" t="str">
        <f t="shared" si="24"/>
        <v/>
      </c>
      <c r="J250" s="25" t="str">
        <f t="shared" si="25"/>
        <v/>
      </c>
      <c r="K250" s="24" t="str">
        <f t="shared" si="26"/>
        <v/>
      </c>
      <c r="L250" s="24" t="str">
        <f t="shared" si="27"/>
        <v/>
      </c>
    </row>
    <row r="251" spans="1:12" x14ac:dyDescent="0.25">
      <c r="A251" s="24">
        <f t="shared" si="21"/>
        <v>250</v>
      </c>
      <c r="B251" s="25" t="str">
        <f>IF($A251&gt;nrows,"",IF(col_user=0,"",INDEX('Paste Export'!$A$2:$BZ$1001,$A251,col_user)))</f>
        <v/>
      </c>
      <c r="C251" s="24" t="str">
        <f>IF($A251&gt;nrows,"",IF(col_days=0,0,N(INDEX('Paste Export'!$A$2:$BZ$1001,$A251,col_days))))</f>
        <v/>
      </c>
      <c r="D251" s="24" t="str">
        <f>IF($A251&gt;nrows,"",IF(col_prompts=0,0,N(INDEX('Paste Export'!$A$2:$BZ$1001,$A251,col_prompts))))</f>
        <v/>
      </c>
      <c r="E251" s="24" t="str">
        <f>IF($A251&gt;nrows,"",IF(col_web=0,0,N(INDEX('Paste Export'!$A$2:$BZ$1001,$A251,col_web))))</f>
        <v/>
      </c>
      <c r="F251" s="26" t="str">
        <f t="shared" si="22"/>
        <v/>
      </c>
      <c r="G251" s="27" t="str">
        <f t="shared" si="23"/>
        <v/>
      </c>
      <c r="H251" s="24" t="str">
        <f>IF($A251&gt;nrows,"",IF(col_s1=0,0,--(LEN(INDEX('Paste Export'!$A$2:$BZ$1001,$A251,col_s1))&gt;0))+IF(col_s2=0,0,--(LEN(INDEX('Paste Export'!$A$2:$BZ$1001,$A251,col_s2))&gt;0))+IF(col_s3=0,0,--(LEN(INDEX('Paste Export'!$A$2:$BZ$1001,$A251,col_s3))&gt;0))+IF(col_s4=0,0,--(LEN(INDEX('Paste Export'!$A$2:$BZ$1001,$A251,col_s4))&gt;0))+IF(col_s5=0,0,--(LEN(INDEX('Paste Export'!$A$2:$BZ$1001,$A251,col_s5))&gt;0))+IF(col_s6=0,0,--(LEN(INDEX('Paste Export'!$A$2:$BZ$1001,$A251,col_s6))&gt;0))+IF(col_s7=0,0,--(LEN(INDEX('Paste Export'!$A$2:$BZ$1001,$A251,col_s7))&gt;0))+IF(col_s8=0,0,--(LEN(INDEX('Paste Export'!$A$2:$BZ$1001,$A251,col_s8))&gt;0)))</f>
        <v/>
      </c>
      <c r="I251" s="25" t="str">
        <f t="shared" si="24"/>
        <v/>
      </c>
      <c r="J251" s="25" t="str">
        <f t="shared" si="25"/>
        <v/>
      </c>
      <c r="K251" s="24" t="str">
        <f t="shared" si="26"/>
        <v/>
      </c>
      <c r="L251" s="24" t="str">
        <f t="shared" si="27"/>
        <v/>
      </c>
    </row>
    <row r="252" spans="1:12" x14ac:dyDescent="0.25">
      <c r="A252" s="24">
        <f t="shared" si="21"/>
        <v>251</v>
      </c>
      <c r="B252" s="25" t="str">
        <f>IF($A252&gt;nrows,"",IF(col_user=0,"",INDEX('Paste Export'!$A$2:$BZ$1001,$A252,col_user)))</f>
        <v/>
      </c>
      <c r="C252" s="24" t="str">
        <f>IF($A252&gt;nrows,"",IF(col_days=0,0,N(INDEX('Paste Export'!$A$2:$BZ$1001,$A252,col_days))))</f>
        <v/>
      </c>
      <c r="D252" s="24" t="str">
        <f>IF($A252&gt;nrows,"",IF(col_prompts=0,0,N(INDEX('Paste Export'!$A$2:$BZ$1001,$A252,col_prompts))))</f>
        <v/>
      </c>
      <c r="E252" s="24" t="str">
        <f>IF($A252&gt;nrows,"",IF(col_web=0,0,N(INDEX('Paste Export'!$A$2:$BZ$1001,$A252,col_web))))</f>
        <v/>
      </c>
      <c r="F252" s="26" t="str">
        <f t="shared" si="22"/>
        <v/>
      </c>
      <c r="G252" s="27" t="str">
        <f t="shared" si="23"/>
        <v/>
      </c>
      <c r="H252" s="24" t="str">
        <f>IF($A252&gt;nrows,"",IF(col_s1=0,0,--(LEN(INDEX('Paste Export'!$A$2:$BZ$1001,$A252,col_s1))&gt;0))+IF(col_s2=0,0,--(LEN(INDEX('Paste Export'!$A$2:$BZ$1001,$A252,col_s2))&gt;0))+IF(col_s3=0,0,--(LEN(INDEX('Paste Export'!$A$2:$BZ$1001,$A252,col_s3))&gt;0))+IF(col_s4=0,0,--(LEN(INDEX('Paste Export'!$A$2:$BZ$1001,$A252,col_s4))&gt;0))+IF(col_s5=0,0,--(LEN(INDEX('Paste Export'!$A$2:$BZ$1001,$A252,col_s5))&gt;0))+IF(col_s6=0,0,--(LEN(INDEX('Paste Export'!$A$2:$BZ$1001,$A252,col_s6))&gt;0))+IF(col_s7=0,0,--(LEN(INDEX('Paste Export'!$A$2:$BZ$1001,$A252,col_s7))&gt;0))+IF(col_s8=0,0,--(LEN(INDEX('Paste Export'!$A$2:$BZ$1001,$A252,col_s8))&gt;0)))</f>
        <v/>
      </c>
      <c r="I252" s="25" t="str">
        <f t="shared" si="24"/>
        <v/>
      </c>
      <c r="J252" s="25" t="str">
        <f t="shared" si="25"/>
        <v/>
      </c>
      <c r="K252" s="24" t="str">
        <f t="shared" si="26"/>
        <v/>
      </c>
      <c r="L252" s="24" t="str">
        <f t="shared" si="27"/>
        <v/>
      </c>
    </row>
    <row r="253" spans="1:12" x14ac:dyDescent="0.25">
      <c r="A253" s="24">
        <f t="shared" si="21"/>
        <v>252</v>
      </c>
      <c r="B253" s="25" t="str">
        <f>IF($A253&gt;nrows,"",IF(col_user=0,"",INDEX('Paste Export'!$A$2:$BZ$1001,$A253,col_user)))</f>
        <v/>
      </c>
      <c r="C253" s="24" t="str">
        <f>IF($A253&gt;nrows,"",IF(col_days=0,0,N(INDEX('Paste Export'!$A$2:$BZ$1001,$A253,col_days))))</f>
        <v/>
      </c>
      <c r="D253" s="24" t="str">
        <f>IF($A253&gt;nrows,"",IF(col_prompts=0,0,N(INDEX('Paste Export'!$A$2:$BZ$1001,$A253,col_prompts))))</f>
        <v/>
      </c>
      <c r="E253" s="24" t="str">
        <f>IF($A253&gt;nrows,"",IF(col_web=0,0,N(INDEX('Paste Export'!$A$2:$BZ$1001,$A253,col_web))))</f>
        <v/>
      </c>
      <c r="F253" s="26" t="str">
        <f t="shared" si="22"/>
        <v/>
      </c>
      <c r="G253" s="27" t="str">
        <f t="shared" si="23"/>
        <v/>
      </c>
      <c r="H253" s="24" t="str">
        <f>IF($A253&gt;nrows,"",IF(col_s1=0,0,--(LEN(INDEX('Paste Export'!$A$2:$BZ$1001,$A253,col_s1))&gt;0))+IF(col_s2=0,0,--(LEN(INDEX('Paste Export'!$A$2:$BZ$1001,$A253,col_s2))&gt;0))+IF(col_s3=0,0,--(LEN(INDEX('Paste Export'!$A$2:$BZ$1001,$A253,col_s3))&gt;0))+IF(col_s4=0,0,--(LEN(INDEX('Paste Export'!$A$2:$BZ$1001,$A253,col_s4))&gt;0))+IF(col_s5=0,0,--(LEN(INDEX('Paste Export'!$A$2:$BZ$1001,$A253,col_s5))&gt;0))+IF(col_s6=0,0,--(LEN(INDEX('Paste Export'!$A$2:$BZ$1001,$A253,col_s6))&gt;0))+IF(col_s7=0,0,--(LEN(INDEX('Paste Export'!$A$2:$BZ$1001,$A253,col_s7))&gt;0))+IF(col_s8=0,0,--(LEN(INDEX('Paste Export'!$A$2:$BZ$1001,$A253,col_s8))&gt;0)))</f>
        <v/>
      </c>
      <c r="I253" s="25" t="str">
        <f t="shared" si="24"/>
        <v/>
      </c>
      <c r="J253" s="25" t="str">
        <f t="shared" si="25"/>
        <v/>
      </c>
      <c r="K253" s="24" t="str">
        <f t="shared" si="26"/>
        <v/>
      </c>
      <c r="L253" s="24" t="str">
        <f t="shared" si="27"/>
        <v/>
      </c>
    </row>
    <row r="254" spans="1:12" x14ac:dyDescent="0.25">
      <c r="A254" s="24">
        <f t="shared" si="21"/>
        <v>253</v>
      </c>
      <c r="B254" s="25" t="str">
        <f>IF($A254&gt;nrows,"",IF(col_user=0,"",INDEX('Paste Export'!$A$2:$BZ$1001,$A254,col_user)))</f>
        <v/>
      </c>
      <c r="C254" s="24" t="str">
        <f>IF($A254&gt;nrows,"",IF(col_days=0,0,N(INDEX('Paste Export'!$A$2:$BZ$1001,$A254,col_days))))</f>
        <v/>
      </c>
      <c r="D254" s="24" t="str">
        <f>IF($A254&gt;nrows,"",IF(col_prompts=0,0,N(INDEX('Paste Export'!$A$2:$BZ$1001,$A254,col_prompts))))</f>
        <v/>
      </c>
      <c r="E254" s="24" t="str">
        <f>IF($A254&gt;nrows,"",IF(col_web=0,0,N(INDEX('Paste Export'!$A$2:$BZ$1001,$A254,col_web))))</f>
        <v/>
      </c>
      <c r="F254" s="26" t="str">
        <f t="shared" si="22"/>
        <v/>
      </c>
      <c r="G254" s="27" t="str">
        <f t="shared" si="23"/>
        <v/>
      </c>
      <c r="H254" s="24" t="str">
        <f>IF($A254&gt;nrows,"",IF(col_s1=0,0,--(LEN(INDEX('Paste Export'!$A$2:$BZ$1001,$A254,col_s1))&gt;0))+IF(col_s2=0,0,--(LEN(INDEX('Paste Export'!$A$2:$BZ$1001,$A254,col_s2))&gt;0))+IF(col_s3=0,0,--(LEN(INDEX('Paste Export'!$A$2:$BZ$1001,$A254,col_s3))&gt;0))+IF(col_s4=0,0,--(LEN(INDEX('Paste Export'!$A$2:$BZ$1001,$A254,col_s4))&gt;0))+IF(col_s5=0,0,--(LEN(INDEX('Paste Export'!$A$2:$BZ$1001,$A254,col_s5))&gt;0))+IF(col_s6=0,0,--(LEN(INDEX('Paste Export'!$A$2:$BZ$1001,$A254,col_s6))&gt;0))+IF(col_s7=0,0,--(LEN(INDEX('Paste Export'!$A$2:$BZ$1001,$A254,col_s7))&gt;0))+IF(col_s8=0,0,--(LEN(INDEX('Paste Export'!$A$2:$BZ$1001,$A254,col_s8))&gt;0)))</f>
        <v/>
      </c>
      <c r="I254" s="25" t="str">
        <f t="shared" si="24"/>
        <v/>
      </c>
      <c r="J254" s="25" t="str">
        <f t="shared" si="25"/>
        <v/>
      </c>
      <c r="K254" s="24" t="str">
        <f t="shared" si="26"/>
        <v/>
      </c>
      <c r="L254" s="24" t="str">
        <f t="shared" si="27"/>
        <v/>
      </c>
    </row>
    <row r="255" spans="1:12" x14ac:dyDescent="0.25">
      <c r="A255" s="24">
        <f t="shared" si="21"/>
        <v>254</v>
      </c>
      <c r="B255" s="25" t="str">
        <f>IF($A255&gt;nrows,"",IF(col_user=0,"",INDEX('Paste Export'!$A$2:$BZ$1001,$A255,col_user)))</f>
        <v/>
      </c>
      <c r="C255" s="24" t="str">
        <f>IF($A255&gt;nrows,"",IF(col_days=0,0,N(INDEX('Paste Export'!$A$2:$BZ$1001,$A255,col_days))))</f>
        <v/>
      </c>
      <c r="D255" s="24" t="str">
        <f>IF($A255&gt;nrows,"",IF(col_prompts=0,0,N(INDEX('Paste Export'!$A$2:$BZ$1001,$A255,col_prompts))))</f>
        <v/>
      </c>
      <c r="E255" s="24" t="str">
        <f>IF($A255&gt;nrows,"",IF(col_web=0,0,N(INDEX('Paste Export'!$A$2:$BZ$1001,$A255,col_web))))</f>
        <v/>
      </c>
      <c r="F255" s="26" t="str">
        <f t="shared" si="22"/>
        <v/>
      </c>
      <c r="G255" s="27" t="str">
        <f t="shared" si="23"/>
        <v/>
      </c>
      <c r="H255" s="24" t="str">
        <f>IF($A255&gt;nrows,"",IF(col_s1=0,0,--(LEN(INDEX('Paste Export'!$A$2:$BZ$1001,$A255,col_s1))&gt;0))+IF(col_s2=0,0,--(LEN(INDEX('Paste Export'!$A$2:$BZ$1001,$A255,col_s2))&gt;0))+IF(col_s3=0,0,--(LEN(INDEX('Paste Export'!$A$2:$BZ$1001,$A255,col_s3))&gt;0))+IF(col_s4=0,0,--(LEN(INDEX('Paste Export'!$A$2:$BZ$1001,$A255,col_s4))&gt;0))+IF(col_s5=0,0,--(LEN(INDEX('Paste Export'!$A$2:$BZ$1001,$A255,col_s5))&gt;0))+IF(col_s6=0,0,--(LEN(INDEX('Paste Export'!$A$2:$BZ$1001,$A255,col_s6))&gt;0))+IF(col_s7=0,0,--(LEN(INDEX('Paste Export'!$A$2:$BZ$1001,$A255,col_s7))&gt;0))+IF(col_s8=0,0,--(LEN(INDEX('Paste Export'!$A$2:$BZ$1001,$A255,col_s8))&gt;0)))</f>
        <v/>
      </c>
      <c r="I255" s="25" t="str">
        <f t="shared" si="24"/>
        <v/>
      </c>
      <c r="J255" s="25" t="str">
        <f t="shared" si="25"/>
        <v/>
      </c>
      <c r="K255" s="24" t="str">
        <f t="shared" si="26"/>
        <v/>
      </c>
      <c r="L255" s="24" t="str">
        <f t="shared" si="27"/>
        <v/>
      </c>
    </row>
    <row r="256" spans="1:12" x14ac:dyDescent="0.25">
      <c r="A256" s="24">
        <f t="shared" si="21"/>
        <v>255</v>
      </c>
      <c r="B256" s="25" t="str">
        <f>IF($A256&gt;nrows,"",IF(col_user=0,"",INDEX('Paste Export'!$A$2:$BZ$1001,$A256,col_user)))</f>
        <v/>
      </c>
      <c r="C256" s="24" t="str">
        <f>IF($A256&gt;nrows,"",IF(col_days=0,0,N(INDEX('Paste Export'!$A$2:$BZ$1001,$A256,col_days))))</f>
        <v/>
      </c>
      <c r="D256" s="24" t="str">
        <f>IF($A256&gt;nrows,"",IF(col_prompts=0,0,N(INDEX('Paste Export'!$A$2:$BZ$1001,$A256,col_prompts))))</f>
        <v/>
      </c>
      <c r="E256" s="24" t="str">
        <f>IF($A256&gt;nrows,"",IF(col_web=0,0,N(INDEX('Paste Export'!$A$2:$BZ$1001,$A256,col_web))))</f>
        <v/>
      </c>
      <c r="F256" s="26" t="str">
        <f t="shared" si="22"/>
        <v/>
      </c>
      <c r="G256" s="27" t="str">
        <f t="shared" si="23"/>
        <v/>
      </c>
      <c r="H256" s="24" t="str">
        <f>IF($A256&gt;nrows,"",IF(col_s1=0,0,--(LEN(INDEX('Paste Export'!$A$2:$BZ$1001,$A256,col_s1))&gt;0))+IF(col_s2=0,0,--(LEN(INDEX('Paste Export'!$A$2:$BZ$1001,$A256,col_s2))&gt;0))+IF(col_s3=0,0,--(LEN(INDEX('Paste Export'!$A$2:$BZ$1001,$A256,col_s3))&gt;0))+IF(col_s4=0,0,--(LEN(INDEX('Paste Export'!$A$2:$BZ$1001,$A256,col_s4))&gt;0))+IF(col_s5=0,0,--(LEN(INDEX('Paste Export'!$A$2:$BZ$1001,$A256,col_s5))&gt;0))+IF(col_s6=0,0,--(LEN(INDEX('Paste Export'!$A$2:$BZ$1001,$A256,col_s6))&gt;0))+IF(col_s7=0,0,--(LEN(INDEX('Paste Export'!$A$2:$BZ$1001,$A256,col_s7))&gt;0))+IF(col_s8=0,0,--(LEN(INDEX('Paste Export'!$A$2:$BZ$1001,$A256,col_s8))&gt;0)))</f>
        <v/>
      </c>
      <c r="I256" s="25" t="str">
        <f t="shared" si="24"/>
        <v/>
      </c>
      <c r="J256" s="25" t="str">
        <f t="shared" si="25"/>
        <v/>
      </c>
      <c r="K256" s="24" t="str">
        <f t="shared" si="26"/>
        <v/>
      </c>
      <c r="L256" s="24" t="str">
        <f t="shared" si="27"/>
        <v/>
      </c>
    </row>
    <row r="257" spans="1:12" x14ac:dyDescent="0.25">
      <c r="A257" s="24">
        <f t="shared" si="21"/>
        <v>256</v>
      </c>
      <c r="B257" s="25" t="str">
        <f>IF($A257&gt;nrows,"",IF(col_user=0,"",INDEX('Paste Export'!$A$2:$BZ$1001,$A257,col_user)))</f>
        <v/>
      </c>
      <c r="C257" s="24" t="str">
        <f>IF($A257&gt;nrows,"",IF(col_days=0,0,N(INDEX('Paste Export'!$A$2:$BZ$1001,$A257,col_days))))</f>
        <v/>
      </c>
      <c r="D257" s="24" t="str">
        <f>IF($A257&gt;nrows,"",IF(col_prompts=0,0,N(INDEX('Paste Export'!$A$2:$BZ$1001,$A257,col_prompts))))</f>
        <v/>
      </c>
      <c r="E257" s="24" t="str">
        <f>IF($A257&gt;nrows,"",IF(col_web=0,0,N(INDEX('Paste Export'!$A$2:$BZ$1001,$A257,col_web))))</f>
        <v/>
      </c>
      <c r="F257" s="26" t="str">
        <f t="shared" si="22"/>
        <v/>
      </c>
      <c r="G257" s="27" t="str">
        <f t="shared" si="23"/>
        <v/>
      </c>
      <c r="H257" s="24" t="str">
        <f>IF($A257&gt;nrows,"",IF(col_s1=0,0,--(LEN(INDEX('Paste Export'!$A$2:$BZ$1001,$A257,col_s1))&gt;0))+IF(col_s2=0,0,--(LEN(INDEX('Paste Export'!$A$2:$BZ$1001,$A257,col_s2))&gt;0))+IF(col_s3=0,0,--(LEN(INDEX('Paste Export'!$A$2:$BZ$1001,$A257,col_s3))&gt;0))+IF(col_s4=0,0,--(LEN(INDEX('Paste Export'!$A$2:$BZ$1001,$A257,col_s4))&gt;0))+IF(col_s5=0,0,--(LEN(INDEX('Paste Export'!$A$2:$BZ$1001,$A257,col_s5))&gt;0))+IF(col_s6=0,0,--(LEN(INDEX('Paste Export'!$A$2:$BZ$1001,$A257,col_s6))&gt;0))+IF(col_s7=0,0,--(LEN(INDEX('Paste Export'!$A$2:$BZ$1001,$A257,col_s7))&gt;0))+IF(col_s8=0,0,--(LEN(INDEX('Paste Export'!$A$2:$BZ$1001,$A257,col_s8))&gt;0)))</f>
        <v/>
      </c>
      <c r="I257" s="25" t="str">
        <f t="shared" si="24"/>
        <v/>
      </c>
      <c r="J257" s="25" t="str">
        <f t="shared" si="25"/>
        <v/>
      </c>
      <c r="K257" s="24" t="str">
        <f t="shared" si="26"/>
        <v/>
      </c>
      <c r="L257" s="24" t="str">
        <f t="shared" si="27"/>
        <v/>
      </c>
    </row>
    <row r="258" spans="1:12" x14ac:dyDescent="0.25">
      <c r="A258" s="24">
        <f t="shared" ref="A258:A321" si="28">ROW()-1</f>
        <v>257</v>
      </c>
      <c r="B258" s="25" t="str">
        <f>IF($A258&gt;nrows,"",IF(col_user=0,"",INDEX('Paste Export'!$A$2:$BZ$1001,$A258,col_user)))</f>
        <v/>
      </c>
      <c r="C258" s="24" t="str">
        <f>IF($A258&gt;nrows,"",IF(col_days=0,0,N(INDEX('Paste Export'!$A$2:$BZ$1001,$A258,col_days))))</f>
        <v/>
      </c>
      <c r="D258" s="24" t="str">
        <f>IF($A258&gt;nrows,"",IF(col_prompts=0,0,N(INDEX('Paste Export'!$A$2:$BZ$1001,$A258,col_prompts))))</f>
        <v/>
      </c>
      <c r="E258" s="24" t="str">
        <f>IF($A258&gt;nrows,"",IF(col_web=0,0,N(INDEX('Paste Export'!$A$2:$BZ$1001,$A258,col_web))))</f>
        <v/>
      </c>
      <c r="F258" s="26" t="str">
        <f t="shared" ref="F258:F321" si="29">IF($A258&gt;nrows,"",IFERROR($D258/$C258,0))</f>
        <v/>
      </c>
      <c r="G258" s="27" t="str">
        <f t="shared" ref="G258:G321" si="30">IF($A258&gt;nrows,"",IFERROR($E258/$D258,""))</f>
        <v/>
      </c>
      <c r="H258" s="24" t="str">
        <f>IF($A258&gt;nrows,"",IF(col_s1=0,0,--(LEN(INDEX('Paste Export'!$A$2:$BZ$1001,$A258,col_s1))&gt;0))+IF(col_s2=0,0,--(LEN(INDEX('Paste Export'!$A$2:$BZ$1001,$A258,col_s2))&gt;0))+IF(col_s3=0,0,--(LEN(INDEX('Paste Export'!$A$2:$BZ$1001,$A258,col_s3))&gt;0))+IF(col_s4=0,0,--(LEN(INDEX('Paste Export'!$A$2:$BZ$1001,$A258,col_s4))&gt;0))+IF(col_s5=0,0,--(LEN(INDEX('Paste Export'!$A$2:$BZ$1001,$A258,col_s5))&gt;0))+IF(col_s6=0,0,--(LEN(INDEX('Paste Export'!$A$2:$BZ$1001,$A258,col_s6))&gt;0))+IF(col_s7=0,0,--(LEN(INDEX('Paste Export'!$A$2:$BZ$1001,$A258,col_s7))&gt;0))+IF(col_s8=0,0,--(LEN(INDEX('Paste Export'!$A$2:$BZ$1001,$A258,col_s8))&gt;0)))</f>
        <v/>
      </c>
      <c r="I258" s="25" t="str">
        <f t="shared" ref="I258:I321" si="31">IF($A258&gt;nrows,"",IF($C258&gt;=freq_line,IF($D258&gt;=depth_line,"Embedded","Loyal but shallow"),IF($D258&gt;=depth_line,"Project-driven","Drifting")))</f>
        <v/>
      </c>
      <c r="J258" s="25" t="str">
        <f t="shared" ref="J258:J321" si="32">IF($A258&gt;nrows,"",IF($I258="Drifting",IF($H258&gt;=3,"tried and stopped","never started"),""))</f>
        <v/>
      </c>
      <c r="K258" s="24" t="str">
        <f t="shared" ref="K258:K321" si="33">IF($A258&gt;nrows,"",MAX($D258,1))</f>
        <v/>
      </c>
      <c r="L258" s="24" t="str">
        <f t="shared" ref="L258:L321" si="34">IF($A258&gt;nrows,"",IF(AND($C258=0,$D258=0),1,0))</f>
        <v/>
      </c>
    </row>
    <row r="259" spans="1:12" x14ac:dyDescent="0.25">
      <c r="A259" s="24">
        <f t="shared" si="28"/>
        <v>258</v>
      </c>
      <c r="B259" s="25" t="str">
        <f>IF($A259&gt;nrows,"",IF(col_user=0,"",INDEX('Paste Export'!$A$2:$BZ$1001,$A259,col_user)))</f>
        <v/>
      </c>
      <c r="C259" s="24" t="str">
        <f>IF($A259&gt;nrows,"",IF(col_days=0,0,N(INDEX('Paste Export'!$A$2:$BZ$1001,$A259,col_days))))</f>
        <v/>
      </c>
      <c r="D259" s="24" t="str">
        <f>IF($A259&gt;nrows,"",IF(col_prompts=0,0,N(INDEX('Paste Export'!$A$2:$BZ$1001,$A259,col_prompts))))</f>
        <v/>
      </c>
      <c r="E259" s="24" t="str">
        <f>IF($A259&gt;nrows,"",IF(col_web=0,0,N(INDEX('Paste Export'!$A$2:$BZ$1001,$A259,col_web))))</f>
        <v/>
      </c>
      <c r="F259" s="26" t="str">
        <f t="shared" si="29"/>
        <v/>
      </c>
      <c r="G259" s="27" t="str">
        <f t="shared" si="30"/>
        <v/>
      </c>
      <c r="H259" s="24" t="str">
        <f>IF($A259&gt;nrows,"",IF(col_s1=0,0,--(LEN(INDEX('Paste Export'!$A$2:$BZ$1001,$A259,col_s1))&gt;0))+IF(col_s2=0,0,--(LEN(INDEX('Paste Export'!$A$2:$BZ$1001,$A259,col_s2))&gt;0))+IF(col_s3=0,0,--(LEN(INDEX('Paste Export'!$A$2:$BZ$1001,$A259,col_s3))&gt;0))+IF(col_s4=0,0,--(LEN(INDEX('Paste Export'!$A$2:$BZ$1001,$A259,col_s4))&gt;0))+IF(col_s5=0,0,--(LEN(INDEX('Paste Export'!$A$2:$BZ$1001,$A259,col_s5))&gt;0))+IF(col_s6=0,0,--(LEN(INDEX('Paste Export'!$A$2:$BZ$1001,$A259,col_s6))&gt;0))+IF(col_s7=0,0,--(LEN(INDEX('Paste Export'!$A$2:$BZ$1001,$A259,col_s7))&gt;0))+IF(col_s8=0,0,--(LEN(INDEX('Paste Export'!$A$2:$BZ$1001,$A259,col_s8))&gt;0)))</f>
        <v/>
      </c>
      <c r="I259" s="25" t="str">
        <f t="shared" si="31"/>
        <v/>
      </c>
      <c r="J259" s="25" t="str">
        <f t="shared" si="32"/>
        <v/>
      </c>
      <c r="K259" s="24" t="str">
        <f t="shared" si="33"/>
        <v/>
      </c>
      <c r="L259" s="24" t="str">
        <f t="shared" si="34"/>
        <v/>
      </c>
    </row>
    <row r="260" spans="1:12" x14ac:dyDescent="0.25">
      <c r="A260" s="24">
        <f t="shared" si="28"/>
        <v>259</v>
      </c>
      <c r="B260" s="25" t="str">
        <f>IF($A260&gt;nrows,"",IF(col_user=0,"",INDEX('Paste Export'!$A$2:$BZ$1001,$A260,col_user)))</f>
        <v/>
      </c>
      <c r="C260" s="24" t="str">
        <f>IF($A260&gt;nrows,"",IF(col_days=0,0,N(INDEX('Paste Export'!$A$2:$BZ$1001,$A260,col_days))))</f>
        <v/>
      </c>
      <c r="D260" s="24" t="str">
        <f>IF($A260&gt;nrows,"",IF(col_prompts=0,0,N(INDEX('Paste Export'!$A$2:$BZ$1001,$A260,col_prompts))))</f>
        <v/>
      </c>
      <c r="E260" s="24" t="str">
        <f>IF($A260&gt;nrows,"",IF(col_web=0,0,N(INDEX('Paste Export'!$A$2:$BZ$1001,$A260,col_web))))</f>
        <v/>
      </c>
      <c r="F260" s="26" t="str">
        <f t="shared" si="29"/>
        <v/>
      </c>
      <c r="G260" s="27" t="str">
        <f t="shared" si="30"/>
        <v/>
      </c>
      <c r="H260" s="24" t="str">
        <f>IF($A260&gt;nrows,"",IF(col_s1=0,0,--(LEN(INDEX('Paste Export'!$A$2:$BZ$1001,$A260,col_s1))&gt;0))+IF(col_s2=0,0,--(LEN(INDEX('Paste Export'!$A$2:$BZ$1001,$A260,col_s2))&gt;0))+IF(col_s3=0,0,--(LEN(INDEX('Paste Export'!$A$2:$BZ$1001,$A260,col_s3))&gt;0))+IF(col_s4=0,0,--(LEN(INDEX('Paste Export'!$A$2:$BZ$1001,$A260,col_s4))&gt;0))+IF(col_s5=0,0,--(LEN(INDEX('Paste Export'!$A$2:$BZ$1001,$A260,col_s5))&gt;0))+IF(col_s6=0,0,--(LEN(INDEX('Paste Export'!$A$2:$BZ$1001,$A260,col_s6))&gt;0))+IF(col_s7=0,0,--(LEN(INDEX('Paste Export'!$A$2:$BZ$1001,$A260,col_s7))&gt;0))+IF(col_s8=0,0,--(LEN(INDEX('Paste Export'!$A$2:$BZ$1001,$A260,col_s8))&gt;0)))</f>
        <v/>
      </c>
      <c r="I260" s="25" t="str">
        <f t="shared" si="31"/>
        <v/>
      </c>
      <c r="J260" s="25" t="str">
        <f t="shared" si="32"/>
        <v/>
      </c>
      <c r="K260" s="24" t="str">
        <f t="shared" si="33"/>
        <v/>
      </c>
      <c r="L260" s="24" t="str">
        <f t="shared" si="34"/>
        <v/>
      </c>
    </row>
    <row r="261" spans="1:12" x14ac:dyDescent="0.25">
      <c r="A261" s="24">
        <f t="shared" si="28"/>
        <v>260</v>
      </c>
      <c r="B261" s="25" t="str">
        <f>IF($A261&gt;nrows,"",IF(col_user=0,"",INDEX('Paste Export'!$A$2:$BZ$1001,$A261,col_user)))</f>
        <v/>
      </c>
      <c r="C261" s="24" t="str">
        <f>IF($A261&gt;nrows,"",IF(col_days=0,0,N(INDEX('Paste Export'!$A$2:$BZ$1001,$A261,col_days))))</f>
        <v/>
      </c>
      <c r="D261" s="24" t="str">
        <f>IF($A261&gt;nrows,"",IF(col_prompts=0,0,N(INDEX('Paste Export'!$A$2:$BZ$1001,$A261,col_prompts))))</f>
        <v/>
      </c>
      <c r="E261" s="24" t="str">
        <f>IF($A261&gt;nrows,"",IF(col_web=0,0,N(INDEX('Paste Export'!$A$2:$BZ$1001,$A261,col_web))))</f>
        <v/>
      </c>
      <c r="F261" s="26" t="str">
        <f t="shared" si="29"/>
        <v/>
      </c>
      <c r="G261" s="27" t="str">
        <f t="shared" si="30"/>
        <v/>
      </c>
      <c r="H261" s="24" t="str">
        <f>IF($A261&gt;nrows,"",IF(col_s1=0,0,--(LEN(INDEX('Paste Export'!$A$2:$BZ$1001,$A261,col_s1))&gt;0))+IF(col_s2=0,0,--(LEN(INDEX('Paste Export'!$A$2:$BZ$1001,$A261,col_s2))&gt;0))+IF(col_s3=0,0,--(LEN(INDEX('Paste Export'!$A$2:$BZ$1001,$A261,col_s3))&gt;0))+IF(col_s4=0,0,--(LEN(INDEX('Paste Export'!$A$2:$BZ$1001,$A261,col_s4))&gt;0))+IF(col_s5=0,0,--(LEN(INDEX('Paste Export'!$A$2:$BZ$1001,$A261,col_s5))&gt;0))+IF(col_s6=0,0,--(LEN(INDEX('Paste Export'!$A$2:$BZ$1001,$A261,col_s6))&gt;0))+IF(col_s7=0,0,--(LEN(INDEX('Paste Export'!$A$2:$BZ$1001,$A261,col_s7))&gt;0))+IF(col_s8=0,0,--(LEN(INDEX('Paste Export'!$A$2:$BZ$1001,$A261,col_s8))&gt;0)))</f>
        <v/>
      </c>
      <c r="I261" s="25" t="str">
        <f t="shared" si="31"/>
        <v/>
      </c>
      <c r="J261" s="25" t="str">
        <f t="shared" si="32"/>
        <v/>
      </c>
      <c r="K261" s="24" t="str">
        <f t="shared" si="33"/>
        <v/>
      </c>
      <c r="L261" s="24" t="str">
        <f t="shared" si="34"/>
        <v/>
      </c>
    </row>
    <row r="262" spans="1:12" x14ac:dyDescent="0.25">
      <c r="A262" s="24">
        <f t="shared" si="28"/>
        <v>261</v>
      </c>
      <c r="B262" s="25" t="str">
        <f>IF($A262&gt;nrows,"",IF(col_user=0,"",INDEX('Paste Export'!$A$2:$BZ$1001,$A262,col_user)))</f>
        <v/>
      </c>
      <c r="C262" s="24" t="str">
        <f>IF($A262&gt;nrows,"",IF(col_days=0,0,N(INDEX('Paste Export'!$A$2:$BZ$1001,$A262,col_days))))</f>
        <v/>
      </c>
      <c r="D262" s="24" t="str">
        <f>IF($A262&gt;nrows,"",IF(col_prompts=0,0,N(INDEX('Paste Export'!$A$2:$BZ$1001,$A262,col_prompts))))</f>
        <v/>
      </c>
      <c r="E262" s="24" t="str">
        <f>IF($A262&gt;nrows,"",IF(col_web=0,0,N(INDEX('Paste Export'!$A$2:$BZ$1001,$A262,col_web))))</f>
        <v/>
      </c>
      <c r="F262" s="26" t="str">
        <f t="shared" si="29"/>
        <v/>
      </c>
      <c r="G262" s="27" t="str">
        <f t="shared" si="30"/>
        <v/>
      </c>
      <c r="H262" s="24" t="str">
        <f>IF($A262&gt;nrows,"",IF(col_s1=0,0,--(LEN(INDEX('Paste Export'!$A$2:$BZ$1001,$A262,col_s1))&gt;0))+IF(col_s2=0,0,--(LEN(INDEX('Paste Export'!$A$2:$BZ$1001,$A262,col_s2))&gt;0))+IF(col_s3=0,0,--(LEN(INDEX('Paste Export'!$A$2:$BZ$1001,$A262,col_s3))&gt;0))+IF(col_s4=0,0,--(LEN(INDEX('Paste Export'!$A$2:$BZ$1001,$A262,col_s4))&gt;0))+IF(col_s5=0,0,--(LEN(INDEX('Paste Export'!$A$2:$BZ$1001,$A262,col_s5))&gt;0))+IF(col_s6=0,0,--(LEN(INDEX('Paste Export'!$A$2:$BZ$1001,$A262,col_s6))&gt;0))+IF(col_s7=0,0,--(LEN(INDEX('Paste Export'!$A$2:$BZ$1001,$A262,col_s7))&gt;0))+IF(col_s8=0,0,--(LEN(INDEX('Paste Export'!$A$2:$BZ$1001,$A262,col_s8))&gt;0)))</f>
        <v/>
      </c>
      <c r="I262" s="25" t="str">
        <f t="shared" si="31"/>
        <v/>
      </c>
      <c r="J262" s="25" t="str">
        <f t="shared" si="32"/>
        <v/>
      </c>
      <c r="K262" s="24" t="str">
        <f t="shared" si="33"/>
        <v/>
      </c>
      <c r="L262" s="24" t="str">
        <f t="shared" si="34"/>
        <v/>
      </c>
    </row>
    <row r="263" spans="1:12" x14ac:dyDescent="0.25">
      <c r="A263" s="24">
        <f t="shared" si="28"/>
        <v>262</v>
      </c>
      <c r="B263" s="25" t="str">
        <f>IF($A263&gt;nrows,"",IF(col_user=0,"",INDEX('Paste Export'!$A$2:$BZ$1001,$A263,col_user)))</f>
        <v/>
      </c>
      <c r="C263" s="24" t="str">
        <f>IF($A263&gt;nrows,"",IF(col_days=0,0,N(INDEX('Paste Export'!$A$2:$BZ$1001,$A263,col_days))))</f>
        <v/>
      </c>
      <c r="D263" s="24" t="str">
        <f>IF($A263&gt;nrows,"",IF(col_prompts=0,0,N(INDEX('Paste Export'!$A$2:$BZ$1001,$A263,col_prompts))))</f>
        <v/>
      </c>
      <c r="E263" s="24" t="str">
        <f>IF($A263&gt;nrows,"",IF(col_web=0,0,N(INDEX('Paste Export'!$A$2:$BZ$1001,$A263,col_web))))</f>
        <v/>
      </c>
      <c r="F263" s="26" t="str">
        <f t="shared" si="29"/>
        <v/>
      </c>
      <c r="G263" s="27" t="str">
        <f t="shared" si="30"/>
        <v/>
      </c>
      <c r="H263" s="24" t="str">
        <f>IF($A263&gt;nrows,"",IF(col_s1=0,0,--(LEN(INDEX('Paste Export'!$A$2:$BZ$1001,$A263,col_s1))&gt;0))+IF(col_s2=0,0,--(LEN(INDEX('Paste Export'!$A$2:$BZ$1001,$A263,col_s2))&gt;0))+IF(col_s3=0,0,--(LEN(INDEX('Paste Export'!$A$2:$BZ$1001,$A263,col_s3))&gt;0))+IF(col_s4=0,0,--(LEN(INDEX('Paste Export'!$A$2:$BZ$1001,$A263,col_s4))&gt;0))+IF(col_s5=0,0,--(LEN(INDEX('Paste Export'!$A$2:$BZ$1001,$A263,col_s5))&gt;0))+IF(col_s6=0,0,--(LEN(INDEX('Paste Export'!$A$2:$BZ$1001,$A263,col_s6))&gt;0))+IF(col_s7=0,0,--(LEN(INDEX('Paste Export'!$A$2:$BZ$1001,$A263,col_s7))&gt;0))+IF(col_s8=0,0,--(LEN(INDEX('Paste Export'!$A$2:$BZ$1001,$A263,col_s8))&gt;0)))</f>
        <v/>
      </c>
      <c r="I263" s="25" t="str">
        <f t="shared" si="31"/>
        <v/>
      </c>
      <c r="J263" s="25" t="str">
        <f t="shared" si="32"/>
        <v/>
      </c>
      <c r="K263" s="24" t="str">
        <f t="shared" si="33"/>
        <v/>
      </c>
      <c r="L263" s="24" t="str">
        <f t="shared" si="34"/>
        <v/>
      </c>
    </row>
    <row r="264" spans="1:12" x14ac:dyDescent="0.25">
      <c r="A264" s="24">
        <f t="shared" si="28"/>
        <v>263</v>
      </c>
      <c r="B264" s="25" t="str">
        <f>IF($A264&gt;nrows,"",IF(col_user=0,"",INDEX('Paste Export'!$A$2:$BZ$1001,$A264,col_user)))</f>
        <v/>
      </c>
      <c r="C264" s="24" t="str">
        <f>IF($A264&gt;nrows,"",IF(col_days=0,0,N(INDEX('Paste Export'!$A$2:$BZ$1001,$A264,col_days))))</f>
        <v/>
      </c>
      <c r="D264" s="24" t="str">
        <f>IF($A264&gt;nrows,"",IF(col_prompts=0,0,N(INDEX('Paste Export'!$A$2:$BZ$1001,$A264,col_prompts))))</f>
        <v/>
      </c>
      <c r="E264" s="24" t="str">
        <f>IF($A264&gt;nrows,"",IF(col_web=0,0,N(INDEX('Paste Export'!$A$2:$BZ$1001,$A264,col_web))))</f>
        <v/>
      </c>
      <c r="F264" s="26" t="str">
        <f t="shared" si="29"/>
        <v/>
      </c>
      <c r="G264" s="27" t="str">
        <f t="shared" si="30"/>
        <v/>
      </c>
      <c r="H264" s="24" t="str">
        <f>IF($A264&gt;nrows,"",IF(col_s1=0,0,--(LEN(INDEX('Paste Export'!$A$2:$BZ$1001,$A264,col_s1))&gt;0))+IF(col_s2=0,0,--(LEN(INDEX('Paste Export'!$A$2:$BZ$1001,$A264,col_s2))&gt;0))+IF(col_s3=0,0,--(LEN(INDEX('Paste Export'!$A$2:$BZ$1001,$A264,col_s3))&gt;0))+IF(col_s4=0,0,--(LEN(INDEX('Paste Export'!$A$2:$BZ$1001,$A264,col_s4))&gt;0))+IF(col_s5=0,0,--(LEN(INDEX('Paste Export'!$A$2:$BZ$1001,$A264,col_s5))&gt;0))+IF(col_s6=0,0,--(LEN(INDEX('Paste Export'!$A$2:$BZ$1001,$A264,col_s6))&gt;0))+IF(col_s7=0,0,--(LEN(INDEX('Paste Export'!$A$2:$BZ$1001,$A264,col_s7))&gt;0))+IF(col_s8=0,0,--(LEN(INDEX('Paste Export'!$A$2:$BZ$1001,$A264,col_s8))&gt;0)))</f>
        <v/>
      </c>
      <c r="I264" s="25" t="str">
        <f t="shared" si="31"/>
        <v/>
      </c>
      <c r="J264" s="25" t="str">
        <f t="shared" si="32"/>
        <v/>
      </c>
      <c r="K264" s="24" t="str">
        <f t="shared" si="33"/>
        <v/>
      </c>
      <c r="L264" s="24" t="str">
        <f t="shared" si="34"/>
        <v/>
      </c>
    </row>
    <row r="265" spans="1:12" x14ac:dyDescent="0.25">
      <c r="A265" s="24">
        <f t="shared" si="28"/>
        <v>264</v>
      </c>
      <c r="B265" s="25" t="str">
        <f>IF($A265&gt;nrows,"",IF(col_user=0,"",INDEX('Paste Export'!$A$2:$BZ$1001,$A265,col_user)))</f>
        <v/>
      </c>
      <c r="C265" s="24" t="str">
        <f>IF($A265&gt;nrows,"",IF(col_days=0,0,N(INDEX('Paste Export'!$A$2:$BZ$1001,$A265,col_days))))</f>
        <v/>
      </c>
      <c r="D265" s="24" t="str">
        <f>IF($A265&gt;nrows,"",IF(col_prompts=0,0,N(INDEX('Paste Export'!$A$2:$BZ$1001,$A265,col_prompts))))</f>
        <v/>
      </c>
      <c r="E265" s="24" t="str">
        <f>IF($A265&gt;nrows,"",IF(col_web=0,0,N(INDEX('Paste Export'!$A$2:$BZ$1001,$A265,col_web))))</f>
        <v/>
      </c>
      <c r="F265" s="26" t="str">
        <f t="shared" si="29"/>
        <v/>
      </c>
      <c r="G265" s="27" t="str">
        <f t="shared" si="30"/>
        <v/>
      </c>
      <c r="H265" s="24" t="str">
        <f>IF($A265&gt;nrows,"",IF(col_s1=0,0,--(LEN(INDEX('Paste Export'!$A$2:$BZ$1001,$A265,col_s1))&gt;0))+IF(col_s2=0,0,--(LEN(INDEX('Paste Export'!$A$2:$BZ$1001,$A265,col_s2))&gt;0))+IF(col_s3=0,0,--(LEN(INDEX('Paste Export'!$A$2:$BZ$1001,$A265,col_s3))&gt;0))+IF(col_s4=0,0,--(LEN(INDEX('Paste Export'!$A$2:$BZ$1001,$A265,col_s4))&gt;0))+IF(col_s5=0,0,--(LEN(INDEX('Paste Export'!$A$2:$BZ$1001,$A265,col_s5))&gt;0))+IF(col_s6=0,0,--(LEN(INDEX('Paste Export'!$A$2:$BZ$1001,$A265,col_s6))&gt;0))+IF(col_s7=0,0,--(LEN(INDEX('Paste Export'!$A$2:$BZ$1001,$A265,col_s7))&gt;0))+IF(col_s8=0,0,--(LEN(INDEX('Paste Export'!$A$2:$BZ$1001,$A265,col_s8))&gt;0)))</f>
        <v/>
      </c>
      <c r="I265" s="25" t="str">
        <f t="shared" si="31"/>
        <v/>
      </c>
      <c r="J265" s="25" t="str">
        <f t="shared" si="32"/>
        <v/>
      </c>
      <c r="K265" s="24" t="str">
        <f t="shared" si="33"/>
        <v/>
      </c>
      <c r="L265" s="24" t="str">
        <f t="shared" si="34"/>
        <v/>
      </c>
    </row>
    <row r="266" spans="1:12" x14ac:dyDescent="0.25">
      <c r="A266" s="24">
        <f t="shared" si="28"/>
        <v>265</v>
      </c>
      <c r="B266" s="25" t="str">
        <f>IF($A266&gt;nrows,"",IF(col_user=0,"",INDEX('Paste Export'!$A$2:$BZ$1001,$A266,col_user)))</f>
        <v/>
      </c>
      <c r="C266" s="24" t="str">
        <f>IF($A266&gt;nrows,"",IF(col_days=0,0,N(INDEX('Paste Export'!$A$2:$BZ$1001,$A266,col_days))))</f>
        <v/>
      </c>
      <c r="D266" s="24" t="str">
        <f>IF($A266&gt;nrows,"",IF(col_prompts=0,0,N(INDEX('Paste Export'!$A$2:$BZ$1001,$A266,col_prompts))))</f>
        <v/>
      </c>
      <c r="E266" s="24" t="str">
        <f>IF($A266&gt;nrows,"",IF(col_web=0,0,N(INDEX('Paste Export'!$A$2:$BZ$1001,$A266,col_web))))</f>
        <v/>
      </c>
      <c r="F266" s="26" t="str">
        <f t="shared" si="29"/>
        <v/>
      </c>
      <c r="G266" s="27" t="str">
        <f t="shared" si="30"/>
        <v/>
      </c>
      <c r="H266" s="24" t="str">
        <f>IF($A266&gt;nrows,"",IF(col_s1=0,0,--(LEN(INDEX('Paste Export'!$A$2:$BZ$1001,$A266,col_s1))&gt;0))+IF(col_s2=0,0,--(LEN(INDEX('Paste Export'!$A$2:$BZ$1001,$A266,col_s2))&gt;0))+IF(col_s3=0,0,--(LEN(INDEX('Paste Export'!$A$2:$BZ$1001,$A266,col_s3))&gt;0))+IF(col_s4=0,0,--(LEN(INDEX('Paste Export'!$A$2:$BZ$1001,$A266,col_s4))&gt;0))+IF(col_s5=0,0,--(LEN(INDEX('Paste Export'!$A$2:$BZ$1001,$A266,col_s5))&gt;0))+IF(col_s6=0,0,--(LEN(INDEX('Paste Export'!$A$2:$BZ$1001,$A266,col_s6))&gt;0))+IF(col_s7=0,0,--(LEN(INDEX('Paste Export'!$A$2:$BZ$1001,$A266,col_s7))&gt;0))+IF(col_s8=0,0,--(LEN(INDEX('Paste Export'!$A$2:$BZ$1001,$A266,col_s8))&gt;0)))</f>
        <v/>
      </c>
      <c r="I266" s="25" t="str">
        <f t="shared" si="31"/>
        <v/>
      </c>
      <c r="J266" s="25" t="str">
        <f t="shared" si="32"/>
        <v/>
      </c>
      <c r="K266" s="24" t="str">
        <f t="shared" si="33"/>
        <v/>
      </c>
      <c r="L266" s="24" t="str">
        <f t="shared" si="34"/>
        <v/>
      </c>
    </row>
    <row r="267" spans="1:12" x14ac:dyDescent="0.25">
      <c r="A267" s="24">
        <f t="shared" si="28"/>
        <v>266</v>
      </c>
      <c r="B267" s="25" t="str">
        <f>IF($A267&gt;nrows,"",IF(col_user=0,"",INDEX('Paste Export'!$A$2:$BZ$1001,$A267,col_user)))</f>
        <v/>
      </c>
      <c r="C267" s="24" t="str">
        <f>IF($A267&gt;nrows,"",IF(col_days=0,0,N(INDEX('Paste Export'!$A$2:$BZ$1001,$A267,col_days))))</f>
        <v/>
      </c>
      <c r="D267" s="24" t="str">
        <f>IF($A267&gt;nrows,"",IF(col_prompts=0,0,N(INDEX('Paste Export'!$A$2:$BZ$1001,$A267,col_prompts))))</f>
        <v/>
      </c>
      <c r="E267" s="24" t="str">
        <f>IF($A267&gt;nrows,"",IF(col_web=0,0,N(INDEX('Paste Export'!$A$2:$BZ$1001,$A267,col_web))))</f>
        <v/>
      </c>
      <c r="F267" s="26" t="str">
        <f t="shared" si="29"/>
        <v/>
      </c>
      <c r="G267" s="27" t="str">
        <f t="shared" si="30"/>
        <v/>
      </c>
      <c r="H267" s="24" t="str">
        <f>IF($A267&gt;nrows,"",IF(col_s1=0,0,--(LEN(INDEX('Paste Export'!$A$2:$BZ$1001,$A267,col_s1))&gt;0))+IF(col_s2=0,0,--(LEN(INDEX('Paste Export'!$A$2:$BZ$1001,$A267,col_s2))&gt;0))+IF(col_s3=0,0,--(LEN(INDEX('Paste Export'!$A$2:$BZ$1001,$A267,col_s3))&gt;0))+IF(col_s4=0,0,--(LEN(INDEX('Paste Export'!$A$2:$BZ$1001,$A267,col_s4))&gt;0))+IF(col_s5=0,0,--(LEN(INDEX('Paste Export'!$A$2:$BZ$1001,$A267,col_s5))&gt;0))+IF(col_s6=0,0,--(LEN(INDEX('Paste Export'!$A$2:$BZ$1001,$A267,col_s6))&gt;0))+IF(col_s7=0,0,--(LEN(INDEX('Paste Export'!$A$2:$BZ$1001,$A267,col_s7))&gt;0))+IF(col_s8=0,0,--(LEN(INDEX('Paste Export'!$A$2:$BZ$1001,$A267,col_s8))&gt;0)))</f>
        <v/>
      </c>
      <c r="I267" s="25" t="str">
        <f t="shared" si="31"/>
        <v/>
      </c>
      <c r="J267" s="25" t="str">
        <f t="shared" si="32"/>
        <v/>
      </c>
      <c r="K267" s="24" t="str">
        <f t="shared" si="33"/>
        <v/>
      </c>
      <c r="L267" s="24" t="str">
        <f t="shared" si="34"/>
        <v/>
      </c>
    </row>
    <row r="268" spans="1:12" x14ac:dyDescent="0.25">
      <c r="A268" s="24">
        <f t="shared" si="28"/>
        <v>267</v>
      </c>
      <c r="B268" s="25" t="str">
        <f>IF($A268&gt;nrows,"",IF(col_user=0,"",INDEX('Paste Export'!$A$2:$BZ$1001,$A268,col_user)))</f>
        <v/>
      </c>
      <c r="C268" s="24" t="str">
        <f>IF($A268&gt;nrows,"",IF(col_days=0,0,N(INDEX('Paste Export'!$A$2:$BZ$1001,$A268,col_days))))</f>
        <v/>
      </c>
      <c r="D268" s="24" t="str">
        <f>IF($A268&gt;nrows,"",IF(col_prompts=0,0,N(INDEX('Paste Export'!$A$2:$BZ$1001,$A268,col_prompts))))</f>
        <v/>
      </c>
      <c r="E268" s="24" t="str">
        <f>IF($A268&gt;nrows,"",IF(col_web=0,0,N(INDEX('Paste Export'!$A$2:$BZ$1001,$A268,col_web))))</f>
        <v/>
      </c>
      <c r="F268" s="26" t="str">
        <f t="shared" si="29"/>
        <v/>
      </c>
      <c r="G268" s="27" t="str">
        <f t="shared" si="30"/>
        <v/>
      </c>
      <c r="H268" s="24" t="str">
        <f>IF($A268&gt;nrows,"",IF(col_s1=0,0,--(LEN(INDEX('Paste Export'!$A$2:$BZ$1001,$A268,col_s1))&gt;0))+IF(col_s2=0,0,--(LEN(INDEX('Paste Export'!$A$2:$BZ$1001,$A268,col_s2))&gt;0))+IF(col_s3=0,0,--(LEN(INDEX('Paste Export'!$A$2:$BZ$1001,$A268,col_s3))&gt;0))+IF(col_s4=0,0,--(LEN(INDEX('Paste Export'!$A$2:$BZ$1001,$A268,col_s4))&gt;0))+IF(col_s5=0,0,--(LEN(INDEX('Paste Export'!$A$2:$BZ$1001,$A268,col_s5))&gt;0))+IF(col_s6=0,0,--(LEN(INDEX('Paste Export'!$A$2:$BZ$1001,$A268,col_s6))&gt;0))+IF(col_s7=0,0,--(LEN(INDEX('Paste Export'!$A$2:$BZ$1001,$A268,col_s7))&gt;0))+IF(col_s8=0,0,--(LEN(INDEX('Paste Export'!$A$2:$BZ$1001,$A268,col_s8))&gt;0)))</f>
        <v/>
      </c>
      <c r="I268" s="25" t="str">
        <f t="shared" si="31"/>
        <v/>
      </c>
      <c r="J268" s="25" t="str">
        <f t="shared" si="32"/>
        <v/>
      </c>
      <c r="K268" s="24" t="str">
        <f t="shared" si="33"/>
        <v/>
      </c>
      <c r="L268" s="24" t="str">
        <f t="shared" si="34"/>
        <v/>
      </c>
    </row>
    <row r="269" spans="1:12" x14ac:dyDescent="0.25">
      <c r="A269" s="24">
        <f t="shared" si="28"/>
        <v>268</v>
      </c>
      <c r="B269" s="25" t="str">
        <f>IF($A269&gt;nrows,"",IF(col_user=0,"",INDEX('Paste Export'!$A$2:$BZ$1001,$A269,col_user)))</f>
        <v/>
      </c>
      <c r="C269" s="24" t="str">
        <f>IF($A269&gt;nrows,"",IF(col_days=0,0,N(INDEX('Paste Export'!$A$2:$BZ$1001,$A269,col_days))))</f>
        <v/>
      </c>
      <c r="D269" s="24" t="str">
        <f>IF($A269&gt;nrows,"",IF(col_prompts=0,0,N(INDEX('Paste Export'!$A$2:$BZ$1001,$A269,col_prompts))))</f>
        <v/>
      </c>
      <c r="E269" s="24" t="str">
        <f>IF($A269&gt;nrows,"",IF(col_web=0,0,N(INDEX('Paste Export'!$A$2:$BZ$1001,$A269,col_web))))</f>
        <v/>
      </c>
      <c r="F269" s="26" t="str">
        <f t="shared" si="29"/>
        <v/>
      </c>
      <c r="G269" s="27" t="str">
        <f t="shared" si="30"/>
        <v/>
      </c>
      <c r="H269" s="24" t="str">
        <f>IF($A269&gt;nrows,"",IF(col_s1=0,0,--(LEN(INDEX('Paste Export'!$A$2:$BZ$1001,$A269,col_s1))&gt;0))+IF(col_s2=0,0,--(LEN(INDEX('Paste Export'!$A$2:$BZ$1001,$A269,col_s2))&gt;0))+IF(col_s3=0,0,--(LEN(INDEX('Paste Export'!$A$2:$BZ$1001,$A269,col_s3))&gt;0))+IF(col_s4=0,0,--(LEN(INDEX('Paste Export'!$A$2:$BZ$1001,$A269,col_s4))&gt;0))+IF(col_s5=0,0,--(LEN(INDEX('Paste Export'!$A$2:$BZ$1001,$A269,col_s5))&gt;0))+IF(col_s6=0,0,--(LEN(INDEX('Paste Export'!$A$2:$BZ$1001,$A269,col_s6))&gt;0))+IF(col_s7=0,0,--(LEN(INDEX('Paste Export'!$A$2:$BZ$1001,$A269,col_s7))&gt;0))+IF(col_s8=0,0,--(LEN(INDEX('Paste Export'!$A$2:$BZ$1001,$A269,col_s8))&gt;0)))</f>
        <v/>
      </c>
      <c r="I269" s="25" t="str">
        <f t="shared" si="31"/>
        <v/>
      </c>
      <c r="J269" s="25" t="str">
        <f t="shared" si="32"/>
        <v/>
      </c>
      <c r="K269" s="24" t="str">
        <f t="shared" si="33"/>
        <v/>
      </c>
      <c r="L269" s="24" t="str">
        <f t="shared" si="34"/>
        <v/>
      </c>
    </row>
    <row r="270" spans="1:12" x14ac:dyDescent="0.25">
      <c r="A270" s="24">
        <f t="shared" si="28"/>
        <v>269</v>
      </c>
      <c r="B270" s="25" t="str">
        <f>IF($A270&gt;nrows,"",IF(col_user=0,"",INDEX('Paste Export'!$A$2:$BZ$1001,$A270,col_user)))</f>
        <v/>
      </c>
      <c r="C270" s="24" t="str">
        <f>IF($A270&gt;nrows,"",IF(col_days=0,0,N(INDEX('Paste Export'!$A$2:$BZ$1001,$A270,col_days))))</f>
        <v/>
      </c>
      <c r="D270" s="24" t="str">
        <f>IF($A270&gt;nrows,"",IF(col_prompts=0,0,N(INDEX('Paste Export'!$A$2:$BZ$1001,$A270,col_prompts))))</f>
        <v/>
      </c>
      <c r="E270" s="24" t="str">
        <f>IF($A270&gt;nrows,"",IF(col_web=0,0,N(INDEX('Paste Export'!$A$2:$BZ$1001,$A270,col_web))))</f>
        <v/>
      </c>
      <c r="F270" s="26" t="str">
        <f t="shared" si="29"/>
        <v/>
      </c>
      <c r="G270" s="27" t="str">
        <f t="shared" si="30"/>
        <v/>
      </c>
      <c r="H270" s="24" t="str">
        <f>IF($A270&gt;nrows,"",IF(col_s1=0,0,--(LEN(INDEX('Paste Export'!$A$2:$BZ$1001,$A270,col_s1))&gt;0))+IF(col_s2=0,0,--(LEN(INDEX('Paste Export'!$A$2:$BZ$1001,$A270,col_s2))&gt;0))+IF(col_s3=0,0,--(LEN(INDEX('Paste Export'!$A$2:$BZ$1001,$A270,col_s3))&gt;0))+IF(col_s4=0,0,--(LEN(INDEX('Paste Export'!$A$2:$BZ$1001,$A270,col_s4))&gt;0))+IF(col_s5=0,0,--(LEN(INDEX('Paste Export'!$A$2:$BZ$1001,$A270,col_s5))&gt;0))+IF(col_s6=0,0,--(LEN(INDEX('Paste Export'!$A$2:$BZ$1001,$A270,col_s6))&gt;0))+IF(col_s7=0,0,--(LEN(INDEX('Paste Export'!$A$2:$BZ$1001,$A270,col_s7))&gt;0))+IF(col_s8=0,0,--(LEN(INDEX('Paste Export'!$A$2:$BZ$1001,$A270,col_s8))&gt;0)))</f>
        <v/>
      </c>
      <c r="I270" s="25" t="str">
        <f t="shared" si="31"/>
        <v/>
      </c>
      <c r="J270" s="25" t="str">
        <f t="shared" si="32"/>
        <v/>
      </c>
      <c r="K270" s="24" t="str">
        <f t="shared" si="33"/>
        <v/>
      </c>
      <c r="L270" s="24" t="str">
        <f t="shared" si="34"/>
        <v/>
      </c>
    </row>
    <row r="271" spans="1:12" x14ac:dyDescent="0.25">
      <c r="A271" s="24">
        <f t="shared" si="28"/>
        <v>270</v>
      </c>
      <c r="B271" s="25" t="str">
        <f>IF($A271&gt;nrows,"",IF(col_user=0,"",INDEX('Paste Export'!$A$2:$BZ$1001,$A271,col_user)))</f>
        <v/>
      </c>
      <c r="C271" s="24" t="str">
        <f>IF($A271&gt;nrows,"",IF(col_days=0,0,N(INDEX('Paste Export'!$A$2:$BZ$1001,$A271,col_days))))</f>
        <v/>
      </c>
      <c r="D271" s="24" t="str">
        <f>IF($A271&gt;nrows,"",IF(col_prompts=0,0,N(INDEX('Paste Export'!$A$2:$BZ$1001,$A271,col_prompts))))</f>
        <v/>
      </c>
      <c r="E271" s="24" t="str">
        <f>IF($A271&gt;nrows,"",IF(col_web=0,0,N(INDEX('Paste Export'!$A$2:$BZ$1001,$A271,col_web))))</f>
        <v/>
      </c>
      <c r="F271" s="26" t="str">
        <f t="shared" si="29"/>
        <v/>
      </c>
      <c r="G271" s="27" t="str">
        <f t="shared" si="30"/>
        <v/>
      </c>
      <c r="H271" s="24" t="str">
        <f>IF($A271&gt;nrows,"",IF(col_s1=0,0,--(LEN(INDEX('Paste Export'!$A$2:$BZ$1001,$A271,col_s1))&gt;0))+IF(col_s2=0,0,--(LEN(INDEX('Paste Export'!$A$2:$BZ$1001,$A271,col_s2))&gt;0))+IF(col_s3=0,0,--(LEN(INDEX('Paste Export'!$A$2:$BZ$1001,$A271,col_s3))&gt;0))+IF(col_s4=0,0,--(LEN(INDEX('Paste Export'!$A$2:$BZ$1001,$A271,col_s4))&gt;0))+IF(col_s5=0,0,--(LEN(INDEX('Paste Export'!$A$2:$BZ$1001,$A271,col_s5))&gt;0))+IF(col_s6=0,0,--(LEN(INDEX('Paste Export'!$A$2:$BZ$1001,$A271,col_s6))&gt;0))+IF(col_s7=0,0,--(LEN(INDEX('Paste Export'!$A$2:$BZ$1001,$A271,col_s7))&gt;0))+IF(col_s8=0,0,--(LEN(INDEX('Paste Export'!$A$2:$BZ$1001,$A271,col_s8))&gt;0)))</f>
        <v/>
      </c>
      <c r="I271" s="25" t="str">
        <f t="shared" si="31"/>
        <v/>
      </c>
      <c r="J271" s="25" t="str">
        <f t="shared" si="32"/>
        <v/>
      </c>
      <c r="K271" s="24" t="str">
        <f t="shared" si="33"/>
        <v/>
      </c>
      <c r="L271" s="24" t="str">
        <f t="shared" si="34"/>
        <v/>
      </c>
    </row>
    <row r="272" spans="1:12" x14ac:dyDescent="0.25">
      <c r="A272" s="24">
        <f t="shared" si="28"/>
        <v>271</v>
      </c>
      <c r="B272" s="25" t="str">
        <f>IF($A272&gt;nrows,"",IF(col_user=0,"",INDEX('Paste Export'!$A$2:$BZ$1001,$A272,col_user)))</f>
        <v/>
      </c>
      <c r="C272" s="24" t="str">
        <f>IF($A272&gt;nrows,"",IF(col_days=0,0,N(INDEX('Paste Export'!$A$2:$BZ$1001,$A272,col_days))))</f>
        <v/>
      </c>
      <c r="D272" s="24" t="str">
        <f>IF($A272&gt;nrows,"",IF(col_prompts=0,0,N(INDEX('Paste Export'!$A$2:$BZ$1001,$A272,col_prompts))))</f>
        <v/>
      </c>
      <c r="E272" s="24" t="str">
        <f>IF($A272&gt;nrows,"",IF(col_web=0,0,N(INDEX('Paste Export'!$A$2:$BZ$1001,$A272,col_web))))</f>
        <v/>
      </c>
      <c r="F272" s="26" t="str">
        <f t="shared" si="29"/>
        <v/>
      </c>
      <c r="G272" s="27" t="str">
        <f t="shared" si="30"/>
        <v/>
      </c>
      <c r="H272" s="24" t="str">
        <f>IF($A272&gt;nrows,"",IF(col_s1=0,0,--(LEN(INDEX('Paste Export'!$A$2:$BZ$1001,$A272,col_s1))&gt;0))+IF(col_s2=0,0,--(LEN(INDEX('Paste Export'!$A$2:$BZ$1001,$A272,col_s2))&gt;0))+IF(col_s3=0,0,--(LEN(INDEX('Paste Export'!$A$2:$BZ$1001,$A272,col_s3))&gt;0))+IF(col_s4=0,0,--(LEN(INDEX('Paste Export'!$A$2:$BZ$1001,$A272,col_s4))&gt;0))+IF(col_s5=0,0,--(LEN(INDEX('Paste Export'!$A$2:$BZ$1001,$A272,col_s5))&gt;0))+IF(col_s6=0,0,--(LEN(INDEX('Paste Export'!$A$2:$BZ$1001,$A272,col_s6))&gt;0))+IF(col_s7=0,0,--(LEN(INDEX('Paste Export'!$A$2:$BZ$1001,$A272,col_s7))&gt;0))+IF(col_s8=0,0,--(LEN(INDEX('Paste Export'!$A$2:$BZ$1001,$A272,col_s8))&gt;0)))</f>
        <v/>
      </c>
      <c r="I272" s="25" t="str">
        <f t="shared" si="31"/>
        <v/>
      </c>
      <c r="J272" s="25" t="str">
        <f t="shared" si="32"/>
        <v/>
      </c>
      <c r="K272" s="24" t="str">
        <f t="shared" si="33"/>
        <v/>
      </c>
      <c r="L272" s="24" t="str">
        <f t="shared" si="34"/>
        <v/>
      </c>
    </row>
    <row r="273" spans="1:12" x14ac:dyDescent="0.25">
      <c r="A273" s="24">
        <f t="shared" si="28"/>
        <v>272</v>
      </c>
      <c r="B273" s="25" t="str">
        <f>IF($A273&gt;nrows,"",IF(col_user=0,"",INDEX('Paste Export'!$A$2:$BZ$1001,$A273,col_user)))</f>
        <v/>
      </c>
      <c r="C273" s="24" t="str">
        <f>IF($A273&gt;nrows,"",IF(col_days=0,0,N(INDEX('Paste Export'!$A$2:$BZ$1001,$A273,col_days))))</f>
        <v/>
      </c>
      <c r="D273" s="24" t="str">
        <f>IF($A273&gt;nrows,"",IF(col_prompts=0,0,N(INDEX('Paste Export'!$A$2:$BZ$1001,$A273,col_prompts))))</f>
        <v/>
      </c>
      <c r="E273" s="24" t="str">
        <f>IF($A273&gt;nrows,"",IF(col_web=0,0,N(INDEX('Paste Export'!$A$2:$BZ$1001,$A273,col_web))))</f>
        <v/>
      </c>
      <c r="F273" s="26" t="str">
        <f t="shared" si="29"/>
        <v/>
      </c>
      <c r="G273" s="27" t="str">
        <f t="shared" si="30"/>
        <v/>
      </c>
      <c r="H273" s="24" t="str">
        <f>IF($A273&gt;nrows,"",IF(col_s1=0,0,--(LEN(INDEX('Paste Export'!$A$2:$BZ$1001,$A273,col_s1))&gt;0))+IF(col_s2=0,0,--(LEN(INDEX('Paste Export'!$A$2:$BZ$1001,$A273,col_s2))&gt;0))+IF(col_s3=0,0,--(LEN(INDEX('Paste Export'!$A$2:$BZ$1001,$A273,col_s3))&gt;0))+IF(col_s4=0,0,--(LEN(INDEX('Paste Export'!$A$2:$BZ$1001,$A273,col_s4))&gt;0))+IF(col_s5=0,0,--(LEN(INDEX('Paste Export'!$A$2:$BZ$1001,$A273,col_s5))&gt;0))+IF(col_s6=0,0,--(LEN(INDEX('Paste Export'!$A$2:$BZ$1001,$A273,col_s6))&gt;0))+IF(col_s7=0,0,--(LEN(INDEX('Paste Export'!$A$2:$BZ$1001,$A273,col_s7))&gt;0))+IF(col_s8=0,0,--(LEN(INDEX('Paste Export'!$A$2:$BZ$1001,$A273,col_s8))&gt;0)))</f>
        <v/>
      </c>
      <c r="I273" s="25" t="str">
        <f t="shared" si="31"/>
        <v/>
      </c>
      <c r="J273" s="25" t="str">
        <f t="shared" si="32"/>
        <v/>
      </c>
      <c r="K273" s="24" t="str">
        <f t="shared" si="33"/>
        <v/>
      </c>
      <c r="L273" s="24" t="str">
        <f t="shared" si="34"/>
        <v/>
      </c>
    </row>
    <row r="274" spans="1:12" x14ac:dyDescent="0.25">
      <c r="A274" s="24">
        <f t="shared" si="28"/>
        <v>273</v>
      </c>
      <c r="B274" s="25" t="str">
        <f>IF($A274&gt;nrows,"",IF(col_user=0,"",INDEX('Paste Export'!$A$2:$BZ$1001,$A274,col_user)))</f>
        <v/>
      </c>
      <c r="C274" s="24" t="str">
        <f>IF($A274&gt;nrows,"",IF(col_days=0,0,N(INDEX('Paste Export'!$A$2:$BZ$1001,$A274,col_days))))</f>
        <v/>
      </c>
      <c r="D274" s="24" t="str">
        <f>IF($A274&gt;nrows,"",IF(col_prompts=0,0,N(INDEX('Paste Export'!$A$2:$BZ$1001,$A274,col_prompts))))</f>
        <v/>
      </c>
      <c r="E274" s="24" t="str">
        <f>IF($A274&gt;nrows,"",IF(col_web=0,0,N(INDEX('Paste Export'!$A$2:$BZ$1001,$A274,col_web))))</f>
        <v/>
      </c>
      <c r="F274" s="26" t="str">
        <f t="shared" si="29"/>
        <v/>
      </c>
      <c r="G274" s="27" t="str">
        <f t="shared" si="30"/>
        <v/>
      </c>
      <c r="H274" s="24" t="str">
        <f>IF($A274&gt;nrows,"",IF(col_s1=0,0,--(LEN(INDEX('Paste Export'!$A$2:$BZ$1001,$A274,col_s1))&gt;0))+IF(col_s2=0,0,--(LEN(INDEX('Paste Export'!$A$2:$BZ$1001,$A274,col_s2))&gt;0))+IF(col_s3=0,0,--(LEN(INDEX('Paste Export'!$A$2:$BZ$1001,$A274,col_s3))&gt;0))+IF(col_s4=0,0,--(LEN(INDEX('Paste Export'!$A$2:$BZ$1001,$A274,col_s4))&gt;0))+IF(col_s5=0,0,--(LEN(INDEX('Paste Export'!$A$2:$BZ$1001,$A274,col_s5))&gt;0))+IF(col_s6=0,0,--(LEN(INDEX('Paste Export'!$A$2:$BZ$1001,$A274,col_s6))&gt;0))+IF(col_s7=0,0,--(LEN(INDEX('Paste Export'!$A$2:$BZ$1001,$A274,col_s7))&gt;0))+IF(col_s8=0,0,--(LEN(INDEX('Paste Export'!$A$2:$BZ$1001,$A274,col_s8))&gt;0)))</f>
        <v/>
      </c>
      <c r="I274" s="25" t="str">
        <f t="shared" si="31"/>
        <v/>
      </c>
      <c r="J274" s="25" t="str">
        <f t="shared" si="32"/>
        <v/>
      </c>
      <c r="K274" s="24" t="str">
        <f t="shared" si="33"/>
        <v/>
      </c>
      <c r="L274" s="24" t="str">
        <f t="shared" si="34"/>
        <v/>
      </c>
    </row>
    <row r="275" spans="1:12" x14ac:dyDescent="0.25">
      <c r="A275" s="24">
        <f t="shared" si="28"/>
        <v>274</v>
      </c>
      <c r="B275" s="25" t="str">
        <f>IF($A275&gt;nrows,"",IF(col_user=0,"",INDEX('Paste Export'!$A$2:$BZ$1001,$A275,col_user)))</f>
        <v/>
      </c>
      <c r="C275" s="24" t="str">
        <f>IF($A275&gt;nrows,"",IF(col_days=0,0,N(INDEX('Paste Export'!$A$2:$BZ$1001,$A275,col_days))))</f>
        <v/>
      </c>
      <c r="D275" s="24" t="str">
        <f>IF($A275&gt;nrows,"",IF(col_prompts=0,0,N(INDEX('Paste Export'!$A$2:$BZ$1001,$A275,col_prompts))))</f>
        <v/>
      </c>
      <c r="E275" s="24" t="str">
        <f>IF($A275&gt;nrows,"",IF(col_web=0,0,N(INDEX('Paste Export'!$A$2:$BZ$1001,$A275,col_web))))</f>
        <v/>
      </c>
      <c r="F275" s="26" t="str">
        <f t="shared" si="29"/>
        <v/>
      </c>
      <c r="G275" s="27" t="str">
        <f t="shared" si="30"/>
        <v/>
      </c>
      <c r="H275" s="24" t="str">
        <f>IF($A275&gt;nrows,"",IF(col_s1=0,0,--(LEN(INDEX('Paste Export'!$A$2:$BZ$1001,$A275,col_s1))&gt;0))+IF(col_s2=0,0,--(LEN(INDEX('Paste Export'!$A$2:$BZ$1001,$A275,col_s2))&gt;0))+IF(col_s3=0,0,--(LEN(INDEX('Paste Export'!$A$2:$BZ$1001,$A275,col_s3))&gt;0))+IF(col_s4=0,0,--(LEN(INDEX('Paste Export'!$A$2:$BZ$1001,$A275,col_s4))&gt;0))+IF(col_s5=0,0,--(LEN(INDEX('Paste Export'!$A$2:$BZ$1001,$A275,col_s5))&gt;0))+IF(col_s6=0,0,--(LEN(INDEX('Paste Export'!$A$2:$BZ$1001,$A275,col_s6))&gt;0))+IF(col_s7=0,0,--(LEN(INDEX('Paste Export'!$A$2:$BZ$1001,$A275,col_s7))&gt;0))+IF(col_s8=0,0,--(LEN(INDEX('Paste Export'!$A$2:$BZ$1001,$A275,col_s8))&gt;0)))</f>
        <v/>
      </c>
      <c r="I275" s="25" t="str">
        <f t="shared" si="31"/>
        <v/>
      </c>
      <c r="J275" s="25" t="str">
        <f t="shared" si="32"/>
        <v/>
      </c>
      <c r="K275" s="24" t="str">
        <f t="shared" si="33"/>
        <v/>
      </c>
      <c r="L275" s="24" t="str">
        <f t="shared" si="34"/>
        <v/>
      </c>
    </row>
    <row r="276" spans="1:12" x14ac:dyDescent="0.25">
      <c r="A276" s="24">
        <f t="shared" si="28"/>
        <v>275</v>
      </c>
      <c r="B276" s="25" t="str">
        <f>IF($A276&gt;nrows,"",IF(col_user=0,"",INDEX('Paste Export'!$A$2:$BZ$1001,$A276,col_user)))</f>
        <v/>
      </c>
      <c r="C276" s="24" t="str">
        <f>IF($A276&gt;nrows,"",IF(col_days=0,0,N(INDEX('Paste Export'!$A$2:$BZ$1001,$A276,col_days))))</f>
        <v/>
      </c>
      <c r="D276" s="24" t="str">
        <f>IF($A276&gt;nrows,"",IF(col_prompts=0,0,N(INDEX('Paste Export'!$A$2:$BZ$1001,$A276,col_prompts))))</f>
        <v/>
      </c>
      <c r="E276" s="24" t="str">
        <f>IF($A276&gt;nrows,"",IF(col_web=0,0,N(INDEX('Paste Export'!$A$2:$BZ$1001,$A276,col_web))))</f>
        <v/>
      </c>
      <c r="F276" s="26" t="str">
        <f t="shared" si="29"/>
        <v/>
      </c>
      <c r="G276" s="27" t="str">
        <f t="shared" si="30"/>
        <v/>
      </c>
      <c r="H276" s="24" t="str">
        <f>IF($A276&gt;nrows,"",IF(col_s1=0,0,--(LEN(INDEX('Paste Export'!$A$2:$BZ$1001,$A276,col_s1))&gt;0))+IF(col_s2=0,0,--(LEN(INDEX('Paste Export'!$A$2:$BZ$1001,$A276,col_s2))&gt;0))+IF(col_s3=0,0,--(LEN(INDEX('Paste Export'!$A$2:$BZ$1001,$A276,col_s3))&gt;0))+IF(col_s4=0,0,--(LEN(INDEX('Paste Export'!$A$2:$BZ$1001,$A276,col_s4))&gt;0))+IF(col_s5=0,0,--(LEN(INDEX('Paste Export'!$A$2:$BZ$1001,$A276,col_s5))&gt;0))+IF(col_s6=0,0,--(LEN(INDEX('Paste Export'!$A$2:$BZ$1001,$A276,col_s6))&gt;0))+IF(col_s7=0,0,--(LEN(INDEX('Paste Export'!$A$2:$BZ$1001,$A276,col_s7))&gt;0))+IF(col_s8=0,0,--(LEN(INDEX('Paste Export'!$A$2:$BZ$1001,$A276,col_s8))&gt;0)))</f>
        <v/>
      </c>
      <c r="I276" s="25" t="str">
        <f t="shared" si="31"/>
        <v/>
      </c>
      <c r="J276" s="25" t="str">
        <f t="shared" si="32"/>
        <v/>
      </c>
      <c r="K276" s="24" t="str">
        <f t="shared" si="33"/>
        <v/>
      </c>
      <c r="L276" s="24" t="str">
        <f t="shared" si="34"/>
        <v/>
      </c>
    </row>
    <row r="277" spans="1:12" x14ac:dyDescent="0.25">
      <c r="A277" s="24">
        <f t="shared" si="28"/>
        <v>276</v>
      </c>
      <c r="B277" s="25" t="str">
        <f>IF($A277&gt;nrows,"",IF(col_user=0,"",INDEX('Paste Export'!$A$2:$BZ$1001,$A277,col_user)))</f>
        <v/>
      </c>
      <c r="C277" s="24" t="str">
        <f>IF($A277&gt;nrows,"",IF(col_days=0,0,N(INDEX('Paste Export'!$A$2:$BZ$1001,$A277,col_days))))</f>
        <v/>
      </c>
      <c r="D277" s="24" t="str">
        <f>IF($A277&gt;nrows,"",IF(col_prompts=0,0,N(INDEX('Paste Export'!$A$2:$BZ$1001,$A277,col_prompts))))</f>
        <v/>
      </c>
      <c r="E277" s="24" t="str">
        <f>IF($A277&gt;nrows,"",IF(col_web=0,0,N(INDEX('Paste Export'!$A$2:$BZ$1001,$A277,col_web))))</f>
        <v/>
      </c>
      <c r="F277" s="26" t="str">
        <f t="shared" si="29"/>
        <v/>
      </c>
      <c r="G277" s="27" t="str">
        <f t="shared" si="30"/>
        <v/>
      </c>
      <c r="H277" s="24" t="str">
        <f>IF($A277&gt;nrows,"",IF(col_s1=0,0,--(LEN(INDEX('Paste Export'!$A$2:$BZ$1001,$A277,col_s1))&gt;0))+IF(col_s2=0,0,--(LEN(INDEX('Paste Export'!$A$2:$BZ$1001,$A277,col_s2))&gt;0))+IF(col_s3=0,0,--(LEN(INDEX('Paste Export'!$A$2:$BZ$1001,$A277,col_s3))&gt;0))+IF(col_s4=0,0,--(LEN(INDEX('Paste Export'!$A$2:$BZ$1001,$A277,col_s4))&gt;0))+IF(col_s5=0,0,--(LEN(INDEX('Paste Export'!$A$2:$BZ$1001,$A277,col_s5))&gt;0))+IF(col_s6=0,0,--(LEN(INDEX('Paste Export'!$A$2:$BZ$1001,$A277,col_s6))&gt;0))+IF(col_s7=0,0,--(LEN(INDEX('Paste Export'!$A$2:$BZ$1001,$A277,col_s7))&gt;0))+IF(col_s8=0,0,--(LEN(INDEX('Paste Export'!$A$2:$BZ$1001,$A277,col_s8))&gt;0)))</f>
        <v/>
      </c>
      <c r="I277" s="25" t="str">
        <f t="shared" si="31"/>
        <v/>
      </c>
      <c r="J277" s="25" t="str">
        <f t="shared" si="32"/>
        <v/>
      </c>
      <c r="K277" s="24" t="str">
        <f t="shared" si="33"/>
        <v/>
      </c>
      <c r="L277" s="24" t="str">
        <f t="shared" si="34"/>
        <v/>
      </c>
    </row>
    <row r="278" spans="1:12" x14ac:dyDescent="0.25">
      <c r="A278" s="24">
        <f t="shared" si="28"/>
        <v>277</v>
      </c>
      <c r="B278" s="25" t="str">
        <f>IF($A278&gt;nrows,"",IF(col_user=0,"",INDEX('Paste Export'!$A$2:$BZ$1001,$A278,col_user)))</f>
        <v/>
      </c>
      <c r="C278" s="24" t="str">
        <f>IF($A278&gt;nrows,"",IF(col_days=0,0,N(INDEX('Paste Export'!$A$2:$BZ$1001,$A278,col_days))))</f>
        <v/>
      </c>
      <c r="D278" s="24" t="str">
        <f>IF($A278&gt;nrows,"",IF(col_prompts=0,0,N(INDEX('Paste Export'!$A$2:$BZ$1001,$A278,col_prompts))))</f>
        <v/>
      </c>
      <c r="E278" s="24" t="str">
        <f>IF($A278&gt;nrows,"",IF(col_web=0,0,N(INDEX('Paste Export'!$A$2:$BZ$1001,$A278,col_web))))</f>
        <v/>
      </c>
      <c r="F278" s="26" t="str">
        <f t="shared" si="29"/>
        <v/>
      </c>
      <c r="G278" s="27" t="str">
        <f t="shared" si="30"/>
        <v/>
      </c>
      <c r="H278" s="24" t="str">
        <f>IF($A278&gt;nrows,"",IF(col_s1=0,0,--(LEN(INDEX('Paste Export'!$A$2:$BZ$1001,$A278,col_s1))&gt;0))+IF(col_s2=0,0,--(LEN(INDEX('Paste Export'!$A$2:$BZ$1001,$A278,col_s2))&gt;0))+IF(col_s3=0,0,--(LEN(INDEX('Paste Export'!$A$2:$BZ$1001,$A278,col_s3))&gt;0))+IF(col_s4=0,0,--(LEN(INDEX('Paste Export'!$A$2:$BZ$1001,$A278,col_s4))&gt;0))+IF(col_s5=0,0,--(LEN(INDEX('Paste Export'!$A$2:$BZ$1001,$A278,col_s5))&gt;0))+IF(col_s6=0,0,--(LEN(INDEX('Paste Export'!$A$2:$BZ$1001,$A278,col_s6))&gt;0))+IF(col_s7=0,0,--(LEN(INDEX('Paste Export'!$A$2:$BZ$1001,$A278,col_s7))&gt;0))+IF(col_s8=0,0,--(LEN(INDEX('Paste Export'!$A$2:$BZ$1001,$A278,col_s8))&gt;0)))</f>
        <v/>
      </c>
      <c r="I278" s="25" t="str">
        <f t="shared" si="31"/>
        <v/>
      </c>
      <c r="J278" s="25" t="str">
        <f t="shared" si="32"/>
        <v/>
      </c>
      <c r="K278" s="24" t="str">
        <f t="shared" si="33"/>
        <v/>
      </c>
      <c r="L278" s="24" t="str">
        <f t="shared" si="34"/>
        <v/>
      </c>
    </row>
    <row r="279" spans="1:12" x14ac:dyDescent="0.25">
      <c r="A279" s="24">
        <f t="shared" si="28"/>
        <v>278</v>
      </c>
      <c r="B279" s="25" t="str">
        <f>IF($A279&gt;nrows,"",IF(col_user=0,"",INDEX('Paste Export'!$A$2:$BZ$1001,$A279,col_user)))</f>
        <v/>
      </c>
      <c r="C279" s="24" t="str">
        <f>IF($A279&gt;nrows,"",IF(col_days=0,0,N(INDEX('Paste Export'!$A$2:$BZ$1001,$A279,col_days))))</f>
        <v/>
      </c>
      <c r="D279" s="24" t="str">
        <f>IF($A279&gt;nrows,"",IF(col_prompts=0,0,N(INDEX('Paste Export'!$A$2:$BZ$1001,$A279,col_prompts))))</f>
        <v/>
      </c>
      <c r="E279" s="24" t="str">
        <f>IF($A279&gt;nrows,"",IF(col_web=0,0,N(INDEX('Paste Export'!$A$2:$BZ$1001,$A279,col_web))))</f>
        <v/>
      </c>
      <c r="F279" s="26" t="str">
        <f t="shared" si="29"/>
        <v/>
      </c>
      <c r="G279" s="27" t="str">
        <f t="shared" si="30"/>
        <v/>
      </c>
      <c r="H279" s="24" t="str">
        <f>IF($A279&gt;nrows,"",IF(col_s1=0,0,--(LEN(INDEX('Paste Export'!$A$2:$BZ$1001,$A279,col_s1))&gt;0))+IF(col_s2=0,0,--(LEN(INDEX('Paste Export'!$A$2:$BZ$1001,$A279,col_s2))&gt;0))+IF(col_s3=0,0,--(LEN(INDEX('Paste Export'!$A$2:$BZ$1001,$A279,col_s3))&gt;0))+IF(col_s4=0,0,--(LEN(INDEX('Paste Export'!$A$2:$BZ$1001,$A279,col_s4))&gt;0))+IF(col_s5=0,0,--(LEN(INDEX('Paste Export'!$A$2:$BZ$1001,$A279,col_s5))&gt;0))+IF(col_s6=0,0,--(LEN(INDEX('Paste Export'!$A$2:$BZ$1001,$A279,col_s6))&gt;0))+IF(col_s7=0,0,--(LEN(INDEX('Paste Export'!$A$2:$BZ$1001,$A279,col_s7))&gt;0))+IF(col_s8=0,0,--(LEN(INDEX('Paste Export'!$A$2:$BZ$1001,$A279,col_s8))&gt;0)))</f>
        <v/>
      </c>
      <c r="I279" s="25" t="str">
        <f t="shared" si="31"/>
        <v/>
      </c>
      <c r="J279" s="25" t="str">
        <f t="shared" si="32"/>
        <v/>
      </c>
      <c r="K279" s="24" t="str">
        <f t="shared" si="33"/>
        <v/>
      </c>
      <c r="L279" s="24" t="str">
        <f t="shared" si="34"/>
        <v/>
      </c>
    </row>
    <row r="280" spans="1:12" x14ac:dyDescent="0.25">
      <c r="A280" s="24">
        <f t="shared" si="28"/>
        <v>279</v>
      </c>
      <c r="B280" s="25" t="str">
        <f>IF($A280&gt;nrows,"",IF(col_user=0,"",INDEX('Paste Export'!$A$2:$BZ$1001,$A280,col_user)))</f>
        <v/>
      </c>
      <c r="C280" s="24" t="str">
        <f>IF($A280&gt;nrows,"",IF(col_days=0,0,N(INDEX('Paste Export'!$A$2:$BZ$1001,$A280,col_days))))</f>
        <v/>
      </c>
      <c r="D280" s="24" t="str">
        <f>IF($A280&gt;nrows,"",IF(col_prompts=0,0,N(INDEX('Paste Export'!$A$2:$BZ$1001,$A280,col_prompts))))</f>
        <v/>
      </c>
      <c r="E280" s="24" t="str">
        <f>IF($A280&gt;nrows,"",IF(col_web=0,0,N(INDEX('Paste Export'!$A$2:$BZ$1001,$A280,col_web))))</f>
        <v/>
      </c>
      <c r="F280" s="26" t="str">
        <f t="shared" si="29"/>
        <v/>
      </c>
      <c r="G280" s="27" t="str">
        <f t="shared" si="30"/>
        <v/>
      </c>
      <c r="H280" s="24" t="str">
        <f>IF($A280&gt;nrows,"",IF(col_s1=0,0,--(LEN(INDEX('Paste Export'!$A$2:$BZ$1001,$A280,col_s1))&gt;0))+IF(col_s2=0,0,--(LEN(INDEX('Paste Export'!$A$2:$BZ$1001,$A280,col_s2))&gt;0))+IF(col_s3=0,0,--(LEN(INDEX('Paste Export'!$A$2:$BZ$1001,$A280,col_s3))&gt;0))+IF(col_s4=0,0,--(LEN(INDEX('Paste Export'!$A$2:$BZ$1001,$A280,col_s4))&gt;0))+IF(col_s5=0,0,--(LEN(INDEX('Paste Export'!$A$2:$BZ$1001,$A280,col_s5))&gt;0))+IF(col_s6=0,0,--(LEN(INDEX('Paste Export'!$A$2:$BZ$1001,$A280,col_s6))&gt;0))+IF(col_s7=0,0,--(LEN(INDEX('Paste Export'!$A$2:$BZ$1001,$A280,col_s7))&gt;0))+IF(col_s8=0,0,--(LEN(INDEX('Paste Export'!$A$2:$BZ$1001,$A280,col_s8))&gt;0)))</f>
        <v/>
      </c>
      <c r="I280" s="25" t="str">
        <f t="shared" si="31"/>
        <v/>
      </c>
      <c r="J280" s="25" t="str">
        <f t="shared" si="32"/>
        <v/>
      </c>
      <c r="K280" s="24" t="str">
        <f t="shared" si="33"/>
        <v/>
      </c>
      <c r="L280" s="24" t="str">
        <f t="shared" si="34"/>
        <v/>
      </c>
    </row>
    <row r="281" spans="1:12" x14ac:dyDescent="0.25">
      <c r="A281" s="24">
        <f t="shared" si="28"/>
        <v>280</v>
      </c>
      <c r="B281" s="25" t="str">
        <f>IF($A281&gt;nrows,"",IF(col_user=0,"",INDEX('Paste Export'!$A$2:$BZ$1001,$A281,col_user)))</f>
        <v/>
      </c>
      <c r="C281" s="24" t="str">
        <f>IF($A281&gt;nrows,"",IF(col_days=0,0,N(INDEX('Paste Export'!$A$2:$BZ$1001,$A281,col_days))))</f>
        <v/>
      </c>
      <c r="D281" s="24" t="str">
        <f>IF($A281&gt;nrows,"",IF(col_prompts=0,0,N(INDEX('Paste Export'!$A$2:$BZ$1001,$A281,col_prompts))))</f>
        <v/>
      </c>
      <c r="E281" s="24" t="str">
        <f>IF($A281&gt;nrows,"",IF(col_web=0,0,N(INDEX('Paste Export'!$A$2:$BZ$1001,$A281,col_web))))</f>
        <v/>
      </c>
      <c r="F281" s="26" t="str">
        <f t="shared" si="29"/>
        <v/>
      </c>
      <c r="G281" s="27" t="str">
        <f t="shared" si="30"/>
        <v/>
      </c>
      <c r="H281" s="24" t="str">
        <f>IF($A281&gt;nrows,"",IF(col_s1=0,0,--(LEN(INDEX('Paste Export'!$A$2:$BZ$1001,$A281,col_s1))&gt;0))+IF(col_s2=0,0,--(LEN(INDEX('Paste Export'!$A$2:$BZ$1001,$A281,col_s2))&gt;0))+IF(col_s3=0,0,--(LEN(INDEX('Paste Export'!$A$2:$BZ$1001,$A281,col_s3))&gt;0))+IF(col_s4=0,0,--(LEN(INDEX('Paste Export'!$A$2:$BZ$1001,$A281,col_s4))&gt;0))+IF(col_s5=0,0,--(LEN(INDEX('Paste Export'!$A$2:$BZ$1001,$A281,col_s5))&gt;0))+IF(col_s6=0,0,--(LEN(INDEX('Paste Export'!$A$2:$BZ$1001,$A281,col_s6))&gt;0))+IF(col_s7=0,0,--(LEN(INDEX('Paste Export'!$A$2:$BZ$1001,$A281,col_s7))&gt;0))+IF(col_s8=0,0,--(LEN(INDEX('Paste Export'!$A$2:$BZ$1001,$A281,col_s8))&gt;0)))</f>
        <v/>
      </c>
      <c r="I281" s="25" t="str">
        <f t="shared" si="31"/>
        <v/>
      </c>
      <c r="J281" s="25" t="str">
        <f t="shared" si="32"/>
        <v/>
      </c>
      <c r="K281" s="24" t="str">
        <f t="shared" si="33"/>
        <v/>
      </c>
      <c r="L281" s="24" t="str">
        <f t="shared" si="34"/>
        <v/>
      </c>
    </row>
    <row r="282" spans="1:12" x14ac:dyDescent="0.25">
      <c r="A282" s="24">
        <f t="shared" si="28"/>
        <v>281</v>
      </c>
      <c r="B282" s="25" t="str">
        <f>IF($A282&gt;nrows,"",IF(col_user=0,"",INDEX('Paste Export'!$A$2:$BZ$1001,$A282,col_user)))</f>
        <v/>
      </c>
      <c r="C282" s="24" t="str">
        <f>IF($A282&gt;nrows,"",IF(col_days=0,0,N(INDEX('Paste Export'!$A$2:$BZ$1001,$A282,col_days))))</f>
        <v/>
      </c>
      <c r="D282" s="24" t="str">
        <f>IF($A282&gt;nrows,"",IF(col_prompts=0,0,N(INDEX('Paste Export'!$A$2:$BZ$1001,$A282,col_prompts))))</f>
        <v/>
      </c>
      <c r="E282" s="24" t="str">
        <f>IF($A282&gt;nrows,"",IF(col_web=0,0,N(INDEX('Paste Export'!$A$2:$BZ$1001,$A282,col_web))))</f>
        <v/>
      </c>
      <c r="F282" s="26" t="str">
        <f t="shared" si="29"/>
        <v/>
      </c>
      <c r="G282" s="27" t="str">
        <f t="shared" si="30"/>
        <v/>
      </c>
      <c r="H282" s="24" t="str">
        <f>IF($A282&gt;nrows,"",IF(col_s1=0,0,--(LEN(INDEX('Paste Export'!$A$2:$BZ$1001,$A282,col_s1))&gt;0))+IF(col_s2=0,0,--(LEN(INDEX('Paste Export'!$A$2:$BZ$1001,$A282,col_s2))&gt;0))+IF(col_s3=0,0,--(LEN(INDEX('Paste Export'!$A$2:$BZ$1001,$A282,col_s3))&gt;0))+IF(col_s4=0,0,--(LEN(INDEX('Paste Export'!$A$2:$BZ$1001,$A282,col_s4))&gt;0))+IF(col_s5=0,0,--(LEN(INDEX('Paste Export'!$A$2:$BZ$1001,$A282,col_s5))&gt;0))+IF(col_s6=0,0,--(LEN(INDEX('Paste Export'!$A$2:$BZ$1001,$A282,col_s6))&gt;0))+IF(col_s7=0,0,--(LEN(INDEX('Paste Export'!$A$2:$BZ$1001,$A282,col_s7))&gt;0))+IF(col_s8=0,0,--(LEN(INDEX('Paste Export'!$A$2:$BZ$1001,$A282,col_s8))&gt;0)))</f>
        <v/>
      </c>
      <c r="I282" s="25" t="str">
        <f t="shared" si="31"/>
        <v/>
      </c>
      <c r="J282" s="25" t="str">
        <f t="shared" si="32"/>
        <v/>
      </c>
      <c r="K282" s="24" t="str">
        <f t="shared" si="33"/>
        <v/>
      </c>
      <c r="L282" s="24" t="str">
        <f t="shared" si="34"/>
        <v/>
      </c>
    </row>
    <row r="283" spans="1:12" x14ac:dyDescent="0.25">
      <c r="A283" s="24">
        <f t="shared" si="28"/>
        <v>282</v>
      </c>
      <c r="B283" s="25" t="str">
        <f>IF($A283&gt;nrows,"",IF(col_user=0,"",INDEX('Paste Export'!$A$2:$BZ$1001,$A283,col_user)))</f>
        <v/>
      </c>
      <c r="C283" s="24" t="str">
        <f>IF($A283&gt;nrows,"",IF(col_days=0,0,N(INDEX('Paste Export'!$A$2:$BZ$1001,$A283,col_days))))</f>
        <v/>
      </c>
      <c r="D283" s="24" t="str">
        <f>IF($A283&gt;nrows,"",IF(col_prompts=0,0,N(INDEX('Paste Export'!$A$2:$BZ$1001,$A283,col_prompts))))</f>
        <v/>
      </c>
      <c r="E283" s="24" t="str">
        <f>IF($A283&gt;nrows,"",IF(col_web=0,0,N(INDEX('Paste Export'!$A$2:$BZ$1001,$A283,col_web))))</f>
        <v/>
      </c>
      <c r="F283" s="26" t="str">
        <f t="shared" si="29"/>
        <v/>
      </c>
      <c r="G283" s="27" t="str">
        <f t="shared" si="30"/>
        <v/>
      </c>
      <c r="H283" s="24" t="str">
        <f>IF($A283&gt;nrows,"",IF(col_s1=0,0,--(LEN(INDEX('Paste Export'!$A$2:$BZ$1001,$A283,col_s1))&gt;0))+IF(col_s2=0,0,--(LEN(INDEX('Paste Export'!$A$2:$BZ$1001,$A283,col_s2))&gt;0))+IF(col_s3=0,0,--(LEN(INDEX('Paste Export'!$A$2:$BZ$1001,$A283,col_s3))&gt;0))+IF(col_s4=0,0,--(LEN(INDEX('Paste Export'!$A$2:$BZ$1001,$A283,col_s4))&gt;0))+IF(col_s5=0,0,--(LEN(INDEX('Paste Export'!$A$2:$BZ$1001,$A283,col_s5))&gt;0))+IF(col_s6=0,0,--(LEN(INDEX('Paste Export'!$A$2:$BZ$1001,$A283,col_s6))&gt;0))+IF(col_s7=0,0,--(LEN(INDEX('Paste Export'!$A$2:$BZ$1001,$A283,col_s7))&gt;0))+IF(col_s8=0,0,--(LEN(INDEX('Paste Export'!$A$2:$BZ$1001,$A283,col_s8))&gt;0)))</f>
        <v/>
      </c>
      <c r="I283" s="25" t="str">
        <f t="shared" si="31"/>
        <v/>
      </c>
      <c r="J283" s="25" t="str">
        <f t="shared" si="32"/>
        <v/>
      </c>
      <c r="K283" s="24" t="str">
        <f t="shared" si="33"/>
        <v/>
      </c>
      <c r="L283" s="24" t="str">
        <f t="shared" si="34"/>
        <v/>
      </c>
    </row>
    <row r="284" spans="1:12" x14ac:dyDescent="0.25">
      <c r="A284" s="24">
        <f t="shared" si="28"/>
        <v>283</v>
      </c>
      <c r="B284" s="25" t="str">
        <f>IF($A284&gt;nrows,"",IF(col_user=0,"",INDEX('Paste Export'!$A$2:$BZ$1001,$A284,col_user)))</f>
        <v/>
      </c>
      <c r="C284" s="24" t="str">
        <f>IF($A284&gt;nrows,"",IF(col_days=0,0,N(INDEX('Paste Export'!$A$2:$BZ$1001,$A284,col_days))))</f>
        <v/>
      </c>
      <c r="D284" s="24" t="str">
        <f>IF($A284&gt;nrows,"",IF(col_prompts=0,0,N(INDEX('Paste Export'!$A$2:$BZ$1001,$A284,col_prompts))))</f>
        <v/>
      </c>
      <c r="E284" s="24" t="str">
        <f>IF($A284&gt;nrows,"",IF(col_web=0,0,N(INDEX('Paste Export'!$A$2:$BZ$1001,$A284,col_web))))</f>
        <v/>
      </c>
      <c r="F284" s="26" t="str">
        <f t="shared" si="29"/>
        <v/>
      </c>
      <c r="G284" s="27" t="str">
        <f t="shared" si="30"/>
        <v/>
      </c>
      <c r="H284" s="24" t="str">
        <f>IF($A284&gt;nrows,"",IF(col_s1=0,0,--(LEN(INDEX('Paste Export'!$A$2:$BZ$1001,$A284,col_s1))&gt;0))+IF(col_s2=0,0,--(LEN(INDEX('Paste Export'!$A$2:$BZ$1001,$A284,col_s2))&gt;0))+IF(col_s3=0,0,--(LEN(INDEX('Paste Export'!$A$2:$BZ$1001,$A284,col_s3))&gt;0))+IF(col_s4=0,0,--(LEN(INDEX('Paste Export'!$A$2:$BZ$1001,$A284,col_s4))&gt;0))+IF(col_s5=0,0,--(LEN(INDEX('Paste Export'!$A$2:$BZ$1001,$A284,col_s5))&gt;0))+IF(col_s6=0,0,--(LEN(INDEX('Paste Export'!$A$2:$BZ$1001,$A284,col_s6))&gt;0))+IF(col_s7=0,0,--(LEN(INDEX('Paste Export'!$A$2:$BZ$1001,$A284,col_s7))&gt;0))+IF(col_s8=0,0,--(LEN(INDEX('Paste Export'!$A$2:$BZ$1001,$A284,col_s8))&gt;0)))</f>
        <v/>
      </c>
      <c r="I284" s="25" t="str">
        <f t="shared" si="31"/>
        <v/>
      </c>
      <c r="J284" s="25" t="str">
        <f t="shared" si="32"/>
        <v/>
      </c>
      <c r="K284" s="24" t="str">
        <f t="shared" si="33"/>
        <v/>
      </c>
      <c r="L284" s="24" t="str">
        <f t="shared" si="34"/>
        <v/>
      </c>
    </row>
    <row r="285" spans="1:12" x14ac:dyDescent="0.25">
      <c r="A285" s="24">
        <f t="shared" si="28"/>
        <v>284</v>
      </c>
      <c r="B285" s="25" t="str">
        <f>IF($A285&gt;nrows,"",IF(col_user=0,"",INDEX('Paste Export'!$A$2:$BZ$1001,$A285,col_user)))</f>
        <v/>
      </c>
      <c r="C285" s="24" t="str">
        <f>IF($A285&gt;nrows,"",IF(col_days=0,0,N(INDEX('Paste Export'!$A$2:$BZ$1001,$A285,col_days))))</f>
        <v/>
      </c>
      <c r="D285" s="24" t="str">
        <f>IF($A285&gt;nrows,"",IF(col_prompts=0,0,N(INDEX('Paste Export'!$A$2:$BZ$1001,$A285,col_prompts))))</f>
        <v/>
      </c>
      <c r="E285" s="24" t="str">
        <f>IF($A285&gt;nrows,"",IF(col_web=0,0,N(INDEX('Paste Export'!$A$2:$BZ$1001,$A285,col_web))))</f>
        <v/>
      </c>
      <c r="F285" s="26" t="str">
        <f t="shared" si="29"/>
        <v/>
      </c>
      <c r="G285" s="27" t="str">
        <f t="shared" si="30"/>
        <v/>
      </c>
      <c r="H285" s="24" t="str">
        <f>IF($A285&gt;nrows,"",IF(col_s1=0,0,--(LEN(INDEX('Paste Export'!$A$2:$BZ$1001,$A285,col_s1))&gt;0))+IF(col_s2=0,0,--(LEN(INDEX('Paste Export'!$A$2:$BZ$1001,$A285,col_s2))&gt;0))+IF(col_s3=0,0,--(LEN(INDEX('Paste Export'!$A$2:$BZ$1001,$A285,col_s3))&gt;0))+IF(col_s4=0,0,--(LEN(INDEX('Paste Export'!$A$2:$BZ$1001,$A285,col_s4))&gt;0))+IF(col_s5=0,0,--(LEN(INDEX('Paste Export'!$A$2:$BZ$1001,$A285,col_s5))&gt;0))+IF(col_s6=0,0,--(LEN(INDEX('Paste Export'!$A$2:$BZ$1001,$A285,col_s6))&gt;0))+IF(col_s7=0,0,--(LEN(INDEX('Paste Export'!$A$2:$BZ$1001,$A285,col_s7))&gt;0))+IF(col_s8=0,0,--(LEN(INDEX('Paste Export'!$A$2:$BZ$1001,$A285,col_s8))&gt;0)))</f>
        <v/>
      </c>
      <c r="I285" s="25" t="str">
        <f t="shared" si="31"/>
        <v/>
      </c>
      <c r="J285" s="25" t="str">
        <f t="shared" si="32"/>
        <v/>
      </c>
      <c r="K285" s="24" t="str">
        <f t="shared" si="33"/>
        <v/>
      </c>
      <c r="L285" s="24" t="str">
        <f t="shared" si="34"/>
        <v/>
      </c>
    </row>
    <row r="286" spans="1:12" x14ac:dyDescent="0.25">
      <c r="A286" s="24">
        <f t="shared" si="28"/>
        <v>285</v>
      </c>
      <c r="B286" s="25" t="str">
        <f>IF($A286&gt;nrows,"",IF(col_user=0,"",INDEX('Paste Export'!$A$2:$BZ$1001,$A286,col_user)))</f>
        <v/>
      </c>
      <c r="C286" s="24" t="str">
        <f>IF($A286&gt;nrows,"",IF(col_days=0,0,N(INDEX('Paste Export'!$A$2:$BZ$1001,$A286,col_days))))</f>
        <v/>
      </c>
      <c r="D286" s="24" t="str">
        <f>IF($A286&gt;nrows,"",IF(col_prompts=0,0,N(INDEX('Paste Export'!$A$2:$BZ$1001,$A286,col_prompts))))</f>
        <v/>
      </c>
      <c r="E286" s="24" t="str">
        <f>IF($A286&gt;nrows,"",IF(col_web=0,0,N(INDEX('Paste Export'!$A$2:$BZ$1001,$A286,col_web))))</f>
        <v/>
      </c>
      <c r="F286" s="26" t="str">
        <f t="shared" si="29"/>
        <v/>
      </c>
      <c r="G286" s="27" t="str">
        <f t="shared" si="30"/>
        <v/>
      </c>
      <c r="H286" s="24" t="str">
        <f>IF($A286&gt;nrows,"",IF(col_s1=0,0,--(LEN(INDEX('Paste Export'!$A$2:$BZ$1001,$A286,col_s1))&gt;0))+IF(col_s2=0,0,--(LEN(INDEX('Paste Export'!$A$2:$BZ$1001,$A286,col_s2))&gt;0))+IF(col_s3=0,0,--(LEN(INDEX('Paste Export'!$A$2:$BZ$1001,$A286,col_s3))&gt;0))+IF(col_s4=0,0,--(LEN(INDEX('Paste Export'!$A$2:$BZ$1001,$A286,col_s4))&gt;0))+IF(col_s5=0,0,--(LEN(INDEX('Paste Export'!$A$2:$BZ$1001,$A286,col_s5))&gt;0))+IF(col_s6=0,0,--(LEN(INDEX('Paste Export'!$A$2:$BZ$1001,$A286,col_s6))&gt;0))+IF(col_s7=0,0,--(LEN(INDEX('Paste Export'!$A$2:$BZ$1001,$A286,col_s7))&gt;0))+IF(col_s8=0,0,--(LEN(INDEX('Paste Export'!$A$2:$BZ$1001,$A286,col_s8))&gt;0)))</f>
        <v/>
      </c>
      <c r="I286" s="25" t="str">
        <f t="shared" si="31"/>
        <v/>
      </c>
      <c r="J286" s="25" t="str">
        <f t="shared" si="32"/>
        <v/>
      </c>
      <c r="K286" s="24" t="str">
        <f t="shared" si="33"/>
        <v/>
      </c>
      <c r="L286" s="24" t="str">
        <f t="shared" si="34"/>
        <v/>
      </c>
    </row>
    <row r="287" spans="1:12" x14ac:dyDescent="0.25">
      <c r="A287" s="24">
        <f t="shared" si="28"/>
        <v>286</v>
      </c>
      <c r="B287" s="25" t="str">
        <f>IF($A287&gt;nrows,"",IF(col_user=0,"",INDEX('Paste Export'!$A$2:$BZ$1001,$A287,col_user)))</f>
        <v/>
      </c>
      <c r="C287" s="24" t="str">
        <f>IF($A287&gt;nrows,"",IF(col_days=0,0,N(INDEX('Paste Export'!$A$2:$BZ$1001,$A287,col_days))))</f>
        <v/>
      </c>
      <c r="D287" s="24" t="str">
        <f>IF($A287&gt;nrows,"",IF(col_prompts=0,0,N(INDEX('Paste Export'!$A$2:$BZ$1001,$A287,col_prompts))))</f>
        <v/>
      </c>
      <c r="E287" s="24" t="str">
        <f>IF($A287&gt;nrows,"",IF(col_web=0,0,N(INDEX('Paste Export'!$A$2:$BZ$1001,$A287,col_web))))</f>
        <v/>
      </c>
      <c r="F287" s="26" t="str">
        <f t="shared" si="29"/>
        <v/>
      </c>
      <c r="G287" s="27" t="str">
        <f t="shared" si="30"/>
        <v/>
      </c>
      <c r="H287" s="24" t="str">
        <f>IF($A287&gt;nrows,"",IF(col_s1=0,0,--(LEN(INDEX('Paste Export'!$A$2:$BZ$1001,$A287,col_s1))&gt;0))+IF(col_s2=0,0,--(LEN(INDEX('Paste Export'!$A$2:$BZ$1001,$A287,col_s2))&gt;0))+IF(col_s3=0,0,--(LEN(INDEX('Paste Export'!$A$2:$BZ$1001,$A287,col_s3))&gt;0))+IF(col_s4=0,0,--(LEN(INDEX('Paste Export'!$A$2:$BZ$1001,$A287,col_s4))&gt;0))+IF(col_s5=0,0,--(LEN(INDEX('Paste Export'!$A$2:$BZ$1001,$A287,col_s5))&gt;0))+IF(col_s6=0,0,--(LEN(INDEX('Paste Export'!$A$2:$BZ$1001,$A287,col_s6))&gt;0))+IF(col_s7=0,0,--(LEN(INDEX('Paste Export'!$A$2:$BZ$1001,$A287,col_s7))&gt;0))+IF(col_s8=0,0,--(LEN(INDEX('Paste Export'!$A$2:$BZ$1001,$A287,col_s8))&gt;0)))</f>
        <v/>
      </c>
      <c r="I287" s="25" t="str">
        <f t="shared" si="31"/>
        <v/>
      </c>
      <c r="J287" s="25" t="str">
        <f t="shared" si="32"/>
        <v/>
      </c>
      <c r="K287" s="24" t="str">
        <f t="shared" si="33"/>
        <v/>
      </c>
      <c r="L287" s="24" t="str">
        <f t="shared" si="34"/>
        <v/>
      </c>
    </row>
    <row r="288" spans="1:12" x14ac:dyDescent="0.25">
      <c r="A288" s="24">
        <f t="shared" si="28"/>
        <v>287</v>
      </c>
      <c r="B288" s="25" t="str">
        <f>IF($A288&gt;nrows,"",IF(col_user=0,"",INDEX('Paste Export'!$A$2:$BZ$1001,$A288,col_user)))</f>
        <v/>
      </c>
      <c r="C288" s="24" t="str">
        <f>IF($A288&gt;nrows,"",IF(col_days=0,0,N(INDEX('Paste Export'!$A$2:$BZ$1001,$A288,col_days))))</f>
        <v/>
      </c>
      <c r="D288" s="24" t="str">
        <f>IF($A288&gt;nrows,"",IF(col_prompts=0,0,N(INDEX('Paste Export'!$A$2:$BZ$1001,$A288,col_prompts))))</f>
        <v/>
      </c>
      <c r="E288" s="24" t="str">
        <f>IF($A288&gt;nrows,"",IF(col_web=0,0,N(INDEX('Paste Export'!$A$2:$BZ$1001,$A288,col_web))))</f>
        <v/>
      </c>
      <c r="F288" s="26" t="str">
        <f t="shared" si="29"/>
        <v/>
      </c>
      <c r="G288" s="27" t="str">
        <f t="shared" si="30"/>
        <v/>
      </c>
      <c r="H288" s="24" t="str">
        <f>IF($A288&gt;nrows,"",IF(col_s1=0,0,--(LEN(INDEX('Paste Export'!$A$2:$BZ$1001,$A288,col_s1))&gt;0))+IF(col_s2=0,0,--(LEN(INDEX('Paste Export'!$A$2:$BZ$1001,$A288,col_s2))&gt;0))+IF(col_s3=0,0,--(LEN(INDEX('Paste Export'!$A$2:$BZ$1001,$A288,col_s3))&gt;0))+IF(col_s4=0,0,--(LEN(INDEX('Paste Export'!$A$2:$BZ$1001,$A288,col_s4))&gt;0))+IF(col_s5=0,0,--(LEN(INDEX('Paste Export'!$A$2:$BZ$1001,$A288,col_s5))&gt;0))+IF(col_s6=0,0,--(LEN(INDEX('Paste Export'!$A$2:$BZ$1001,$A288,col_s6))&gt;0))+IF(col_s7=0,0,--(LEN(INDEX('Paste Export'!$A$2:$BZ$1001,$A288,col_s7))&gt;0))+IF(col_s8=0,0,--(LEN(INDEX('Paste Export'!$A$2:$BZ$1001,$A288,col_s8))&gt;0)))</f>
        <v/>
      </c>
      <c r="I288" s="25" t="str">
        <f t="shared" si="31"/>
        <v/>
      </c>
      <c r="J288" s="25" t="str">
        <f t="shared" si="32"/>
        <v/>
      </c>
      <c r="K288" s="24" t="str">
        <f t="shared" si="33"/>
        <v/>
      </c>
      <c r="L288" s="24" t="str">
        <f t="shared" si="34"/>
        <v/>
      </c>
    </row>
    <row r="289" spans="1:12" x14ac:dyDescent="0.25">
      <c r="A289" s="24">
        <f t="shared" si="28"/>
        <v>288</v>
      </c>
      <c r="B289" s="25" t="str">
        <f>IF($A289&gt;nrows,"",IF(col_user=0,"",INDEX('Paste Export'!$A$2:$BZ$1001,$A289,col_user)))</f>
        <v/>
      </c>
      <c r="C289" s="24" t="str">
        <f>IF($A289&gt;nrows,"",IF(col_days=0,0,N(INDEX('Paste Export'!$A$2:$BZ$1001,$A289,col_days))))</f>
        <v/>
      </c>
      <c r="D289" s="24" t="str">
        <f>IF($A289&gt;nrows,"",IF(col_prompts=0,0,N(INDEX('Paste Export'!$A$2:$BZ$1001,$A289,col_prompts))))</f>
        <v/>
      </c>
      <c r="E289" s="24" t="str">
        <f>IF($A289&gt;nrows,"",IF(col_web=0,0,N(INDEX('Paste Export'!$A$2:$BZ$1001,$A289,col_web))))</f>
        <v/>
      </c>
      <c r="F289" s="26" t="str">
        <f t="shared" si="29"/>
        <v/>
      </c>
      <c r="G289" s="27" t="str">
        <f t="shared" si="30"/>
        <v/>
      </c>
      <c r="H289" s="24" t="str">
        <f>IF($A289&gt;nrows,"",IF(col_s1=0,0,--(LEN(INDEX('Paste Export'!$A$2:$BZ$1001,$A289,col_s1))&gt;0))+IF(col_s2=0,0,--(LEN(INDEX('Paste Export'!$A$2:$BZ$1001,$A289,col_s2))&gt;0))+IF(col_s3=0,0,--(LEN(INDEX('Paste Export'!$A$2:$BZ$1001,$A289,col_s3))&gt;0))+IF(col_s4=0,0,--(LEN(INDEX('Paste Export'!$A$2:$BZ$1001,$A289,col_s4))&gt;0))+IF(col_s5=0,0,--(LEN(INDEX('Paste Export'!$A$2:$BZ$1001,$A289,col_s5))&gt;0))+IF(col_s6=0,0,--(LEN(INDEX('Paste Export'!$A$2:$BZ$1001,$A289,col_s6))&gt;0))+IF(col_s7=0,0,--(LEN(INDEX('Paste Export'!$A$2:$BZ$1001,$A289,col_s7))&gt;0))+IF(col_s8=0,0,--(LEN(INDEX('Paste Export'!$A$2:$BZ$1001,$A289,col_s8))&gt;0)))</f>
        <v/>
      </c>
      <c r="I289" s="25" t="str">
        <f t="shared" si="31"/>
        <v/>
      </c>
      <c r="J289" s="25" t="str">
        <f t="shared" si="32"/>
        <v/>
      </c>
      <c r="K289" s="24" t="str">
        <f t="shared" si="33"/>
        <v/>
      </c>
      <c r="L289" s="24" t="str">
        <f t="shared" si="34"/>
        <v/>
      </c>
    </row>
    <row r="290" spans="1:12" x14ac:dyDescent="0.25">
      <c r="A290" s="24">
        <f t="shared" si="28"/>
        <v>289</v>
      </c>
      <c r="B290" s="25" t="str">
        <f>IF($A290&gt;nrows,"",IF(col_user=0,"",INDEX('Paste Export'!$A$2:$BZ$1001,$A290,col_user)))</f>
        <v/>
      </c>
      <c r="C290" s="24" t="str">
        <f>IF($A290&gt;nrows,"",IF(col_days=0,0,N(INDEX('Paste Export'!$A$2:$BZ$1001,$A290,col_days))))</f>
        <v/>
      </c>
      <c r="D290" s="24" t="str">
        <f>IF($A290&gt;nrows,"",IF(col_prompts=0,0,N(INDEX('Paste Export'!$A$2:$BZ$1001,$A290,col_prompts))))</f>
        <v/>
      </c>
      <c r="E290" s="24" t="str">
        <f>IF($A290&gt;nrows,"",IF(col_web=0,0,N(INDEX('Paste Export'!$A$2:$BZ$1001,$A290,col_web))))</f>
        <v/>
      </c>
      <c r="F290" s="26" t="str">
        <f t="shared" si="29"/>
        <v/>
      </c>
      <c r="G290" s="27" t="str">
        <f t="shared" si="30"/>
        <v/>
      </c>
      <c r="H290" s="24" t="str">
        <f>IF($A290&gt;nrows,"",IF(col_s1=0,0,--(LEN(INDEX('Paste Export'!$A$2:$BZ$1001,$A290,col_s1))&gt;0))+IF(col_s2=0,0,--(LEN(INDEX('Paste Export'!$A$2:$BZ$1001,$A290,col_s2))&gt;0))+IF(col_s3=0,0,--(LEN(INDEX('Paste Export'!$A$2:$BZ$1001,$A290,col_s3))&gt;0))+IF(col_s4=0,0,--(LEN(INDEX('Paste Export'!$A$2:$BZ$1001,$A290,col_s4))&gt;0))+IF(col_s5=0,0,--(LEN(INDEX('Paste Export'!$A$2:$BZ$1001,$A290,col_s5))&gt;0))+IF(col_s6=0,0,--(LEN(INDEX('Paste Export'!$A$2:$BZ$1001,$A290,col_s6))&gt;0))+IF(col_s7=0,0,--(LEN(INDEX('Paste Export'!$A$2:$BZ$1001,$A290,col_s7))&gt;0))+IF(col_s8=0,0,--(LEN(INDEX('Paste Export'!$A$2:$BZ$1001,$A290,col_s8))&gt;0)))</f>
        <v/>
      </c>
      <c r="I290" s="25" t="str">
        <f t="shared" si="31"/>
        <v/>
      </c>
      <c r="J290" s="25" t="str">
        <f t="shared" si="32"/>
        <v/>
      </c>
      <c r="K290" s="24" t="str">
        <f t="shared" si="33"/>
        <v/>
      </c>
      <c r="L290" s="24" t="str">
        <f t="shared" si="34"/>
        <v/>
      </c>
    </row>
    <row r="291" spans="1:12" x14ac:dyDescent="0.25">
      <c r="A291" s="24">
        <f t="shared" si="28"/>
        <v>290</v>
      </c>
      <c r="B291" s="25" t="str">
        <f>IF($A291&gt;nrows,"",IF(col_user=0,"",INDEX('Paste Export'!$A$2:$BZ$1001,$A291,col_user)))</f>
        <v/>
      </c>
      <c r="C291" s="24" t="str">
        <f>IF($A291&gt;nrows,"",IF(col_days=0,0,N(INDEX('Paste Export'!$A$2:$BZ$1001,$A291,col_days))))</f>
        <v/>
      </c>
      <c r="D291" s="24" t="str">
        <f>IF($A291&gt;nrows,"",IF(col_prompts=0,0,N(INDEX('Paste Export'!$A$2:$BZ$1001,$A291,col_prompts))))</f>
        <v/>
      </c>
      <c r="E291" s="24" t="str">
        <f>IF($A291&gt;nrows,"",IF(col_web=0,0,N(INDEX('Paste Export'!$A$2:$BZ$1001,$A291,col_web))))</f>
        <v/>
      </c>
      <c r="F291" s="26" t="str">
        <f t="shared" si="29"/>
        <v/>
      </c>
      <c r="G291" s="27" t="str">
        <f t="shared" si="30"/>
        <v/>
      </c>
      <c r="H291" s="24" t="str">
        <f>IF($A291&gt;nrows,"",IF(col_s1=0,0,--(LEN(INDEX('Paste Export'!$A$2:$BZ$1001,$A291,col_s1))&gt;0))+IF(col_s2=0,0,--(LEN(INDEX('Paste Export'!$A$2:$BZ$1001,$A291,col_s2))&gt;0))+IF(col_s3=0,0,--(LEN(INDEX('Paste Export'!$A$2:$BZ$1001,$A291,col_s3))&gt;0))+IF(col_s4=0,0,--(LEN(INDEX('Paste Export'!$A$2:$BZ$1001,$A291,col_s4))&gt;0))+IF(col_s5=0,0,--(LEN(INDEX('Paste Export'!$A$2:$BZ$1001,$A291,col_s5))&gt;0))+IF(col_s6=0,0,--(LEN(INDEX('Paste Export'!$A$2:$BZ$1001,$A291,col_s6))&gt;0))+IF(col_s7=0,0,--(LEN(INDEX('Paste Export'!$A$2:$BZ$1001,$A291,col_s7))&gt;0))+IF(col_s8=0,0,--(LEN(INDEX('Paste Export'!$A$2:$BZ$1001,$A291,col_s8))&gt;0)))</f>
        <v/>
      </c>
      <c r="I291" s="25" t="str">
        <f t="shared" si="31"/>
        <v/>
      </c>
      <c r="J291" s="25" t="str">
        <f t="shared" si="32"/>
        <v/>
      </c>
      <c r="K291" s="24" t="str">
        <f t="shared" si="33"/>
        <v/>
      </c>
      <c r="L291" s="24" t="str">
        <f t="shared" si="34"/>
        <v/>
      </c>
    </row>
    <row r="292" spans="1:12" x14ac:dyDescent="0.25">
      <c r="A292" s="24">
        <f t="shared" si="28"/>
        <v>291</v>
      </c>
      <c r="B292" s="25" t="str">
        <f>IF($A292&gt;nrows,"",IF(col_user=0,"",INDEX('Paste Export'!$A$2:$BZ$1001,$A292,col_user)))</f>
        <v/>
      </c>
      <c r="C292" s="24" t="str">
        <f>IF($A292&gt;nrows,"",IF(col_days=0,0,N(INDEX('Paste Export'!$A$2:$BZ$1001,$A292,col_days))))</f>
        <v/>
      </c>
      <c r="D292" s="24" t="str">
        <f>IF($A292&gt;nrows,"",IF(col_prompts=0,0,N(INDEX('Paste Export'!$A$2:$BZ$1001,$A292,col_prompts))))</f>
        <v/>
      </c>
      <c r="E292" s="24" t="str">
        <f>IF($A292&gt;nrows,"",IF(col_web=0,0,N(INDEX('Paste Export'!$A$2:$BZ$1001,$A292,col_web))))</f>
        <v/>
      </c>
      <c r="F292" s="26" t="str">
        <f t="shared" si="29"/>
        <v/>
      </c>
      <c r="G292" s="27" t="str">
        <f t="shared" si="30"/>
        <v/>
      </c>
      <c r="H292" s="24" t="str">
        <f>IF($A292&gt;nrows,"",IF(col_s1=0,0,--(LEN(INDEX('Paste Export'!$A$2:$BZ$1001,$A292,col_s1))&gt;0))+IF(col_s2=0,0,--(LEN(INDEX('Paste Export'!$A$2:$BZ$1001,$A292,col_s2))&gt;0))+IF(col_s3=0,0,--(LEN(INDEX('Paste Export'!$A$2:$BZ$1001,$A292,col_s3))&gt;0))+IF(col_s4=0,0,--(LEN(INDEX('Paste Export'!$A$2:$BZ$1001,$A292,col_s4))&gt;0))+IF(col_s5=0,0,--(LEN(INDEX('Paste Export'!$A$2:$BZ$1001,$A292,col_s5))&gt;0))+IF(col_s6=0,0,--(LEN(INDEX('Paste Export'!$A$2:$BZ$1001,$A292,col_s6))&gt;0))+IF(col_s7=0,0,--(LEN(INDEX('Paste Export'!$A$2:$BZ$1001,$A292,col_s7))&gt;0))+IF(col_s8=0,0,--(LEN(INDEX('Paste Export'!$A$2:$BZ$1001,$A292,col_s8))&gt;0)))</f>
        <v/>
      </c>
      <c r="I292" s="25" t="str">
        <f t="shared" si="31"/>
        <v/>
      </c>
      <c r="J292" s="25" t="str">
        <f t="shared" si="32"/>
        <v/>
      </c>
      <c r="K292" s="24" t="str">
        <f t="shared" si="33"/>
        <v/>
      </c>
      <c r="L292" s="24" t="str">
        <f t="shared" si="34"/>
        <v/>
      </c>
    </row>
    <row r="293" spans="1:12" x14ac:dyDescent="0.25">
      <c r="A293" s="24">
        <f t="shared" si="28"/>
        <v>292</v>
      </c>
      <c r="B293" s="25" t="str">
        <f>IF($A293&gt;nrows,"",IF(col_user=0,"",INDEX('Paste Export'!$A$2:$BZ$1001,$A293,col_user)))</f>
        <v/>
      </c>
      <c r="C293" s="24" t="str">
        <f>IF($A293&gt;nrows,"",IF(col_days=0,0,N(INDEX('Paste Export'!$A$2:$BZ$1001,$A293,col_days))))</f>
        <v/>
      </c>
      <c r="D293" s="24" t="str">
        <f>IF($A293&gt;nrows,"",IF(col_prompts=0,0,N(INDEX('Paste Export'!$A$2:$BZ$1001,$A293,col_prompts))))</f>
        <v/>
      </c>
      <c r="E293" s="24" t="str">
        <f>IF($A293&gt;nrows,"",IF(col_web=0,0,N(INDEX('Paste Export'!$A$2:$BZ$1001,$A293,col_web))))</f>
        <v/>
      </c>
      <c r="F293" s="26" t="str">
        <f t="shared" si="29"/>
        <v/>
      </c>
      <c r="G293" s="27" t="str">
        <f t="shared" si="30"/>
        <v/>
      </c>
      <c r="H293" s="24" t="str">
        <f>IF($A293&gt;nrows,"",IF(col_s1=0,0,--(LEN(INDEX('Paste Export'!$A$2:$BZ$1001,$A293,col_s1))&gt;0))+IF(col_s2=0,0,--(LEN(INDEX('Paste Export'!$A$2:$BZ$1001,$A293,col_s2))&gt;0))+IF(col_s3=0,0,--(LEN(INDEX('Paste Export'!$A$2:$BZ$1001,$A293,col_s3))&gt;0))+IF(col_s4=0,0,--(LEN(INDEX('Paste Export'!$A$2:$BZ$1001,$A293,col_s4))&gt;0))+IF(col_s5=0,0,--(LEN(INDEX('Paste Export'!$A$2:$BZ$1001,$A293,col_s5))&gt;0))+IF(col_s6=0,0,--(LEN(INDEX('Paste Export'!$A$2:$BZ$1001,$A293,col_s6))&gt;0))+IF(col_s7=0,0,--(LEN(INDEX('Paste Export'!$A$2:$BZ$1001,$A293,col_s7))&gt;0))+IF(col_s8=0,0,--(LEN(INDEX('Paste Export'!$A$2:$BZ$1001,$A293,col_s8))&gt;0)))</f>
        <v/>
      </c>
      <c r="I293" s="25" t="str">
        <f t="shared" si="31"/>
        <v/>
      </c>
      <c r="J293" s="25" t="str">
        <f t="shared" si="32"/>
        <v/>
      </c>
      <c r="K293" s="24" t="str">
        <f t="shared" si="33"/>
        <v/>
      </c>
      <c r="L293" s="24" t="str">
        <f t="shared" si="34"/>
        <v/>
      </c>
    </row>
    <row r="294" spans="1:12" x14ac:dyDescent="0.25">
      <c r="A294" s="24">
        <f t="shared" si="28"/>
        <v>293</v>
      </c>
      <c r="B294" s="25" t="str">
        <f>IF($A294&gt;nrows,"",IF(col_user=0,"",INDEX('Paste Export'!$A$2:$BZ$1001,$A294,col_user)))</f>
        <v/>
      </c>
      <c r="C294" s="24" t="str">
        <f>IF($A294&gt;nrows,"",IF(col_days=0,0,N(INDEX('Paste Export'!$A$2:$BZ$1001,$A294,col_days))))</f>
        <v/>
      </c>
      <c r="D294" s="24" t="str">
        <f>IF($A294&gt;nrows,"",IF(col_prompts=0,0,N(INDEX('Paste Export'!$A$2:$BZ$1001,$A294,col_prompts))))</f>
        <v/>
      </c>
      <c r="E294" s="24" t="str">
        <f>IF($A294&gt;nrows,"",IF(col_web=0,0,N(INDEX('Paste Export'!$A$2:$BZ$1001,$A294,col_web))))</f>
        <v/>
      </c>
      <c r="F294" s="26" t="str">
        <f t="shared" si="29"/>
        <v/>
      </c>
      <c r="G294" s="27" t="str">
        <f t="shared" si="30"/>
        <v/>
      </c>
      <c r="H294" s="24" t="str">
        <f>IF($A294&gt;nrows,"",IF(col_s1=0,0,--(LEN(INDEX('Paste Export'!$A$2:$BZ$1001,$A294,col_s1))&gt;0))+IF(col_s2=0,0,--(LEN(INDEX('Paste Export'!$A$2:$BZ$1001,$A294,col_s2))&gt;0))+IF(col_s3=0,0,--(LEN(INDEX('Paste Export'!$A$2:$BZ$1001,$A294,col_s3))&gt;0))+IF(col_s4=0,0,--(LEN(INDEX('Paste Export'!$A$2:$BZ$1001,$A294,col_s4))&gt;0))+IF(col_s5=0,0,--(LEN(INDEX('Paste Export'!$A$2:$BZ$1001,$A294,col_s5))&gt;0))+IF(col_s6=0,0,--(LEN(INDEX('Paste Export'!$A$2:$BZ$1001,$A294,col_s6))&gt;0))+IF(col_s7=0,0,--(LEN(INDEX('Paste Export'!$A$2:$BZ$1001,$A294,col_s7))&gt;0))+IF(col_s8=0,0,--(LEN(INDEX('Paste Export'!$A$2:$BZ$1001,$A294,col_s8))&gt;0)))</f>
        <v/>
      </c>
      <c r="I294" s="25" t="str">
        <f t="shared" si="31"/>
        <v/>
      </c>
      <c r="J294" s="25" t="str">
        <f t="shared" si="32"/>
        <v/>
      </c>
      <c r="K294" s="24" t="str">
        <f t="shared" si="33"/>
        <v/>
      </c>
      <c r="L294" s="24" t="str">
        <f t="shared" si="34"/>
        <v/>
      </c>
    </row>
    <row r="295" spans="1:12" x14ac:dyDescent="0.25">
      <c r="A295" s="24">
        <f t="shared" si="28"/>
        <v>294</v>
      </c>
      <c r="B295" s="25" t="str">
        <f>IF($A295&gt;nrows,"",IF(col_user=0,"",INDEX('Paste Export'!$A$2:$BZ$1001,$A295,col_user)))</f>
        <v/>
      </c>
      <c r="C295" s="24" t="str">
        <f>IF($A295&gt;nrows,"",IF(col_days=0,0,N(INDEX('Paste Export'!$A$2:$BZ$1001,$A295,col_days))))</f>
        <v/>
      </c>
      <c r="D295" s="24" t="str">
        <f>IF($A295&gt;nrows,"",IF(col_prompts=0,0,N(INDEX('Paste Export'!$A$2:$BZ$1001,$A295,col_prompts))))</f>
        <v/>
      </c>
      <c r="E295" s="24" t="str">
        <f>IF($A295&gt;nrows,"",IF(col_web=0,0,N(INDEX('Paste Export'!$A$2:$BZ$1001,$A295,col_web))))</f>
        <v/>
      </c>
      <c r="F295" s="26" t="str">
        <f t="shared" si="29"/>
        <v/>
      </c>
      <c r="G295" s="27" t="str">
        <f t="shared" si="30"/>
        <v/>
      </c>
      <c r="H295" s="24" t="str">
        <f>IF($A295&gt;nrows,"",IF(col_s1=0,0,--(LEN(INDEX('Paste Export'!$A$2:$BZ$1001,$A295,col_s1))&gt;0))+IF(col_s2=0,0,--(LEN(INDEX('Paste Export'!$A$2:$BZ$1001,$A295,col_s2))&gt;0))+IF(col_s3=0,0,--(LEN(INDEX('Paste Export'!$A$2:$BZ$1001,$A295,col_s3))&gt;0))+IF(col_s4=0,0,--(LEN(INDEX('Paste Export'!$A$2:$BZ$1001,$A295,col_s4))&gt;0))+IF(col_s5=0,0,--(LEN(INDEX('Paste Export'!$A$2:$BZ$1001,$A295,col_s5))&gt;0))+IF(col_s6=0,0,--(LEN(INDEX('Paste Export'!$A$2:$BZ$1001,$A295,col_s6))&gt;0))+IF(col_s7=0,0,--(LEN(INDEX('Paste Export'!$A$2:$BZ$1001,$A295,col_s7))&gt;0))+IF(col_s8=0,0,--(LEN(INDEX('Paste Export'!$A$2:$BZ$1001,$A295,col_s8))&gt;0)))</f>
        <v/>
      </c>
      <c r="I295" s="25" t="str">
        <f t="shared" si="31"/>
        <v/>
      </c>
      <c r="J295" s="25" t="str">
        <f t="shared" si="32"/>
        <v/>
      </c>
      <c r="K295" s="24" t="str">
        <f t="shared" si="33"/>
        <v/>
      </c>
      <c r="L295" s="24" t="str">
        <f t="shared" si="34"/>
        <v/>
      </c>
    </row>
    <row r="296" spans="1:12" x14ac:dyDescent="0.25">
      <c r="A296" s="24">
        <f t="shared" si="28"/>
        <v>295</v>
      </c>
      <c r="B296" s="25" t="str">
        <f>IF($A296&gt;nrows,"",IF(col_user=0,"",INDEX('Paste Export'!$A$2:$BZ$1001,$A296,col_user)))</f>
        <v/>
      </c>
      <c r="C296" s="24" t="str">
        <f>IF($A296&gt;nrows,"",IF(col_days=0,0,N(INDEX('Paste Export'!$A$2:$BZ$1001,$A296,col_days))))</f>
        <v/>
      </c>
      <c r="D296" s="24" t="str">
        <f>IF($A296&gt;nrows,"",IF(col_prompts=0,0,N(INDEX('Paste Export'!$A$2:$BZ$1001,$A296,col_prompts))))</f>
        <v/>
      </c>
      <c r="E296" s="24" t="str">
        <f>IF($A296&gt;nrows,"",IF(col_web=0,0,N(INDEX('Paste Export'!$A$2:$BZ$1001,$A296,col_web))))</f>
        <v/>
      </c>
      <c r="F296" s="26" t="str">
        <f t="shared" si="29"/>
        <v/>
      </c>
      <c r="G296" s="27" t="str">
        <f t="shared" si="30"/>
        <v/>
      </c>
      <c r="H296" s="24" t="str">
        <f>IF($A296&gt;nrows,"",IF(col_s1=0,0,--(LEN(INDEX('Paste Export'!$A$2:$BZ$1001,$A296,col_s1))&gt;0))+IF(col_s2=0,0,--(LEN(INDEX('Paste Export'!$A$2:$BZ$1001,$A296,col_s2))&gt;0))+IF(col_s3=0,0,--(LEN(INDEX('Paste Export'!$A$2:$BZ$1001,$A296,col_s3))&gt;0))+IF(col_s4=0,0,--(LEN(INDEX('Paste Export'!$A$2:$BZ$1001,$A296,col_s4))&gt;0))+IF(col_s5=0,0,--(LEN(INDEX('Paste Export'!$A$2:$BZ$1001,$A296,col_s5))&gt;0))+IF(col_s6=0,0,--(LEN(INDEX('Paste Export'!$A$2:$BZ$1001,$A296,col_s6))&gt;0))+IF(col_s7=0,0,--(LEN(INDEX('Paste Export'!$A$2:$BZ$1001,$A296,col_s7))&gt;0))+IF(col_s8=0,0,--(LEN(INDEX('Paste Export'!$A$2:$BZ$1001,$A296,col_s8))&gt;0)))</f>
        <v/>
      </c>
      <c r="I296" s="25" t="str">
        <f t="shared" si="31"/>
        <v/>
      </c>
      <c r="J296" s="25" t="str">
        <f t="shared" si="32"/>
        <v/>
      </c>
      <c r="K296" s="24" t="str">
        <f t="shared" si="33"/>
        <v/>
      </c>
      <c r="L296" s="24" t="str">
        <f t="shared" si="34"/>
        <v/>
      </c>
    </row>
    <row r="297" spans="1:12" x14ac:dyDescent="0.25">
      <c r="A297" s="24">
        <f t="shared" si="28"/>
        <v>296</v>
      </c>
      <c r="B297" s="25" t="str">
        <f>IF($A297&gt;nrows,"",IF(col_user=0,"",INDEX('Paste Export'!$A$2:$BZ$1001,$A297,col_user)))</f>
        <v/>
      </c>
      <c r="C297" s="24" t="str">
        <f>IF($A297&gt;nrows,"",IF(col_days=0,0,N(INDEX('Paste Export'!$A$2:$BZ$1001,$A297,col_days))))</f>
        <v/>
      </c>
      <c r="D297" s="24" t="str">
        <f>IF($A297&gt;nrows,"",IF(col_prompts=0,0,N(INDEX('Paste Export'!$A$2:$BZ$1001,$A297,col_prompts))))</f>
        <v/>
      </c>
      <c r="E297" s="24" t="str">
        <f>IF($A297&gt;nrows,"",IF(col_web=0,0,N(INDEX('Paste Export'!$A$2:$BZ$1001,$A297,col_web))))</f>
        <v/>
      </c>
      <c r="F297" s="26" t="str">
        <f t="shared" si="29"/>
        <v/>
      </c>
      <c r="G297" s="27" t="str">
        <f t="shared" si="30"/>
        <v/>
      </c>
      <c r="H297" s="24" t="str">
        <f>IF($A297&gt;nrows,"",IF(col_s1=0,0,--(LEN(INDEX('Paste Export'!$A$2:$BZ$1001,$A297,col_s1))&gt;0))+IF(col_s2=0,0,--(LEN(INDEX('Paste Export'!$A$2:$BZ$1001,$A297,col_s2))&gt;0))+IF(col_s3=0,0,--(LEN(INDEX('Paste Export'!$A$2:$BZ$1001,$A297,col_s3))&gt;0))+IF(col_s4=0,0,--(LEN(INDEX('Paste Export'!$A$2:$BZ$1001,$A297,col_s4))&gt;0))+IF(col_s5=0,0,--(LEN(INDEX('Paste Export'!$A$2:$BZ$1001,$A297,col_s5))&gt;0))+IF(col_s6=0,0,--(LEN(INDEX('Paste Export'!$A$2:$BZ$1001,$A297,col_s6))&gt;0))+IF(col_s7=0,0,--(LEN(INDEX('Paste Export'!$A$2:$BZ$1001,$A297,col_s7))&gt;0))+IF(col_s8=0,0,--(LEN(INDEX('Paste Export'!$A$2:$BZ$1001,$A297,col_s8))&gt;0)))</f>
        <v/>
      </c>
      <c r="I297" s="25" t="str">
        <f t="shared" si="31"/>
        <v/>
      </c>
      <c r="J297" s="25" t="str">
        <f t="shared" si="32"/>
        <v/>
      </c>
      <c r="K297" s="24" t="str">
        <f t="shared" si="33"/>
        <v/>
      </c>
      <c r="L297" s="24" t="str">
        <f t="shared" si="34"/>
        <v/>
      </c>
    </row>
    <row r="298" spans="1:12" x14ac:dyDescent="0.25">
      <c r="A298" s="24">
        <f t="shared" si="28"/>
        <v>297</v>
      </c>
      <c r="B298" s="25" t="str">
        <f>IF($A298&gt;nrows,"",IF(col_user=0,"",INDEX('Paste Export'!$A$2:$BZ$1001,$A298,col_user)))</f>
        <v/>
      </c>
      <c r="C298" s="24" t="str">
        <f>IF($A298&gt;nrows,"",IF(col_days=0,0,N(INDEX('Paste Export'!$A$2:$BZ$1001,$A298,col_days))))</f>
        <v/>
      </c>
      <c r="D298" s="24" t="str">
        <f>IF($A298&gt;nrows,"",IF(col_prompts=0,0,N(INDEX('Paste Export'!$A$2:$BZ$1001,$A298,col_prompts))))</f>
        <v/>
      </c>
      <c r="E298" s="24" t="str">
        <f>IF($A298&gt;nrows,"",IF(col_web=0,0,N(INDEX('Paste Export'!$A$2:$BZ$1001,$A298,col_web))))</f>
        <v/>
      </c>
      <c r="F298" s="26" t="str">
        <f t="shared" si="29"/>
        <v/>
      </c>
      <c r="G298" s="27" t="str">
        <f t="shared" si="30"/>
        <v/>
      </c>
      <c r="H298" s="24" t="str">
        <f>IF($A298&gt;nrows,"",IF(col_s1=0,0,--(LEN(INDEX('Paste Export'!$A$2:$BZ$1001,$A298,col_s1))&gt;0))+IF(col_s2=0,0,--(LEN(INDEX('Paste Export'!$A$2:$BZ$1001,$A298,col_s2))&gt;0))+IF(col_s3=0,0,--(LEN(INDEX('Paste Export'!$A$2:$BZ$1001,$A298,col_s3))&gt;0))+IF(col_s4=0,0,--(LEN(INDEX('Paste Export'!$A$2:$BZ$1001,$A298,col_s4))&gt;0))+IF(col_s5=0,0,--(LEN(INDEX('Paste Export'!$A$2:$BZ$1001,$A298,col_s5))&gt;0))+IF(col_s6=0,0,--(LEN(INDEX('Paste Export'!$A$2:$BZ$1001,$A298,col_s6))&gt;0))+IF(col_s7=0,0,--(LEN(INDEX('Paste Export'!$A$2:$BZ$1001,$A298,col_s7))&gt;0))+IF(col_s8=0,0,--(LEN(INDEX('Paste Export'!$A$2:$BZ$1001,$A298,col_s8))&gt;0)))</f>
        <v/>
      </c>
      <c r="I298" s="25" t="str">
        <f t="shared" si="31"/>
        <v/>
      </c>
      <c r="J298" s="25" t="str">
        <f t="shared" si="32"/>
        <v/>
      </c>
      <c r="K298" s="24" t="str">
        <f t="shared" si="33"/>
        <v/>
      </c>
      <c r="L298" s="24" t="str">
        <f t="shared" si="34"/>
        <v/>
      </c>
    </row>
    <row r="299" spans="1:12" x14ac:dyDescent="0.25">
      <c r="A299" s="24">
        <f t="shared" si="28"/>
        <v>298</v>
      </c>
      <c r="B299" s="25" t="str">
        <f>IF($A299&gt;nrows,"",IF(col_user=0,"",INDEX('Paste Export'!$A$2:$BZ$1001,$A299,col_user)))</f>
        <v/>
      </c>
      <c r="C299" s="24" t="str">
        <f>IF($A299&gt;nrows,"",IF(col_days=0,0,N(INDEX('Paste Export'!$A$2:$BZ$1001,$A299,col_days))))</f>
        <v/>
      </c>
      <c r="D299" s="24" t="str">
        <f>IF($A299&gt;nrows,"",IF(col_prompts=0,0,N(INDEX('Paste Export'!$A$2:$BZ$1001,$A299,col_prompts))))</f>
        <v/>
      </c>
      <c r="E299" s="24" t="str">
        <f>IF($A299&gt;nrows,"",IF(col_web=0,0,N(INDEX('Paste Export'!$A$2:$BZ$1001,$A299,col_web))))</f>
        <v/>
      </c>
      <c r="F299" s="26" t="str">
        <f t="shared" si="29"/>
        <v/>
      </c>
      <c r="G299" s="27" t="str">
        <f t="shared" si="30"/>
        <v/>
      </c>
      <c r="H299" s="24" t="str">
        <f>IF($A299&gt;nrows,"",IF(col_s1=0,0,--(LEN(INDEX('Paste Export'!$A$2:$BZ$1001,$A299,col_s1))&gt;0))+IF(col_s2=0,0,--(LEN(INDEX('Paste Export'!$A$2:$BZ$1001,$A299,col_s2))&gt;0))+IF(col_s3=0,0,--(LEN(INDEX('Paste Export'!$A$2:$BZ$1001,$A299,col_s3))&gt;0))+IF(col_s4=0,0,--(LEN(INDEX('Paste Export'!$A$2:$BZ$1001,$A299,col_s4))&gt;0))+IF(col_s5=0,0,--(LEN(INDEX('Paste Export'!$A$2:$BZ$1001,$A299,col_s5))&gt;0))+IF(col_s6=0,0,--(LEN(INDEX('Paste Export'!$A$2:$BZ$1001,$A299,col_s6))&gt;0))+IF(col_s7=0,0,--(LEN(INDEX('Paste Export'!$A$2:$BZ$1001,$A299,col_s7))&gt;0))+IF(col_s8=0,0,--(LEN(INDEX('Paste Export'!$A$2:$BZ$1001,$A299,col_s8))&gt;0)))</f>
        <v/>
      </c>
      <c r="I299" s="25" t="str">
        <f t="shared" si="31"/>
        <v/>
      </c>
      <c r="J299" s="25" t="str">
        <f t="shared" si="32"/>
        <v/>
      </c>
      <c r="K299" s="24" t="str">
        <f t="shared" si="33"/>
        <v/>
      </c>
      <c r="L299" s="24" t="str">
        <f t="shared" si="34"/>
        <v/>
      </c>
    </row>
    <row r="300" spans="1:12" x14ac:dyDescent="0.25">
      <c r="A300" s="24">
        <f t="shared" si="28"/>
        <v>299</v>
      </c>
      <c r="B300" s="25" t="str">
        <f>IF($A300&gt;nrows,"",IF(col_user=0,"",INDEX('Paste Export'!$A$2:$BZ$1001,$A300,col_user)))</f>
        <v/>
      </c>
      <c r="C300" s="24" t="str">
        <f>IF($A300&gt;nrows,"",IF(col_days=0,0,N(INDEX('Paste Export'!$A$2:$BZ$1001,$A300,col_days))))</f>
        <v/>
      </c>
      <c r="D300" s="24" t="str">
        <f>IF($A300&gt;nrows,"",IF(col_prompts=0,0,N(INDEX('Paste Export'!$A$2:$BZ$1001,$A300,col_prompts))))</f>
        <v/>
      </c>
      <c r="E300" s="24" t="str">
        <f>IF($A300&gt;nrows,"",IF(col_web=0,0,N(INDEX('Paste Export'!$A$2:$BZ$1001,$A300,col_web))))</f>
        <v/>
      </c>
      <c r="F300" s="26" t="str">
        <f t="shared" si="29"/>
        <v/>
      </c>
      <c r="G300" s="27" t="str">
        <f t="shared" si="30"/>
        <v/>
      </c>
      <c r="H300" s="24" t="str">
        <f>IF($A300&gt;nrows,"",IF(col_s1=0,0,--(LEN(INDEX('Paste Export'!$A$2:$BZ$1001,$A300,col_s1))&gt;0))+IF(col_s2=0,0,--(LEN(INDEX('Paste Export'!$A$2:$BZ$1001,$A300,col_s2))&gt;0))+IF(col_s3=0,0,--(LEN(INDEX('Paste Export'!$A$2:$BZ$1001,$A300,col_s3))&gt;0))+IF(col_s4=0,0,--(LEN(INDEX('Paste Export'!$A$2:$BZ$1001,$A300,col_s4))&gt;0))+IF(col_s5=0,0,--(LEN(INDEX('Paste Export'!$A$2:$BZ$1001,$A300,col_s5))&gt;0))+IF(col_s6=0,0,--(LEN(INDEX('Paste Export'!$A$2:$BZ$1001,$A300,col_s6))&gt;0))+IF(col_s7=0,0,--(LEN(INDEX('Paste Export'!$A$2:$BZ$1001,$A300,col_s7))&gt;0))+IF(col_s8=0,0,--(LEN(INDEX('Paste Export'!$A$2:$BZ$1001,$A300,col_s8))&gt;0)))</f>
        <v/>
      </c>
      <c r="I300" s="25" t="str">
        <f t="shared" si="31"/>
        <v/>
      </c>
      <c r="J300" s="25" t="str">
        <f t="shared" si="32"/>
        <v/>
      </c>
      <c r="K300" s="24" t="str">
        <f t="shared" si="33"/>
        <v/>
      </c>
      <c r="L300" s="24" t="str">
        <f t="shared" si="34"/>
        <v/>
      </c>
    </row>
    <row r="301" spans="1:12" x14ac:dyDescent="0.25">
      <c r="A301" s="24">
        <f t="shared" si="28"/>
        <v>300</v>
      </c>
      <c r="B301" s="25" t="str">
        <f>IF($A301&gt;nrows,"",IF(col_user=0,"",INDEX('Paste Export'!$A$2:$BZ$1001,$A301,col_user)))</f>
        <v/>
      </c>
      <c r="C301" s="24" t="str">
        <f>IF($A301&gt;nrows,"",IF(col_days=0,0,N(INDEX('Paste Export'!$A$2:$BZ$1001,$A301,col_days))))</f>
        <v/>
      </c>
      <c r="D301" s="24" t="str">
        <f>IF($A301&gt;nrows,"",IF(col_prompts=0,0,N(INDEX('Paste Export'!$A$2:$BZ$1001,$A301,col_prompts))))</f>
        <v/>
      </c>
      <c r="E301" s="24" t="str">
        <f>IF($A301&gt;nrows,"",IF(col_web=0,0,N(INDEX('Paste Export'!$A$2:$BZ$1001,$A301,col_web))))</f>
        <v/>
      </c>
      <c r="F301" s="26" t="str">
        <f t="shared" si="29"/>
        <v/>
      </c>
      <c r="G301" s="27" t="str">
        <f t="shared" si="30"/>
        <v/>
      </c>
      <c r="H301" s="24" t="str">
        <f>IF($A301&gt;nrows,"",IF(col_s1=0,0,--(LEN(INDEX('Paste Export'!$A$2:$BZ$1001,$A301,col_s1))&gt;0))+IF(col_s2=0,0,--(LEN(INDEX('Paste Export'!$A$2:$BZ$1001,$A301,col_s2))&gt;0))+IF(col_s3=0,0,--(LEN(INDEX('Paste Export'!$A$2:$BZ$1001,$A301,col_s3))&gt;0))+IF(col_s4=0,0,--(LEN(INDEX('Paste Export'!$A$2:$BZ$1001,$A301,col_s4))&gt;0))+IF(col_s5=0,0,--(LEN(INDEX('Paste Export'!$A$2:$BZ$1001,$A301,col_s5))&gt;0))+IF(col_s6=0,0,--(LEN(INDEX('Paste Export'!$A$2:$BZ$1001,$A301,col_s6))&gt;0))+IF(col_s7=0,0,--(LEN(INDEX('Paste Export'!$A$2:$BZ$1001,$A301,col_s7))&gt;0))+IF(col_s8=0,0,--(LEN(INDEX('Paste Export'!$A$2:$BZ$1001,$A301,col_s8))&gt;0)))</f>
        <v/>
      </c>
      <c r="I301" s="25" t="str">
        <f t="shared" si="31"/>
        <v/>
      </c>
      <c r="J301" s="25" t="str">
        <f t="shared" si="32"/>
        <v/>
      </c>
      <c r="K301" s="24" t="str">
        <f t="shared" si="33"/>
        <v/>
      </c>
      <c r="L301" s="24" t="str">
        <f t="shared" si="34"/>
        <v/>
      </c>
    </row>
    <row r="302" spans="1:12" x14ac:dyDescent="0.25">
      <c r="A302" s="24">
        <f t="shared" si="28"/>
        <v>301</v>
      </c>
      <c r="B302" s="25" t="str">
        <f>IF($A302&gt;nrows,"",IF(col_user=0,"",INDEX('Paste Export'!$A$2:$BZ$1001,$A302,col_user)))</f>
        <v/>
      </c>
      <c r="C302" s="24" t="str">
        <f>IF($A302&gt;nrows,"",IF(col_days=0,0,N(INDEX('Paste Export'!$A$2:$BZ$1001,$A302,col_days))))</f>
        <v/>
      </c>
      <c r="D302" s="24" t="str">
        <f>IF($A302&gt;nrows,"",IF(col_prompts=0,0,N(INDEX('Paste Export'!$A$2:$BZ$1001,$A302,col_prompts))))</f>
        <v/>
      </c>
      <c r="E302" s="24" t="str">
        <f>IF($A302&gt;nrows,"",IF(col_web=0,0,N(INDEX('Paste Export'!$A$2:$BZ$1001,$A302,col_web))))</f>
        <v/>
      </c>
      <c r="F302" s="26" t="str">
        <f t="shared" si="29"/>
        <v/>
      </c>
      <c r="G302" s="27" t="str">
        <f t="shared" si="30"/>
        <v/>
      </c>
      <c r="H302" s="24" t="str">
        <f>IF($A302&gt;nrows,"",IF(col_s1=0,0,--(LEN(INDEX('Paste Export'!$A$2:$BZ$1001,$A302,col_s1))&gt;0))+IF(col_s2=0,0,--(LEN(INDEX('Paste Export'!$A$2:$BZ$1001,$A302,col_s2))&gt;0))+IF(col_s3=0,0,--(LEN(INDEX('Paste Export'!$A$2:$BZ$1001,$A302,col_s3))&gt;0))+IF(col_s4=0,0,--(LEN(INDEX('Paste Export'!$A$2:$BZ$1001,$A302,col_s4))&gt;0))+IF(col_s5=0,0,--(LEN(INDEX('Paste Export'!$A$2:$BZ$1001,$A302,col_s5))&gt;0))+IF(col_s6=0,0,--(LEN(INDEX('Paste Export'!$A$2:$BZ$1001,$A302,col_s6))&gt;0))+IF(col_s7=0,0,--(LEN(INDEX('Paste Export'!$A$2:$BZ$1001,$A302,col_s7))&gt;0))+IF(col_s8=0,0,--(LEN(INDEX('Paste Export'!$A$2:$BZ$1001,$A302,col_s8))&gt;0)))</f>
        <v/>
      </c>
      <c r="I302" s="25" t="str">
        <f t="shared" si="31"/>
        <v/>
      </c>
      <c r="J302" s="25" t="str">
        <f t="shared" si="32"/>
        <v/>
      </c>
      <c r="K302" s="24" t="str">
        <f t="shared" si="33"/>
        <v/>
      </c>
      <c r="L302" s="24" t="str">
        <f t="shared" si="34"/>
        <v/>
      </c>
    </row>
    <row r="303" spans="1:12" x14ac:dyDescent="0.25">
      <c r="A303" s="24">
        <f t="shared" si="28"/>
        <v>302</v>
      </c>
      <c r="B303" s="25" t="str">
        <f>IF($A303&gt;nrows,"",IF(col_user=0,"",INDEX('Paste Export'!$A$2:$BZ$1001,$A303,col_user)))</f>
        <v/>
      </c>
      <c r="C303" s="24" t="str">
        <f>IF($A303&gt;nrows,"",IF(col_days=0,0,N(INDEX('Paste Export'!$A$2:$BZ$1001,$A303,col_days))))</f>
        <v/>
      </c>
      <c r="D303" s="24" t="str">
        <f>IF($A303&gt;nrows,"",IF(col_prompts=0,0,N(INDEX('Paste Export'!$A$2:$BZ$1001,$A303,col_prompts))))</f>
        <v/>
      </c>
      <c r="E303" s="24" t="str">
        <f>IF($A303&gt;nrows,"",IF(col_web=0,0,N(INDEX('Paste Export'!$A$2:$BZ$1001,$A303,col_web))))</f>
        <v/>
      </c>
      <c r="F303" s="26" t="str">
        <f t="shared" si="29"/>
        <v/>
      </c>
      <c r="G303" s="27" t="str">
        <f t="shared" si="30"/>
        <v/>
      </c>
      <c r="H303" s="24" t="str">
        <f>IF($A303&gt;nrows,"",IF(col_s1=0,0,--(LEN(INDEX('Paste Export'!$A$2:$BZ$1001,$A303,col_s1))&gt;0))+IF(col_s2=0,0,--(LEN(INDEX('Paste Export'!$A$2:$BZ$1001,$A303,col_s2))&gt;0))+IF(col_s3=0,0,--(LEN(INDEX('Paste Export'!$A$2:$BZ$1001,$A303,col_s3))&gt;0))+IF(col_s4=0,0,--(LEN(INDEX('Paste Export'!$A$2:$BZ$1001,$A303,col_s4))&gt;0))+IF(col_s5=0,0,--(LEN(INDEX('Paste Export'!$A$2:$BZ$1001,$A303,col_s5))&gt;0))+IF(col_s6=0,0,--(LEN(INDEX('Paste Export'!$A$2:$BZ$1001,$A303,col_s6))&gt;0))+IF(col_s7=0,0,--(LEN(INDEX('Paste Export'!$A$2:$BZ$1001,$A303,col_s7))&gt;0))+IF(col_s8=0,0,--(LEN(INDEX('Paste Export'!$A$2:$BZ$1001,$A303,col_s8))&gt;0)))</f>
        <v/>
      </c>
      <c r="I303" s="25" t="str">
        <f t="shared" si="31"/>
        <v/>
      </c>
      <c r="J303" s="25" t="str">
        <f t="shared" si="32"/>
        <v/>
      </c>
      <c r="K303" s="24" t="str">
        <f t="shared" si="33"/>
        <v/>
      </c>
      <c r="L303" s="24" t="str">
        <f t="shared" si="34"/>
        <v/>
      </c>
    </row>
    <row r="304" spans="1:12" x14ac:dyDescent="0.25">
      <c r="A304" s="24">
        <f t="shared" si="28"/>
        <v>303</v>
      </c>
      <c r="B304" s="25" t="str">
        <f>IF($A304&gt;nrows,"",IF(col_user=0,"",INDEX('Paste Export'!$A$2:$BZ$1001,$A304,col_user)))</f>
        <v/>
      </c>
      <c r="C304" s="24" t="str">
        <f>IF($A304&gt;nrows,"",IF(col_days=0,0,N(INDEX('Paste Export'!$A$2:$BZ$1001,$A304,col_days))))</f>
        <v/>
      </c>
      <c r="D304" s="24" t="str">
        <f>IF($A304&gt;nrows,"",IF(col_prompts=0,0,N(INDEX('Paste Export'!$A$2:$BZ$1001,$A304,col_prompts))))</f>
        <v/>
      </c>
      <c r="E304" s="24" t="str">
        <f>IF($A304&gt;nrows,"",IF(col_web=0,0,N(INDEX('Paste Export'!$A$2:$BZ$1001,$A304,col_web))))</f>
        <v/>
      </c>
      <c r="F304" s="26" t="str">
        <f t="shared" si="29"/>
        <v/>
      </c>
      <c r="G304" s="27" t="str">
        <f t="shared" si="30"/>
        <v/>
      </c>
      <c r="H304" s="24" t="str">
        <f>IF($A304&gt;nrows,"",IF(col_s1=0,0,--(LEN(INDEX('Paste Export'!$A$2:$BZ$1001,$A304,col_s1))&gt;0))+IF(col_s2=0,0,--(LEN(INDEX('Paste Export'!$A$2:$BZ$1001,$A304,col_s2))&gt;0))+IF(col_s3=0,0,--(LEN(INDEX('Paste Export'!$A$2:$BZ$1001,$A304,col_s3))&gt;0))+IF(col_s4=0,0,--(LEN(INDEX('Paste Export'!$A$2:$BZ$1001,$A304,col_s4))&gt;0))+IF(col_s5=0,0,--(LEN(INDEX('Paste Export'!$A$2:$BZ$1001,$A304,col_s5))&gt;0))+IF(col_s6=0,0,--(LEN(INDEX('Paste Export'!$A$2:$BZ$1001,$A304,col_s6))&gt;0))+IF(col_s7=0,0,--(LEN(INDEX('Paste Export'!$A$2:$BZ$1001,$A304,col_s7))&gt;0))+IF(col_s8=0,0,--(LEN(INDEX('Paste Export'!$A$2:$BZ$1001,$A304,col_s8))&gt;0)))</f>
        <v/>
      </c>
      <c r="I304" s="25" t="str">
        <f t="shared" si="31"/>
        <v/>
      </c>
      <c r="J304" s="25" t="str">
        <f t="shared" si="32"/>
        <v/>
      </c>
      <c r="K304" s="24" t="str">
        <f t="shared" si="33"/>
        <v/>
      </c>
      <c r="L304" s="24" t="str">
        <f t="shared" si="34"/>
        <v/>
      </c>
    </row>
    <row r="305" spans="1:12" x14ac:dyDescent="0.25">
      <c r="A305" s="24">
        <f t="shared" si="28"/>
        <v>304</v>
      </c>
      <c r="B305" s="25" t="str">
        <f>IF($A305&gt;nrows,"",IF(col_user=0,"",INDEX('Paste Export'!$A$2:$BZ$1001,$A305,col_user)))</f>
        <v/>
      </c>
      <c r="C305" s="24" t="str">
        <f>IF($A305&gt;nrows,"",IF(col_days=0,0,N(INDEX('Paste Export'!$A$2:$BZ$1001,$A305,col_days))))</f>
        <v/>
      </c>
      <c r="D305" s="24" t="str">
        <f>IF($A305&gt;nrows,"",IF(col_prompts=0,0,N(INDEX('Paste Export'!$A$2:$BZ$1001,$A305,col_prompts))))</f>
        <v/>
      </c>
      <c r="E305" s="24" t="str">
        <f>IF($A305&gt;nrows,"",IF(col_web=0,0,N(INDEX('Paste Export'!$A$2:$BZ$1001,$A305,col_web))))</f>
        <v/>
      </c>
      <c r="F305" s="26" t="str">
        <f t="shared" si="29"/>
        <v/>
      </c>
      <c r="G305" s="27" t="str">
        <f t="shared" si="30"/>
        <v/>
      </c>
      <c r="H305" s="24" t="str">
        <f>IF($A305&gt;nrows,"",IF(col_s1=0,0,--(LEN(INDEX('Paste Export'!$A$2:$BZ$1001,$A305,col_s1))&gt;0))+IF(col_s2=0,0,--(LEN(INDEX('Paste Export'!$A$2:$BZ$1001,$A305,col_s2))&gt;0))+IF(col_s3=0,0,--(LEN(INDEX('Paste Export'!$A$2:$BZ$1001,$A305,col_s3))&gt;0))+IF(col_s4=0,0,--(LEN(INDEX('Paste Export'!$A$2:$BZ$1001,$A305,col_s4))&gt;0))+IF(col_s5=0,0,--(LEN(INDEX('Paste Export'!$A$2:$BZ$1001,$A305,col_s5))&gt;0))+IF(col_s6=0,0,--(LEN(INDEX('Paste Export'!$A$2:$BZ$1001,$A305,col_s6))&gt;0))+IF(col_s7=0,0,--(LEN(INDEX('Paste Export'!$A$2:$BZ$1001,$A305,col_s7))&gt;0))+IF(col_s8=0,0,--(LEN(INDEX('Paste Export'!$A$2:$BZ$1001,$A305,col_s8))&gt;0)))</f>
        <v/>
      </c>
      <c r="I305" s="25" t="str">
        <f t="shared" si="31"/>
        <v/>
      </c>
      <c r="J305" s="25" t="str">
        <f t="shared" si="32"/>
        <v/>
      </c>
      <c r="K305" s="24" t="str">
        <f t="shared" si="33"/>
        <v/>
      </c>
      <c r="L305" s="24" t="str">
        <f t="shared" si="34"/>
        <v/>
      </c>
    </row>
    <row r="306" spans="1:12" x14ac:dyDescent="0.25">
      <c r="A306" s="24">
        <f t="shared" si="28"/>
        <v>305</v>
      </c>
      <c r="B306" s="25" t="str">
        <f>IF($A306&gt;nrows,"",IF(col_user=0,"",INDEX('Paste Export'!$A$2:$BZ$1001,$A306,col_user)))</f>
        <v/>
      </c>
      <c r="C306" s="24" t="str">
        <f>IF($A306&gt;nrows,"",IF(col_days=0,0,N(INDEX('Paste Export'!$A$2:$BZ$1001,$A306,col_days))))</f>
        <v/>
      </c>
      <c r="D306" s="24" t="str">
        <f>IF($A306&gt;nrows,"",IF(col_prompts=0,0,N(INDEX('Paste Export'!$A$2:$BZ$1001,$A306,col_prompts))))</f>
        <v/>
      </c>
      <c r="E306" s="24" t="str">
        <f>IF($A306&gt;nrows,"",IF(col_web=0,0,N(INDEX('Paste Export'!$A$2:$BZ$1001,$A306,col_web))))</f>
        <v/>
      </c>
      <c r="F306" s="26" t="str">
        <f t="shared" si="29"/>
        <v/>
      </c>
      <c r="G306" s="27" t="str">
        <f t="shared" si="30"/>
        <v/>
      </c>
      <c r="H306" s="24" t="str">
        <f>IF($A306&gt;nrows,"",IF(col_s1=0,0,--(LEN(INDEX('Paste Export'!$A$2:$BZ$1001,$A306,col_s1))&gt;0))+IF(col_s2=0,0,--(LEN(INDEX('Paste Export'!$A$2:$BZ$1001,$A306,col_s2))&gt;0))+IF(col_s3=0,0,--(LEN(INDEX('Paste Export'!$A$2:$BZ$1001,$A306,col_s3))&gt;0))+IF(col_s4=0,0,--(LEN(INDEX('Paste Export'!$A$2:$BZ$1001,$A306,col_s4))&gt;0))+IF(col_s5=0,0,--(LEN(INDEX('Paste Export'!$A$2:$BZ$1001,$A306,col_s5))&gt;0))+IF(col_s6=0,0,--(LEN(INDEX('Paste Export'!$A$2:$BZ$1001,$A306,col_s6))&gt;0))+IF(col_s7=0,0,--(LEN(INDEX('Paste Export'!$A$2:$BZ$1001,$A306,col_s7))&gt;0))+IF(col_s8=0,0,--(LEN(INDEX('Paste Export'!$A$2:$BZ$1001,$A306,col_s8))&gt;0)))</f>
        <v/>
      </c>
      <c r="I306" s="25" t="str">
        <f t="shared" si="31"/>
        <v/>
      </c>
      <c r="J306" s="25" t="str">
        <f t="shared" si="32"/>
        <v/>
      </c>
      <c r="K306" s="24" t="str">
        <f t="shared" si="33"/>
        <v/>
      </c>
      <c r="L306" s="24" t="str">
        <f t="shared" si="34"/>
        <v/>
      </c>
    </row>
    <row r="307" spans="1:12" x14ac:dyDescent="0.25">
      <c r="A307" s="24">
        <f t="shared" si="28"/>
        <v>306</v>
      </c>
      <c r="B307" s="25" t="str">
        <f>IF($A307&gt;nrows,"",IF(col_user=0,"",INDEX('Paste Export'!$A$2:$BZ$1001,$A307,col_user)))</f>
        <v/>
      </c>
      <c r="C307" s="24" t="str">
        <f>IF($A307&gt;nrows,"",IF(col_days=0,0,N(INDEX('Paste Export'!$A$2:$BZ$1001,$A307,col_days))))</f>
        <v/>
      </c>
      <c r="D307" s="24" t="str">
        <f>IF($A307&gt;nrows,"",IF(col_prompts=0,0,N(INDEX('Paste Export'!$A$2:$BZ$1001,$A307,col_prompts))))</f>
        <v/>
      </c>
      <c r="E307" s="24" t="str">
        <f>IF($A307&gt;nrows,"",IF(col_web=0,0,N(INDEX('Paste Export'!$A$2:$BZ$1001,$A307,col_web))))</f>
        <v/>
      </c>
      <c r="F307" s="26" t="str">
        <f t="shared" si="29"/>
        <v/>
      </c>
      <c r="G307" s="27" t="str">
        <f t="shared" si="30"/>
        <v/>
      </c>
      <c r="H307" s="24" t="str">
        <f>IF($A307&gt;nrows,"",IF(col_s1=0,0,--(LEN(INDEX('Paste Export'!$A$2:$BZ$1001,$A307,col_s1))&gt;0))+IF(col_s2=0,0,--(LEN(INDEX('Paste Export'!$A$2:$BZ$1001,$A307,col_s2))&gt;0))+IF(col_s3=0,0,--(LEN(INDEX('Paste Export'!$A$2:$BZ$1001,$A307,col_s3))&gt;0))+IF(col_s4=0,0,--(LEN(INDEX('Paste Export'!$A$2:$BZ$1001,$A307,col_s4))&gt;0))+IF(col_s5=0,0,--(LEN(INDEX('Paste Export'!$A$2:$BZ$1001,$A307,col_s5))&gt;0))+IF(col_s6=0,0,--(LEN(INDEX('Paste Export'!$A$2:$BZ$1001,$A307,col_s6))&gt;0))+IF(col_s7=0,0,--(LEN(INDEX('Paste Export'!$A$2:$BZ$1001,$A307,col_s7))&gt;0))+IF(col_s8=0,0,--(LEN(INDEX('Paste Export'!$A$2:$BZ$1001,$A307,col_s8))&gt;0)))</f>
        <v/>
      </c>
      <c r="I307" s="25" t="str">
        <f t="shared" si="31"/>
        <v/>
      </c>
      <c r="J307" s="25" t="str">
        <f t="shared" si="32"/>
        <v/>
      </c>
      <c r="K307" s="24" t="str">
        <f t="shared" si="33"/>
        <v/>
      </c>
      <c r="L307" s="24" t="str">
        <f t="shared" si="34"/>
        <v/>
      </c>
    </row>
    <row r="308" spans="1:12" x14ac:dyDescent="0.25">
      <c r="A308" s="24">
        <f t="shared" si="28"/>
        <v>307</v>
      </c>
      <c r="B308" s="25" t="str">
        <f>IF($A308&gt;nrows,"",IF(col_user=0,"",INDEX('Paste Export'!$A$2:$BZ$1001,$A308,col_user)))</f>
        <v/>
      </c>
      <c r="C308" s="24" t="str">
        <f>IF($A308&gt;nrows,"",IF(col_days=0,0,N(INDEX('Paste Export'!$A$2:$BZ$1001,$A308,col_days))))</f>
        <v/>
      </c>
      <c r="D308" s="24" t="str">
        <f>IF($A308&gt;nrows,"",IF(col_prompts=0,0,N(INDEX('Paste Export'!$A$2:$BZ$1001,$A308,col_prompts))))</f>
        <v/>
      </c>
      <c r="E308" s="24" t="str">
        <f>IF($A308&gt;nrows,"",IF(col_web=0,0,N(INDEX('Paste Export'!$A$2:$BZ$1001,$A308,col_web))))</f>
        <v/>
      </c>
      <c r="F308" s="26" t="str">
        <f t="shared" si="29"/>
        <v/>
      </c>
      <c r="G308" s="27" t="str">
        <f t="shared" si="30"/>
        <v/>
      </c>
      <c r="H308" s="24" t="str">
        <f>IF($A308&gt;nrows,"",IF(col_s1=0,0,--(LEN(INDEX('Paste Export'!$A$2:$BZ$1001,$A308,col_s1))&gt;0))+IF(col_s2=0,0,--(LEN(INDEX('Paste Export'!$A$2:$BZ$1001,$A308,col_s2))&gt;0))+IF(col_s3=0,0,--(LEN(INDEX('Paste Export'!$A$2:$BZ$1001,$A308,col_s3))&gt;0))+IF(col_s4=0,0,--(LEN(INDEX('Paste Export'!$A$2:$BZ$1001,$A308,col_s4))&gt;0))+IF(col_s5=0,0,--(LEN(INDEX('Paste Export'!$A$2:$BZ$1001,$A308,col_s5))&gt;0))+IF(col_s6=0,0,--(LEN(INDEX('Paste Export'!$A$2:$BZ$1001,$A308,col_s6))&gt;0))+IF(col_s7=0,0,--(LEN(INDEX('Paste Export'!$A$2:$BZ$1001,$A308,col_s7))&gt;0))+IF(col_s8=0,0,--(LEN(INDEX('Paste Export'!$A$2:$BZ$1001,$A308,col_s8))&gt;0)))</f>
        <v/>
      </c>
      <c r="I308" s="25" t="str">
        <f t="shared" si="31"/>
        <v/>
      </c>
      <c r="J308" s="25" t="str">
        <f t="shared" si="32"/>
        <v/>
      </c>
      <c r="K308" s="24" t="str">
        <f t="shared" si="33"/>
        <v/>
      </c>
      <c r="L308" s="24" t="str">
        <f t="shared" si="34"/>
        <v/>
      </c>
    </row>
    <row r="309" spans="1:12" x14ac:dyDescent="0.25">
      <c r="A309" s="24">
        <f t="shared" si="28"/>
        <v>308</v>
      </c>
      <c r="B309" s="25" t="str">
        <f>IF($A309&gt;nrows,"",IF(col_user=0,"",INDEX('Paste Export'!$A$2:$BZ$1001,$A309,col_user)))</f>
        <v/>
      </c>
      <c r="C309" s="24" t="str">
        <f>IF($A309&gt;nrows,"",IF(col_days=0,0,N(INDEX('Paste Export'!$A$2:$BZ$1001,$A309,col_days))))</f>
        <v/>
      </c>
      <c r="D309" s="24" t="str">
        <f>IF($A309&gt;nrows,"",IF(col_prompts=0,0,N(INDEX('Paste Export'!$A$2:$BZ$1001,$A309,col_prompts))))</f>
        <v/>
      </c>
      <c r="E309" s="24" t="str">
        <f>IF($A309&gt;nrows,"",IF(col_web=0,0,N(INDEX('Paste Export'!$A$2:$BZ$1001,$A309,col_web))))</f>
        <v/>
      </c>
      <c r="F309" s="26" t="str">
        <f t="shared" si="29"/>
        <v/>
      </c>
      <c r="G309" s="27" t="str">
        <f t="shared" si="30"/>
        <v/>
      </c>
      <c r="H309" s="24" t="str">
        <f>IF($A309&gt;nrows,"",IF(col_s1=0,0,--(LEN(INDEX('Paste Export'!$A$2:$BZ$1001,$A309,col_s1))&gt;0))+IF(col_s2=0,0,--(LEN(INDEX('Paste Export'!$A$2:$BZ$1001,$A309,col_s2))&gt;0))+IF(col_s3=0,0,--(LEN(INDEX('Paste Export'!$A$2:$BZ$1001,$A309,col_s3))&gt;0))+IF(col_s4=0,0,--(LEN(INDEX('Paste Export'!$A$2:$BZ$1001,$A309,col_s4))&gt;0))+IF(col_s5=0,0,--(LEN(INDEX('Paste Export'!$A$2:$BZ$1001,$A309,col_s5))&gt;0))+IF(col_s6=0,0,--(LEN(INDEX('Paste Export'!$A$2:$BZ$1001,$A309,col_s6))&gt;0))+IF(col_s7=0,0,--(LEN(INDEX('Paste Export'!$A$2:$BZ$1001,$A309,col_s7))&gt;0))+IF(col_s8=0,0,--(LEN(INDEX('Paste Export'!$A$2:$BZ$1001,$A309,col_s8))&gt;0)))</f>
        <v/>
      </c>
      <c r="I309" s="25" t="str">
        <f t="shared" si="31"/>
        <v/>
      </c>
      <c r="J309" s="25" t="str">
        <f t="shared" si="32"/>
        <v/>
      </c>
      <c r="K309" s="24" t="str">
        <f t="shared" si="33"/>
        <v/>
      </c>
      <c r="L309" s="24" t="str">
        <f t="shared" si="34"/>
        <v/>
      </c>
    </row>
    <row r="310" spans="1:12" x14ac:dyDescent="0.25">
      <c r="A310" s="24">
        <f t="shared" si="28"/>
        <v>309</v>
      </c>
      <c r="B310" s="25" t="str">
        <f>IF($A310&gt;nrows,"",IF(col_user=0,"",INDEX('Paste Export'!$A$2:$BZ$1001,$A310,col_user)))</f>
        <v/>
      </c>
      <c r="C310" s="24" t="str">
        <f>IF($A310&gt;nrows,"",IF(col_days=0,0,N(INDEX('Paste Export'!$A$2:$BZ$1001,$A310,col_days))))</f>
        <v/>
      </c>
      <c r="D310" s="24" t="str">
        <f>IF($A310&gt;nrows,"",IF(col_prompts=0,0,N(INDEX('Paste Export'!$A$2:$BZ$1001,$A310,col_prompts))))</f>
        <v/>
      </c>
      <c r="E310" s="24" t="str">
        <f>IF($A310&gt;nrows,"",IF(col_web=0,0,N(INDEX('Paste Export'!$A$2:$BZ$1001,$A310,col_web))))</f>
        <v/>
      </c>
      <c r="F310" s="26" t="str">
        <f t="shared" si="29"/>
        <v/>
      </c>
      <c r="G310" s="27" t="str">
        <f t="shared" si="30"/>
        <v/>
      </c>
      <c r="H310" s="24" t="str">
        <f>IF($A310&gt;nrows,"",IF(col_s1=0,0,--(LEN(INDEX('Paste Export'!$A$2:$BZ$1001,$A310,col_s1))&gt;0))+IF(col_s2=0,0,--(LEN(INDEX('Paste Export'!$A$2:$BZ$1001,$A310,col_s2))&gt;0))+IF(col_s3=0,0,--(LEN(INDEX('Paste Export'!$A$2:$BZ$1001,$A310,col_s3))&gt;0))+IF(col_s4=0,0,--(LEN(INDEX('Paste Export'!$A$2:$BZ$1001,$A310,col_s4))&gt;0))+IF(col_s5=0,0,--(LEN(INDEX('Paste Export'!$A$2:$BZ$1001,$A310,col_s5))&gt;0))+IF(col_s6=0,0,--(LEN(INDEX('Paste Export'!$A$2:$BZ$1001,$A310,col_s6))&gt;0))+IF(col_s7=0,0,--(LEN(INDEX('Paste Export'!$A$2:$BZ$1001,$A310,col_s7))&gt;0))+IF(col_s8=0,0,--(LEN(INDEX('Paste Export'!$A$2:$BZ$1001,$A310,col_s8))&gt;0)))</f>
        <v/>
      </c>
      <c r="I310" s="25" t="str">
        <f t="shared" si="31"/>
        <v/>
      </c>
      <c r="J310" s="25" t="str">
        <f t="shared" si="32"/>
        <v/>
      </c>
      <c r="K310" s="24" t="str">
        <f t="shared" si="33"/>
        <v/>
      </c>
      <c r="L310" s="24" t="str">
        <f t="shared" si="34"/>
        <v/>
      </c>
    </row>
    <row r="311" spans="1:12" x14ac:dyDescent="0.25">
      <c r="A311" s="24">
        <f t="shared" si="28"/>
        <v>310</v>
      </c>
      <c r="B311" s="25" t="str">
        <f>IF($A311&gt;nrows,"",IF(col_user=0,"",INDEX('Paste Export'!$A$2:$BZ$1001,$A311,col_user)))</f>
        <v/>
      </c>
      <c r="C311" s="24" t="str">
        <f>IF($A311&gt;nrows,"",IF(col_days=0,0,N(INDEX('Paste Export'!$A$2:$BZ$1001,$A311,col_days))))</f>
        <v/>
      </c>
      <c r="D311" s="24" t="str">
        <f>IF($A311&gt;nrows,"",IF(col_prompts=0,0,N(INDEX('Paste Export'!$A$2:$BZ$1001,$A311,col_prompts))))</f>
        <v/>
      </c>
      <c r="E311" s="24" t="str">
        <f>IF($A311&gt;nrows,"",IF(col_web=0,0,N(INDEX('Paste Export'!$A$2:$BZ$1001,$A311,col_web))))</f>
        <v/>
      </c>
      <c r="F311" s="26" t="str">
        <f t="shared" si="29"/>
        <v/>
      </c>
      <c r="G311" s="27" t="str">
        <f t="shared" si="30"/>
        <v/>
      </c>
      <c r="H311" s="24" t="str">
        <f>IF($A311&gt;nrows,"",IF(col_s1=0,0,--(LEN(INDEX('Paste Export'!$A$2:$BZ$1001,$A311,col_s1))&gt;0))+IF(col_s2=0,0,--(LEN(INDEX('Paste Export'!$A$2:$BZ$1001,$A311,col_s2))&gt;0))+IF(col_s3=0,0,--(LEN(INDEX('Paste Export'!$A$2:$BZ$1001,$A311,col_s3))&gt;0))+IF(col_s4=0,0,--(LEN(INDEX('Paste Export'!$A$2:$BZ$1001,$A311,col_s4))&gt;0))+IF(col_s5=0,0,--(LEN(INDEX('Paste Export'!$A$2:$BZ$1001,$A311,col_s5))&gt;0))+IF(col_s6=0,0,--(LEN(INDEX('Paste Export'!$A$2:$BZ$1001,$A311,col_s6))&gt;0))+IF(col_s7=0,0,--(LEN(INDEX('Paste Export'!$A$2:$BZ$1001,$A311,col_s7))&gt;0))+IF(col_s8=0,0,--(LEN(INDEX('Paste Export'!$A$2:$BZ$1001,$A311,col_s8))&gt;0)))</f>
        <v/>
      </c>
      <c r="I311" s="25" t="str">
        <f t="shared" si="31"/>
        <v/>
      </c>
      <c r="J311" s="25" t="str">
        <f t="shared" si="32"/>
        <v/>
      </c>
      <c r="K311" s="24" t="str">
        <f t="shared" si="33"/>
        <v/>
      </c>
      <c r="L311" s="24" t="str">
        <f t="shared" si="34"/>
        <v/>
      </c>
    </row>
    <row r="312" spans="1:12" x14ac:dyDescent="0.25">
      <c r="A312" s="24">
        <f t="shared" si="28"/>
        <v>311</v>
      </c>
      <c r="B312" s="25" t="str">
        <f>IF($A312&gt;nrows,"",IF(col_user=0,"",INDEX('Paste Export'!$A$2:$BZ$1001,$A312,col_user)))</f>
        <v/>
      </c>
      <c r="C312" s="24" t="str">
        <f>IF($A312&gt;nrows,"",IF(col_days=0,0,N(INDEX('Paste Export'!$A$2:$BZ$1001,$A312,col_days))))</f>
        <v/>
      </c>
      <c r="D312" s="24" t="str">
        <f>IF($A312&gt;nrows,"",IF(col_prompts=0,0,N(INDEX('Paste Export'!$A$2:$BZ$1001,$A312,col_prompts))))</f>
        <v/>
      </c>
      <c r="E312" s="24" t="str">
        <f>IF($A312&gt;nrows,"",IF(col_web=0,0,N(INDEX('Paste Export'!$A$2:$BZ$1001,$A312,col_web))))</f>
        <v/>
      </c>
      <c r="F312" s="26" t="str">
        <f t="shared" si="29"/>
        <v/>
      </c>
      <c r="G312" s="27" t="str">
        <f t="shared" si="30"/>
        <v/>
      </c>
      <c r="H312" s="24" t="str">
        <f>IF($A312&gt;nrows,"",IF(col_s1=0,0,--(LEN(INDEX('Paste Export'!$A$2:$BZ$1001,$A312,col_s1))&gt;0))+IF(col_s2=0,0,--(LEN(INDEX('Paste Export'!$A$2:$BZ$1001,$A312,col_s2))&gt;0))+IF(col_s3=0,0,--(LEN(INDEX('Paste Export'!$A$2:$BZ$1001,$A312,col_s3))&gt;0))+IF(col_s4=0,0,--(LEN(INDEX('Paste Export'!$A$2:$BZ$1001,$A312,col_s4))&gt;0))+IF(col_s5=0,0,--(LEN(INDEX('Paste Export'!$A$2:$BZ$1001,$A312,col_s5))&gt;0))+IF(col_s6=0,0,--(LEN(INDEX('Paste Export'!$A$2:$BZ$1001,$A312,col_s6))&gt;0))+IF(col_s7=0,0,--(LEN(INDEX('Paste Export'!$A$2:$BZ$1001,$A312,col_s7))&gt;0))+IF(col_s8=0,0,--(LEN(INDEX('Paste Export'!$A$2:$BZ$1001,$A312,col_s8))&gt;0)))</f>
        <v/>
      </c>
      <c r="I312" s="25" t="str">
        <f t="shared" si="31"/>
        <v/>
      </c>
      <c r="J312" s="25" t="str">
        <f t="shared" si="32"/>
        <v/>
      </c>
      <c r="K312" s="24" t="str">
        <f t="shared" si="33"/>
        <v/>
      </c>
      <c r="L312" s="24" t="str">
        <f t="shared" si="34"/>
        <v/>
      </c>
    </row>
    <row r="313" spans="1:12" x14ac:dyDescent="0.25">
      <c r="A313" s="24">
        <f t="shared" si="28"/>
        <v>312</v>
      </c>
      <c r="B313" s="25" t="str">
        <f>IF($A313&gt;nrows,"",IF(col_user=0,"",INDEX('Paste Export'!$A$2:$BZ$1001,$A313,col_user)))</f>
        <v/>
      </c>
      <c r="C313" s="24" t="str">
        <f>IF($A313&gt;nrows,"",IF(col_days=0,0,N(INDEX('Paste Export'!$A$2:$BZ$1001,$A313,col_days))))</f>
        <v/>
      </c>
      <c r="D313" s="24" t="str">
        <f>IF($A313&gt;nrows,"",IF(col_prompts=0,0,N(INDEX('Paste Export'!$A$2:$BZ$1001,$A313,col_prompts))))</f>
        <v/>
      </c>
      <c r="E313" s="24" t="str">
        <f>IF($A313&gt;nrows,"",IF(col_web=0,0,N(INDEX('Paste Export'!$A$2:$BZ$1001,$A313,col_web))))</f>
        <v/>
      </c>
      <c r="F313" s="26" t="str">
        <f t="shared" si="29"/>
        <v/>
      </c>
      <c r="G313" s="27" t="str">
        <f t="shared" si="30"/>
        <v/>
      </c>
      <c r="H313" s="24" t="str">
        <f>IF($A313&gt;nrows,"",IF(col_s1=0,0,--(LEN(INDEX('Paste Export'!$A$2:$BZ$1001,$A313,col_s1))&gt;0))+IF(col_s2=0,0,--(LEN(INDEX('Paste Export'!$A$2:$BZ$1001,$A313,col_s2))&gt;0))+IF(col_s3=0,0,--(LEN(INDEX('Paste Export'!$A$2:$BZ$1001,$A313,col_s3))&gt;0))+IF(col_s4=0,0,--(LEN(INDEX('Paste Export'!$A$2:$BZ$1001,$A313,col_s4))&gt;0))+IF(col_s5=0,0,--(LEN(INDEX('Paste Export'!$A$2:$BZ$1001,$A313,col_s5))&gt;0))+IF(col_s6=0,0,--(LEN(INDEX('Paste Export'!$A$2:$BZ$1001,$A313,col_s6))&gt;0))+IF(col_s7=0,0,--(LEN(INDEX('Paste Export'!$A$2:$BZ$1001,$A313,col_s7))&gt;0))+IF(col_s8=0,0,--(LEN(INDEX('Paste Export'!$A$2:$BZ$1001,$A313,col_s8))&gt;0)))</f>
        <v/>
      </c>
      <c r="I313" s="25" t="str">
        <f t="shared" si="31"/>
        <v/>
      </c>
      <c r="J313" s="25" t="str">
        <f t="shared" si="32"/>
        <v/>
      </c>
      <c r="K313" s="24" t="str">
        <f t="shared" si="33"/>
        <v/>
      </c>
      <c r="L313" s="24" t="str">
        <f t="shared" si="34"/>
        <v/>
      </c>
    </row>
    <row r="314" spans="1:12" x14ac:dyDescent="0.25">
      <c r="A314" s="24">
        <f t="shared" si="28"/>
        <v>313</v>
      </c>
      <c r="B314" s="25" t="str">
        <f>IF($A314&gt;nrows,"",IF(col_user=0,"",INDEX('Paste Export'!$A$2:$BZ$1001,$A314,col_user)))</f>
        <v/>
      </c>
      <c r="C314" s="24" t="str">
        <f>IF($A314&gt;nrows,"",IF(col_days=0,0,N(INDEX('Paste Export'!$A$2:$BZ$1001,$A314,col_days))))</f>
        <v/>
      </c>
      <c r="D314" s="24" t="str">
        <f>IF($A314&gt;nrows,"",IF(col_prompts=0,0,N(INDEX('Paste Export'!$A$2:$BZ$1001,$A314,col_prompts))))</f>
        <v/>
      </c>
      <c r="E314" s="24" t="str">
        <f>IF($A314&gt;nrows,"",IF(col_web=0,0,N(INDEX('Paste Export'!$A$2:$BZ$1001,$A314,col_web))))</f>
        <v/>
      </c>
      <c r="F314" s="26" t="str">
        <f t="shared" si="29"/>
        <v/>
      </c>
      <c r="G314" s="27" t="str">
        <f t="shared" si="30"/>
        <v/>
      </c>
      <c r="H314" s="24" t="str">
        <f>IF($A314&gt;nrows,"",IF(col_s1=0,0,--(LEN(INDEX('Paste Export'!$A$2:$BZ$1001,$A314,col_s1))&gt;0))+IF(col_s2=0,0,--(LEN(INDEX('Paste Export'!$A$2:$BZ$1001,$A314,col_s2))&gt;0))+IF(col_s3=0,0,--(LEN(INDEX('Paste Export'!$A$2:$BZ$1001,$A314,col_s3))&gt;0))+IF(col_s4=0,0,--(LEN(INDEX('Paste Export'!$A$2:$BZ$1001,$A314,col_s4))&gt;0))+IF(col_s5=0,0,--(LEN(INDEX('Paste Export'!$A$2:$BZ$1001,$A314,col_s5))&gt;0))+IF(col_s6=0,0,--(LEN(INDEX('Paste Export'!$A$2:$BZ$1001,$A314,col_s6))&gt;0))+IF(col_s7=0,0,--(LEN(INDEX('Paste Export'!$A$2:$BZ$1001,$A314,col_s7))&gt;0))+IF(col_s8=0,0,--(LEN(INDEX('Paste Export'!$A$2:$BZ$1001,$A314,col_s8))&gt;0)))</f>
        <v/>
      </c>
      <c r="I314" s="25" t="str">
        <f t="shared" si="31"/>
        <v/>
      </c>
      <c r="J314" s="25" t="str">
        <f t="shared" si="32"/>
        <v/>
      </c>
      <c r="K314" s="24" t="str">
        <f t="shared" si="33"/>
        <v/>
      </c>
      <c r="L314" s="24" t="str">
        <f t="shared" si="34"/>
        <v/>
      </c>
    </row>
    <row r="315" spans="1:12" x14ac:dyDescent="0.25">
      <c r="A315" s="24">
        <f t="shared" si="28"/>
        <v>314</v>
      </c>
      <c r="B315" s="25" t="str">
        <f>IF($A315&gt;nrows,"",IF(col_user=0,"",INDEX('Paste Export'!$A$2:$BZ$1001,$A315,col_user)))</f>
        <v/>
      </c>
      <c r="C315" s="24" t="str">
        <f>IF($A315&gt;nrows,"",IF(col_days=0,0,N(INDEX('Paste Export'!$A$2:$BZ$1001,$A315,col_days))))</f>
        <v/>
      </c>
      <c r="D315" s="24" t="str">
        <f>IF($A315&gt;nrows,"",IF(col_prompts=0,0,N(INDEX('Paste Export'!$A$2:$BZ$1001,$A315,col_prompts))))</f>
        <v/>
      </c>
      <c r="E315" s="24" t="str">
        <f>IF($A315&gt;nrows,"",IF(col_web=0,0,N(INDEX('Paste Export'!$A$2:$BZ$1001,$A315,col_web))))</f>
        <v/>
      </c>
      <c r="F315" s="26" t="str">
        <f t="shared" si="29"/>
        <v/>
      </c>
      <c r="G315" s="27" t="str">
        <f t="shared" si="30"/>
        <v/>
      </c>
      <c r="H315" s="24" t="str">
        <f>IF($A315&gt;nrows,"",IF(col_s1=0,0,--(LEN(INDEX('Paste Export'!$A$2:$BZ$1001,$A315,col_s1))&gt;0))+IF(col_s2=0,0,--(LEN(INDEX('Paste Export'!$A$2:$BZ$1001,$A315,col_s2))&gt;0))+IF(col_s3=0,0,--(LEN(INDEX('Paste Export'!$A$2:$BZ$1001,$A315,col_s3))&gt;0))+IF(col_s4=0,0,--(LEN(INDEX('Paste Export'!$A$2:$BZ$1001,$A315,col_s4))&gt;0))+IF(col_s5=0,0,--(LEN(INDEX('Paste Export'!$A$2:$BZ$1001,$A315,col_s5))&gt;0))+IF(col_s6=0,0,--(LEN(INDEX('Paste Export'!$A$2:$BZ$1001,$A315,col_s6))&gt;0))+IF(col_s7=0,0,--(LEN(INDEX('Paste Export'!$A$2:$BZ$1001,$A315,col_s7))&gt;0))+IF(col_s8=0,0,--(LEN(INDEX('Paste Export'!$A$2:$BZ$1001,$A315,col_s8))&gt;0)))</f>
        <v/>
      </c>
      <c r="I315" s="25" t="str">
        <f t="shared" si="31"/>
        <v/>
      </c>
      <c r="J315" s="25" t="str">
        <f t="shared" si="32"/>
        <v/>
      </c>
      <c r="K315" s="24" t="str">
        <f t="shared" si="33"/>
        <v/>
      </c>
      <c r="L315" s="24" t="str">
        <f t="shared" si="34"/>
        <v/>
      </c>
    </row>
    <row r="316" spans="1:12" x14ac:dyDescent="0.25">
      <c r="A316" s="24">
        <f t="shared" si="28"/>
        <v>315</v>
      </c>
      <c r="B316" s="25" t="str">
        <f>IF($A316&gt;nrows,"",IF(col_user=0,"",INDEX('Paste Export'!$A$2:$BZ$1001,$A316,col_user)))</f>
        <v/>
      </c>
      <c r="C316" s="24" t="str">
        <f>IF($A316&gt;nrows,"",IF(col_days=0,0,N(INDEX('Paste Export'!$A$2:$BZ$1001,$A316,col_days))))</f>
        <v/>
      </c>
      <c r="D316" s="24" t="str">
        <f>IF($A316&gt;nrows,"",IF(col_prompts=0,0,N(INDEX('Paste Export'!$A$2:$BZ$1001,$A316,col_prompts))))</f>
        <v/>
      </c>
      <c r="E316" s="24" t="str">
        <f>IF($A316&gt;nrows,"",IF(col_web=0,0,N(INDEX('Paste Export'!$A$2:$BZ$1001,$A316,col_web))))</f>
        <v/>
      </c>
      <c r="F316" s="26" t="str">
        <f t="shared" si="29"/>
        <v/>
      </c>
      <c r="G316" s="27" t="str">
        <f t="shared" si="30"/>
        <v/>
      </c>
      <c r="H316" s="24" t="str">
        <f>IF($A316&gt;nrows,"",IF(col_s1=0,0,--(LEN(INDEX('Paste Export'!$A$2:$BZ$1001,$A316,col_s1))&gt;0))+IF(col_s2=0,0,--(LEN(INDEX('Paste Export'!$A$2:$BZ$1001,$A316,col_s2))&gt;0))+IF(col_s3=0,0,--(LEN(INDEX('Paste Export'!$A$2:$BZ$1001,$A316,col_s3))&gt;0))+IF(col_s4=0,0,--(LEN(INDEX('Paste Export'!$A$2:$BZ$1001,$A316,col_s4))&gt;0))+IF(col_s5=0,0,--(LEN(INDEX('Paste Export'!$A$2:$BZ$1001,$A316,col_s5))&gt;0))+IF(col_s6=0,0,--(LEN(INDEX('Paste Export'!$A$2:$BZ$1001,$A316,col_s6))&gt;0))+IF(col_s7=0,0,--(LEN(INDEX('Paste Export'!$A$2:$BZ$1001,$A316,col_s7))&gt;0))+IF(col_s8=0,0,--(LEN(INDEX('Paste Export'!$A$2:$BZ$1001,$A316,col_s8))&gt;0)))</f>
        <v/>
      </c>
      <c r="I316" s="25" t="str">
        <f t="shared" si="31"/>
        <v/>
      </c>
      <c r="J316" s="25" t="str">
        <f t="shared" si="32"/>
        <v/>
      </c>
      <c r="K316" s="24" t="str">
        <f t="shared" si="33"/>
        <v/>
      </c>
      <c r="L316" s="24" t="str">
        <f t="shared" si="34"/>
        <v/>
      </c>
    </row>
    <row r="317" spans="1:12" x14ac:dyDescent="0.25">
      <c r="A317" s="24">
        <f t="shared" si="28"/>
        <v>316</v>
      </c>
      <c r="B317" s="25" t="str">
        <f>IF($A317&gt;nrows,"",IF(col_user=0,"",INDEX('Paste Export'!$A$2:$BZ$1001,$A317,col_user)))</f>
        <v/>
      </c>
      <c r="C317" s="24" t="str">
        <f>IF($A317&gt;nrows,"",IF(col_days=0,0,N(INDEX('Paste Export'!$A$2:$BZ$1001,$A317,col_days))))</f>
        <v/>
      </c>
      <c r="D317" s="24" t="str">
        <f>IF($A317&gt;nrows,"",IF(col_prompts=0,0,N(INDEX('Paste Export'!$A$2:$BZ$1001,$A317,col_prompts))))</f>
        <v/>
      </c>
      <c r="E317" s="24" t="str">
        <f>IF($A317&gt;nrows,"",IF(col_web=0,0,N(INDEX('Paste Export'!$A$2:$BZ$1001,$A317,col_web))))</f>
        <v/>
      </c>
      <c r="F317" s="26" t="str">
        <f t="shared" si="29"/>
        <v/>
      </c>
      <c r="G317" s="27" t="str">
        <f t="shared" si="30"/>
        <v/>
      </c>
      <c r="H317" s="24" t="str">
        <f>IF($A317&gt;nrows,"",IF(col_s1=0,0,--(LEN(INDEX('Paste Export'!$A$2:$BZ$1001,$A317,col_s1))&gt;0))+IF(col_s2=0,0,--(LEN(INDEX('Paste Export'!$A$2:$BZ$1001,$A317,col_s2))&gt;0))+IF(col_s3=0,0,--(LEN(INDEX('Paste Export'!$A$2:$BZ$1001,$A317,col_s3))&gt;0))+IF(col_s4=0,0,--(LEN(INDEX('Paste Export'!$A$2:$BZ$1001,$A317,col_s4))&gt;0))+IF(col_s5=0,0,--(LEN(INDEX('Paste Export'!$A$2:$BZ$1001,$A317,col_s5))&gt;0))+IF(col_s6=0,0,--(LEN(INDEX('Paste Export'!$A$2:$BZ$1001,$A317,col_s6))&gt;0))+IF(col_s7=0,0,--(LEN(INDEX('Paste Export'!$A$2:$BZ$1001,$A317,col_s7))&gt;0))+IF(col_s8=0,0,--(LEN(INDEX('Paste Export'!$A$2:$BZ$1001,$A317,col_s8))&gt;0)))</f>
        <v/>
      </c>
      <c r="I317" s="25" t="str">
        <f t="shared" si="31"/>
        <v/>
      </c>
      <c r="J317" s="25" t="str">
        <f t="shared" si="32"/>
        <v/>
      </c>
      <c r="K317" s="24" t="str">
        <f t="shared" si="33"/>
        <v/>
      </c>
      <c r="L317" s="24" t="str">
        <f t="shared" si="34"/>
        <v/>
      </c>
    </row>
    <row r="318" spans="1:12" x14ac:dyDescent="0.25">
      <c r="A318" s="24">
        <f t="shared" si="28"/>
        <v>317</v>
      </c>
      <c r="B318" s="25" t="str">
        <f>IF($A318&gt;nrows,"",IF(col_user=0,"",INDEX('Paste Export'!$A$2:$BZ$1001,$A318,col_user)))</f>
        <v/>
      </c>
      <c r="C318" s="24" t="str">
        <f>IF($A318&gt;nrows,"",IF(col_days=0,0,N(INDEX('Paste Export'!$A$2:$BZ$1001,$A318,col_days))))</f>
        <v/>
      </c>
      <c r="D318" s="24" t="str">
        <f>IF($A318&gt;nrows,"",IF(col_prompts=0,0,N(INDEX('Paste Export'!$A$2:$BZ$1001,$A318,col_prompts))))</f>
        <v/>
      </c>
      <c r="E318" s="24" t="str">
        <f>IF($A318&gt;nrows,"",IF(col_web=0,0,N(INDEX('Paste Export'!$A$2:$BZ$1001,$A318,col_web))))</f>
        <v/>
      </c>
      <c r="F318" s="26" t="str">
        <f t="shared" si="29"/>
        <v/>
      </c>
      <c r="G318" s="27" t="str">
        <f t="shared" si="30"/>
        <v/>
      </c>
      <c r="H318" s="24" t="str">
        <f>IF($A318&gt;nrows,"",IF(col_s1=0,0,--(LEN(INDEX('Paste Export'!$A$2:$BZ$1001,$A318,col_s1))&gt;0))+IF(col_s2=0,0,--(LEN(INDEX('Paste Export'!$A$2:$BZ$1001,$A318,col_s2))&gt;0))+IF(col_s3=0,0,--(LEN(INDEX('Paste Export'!$A$2:$BZ$1001,$A318,col_s3))&gt;0))+IF(col_s4=0,0,--(LEN(INDEX('Paste Export'!$A$2:$BZ$1001,$A318,col_s4))&gt;0))+IF(col_s5=0,0,--(LEN(INDEX('Paste Export'!$A$2:$BZ$1001,$A318,col_s5))&gt;0))+IF(col_s6=0,0,--(LEN(INDEX('Paste Export'!$A$2:$BZ$1001,$A318,col_s6))&gt;0))+IF(col_s7=0,0,--(LEN(INDEX('Paste Export'!$A$2:$BZ$1001,$A318,col_s7))&gt;0))+IF(col_s8=0,0,--(LEN(INDEX('Paste Export'!$A$2:$BZ$1001,$A318,col_s8))&gt;0)))</f>
        <v/>
      </c>
      <c r="I318" s="25" t="str">
        <f t="shared" si="31"/>
        <v/>
      </c>
      <c r="J318" s="25" t="str">
        <f t="shared" si="32"/>
        <v/>
      </c>
      <c r="K318" s="24" t="str">
        <f t="shared" si="33"/>
        <v/>
      </c>
      <c r="L318" s="24" t="str">
        <f t="shared" si="34"/>
        <v/>
      </c>
    </row>
    <row r="319" spans="1:12" x14ac:dyDescent="0.25">
      <c r="A319" s="24">
        <f t="shared" si="28"/>
        <v>318</v>
      </c>
      <c r="B319" s="25" t="str">
        <f>IF($A319&gt;nrows,"",IF(col_user=0,"",INDEX('Paste Export'!$A$2:$BZ$1001,$A319,col_user)))</f>
        <v/>
      </c>
      <c r="C319" s="24" t="str">
        <f>IF($A319&gt;nrows,"",IF(col_days=0,0,N(INDEX('Paste Export'!$A$2:$BZ$1001,$A319,col_days))))</f>
        <v/>
      </c>
      <c r="D319" s="24" t="str">
        <f>IF($A319&gt;nrows,"",IF(col_prompts=0,0,N(INDEX('Paste Export'!$A$2:$BZ$1001,$A319,col_prompts))))</f>
        <v/>
      </c>
      <c r="E319" s="24" t="str">
        <f>IF($A319&gt;nrows,"",IF(col_web=0,0,N(INDEX('Paste Export'!$A$2:$BZ$1001,$A319,col_web))))</f>
        <v/>
      </c>
      <c r="F319" s="26" t="str">
        <f t="shared" si="29"/>
        <v/>
      </c>
      <c r="G319" s="27" t="str">
        <f t="shared" si="30"/>
        <v/>
      </c>
      <c r="H319" s="24" t="str">
        <f>IF($A319&gt;nrows,"",IF(col_s1=0,0,--(LEN(INDEX('Paste Export'!$A$2:$BZ$1001,$A319,col_s1))&gt;0))+IF(col_s2=0,0,--(LEN(INDEX('Paste Export'!$A$2:$BZ$1001,$A319,col_s2))&gt;0))+IF(col_s3=0,0,--(LEN(INDEX('Paste Export'!$A$2:$BZ$1001,$A319,col_s3))&gt;0))+IF(col_s4=0,0,--(LEN(INDEX('Paste Export'!$A$2:$BZ$1001,$A319,col_s4))&gt;0))+IF(col_s5=0,0,--(LEN(INDEX('Paste Export'!$A$2:$BZ$1001,$A319,col_s5))&gt;0))+IF(col_s6=0,0,--(LEN(INDEX('Paste Export'!$A$2:$BZ$1001,$A319,col_s6))&gt;0))+IF(col_s7=0,0,--(LEN(INDEX('Paste Export'!$A$2:$BZ$1001,$A319,col_s7))&gt;0))+IF(col_s8=0,0,--(LEN(INDEX('Paste Export'!$A$2:$BZ$1001,$A319,col_s8))&gt;0)))</f>
        <v/>
      </c>
      <c r="I319" s="25" t="str">
        <f t="shared" si="31"/>
        <v/>
      </c>
      <c r="J319" s="25" t="str">
        <f t="shared" si="32"/>
        <v/>
      </c>
      <c r="K319" s="24" t="str">
        <f t="shared" si="33"/>
        <v/>
      </c>
      <c r="L319" s="24" t="str">
        <f t="shared" si="34"/>
        <v/>
      </c>
    </row>
    <row r="320" spans="1:12" x14ac:dyDescent="0.25">
      <c r="A320" s="24">
        <f t="shared" si="28"/>
        <v>319</v>
      </c>
      <c r="B320" s="25" t="str">
        <f>IF($A320&gt;nrows,"",IF(col_user=0,"",INDEX('Paste Export'!$A$2:$BZ$1001,$A320,col_user)))</f>
        <v/>
      </c>
      <c r="C320" s="24" t="str">
        <f>IF($A320&gt;nrows,"",IF(col_days=0,0,N(INDEX('Paste Export'!$A$2:$BZ$1001,$A320,col_days))))</f>
        <v/>
      </c>
      <c r="D320" s="24" t="str">
        <f>IF($A320&gt;nrows,"",IF(col_prompts=0,0,N(INDEX('Paste Export'!$A$2:$BZ$1001,$A320,col_prompts))))</f>
        <v/>
      </c>
      <c r="E320" s="24" t="str">
        <f>IF($A320&gt;nrows,"",IF(col_web=0,0,N(INDEX('Paste Export'!$A$2:$BZ$1001,$A320,col_web))))</f>
        <v/>
      </c>
      <c r="F320" s="26" t="str">
        <f t="shared" si="29"/>
        <v/>
      </c>
      <c r="G320" s="27" t="str">
        <f t="shared" si="30"/>
        <v/>
      </c>
      <c r="H320" s="24" t="str">
        <f>IF($A320&gt;nrows,"",IF(col_s1=0,0,--(LEN(INDEX('Paste Export'!$A$2:$BZ$1001,$A320,col_s1))&gt;0))+IF(col_s2=0,0,--(LEN(INDEX('Paste Export'!$A$2:$BZ$1001,$A320,col_s2))&gt;0))+IF(col_s3=0,0,--(LEN(INDEX('Paste Export'!$A$2:$BZ$1001,$A320,col_s3))&gt;0))+IF(col_s4=0,0,--(LEN(INDEX('Paste Export'!$A$2:$BZ$1001,$A320,col_s4))&gt;0))+IF(col_s5=0,0,--(LEN(INDEX('Paste Export'!$A$2:$BZ$1001,$A320,col_s5))&gt;0))+IF(col_s6=0,0,--(LEN(INDEX('Paste Export'!$A$2:$BZ$1001,$A320,col_s6))&gt;0))+IF(col_s7=0,0,--(LEN(INDEX('Paste Export'!$A$2:$BZ$1001,$A320,col_s7))&gt;0))+IF(col_s8=0,0,--(LEN(INDEX('Paste Export'!$A$2:$BZ$1001,$A320,col_s8))&gt;0)))</f>
        <v/>
      </c>
      <c r="I320" s="25" t="str">
        <f t="shared" si="31"/>
        <v/>
      </c>
      <c r="J320" s="25" t="str">
        <f t="shared" si="32"/>
        <v/>
      </c>
      <c r="K320" s="24" t="str">
        <f t="shared" si="33"/>
        <v/>
      </c>
      <c r="L320" s="24" t="str">
        <f t="shared" si="34"/>
        <v/>
      </c>
    </row>
    <row r="321" spans="1:12" x14ac:dyDescent="0.25">
      <c r="A321" s="24">
        <f t="shared" si="28"/>
        <v>320</v>
      </c>
      <c r="B321" s="25" t="str">
        <f>IF($A321&gt;nrows,"",IF(col_user=0,"",INDEX('Paste Export'!$A$2:$BZ$1001,$A321,col_user)))</f>
        <v/>
      </c>
      <c r="C321" s="24" t="str">
        <f>IF($A321&gt;nrows,"",IF(col_days=0,0,N(INDEX('Paste Export'!$A$2:$BZ$1001,$A321,col_days))))</f>
        <v/>
      </c>
      <c r="D321" s="24" t="str">
        <f>IF($A321&gt;nrows,"",IF(col_prompts=0,0,N(INDEX('Paste Export'!$A$2:$BZ$1001,$A321,col_prompts))))</f>
        <v/>
      </c>
      <c r="E321" s="24" t="str">
        <f>IF($A321&gt;nrows,"",IF(col_web=0,0,N(INDEX('Paste Export'!$A$2:$BZ$1001,$A321,col_web))))</f>
        <v/>
      </c>
      <c r="F321" s="26" t="str">
        <f t="shared" si="29"/>
        <v/>
      </c>
      <c r="G321" s="27" t="str">
        <f t="shared" si="30"/>
        <v/>
      </c>
      <c r="H321" s="24" t="str">
        <f>IF($A321&gt;nrows,"",IF(col_s1=0,0,--(LEN(INDEX('Paste Export'!$A$2:$BZ$1001,$A321,col_s1))&gt;0))+IF(col_s2=0,0,--(LEN(INDEX('Paste Export'!$A$2:$BZ$1001,$A321,col_s2))&gt;0))+IF(col_s3=0,0,--(LEN(INDEX('Paste Export'!$A$2:$BZ$1001,$A321,col_s3))&gt;0))+IF(col_s4=0,0,--(LEN(INDEX('Paste Export'!$A$2:$BZ$1001,$A321,col_s4))&gt;0))+IF(col_s5=0,0,--(LEN(INDEX('Paste Export'!$A$2:$BZ$1001,$A321,col_s5))&gt;0))+IF(col_s6=0,0,--(LEN(INDEX('Paste Export'!$A$2:$BZ$1001,$A321,col_s6))&gt;0))+IF(col_s7=0,0,--(LEN(INDEX('Paste Export'!$A$2:$BZ$1001,$A321,col_s7))&gt;0))+IF(col_s8=0,0,--(LEN(INDEX('Paste Export'!$A$2:$BZ$1001,$A321,col_s8))&gt;0)))</f>
        <v/>
      </c>
      <c r="I321" s="25" t="str">
        <f t="shared" si="31"/>
        <v/>
      </c>
      <c r="J321" s="25" t="str">
        <f t="shared" si="32"/>
        <v/>
      </c>
      <c r="K321" s="24" t="str">
        <f t="shared" si="33"/>
        <v/>
      </c>
      <c r="L321" s="24" t="str">
        <f t="shared" si="34"/>
        <v/>
      </c>
    </row>
    <row r="322" spans="1:12" x14ac:dyDescent="0.25">
      <c r="A322" s="24">
        <f t="shared" ref="A322:A385" si="35">ROW()-1</f>
        <v>321</v>
      </c>
      <c r="B322" s="25" t="str">
        <f>IF($A322&gt;nrows,"",IF(col_user=0,"",INDEX('Paste Export'!$A$2:$BZ$1001,$A322,col_user)))</f>
        <v/>
      </c>
      <c r="C322" s="24" t="str">
        <f>IF($A322&gt;nrows,"",IF(col_days=0,0,N(INDEX('Paste Export'!$A$2:$BZ$1001,$A322,col_days))))</f>
        <v/>
      </c>
      <c r="D322" s="24" t="str">
        <f>IF($A322&gt;nrows,"",IF(col_prompts=0,0,N(INDEX('Paste Export'!$A$2:$BZ$1001,$A322,col_prompts))))</f>
        <v/>
      </c>
      <c r="E322" s="24" t="str">
        <f>IF($A322&gt;nrows,"",IF(col_web=0,0,N(INDEX('Paste Export'!$A$2:$BZ$1001,$A322,col_web))))</f>
        <v/>
      </c>
      <c r="F322" s="26" t="str">
        <f t="shared" ref="F322:F385" si="36">IF($A322&gt;nrows,"",IFERROR($D322/$C322,0))</f>
        <v/>
      </c>
      <c r="G322" s="27" t="str">
        <f t="shared" ref="G322:G385" si="37">IF($A322&gt;nrows,"",IFERROR($E322/$D322,""))</f>
        <v/>
      </c>
      <c r="H322" s="24" t="str">
        <f>IF($A322&gt;nrows,"",IF(col_s1=0,0,--(LEN(INDEX('Paste Export'!$A$2:$BZ$1001,$A322,col_s1))&gt;0))+IF(col_s2=0,0,--(LEN(INDEX('Paste Export'!$A$2:$BZ$1001,$A322,col_s2))&gt;0))+IF(col_s3=0,0,--(LEN(INDEX('Paste Export'!$A$2:$BZ$1001,$A322,col_s3))&gt;0))+IF(col_s4=0,0,--(LEN(INDEX('Paste Export'!$A$2:$BZ$1001,$A322,col_s4))&gt;0))+IF(col_s5=0,0,--(LEN(INDEX('Paste Export'!$A$2:$BZ$1001,$A322,col_s5))&gt;0))+IF(col_s6=0,0,--(LEN(INDEX('Paste Export'!$A$2:$BZ$1001,$A322,col_s6))&gt;0))+IF(col_s7=0,0,--(LEN(INDEX('Paste Export'!$A$2:$BZ$1001,$A322,col_s7))&gt;0))+IF(col_s8=0,0,--(LEN(INDEX('Paste Export'!$A$2:$BZ$1001,$A322,col_s8))&gt;0)))</f>
        <v/>
      </c>
      <c r="I322" s="25" t="str">
        <f t="shared" ref="I322:I385" si="38">IF($A322&gt;nrows,"",IF($C322&gt;=freq_line,IF($D322&gt;=depth_line,"Embedded","Loyal but shallow"),IF($D322&gt;=depth_line,"Project-driven","Drifting")))</f>
        <v/>
      </c>
      <c r="J322" s="25" t="str">
        <f t="shared" ref="J322:J385" si="39">IF($A322&gt;nrows,"",IF($I322="Drifting",IF($H322&gt;=3,"tried and stopped","never started"),""))</f>
        <v/>
      </c>
      <c r="K322" s="24" t="str">
        <f t="shared" ref="K322:K385" si="40">IF($A322&gt;nrows,"",MAX($D322,1))</f>
        <v/>
      </c>
      <c r="L322" s="24" t="str">
        <f t="shared" ref="L322:L385" si="41">IF($A322&gt;nrows,"",IF(AND($C322=0,$D322=0),1,0))</f>
        <v/>
      </c>
    </row>
    <row r="323" spans="1:12" x14ac:dyDescent="0.25">
      <c r="A323" s="24">
        <f t="shared" si="35"/>
        <v>322</v>
      </c>
      <c r="B323" s="25" t="str">
        <f>IF($A323&gt;nrows,"",IF(col_user=0,"",INDEX('Paste Export'!$A$2:$BZ$1001,$A323,col_user)))</f>
        <v/>
      </c>
      <c r="C323" s="24" t="str">
        <f>IF($A323&gt;nrows,"",IF(col_days=0,0,N(INDEX('Paste Export'!$A$2:$BZ$1001,$A323,col_days))))</f>
        <v/>
      </c>
      <c r="D323" s="24" t="str">
        <f>IF($A323&gt;nrows,"",IF(col_prompts=0,0,N(INDEX('Paste Export'!$A$2:$BZ$1001,$A323,col_prompts))))</f>
        <v/>
      </c>
      <c r="E323" s="24" t="str">
        <f>IF($A323&gt;nrows,"",IF(col_web=0,0,N(INDEX('Paste Export'!$A$2:$BZ$1001,$A323,col_web))))</f>
        <v/>
      </c>
      <c r="F323" s="26" t="str">
        <f t="shared" si="36"/>
        <v/>
      </c>
      <c r="G323" s="27" t="str">
        <f t="shared" si="37"/>
        <v/>
      </c>
      <c r="H323" s="24" t="str">
        <f>IF($A323&gt;nrows,"",IF(col_s1=0,0,--(LEN(INDEX('Paste Export'!$A$2:$BZ$1001,$A323,col_s1))&gt;0))+IF(col_s2=0,0,--(LEN(INDEX('Paste Export'!$A$2:$BZ$1001,$A323,col_s2))&gt;0))+IF(col_s3=0,0,--(LEN(INDEX('Paste Export'!$A$2:$BZ$1001,$A323,col_s3))&gt;0))+IF(col_s4=0,0,--(LEN(INDEX('Paste Export'!$A$2:$BZ$1001,$A323,col_s4))&gt;0))+IF(col_s5=0,0,--(LEN(INDEX('Paste Export'!$A$2:$BZ$1001,$A323,col_s5))&gt;0))+IF(col_s6=0,0,--(LEN(INDEX('Paste Export'!$A$2:$BZ$1001,$A323,col_s6))&gt;0))+IF(col_s7=0,0,--(LEN(INDEX('Paste Export'!$A$2:$BZ$1001,$A323,col_s7))&gt;0))+IF(col_s8=0,0,--(LEN(INDEX('Paste Export'!$A$2:$BZ$1001,$A323,col_s8))&gt;0)))</f>
        <v/>
      </c>
      <c r="I323" s="25" t="str">
        <f t="shared" si="38"/>
        <v/>
      </c>
      <c r="J323" s="25" t="str">
        <f t="shared" si="39"/>
        <v/>
      </c>
      <c r="K323" s="24" t="str">
        <f t="shared" si="40"/>
        <v/>
      </c>
      <c r="L323" s="24" t="str">
        <f t="shared" si="41"/>
        <v/>
      </c>
    </row>
    <row r="324" spans="1:12" x14ac:dyDescent="0.25">
      <c r="A324" s="24">
        <f t="shared" si="35"/>
        <v>323</v>
      </c>
      <c r="B324" s="25" t="str">
        <f>IF($A324&gt;nrows,"",IF(col_user=0,"",INDEX('Paste Export'!$A$2:$BZ$1001,$A324,col_user)))</f>
        <v/>
      </c>
      <c r="C324" s="24" t="str">
        <f>IF($A324&gt;nrows,"",IF(col_days=0,0,N(INDEX('Paste Export'!$A$2:$BZ$1001,$A324,col_days))))</f>
        <v/>
      </c>
      <c r="D324" s="24" t="str">
        <f>IF($A324&gt;nrows,"",IF(col_prompts=0,0,N(INDEX('Paste Export'!$A$2:$BZ$1001,$A324,col_prompts))))</f>
        <v/>
      </c>
      <c r="E324" s="24" t="str">
        <f>IF($A324&gt;nrows,"",IF(col_web=0,0,N(INDEX('Paste Export'!$A$2:$BZ$1001,$A324,col_web))))</f>
        <v/>
      </c>
      <c r="F324" s="26" t="str">
        <f t="shared" si="36"/>
        <v/>
      </c>
      <c r="G324" s="27" t="str">
        <f t="shared" si="37"/>
        <v/>
      </c>
      <c r="H324" s="24" t="str">
        <f>IF($A324&gt;nrows,"",IF(col_s1=0,0,--(LEN(INDEX('Paste Export'!$A$2:$BZ$1001,$A324,col_s1))&gt;0))+IF(col_s2=0,0,--(LEN(INDEX('Paste Export'!$A$2:$BZ$1001,$A324,col_s2))&gt;0))+IF(col_s3=0,0,--(LEN(INDEX('Paste Export'!$A$2:$BZ$1001,$A324,col_s3))&gt;0))+IF(col_s4=0,0,--(LEN(INDEX('Paste Export'!$A$2:$BZ$1001,$A324,col_s4))&gt;0))+IF(col_s5=0,0,--(LEN(INDEX('Paste Export'!$A$2:$BZ$1001,$A324,col_s5))&gt;0))+IF(col_s6=0,0,--(LEN(INDEX('Paste Export'!$A$2:$BZ$1001,$A324,col_s6))&gt;0))+IF(col_s7=0,0,--(LEN(INDEX('Paste Export'!$A$2:$BZ$1001,$A324,col_s7))&gt;0))+IF(col_s8=0,0,--(LEN(INDEX('Paste Export'!$A$2:$BZ$1001,$A324,col_s8))&gt;0)))</f>
        <v/>
      </c>
      <c r="I324" s="25" t="str">
        <f t="shared" si="38"/>
        <v/>
      </c>
      <c r="J324" s="25" t="str">
        <f t="shared" si="39"/>
        <v/>
      </c>
      <c r="K324" s="24" t="str">
        <f t="shared" si="40"/>
        <v/>
      </c>
      <c r="L324" s="24" t="str">
        <f t="shared" si="41"/>
        <v/>
      </c>
    </row>
    <row r="325" spans="1:12" x14ac:dyDescent="0.25">
      <c r="A325" s="24">
        <f t="shared" si="35"/>
        <v>324</v>
      </c>
      <c r="B325" s="25" t="str">
        <f>IF($A325&gt;nrows,"",IF(col_user=0,"",INDEX('Paste Export'!$A$2:$BZ$1001,$A325,col_user)))</f>
        <v/>
      </c>
      <c r="C325" s="24" t="str">
        <f>IF($A325&gt;nrows,"",IF(col_days=0,0,N(INDEX('Paste Export'!$A$2:$BZ$1001,$A325,col_days))))</f>
        <v/>
      </c>
      <c r="D325" s="24" t="str">
        <f>IF($A325&gt;nrows,"",IF(col_prompts=0,0,N(INDEX('Paste Export'!$A$2:$BZ$1001,$A325,col_prompts))))</f>
        <v/>
      </c>
      <c r="E325" s="24" t="str">
        <f>IF($A325&gt;nrows,"",IF(col_web=0,0,N(INDEX('Paste Export'!$A$2:$BZ$1001,$A325,col_web))))</f>
        <v/>
      </c>
      <c r="F325" s="26" t="str">
        <f t="shared" si="36"/>
        <v/>
      </c>
      <c r="G325" s="27" t="str">
        <f t="shared" si="37"/>
        <v/>
      </c>
      <c r="H325" s="24" t="str">
        <f>IF($A325&gt;nrows,"",IF(col_s1=0,0,--(LEN(INDEX('Paste Export'!$A$2:$BZ$1001,$A325,col_s1))&gt;0))+IF(col_s2=0,0,--(LEN(INDEX('Paste Export'!$A$2:$BZ$1001,$A325,col_s2))&gt;0))+IF(col_s3=0,0,--(LEN(INDEX('Paste Export'!$A$2:$BZ$1001,$A325,col_s3))&gt;0))+IF(col_s4=0,0,--(LEN(INDEX('Paste Export'!$A$2:$BZ$1001,$A325,col_s4))&gt;0))+IF(col_s5=0,0,--(LEN(INDEX('Paste Export'!$A$2:$BZ$1001,$A325,col_s5))&gt;0))+IF(col_s6=0,0,--(LEN(INDEX('Paste Export'!$A$2:$BZ$1001,$A325,col_s6))&gt;0))+IF(col_s7=0,0,--(LEN(INDEX('Paste Export'!$A$2:$BZ$1001,$A325,col_s7))&gt;0))+IF(col_s8=0,0,--(LEN(INDEX('Paste Export'!$A$2:$BZ$1001,$A325,col_s8))&gt;0)))</f>
        <v/>
      </c>
      <c r="I325" s="25" t="str">
        <f t="shared" si="38"/>
        <v/>
      </c>
      <c r="J325" s="25" t="str">
        <f t="shared" si="39"/>
        <v/>
      </c>
      <c r="K325" s="24" t="str">
        <f t="shared" si="40"/>
        <v/>
      </c>
      <c r="L325" s="24" t="str">
        <f t="shared" si="41"/>
        <v/>
      </c>
    </row>
    <row r="326" spans="1:12" x14ac:dyDescent="0.25">
      <c r="A326" s="24">
        <f t="shared" si="35"/>
        <v>325</v>
      </c>
      <c r="B326" s="25" t="str">
        <f>IF($A326&gt;nrows,"",IF(col_user=0,"",INDEX('Paste Export'!$A$2:$BZ$1001,$A326,col_user)))</f>
        <v/>
      </c>
      <c r="C326" s="24" t="str">
        <f>IF($A326&gt;nrows,"",IF(col_days=0,0,N(INDEX('Paste Export'!$A$2:$BZ$1001,$A326,col_days))))</f>
        <v/>
      </c>
      <c r="D326" s="24" t="str">
        <f>IF($A326&gt;nrows,"",IF(col_prompts=0,0,N(INDEX('Paste Export'!$A$2:$BZ$1001,$A326,col_prompts))))</f>
        <v/>
      </c>
      <c r="E326" s="24" t="str">
        <f>IF($A326&gt;nrows,"",IF(col_web=0,0,N(INDEX('Paste Export'!$A$2:$BZ$1001,$A326,col_web))))</f>
        <v/>
      </c>
      <c r="F326" s="26" t="str">
        <f t="shared" si="36"/>
        <v/>
      </c>
      <c r="G326" s="27" t="str">
        <f t="shared" si="37"/>
        <v/>
      </c>
      <c r="H326" s="24" t="str">
        <f>IF($A326&gt;nrows,"",IF(col_s1=0,0,--(LEN(INDEX('Paste Export'!$A$2:$BZ$1001,$A326,col_s1))&gt;0))+IF(col_s2=0,0,--(LEN(INDEX('Paste Export'!$A$2:$BZ$1001,$A326,col_s2))&gt;0))+IF(col_s3=0,0,--(LEN(INDEX('Paste Export'!$A$2:$BZ$1001,$A326,col_s3))&gt;0))+IF(col_s4=0,0,--(LEN(INDEX('Paste Export'!$A$2:$BZ$1001,$A326,col_s4))&gt;0))+IF(col_s5=0,0,--(LEN(INDEX('Paste Export'!$A$2:$BZ$1001,$A326,col_s5))&gt;0))+IF(col_s6=0,0,--(LEN(INDEX('Paste Export'!$A$2:$BZ$1001,$A326,col_s6))&gt;0))+IF(col_s7=0,0,--(LEN(INDEX('Paste Export'!$A$2:$BZ$1001,$A326,col_s7))&gt;0))+IF(col_s8=0,0,--(LEN(INDEX('Paste Export'!$A$2:$BZ$1001,$A326,col_s8))&gt;0)))</f>
        <v/>
      </c>
      <c r="I326" s="25" t="str">
        <f t="shared" si="38"/>
        <v/>
      </c>
      <c r="J326" s="25" t="str">
        <f t="shared" si="39"/>
        <v/>
      </c>
      <c r="K326" s="24" t="str">
        <f t="shared" si="40"/>
        <v/>
      </c>
      <c r="L326" s="24" t="str">
        <f t="shared" si="41"/>
        <v/>
      </c>
    </row>
    <row r="327" spans="1:12" x14ac:dyDescent="0.25">
      <c r="A327" s="24">
        <f t="shared" si="35"/>
        <v>326</v>
      </c>
      <c r="B327" s="25" t="str">
        <f>IF($A327&gt;nrows,"",IF(col_user=0,"",INDEX('Paste Export'!$A$2:$BZ$1001,$A327,col_user)))</f>
        <v/>
      </c>
      <c r="C327" s="24" t="str">
        <f>IF($A327&gt;nrows,"",IF(col_days=0,0,N(INDEX('Paste Export'!$A$2:$BZ$1001,$A327,col_days))))</f>
        <v/>
      </c>
      <c r="D327" s="24" t="str">
        <f>IF($A327&gt;nrows,"",IF(col_prompts=0,0,N(INDEX('Paste Export'!$A$2:$BZ$1001,$A327,col_prompts))))</f>
        <v/>
      </c>
      <c r="E327" s="24" t="str">
        <f>IF($A327&gt;nrows,"",IF(col_web=0,0,N(INDEX('Paste Export'!$A$2:$BZ$1001,$A327,col_web))))</f>
        <v/>
      </c>
      <c r="F327" s="26" t="str">
        <f t="shared" si="36"/>
        <v/>
      </c>
      <c r="G327" s="27" t="str">
        <f t="shared" si="37"/>
        <v/>
      </c>
      <c r="H327" s="24" t="str">
        <f>IF($A327&gt;nrows,"",IF(col_s1=0,0,--(LEN(INDEX('Paste Export'!$A$2:$BZ$1001,$A327,col_s1))&gt;0))+IF(col_s2=0,0,--(LEN(INDEX('Paste Export'!$A$2:$BZ$1001,$A327,col_s2))&gt;0))+IF(col_s3=0,0,--(LEN(INDEX('Paste Export'!$A$2:$BZ$1001,$A327,col_s3))&gt;0))+IF(col_s4=0,0,--(LEN(INDEX('Paste Export'!$A$2:$BZ$1001,$A327,col_s4))&gt;0))+IF(col_s5=0,0,--(LEN(INDEX('Paste Export'!$A$2:$BZ$1001,$A327,col_s5))&gt;0))+IF(col_s6=0,0,--(LEN(INDEX('Paste Export'!$A$2:$BZ$1001,$A327,col_s6))&gt;0))+IF(col_s7=0,0,--(LEN(INDEX('Paste Export'!$A$2:$BZ$1001,$A327,col_s7))&gt;0))+IF(col_s8=0,0,--(LEN(INDEX('Paste Export'!$A$2:$BZ$1001,$A327,col_s8))&gt;0)))</f>
        <v/>
      </c>
      <c r="I327" s="25" t="str">
        <f t="shared" si="38"/>
        <v/>
      </c>
      <c r="J327" s="25" t="str">
        <f t="shared" si="39"/>
        <v/>
      </c>
      <c r="K327" s="24" t="str">
        <f t="shared" si="40"/>
        <v/>
      </c>
      <c r="L327" s="24" t="str">
        <f t="shared" si="41"/>
        <v/>
      </c>
    </row>
    <row r="328" spans="1:12" x14ac:dyDescent="0.25">
      <c r="A328" s="24">
        <f t="shared" si="35"/>
        <v>327</v>
      </c>
      <c r="B328" s="25" t="str">
        <f>IF($A328&gt;nrows,"",IF(col_user=0,"",INDEX('Paste Export'!$A$2:$BZ$1001,$A328,col_user)))</f>
        <v/>
      </c>
      <c r="C328" s="24" t="str">
        <f>IF($A328&gt;nrows,"",IF(col_days=0,0,N(INDEX('Paste Export'!$A$2:$BZ$1001,$A328,col_days))))</f>
        <v/>
      </c>
      <c r="D328" s="24" t="str">
        <f>IF($A328&gt;nrows,"",IF(col_prompts=0,0,N(INDEX('Paste Export'!$A$2:$BZ$1001,$A328,col_prompts))))</f>
        <v/>
      </c>
      <c r="E328" s="24" t="str">
        <f>IF($A328&gt;nrows,"",IF(col_web=0,0,N(INDEX('Paste Export'!$A$2:$BZ$1001,$A328,col_web))))</f>
        <v/>
      </c>
      <c r="F328" s="26" t="str">
        <f t="shared" si="36"/>
        <v/>
      </c>
      <c r="G328" s="27" t="str">
        <f t="shared" si="37"/>
        <v/>
      </c>
      <c r="H328" s="24" t="str">
        <f>IF($A328&gt;nrows,"",IF(col_s1=0,0,--(LEN(INDEX('Paste Export'!$A$2:$BZ$1001,$A328,col_s1))&gt;0))+IF(col_s2=0,0,--(LEN(INDEX('Paste Export'!$A$2:$BZ$1001,$A328,col_s2))&gt;0))+IF(col_s3=0,0,--(LEN(INDEX('Paste Export'!$A$2:$BZ$1001,$A328,col_s3))&gt;0))+IF(col_s4=0,0,--(LEN(INDEX('Paste Export'!$A$2:$BZ$1001,$A328,col_s4))&gt;0))+IF(col_s5=0,0,--(LEN(INDEX('Paste Export'!$A$2:$BZ$1001,$A328,col_s5))&gt;0))+IF(col_s6=0,0,--(LEN(INDEX('Paste Export'!$A$2:$BZ$1001,$A328,col_s6))&gt;0))+IF(col_s7=0,0,--(LEN(INDEX('Paste Export'!$A$2:$BZ$1001,$A328,col_s7))&gt;0))+IF(col_s8=0,0,--(LEN(INDEX('Paste Export'!$A$2:$BZ$1001,$A328,col_s8))&gt;0)))</f>
        <v/>
      </c>
      <c r="I328" s="25" t="str">
        <f t="shared" si="38"/>
        <v/>
      </c>
      <c r="J328" s="25" t="str">
        <f t="shared" si="39"/>
        <v/>
      </c>
      <c r="K328" s="24" t="str">
        <f t="shared" si="40"/>
        <v/>
      </c>
      <c r="L328" s="24" t="str">
        <f t="shared" si="41"/>
        <v/>
      </c>
    </row>
    <row r="329" spans="1:12" x14ac:dyDescent="0.25">
      <c r="A329" s="24">
        <f t="shared" si="35"/>
        <v>328</v>
      </c>
      <c r="B329" s="25" t="str">
        <f>IF($A329&gt;nrows,"",IF(col_user=0,"",INDEX('Paste Export'!$A$2:$BZ$1001,$A329,col_user)))</f>
        <v/>
      </c>
      <c r="C329" s="24" t="str">
        <f>IF($A329&gt;nrows,"",IF(col_days=0,0,N(INDEX('Paste Export'!$A$2:$BZ$1001,$A329,col_days))))</f>
        <v/>
      </c>
      <c r="D329" s="24" t="str">
        <f>IF($A329&gt;nrows,"",IF(col_prompts=0,0,N(INDEX('Paste Export'!$A$2:$BZ$1001,$A329,col_prompts))))</f>
        <v/>
      </c>
      <c r="E329" s="24" t="str">
        <f>IF($A329&gt;nrows,"",IF(col_web=0,0,N(INDEX('Paste Export'!$A$2:$BZ$1001,$A329,col_web))))</f>
        <v/>
      </c>
      <c r="F329" s="26" t="str">
        <f t="shared" si="36"/>
        <v/>
      </c>
      <c r="G329" s="27" t="str">
        <f t="shared" si="37"/>
        <v/>
      </c>
      <c r="H329" s="24" t="str">
        <f>IF($A329&gt;nrows,"",IF(col_s1=0,0,--(LEN(INDEX('Paste Export'!$A$2:$BZ$1001,$A329,col_s1))&gt;0))+IF(col_s2=0,0,--(LEN(INDEX('Paste Export'!$A$2:$BZ$1001,$A329,col_s2))&gt;0))+IF(col_s3=0,0,--(LEN(INDEX('Paste Export'!$A$2:$BZ$1001,$A329,col_s3))&gt;0))+IF(col_s4=0,0,--(LEN(INDEX('Paste Export'!$A$2:$BZ$1001,$A329,col_s4))&gt;0))+IF(col_s5=0,0,--(LEN(INDEX('Paste Export'!$A$2:$BZ$1001,$A329,col_s5))&gt;0))+IF(col_s6=0,0,--(LEN(INDEX('Paste Export'!$A$2:$BZ$1001,$A329,col_s6))&gt;0))+IF(col_s7=0,0,--(LEN(INDEX('Paste Export'!$A$2:$BZ$1001,$A329,col_s7))&gt;0))+IF(col_s8=0,0,--(LEN(INDEX('Paste Export'!$A$2:$BZ$1001,$A329,col_s8))&gt;0)))</f>
        <v/>
      </c>
      <c r="I329" s="25" t="str">
        <f t="shared" si="38"/>
        <v/>
      </c>
      <c r="J329" s="25" t="str">
        <f t="shared" si="39"/>
        <v/>
      </c>
      <c r="K329" s="24" t="str">
        <f t="shared" si="40"/>
        <v/>
      </c>
      <c r="L329" s="24" t="str">
        <f t="shared" si="41"/>
        <v/>
      </c>
    </row>
    <row r="330" spans="1:12" x14ac:dyDescent="0.25">
      <c r="A330" s="24">
        <f t="shared" si="35"/>
        <v>329</v>
      </c>
      <c r="B330" s="25" t="str">
        <f>IF($A330&gt;nrows,"",IF(col_user=0,"",INDEX('Paste Export'!$A$2:$BZ$1001,$A330,col_user)))</f>
        <v/>
      </c>
      <c r="C330" s="24" t="str">
        <f>IF($A330&gt;nrows,"",IF(col_days=0,0,N(INDEX('Paste Export'!$A$2:$BZ$1001,$A330,col_days))))</f>
        <v/>
      </c>
      <c r="D330" s="24" t="str">
        <f>IF($A330&gt;nrows,"",IF(col_prompts=0,0,N(INDEX('Paste Export'!$A$2:$BZ$1001,$A330,col_prompts))))</f>
        <v/>
      </c>
      <c r="E330" s="24" t="str">
        <f>IF($A330&gt;nrows,"",IF(col_web=0,0,N(INDEX('Paste Export'!$A$2:$BZ$1001,$A330,col_web))))</f>
        <v/>
      </c>
      <c r="F330" s="26" t="str">
        <f t="shared" si="36"/>
        <v/>
      </c>
      <c r="G330" s="27" t="str">
        <f t="shared" si="37"/>
        <v/>
      </c>
      <c r="H330" s="24" t="str">
        <f>IF($A330&gt;nrows,"",IF(col_s1=0,0,--(LEN(INDEX('Paste Export'!$A$2:$BZ$1001,$A330,col_s1))&gt;0))+IF(col_s2=0,0,--(LEN(INDEX('Paste Export'!$A$2:$BZ$1001,$A330,col_s2))&gt;0))+IF(col_s3=0,0,--(LEN(INDEX('Paste Export'!$A$2:$BZ$1001,$A330,col_s3))&gt;0))+IF(col_s4=0,0,--(LEN(INDEX('Paste Export'!$A$2:$BZ$1001,$A330,col_s4))&gt;0))+IF(col_s5=0,0,--(LEN(INDEX('Paste Export'!$A$2:$BZ$1001,$A330,col_s5))&gt;0))+IF(col_s6=0,0,--(LEN(INDEX('Paste Export'!$A$2:$BZ$1001,$A330,col_s6))&gt;0))+IF(col_s7=0,0,--(LEN(INDEX('Paste Export'!$A$2:$BZ$1001,$A330,col_s7))&gt;0))+IF(col_s8=0,0,--(LEN(INDEX('Paste Export'!$A$2:$BZ$1001,$A330,col_s8))&gt;0)))</f>
        <v/>
      </c>
      <c r="I330" s="25" t="str">
        <f t="shared" si="38"/>
        <v/>
      </c>
      <c r="J330" s="25" t="str">
        <f t="shared" si="39"/>
        <v/>
      </c>
      <c r="K330" s="24" t="str">
        <f t="shared" si="40"/>
        <v/>
      </c>
      <c r="L330" s="24" t="str">
        <f t="shared" si="41"/>
        <v/>
      </c>
    </row>
    <row r="331" spans="1:12" x14ac:dyDescent="0.25">
      <c r="A331" s="24">
        <f t="shared" si="35"/>
        <v>330</v>
      </c>
      <c r="B331" s="25" t="str">
        <f>IF($A331&gt;nrows,"",IF(col_user=0,"",INDEX('Paste Export'!$A$2:$BZ$1001,$A331,col_user)))</f>
        <v/>
      </c>
      <c r="C331" s="24" t="str">
        <f>IF($A331&gt;nrows,"",IF(col_days=0,0,N(INDEX('Paste Export'!$A$2:$BZ$1001,$A331,col_days))))</f>
        <v/>
      </c>
      <c r="D331" s="24" t="str">
        <f>IF($A331&gt;nrows,"",IF(col_prompts=0,0,N(INDEX('Paste Export'!$A$2:$BZ$1001,$A331,col_prompts))))</f>
        <v/>
      </c>
      <c r="E331" s="24" t="str">
        <f>IF($A331&gt;nrows,"",IF(col_web=0,0,N(INDEX('Paste Export'!$A$2:$BZ$1001,$A331,col_web))))</f>
        <v/>
      </c>
      <c r="F331" s="26" t="str">
        <f t="shared" si="36"/>
        <v/>
      </c>
      <c r="G331" s="27" t="str">
        <f t="shared" si="37"/>
        <v/>
      </c>
      <c r="H331" s="24" t="str">
        <f>IF($A331&gt;nrows,"",IF(col_s1=0,0,--(LEN(INDEX('Paste Export'!$A$2:$BZ$1001,$A331,col_s1))&gt;0))+IF(col_s2=0,0,--(LEN(INDEX('Paste Export'!$A$2:$BZ$1001,$A331,col_s2))&gt;0))+IF(col_s3=0,0,--(LEN(INDEX('Paste Export'!$A$2:$BZ$1001,$A331,col_s3))&gt;0))+IF(col_s4=0,0,--(LEN(INDEX('Paste Export'!$A$2:$BZ$1001,$A331,col_s4))&gt;0))+IF(col_s5=0,0,--(LEN(INDEX('Paste Export'!$A$2:$BZ$1001,$A331,col_s5))&gt;0))+IF(col_s6=0,0,--(LEN(INDEX('Paste Export'!$A$2:$BZ$1001,$A331,col_s6))&gt;0))+IF(col_s7=0,0,--(LEN(INDEX('Paste Export'!$A$2:$BZ$1001,$A331,col_s7))&gt;0))+IF(col_s8=0,0,--(LEN(INDEX('Paste Export'!$A$2:$BZ$1001,$A331,col_s8))&gt;0)))</f>
        <v/>
      </c>
      <c r="I331" s="25" t="str">
        <f t="shared" si="38"/>
        <v/>
      </c>
      <c r="J331" s="25" t="str">
        <f t="shared" si="39"/>
        <v/>
      </c>
      <c r="K331" s="24" t="str">
        <f t="shared" si="40"/>
        <v/>
      </c>
      <c r="L331" s="24" t="str">
        <f t="shared" si="41"/>
        <v/>
      </c>
    </row>
    <row r="332" spans="1:12" x14ac:dyDescent="0.25">
      <c r="A332" s="24">
        <f t="shared" si="35"/>
        <v>331</v>
      </c>
      <c r="B332" s="25" t="str">
        <f>IF($A332&gt;nrows,"",IF(col_user=0,"",INDEX('Paste Export'!$A$2:$BZ$1001,$A332,col_user)))</f>
        <v/>
      </c>
      <c r="C332" s="24" t="str">
        <f>IF($A332&gt;nrows,"",IF(col_days=0,0,N(INDEX('Paste Export'!$A$2:$BZ$1001,$A332,col_days))))</f>
        <v/>
      </c>
      <c r="D332" s="24" t="str">
        <f>IF($A332&gt;nrows,"",IF(col_prompts=0,0,N(INDEX('Paste Export'!$A$2:$BZ$1001,$A332,col_prompts))))</f>
        <v/>
      </c>
      <c r="E332" s="24" t="str">
        <f>IF($A332&gt;nrows,"",IF(col_web=0,0,N(INDEX('Paste Export'!$A$2:$BZ$1001,$A332,col_web))))</f>
        <v/>
      </c>
      <c r="F332" s="26" t="str">
        <f t="shared" si="36"/>
        <v/>
      </c>
      <c r="G332" s="27" t="str">
        <f t="shared" si="37"/>
        <v/>
      </c>
      <c r="H332" s="24" t="str">
        <f>IF($A332&gt;nrows,"",IF(col_s1=0,0,--(LEN(INDEX('Paste Export'!$A$2:$BZ$1001,$A332,col_s1))&gt;0))+IF(col_s2=0,0,--(LEN(INDEX('Paste Export'!$A$2:$BZ$1001,$A332,col_s2))&gt;0))+IF(col_s3=0,0,--(LEN(INDEX('Paste Export'!$A$2:$BZ$1001,$A332,col_s3))&gt;0))+IF(col_s4=0,0,--(LEN(INDEX('Paste Export'!$A$2:$BZ$1001,$A332,col_s4))&gt;0))+IF(col_s5=0,0,--(LEN(INDEX('Paste Export'!$A$2:$BZ$1001,$A332,col_s5))&gt;0))+IF(col_s6=0,0,--(LEN(INDEX('Paste Export'!$A$2:$BZ$1001,$A332,col_s6))&gt;0))+IF(col_s7=0,0,--(LEN(INDEX('Paste Export'!$A$2:$BZ$1001,$A332,col_s7))&gt;0))+IF(col_s8=0,0,--(LEN(INDEX('Paste Export'!$A$2:$BZ$1001,$A332,col_s8))&gt;0)))</f>
        <v/>
      </c>
      <c r="I332" s="25" t="str">
        <f t="shared" si="38"/>
        <v/>
      </c>
      <c r="J332" s="25" t="str">
        <f t="shared" si="39"/>
        <v/>
      </c>
      <c r="K332" s="24" t="str">
        <f t="shared" si="40"/>
        <v/>
      </c>
      <c r="L332" s="24" t="str">
        <f t="shared" si="41"/>
        <v/>
      </c>
    </row>
    <row r="333" spans="1:12" x14ac:dyDescent="0.25">
      <c r="A333" s="24">
        <f t="shared" si="35"/>
        <v>332</v>
      </c>
      <c r="B333" s="25" t="str">
        <f>IF($A333&gt;nrows,"",IF(col_user=0,"",INDEX('Paste Export'!$A$2:$BZ$1001,$A333,col_user)))</f>
        <v/>
      </c>
      <c r="C333" s="24" t="str">
        <f>IF($A333&gt;nrows,"",IF(col_days=0,0,N(INDEX('Paste Export'!$A$2:$BZ$1001,$A333,col_days))))</f>
        <v/>
      </c>
      <c r="D333" s="24" t="str">
        <f>IF($A333&gt;nrows,"",IF(col_prompts=0,0,N(INDEX('Paste Export'!$A$2:$BZ$1001,$A333,col_prompts))))</f>
        <v/>
      </c>
      <c r="E333" s="24" t="str">
        <f>IF($A333&gt;nrows,"",IF(col_web=0,0,N(INDEX('Paste Export'!$A$2:$BZ$1001,$A333,col_web))))</f>
        <v/>
      </c>
      <c r="F333" s="26" t="str">
        <f t="shared" si="36"/>
        <v/>
      </c>
      <c r="G333" s="27" t="str">
        <f t="shared" si="37"/>
        <v/>
      </c>
      <c r="H333" s="24" t="str">
        <f>IF($A333&gt;nrows,"",IF(col_s1=0,0,--(LEN(INDEX('Paste Export'!$A$2:$BZ$1001,$A333,col_s1))&gt;0))+IF(col_s2=0,0,--(LEN(INDEX('Paste Export'!$A$2:$BZ$1001,$A333,col_s2))&gt;0))+IF(col_s3=0,0,--(LEN(INDEX('Paste Export'!$A$2:$BZ$1001,$A333,col_s3))&gt;0))+IF(col_s4=0,0,--(LEN(INDEX('Paste Export'!$A$2:$BZ$1001,$A333,col_s4))&gt;0))+IF(col_s5=0,0,--(LEN(INDEX('Paste Export'!$A$2:$BZ$1001,$A333,col_s5))&gt;0))+IF(col_s6=0,0,--(LEN(INDEX('Paste Export'!$A$2:$BZ$1001,$A333,col_s6))&gt;0))+IF(col_s7=0,0,--(LEN(INDEX('Paste Export'!$A$2:$BZ$1001,$A333,col_s7))&gt;0))+IF(col_s8=0,0,--(LEN(INDEX('Paste Export'!$A$2:$BZ$1001,$A333,col_s8))&gt;0)))</f>
        <v/>
      </c>
      <c r="I333" s="25" t="str">
        <f t="shared" si="38"/>
        <v/>
      </c>
      <c r="J333" s="25" t="str">
        <f t="shared" si="39"/>
        <v/>
      </c>
      <c r="K333" s="24" t="str">
        <f t="shared" si="40"/>
        <v/>
      </c>
      <c r="L333" s="24" t="str">
        <f t="shared" si="41"/>
        <v/>
      </c>
    </row>
    <row r="334" spans="1:12" x14ac:dyDescent="0.25">
      <c r="A334" s="24">
        <f t="shared" si="35"/>
        <v>333</v>
      </c>
      <c r="B334" s="25" t="str">
        <f>IF($A334&gt;nrows,"",IF(col_user=0,"",INDEX('Paste Export'!$A$2:$BZ$1001,$A334,col_user)))</f>
        <v/>
      </c>
      <c r="C334" s="24" t="str">
        <f>IF($A334&gt;nrows,"",IF(col_days=0,0,N(INDEX('Paste Export'!$A$2:$BZ$1001,$A334,col_days))))</f>
        <v/>
      </c>
      <c r="D334" s="24" t="str">
        <f>IF($A334&gt;nrows,"",IF(col_prompts=0,0,N(INDEX('Paste Export'!$A$2:$BZ$1001,$A334,col_prompts))))</f>
        <v/>
      </c>
      <c r="E334" s="24" t="str">
        <f>IF($A334&gt;nrows,"",IF(col_web=0,0,N(INDEX('Paste Export'!$A$2:$BZ$1001,$A334,col_web))))</f>
        <v/>
      </c>
      <c r="F334" s="26" t="str">
        <f t="shared" si="36"/>
        <v/>
      </c>
      <c r="G334" s="27" t="str">
        <f t="shared" si="37"/>
        <v/>
      </c>
      <c r="H334" s="24" t="str">
        <f>IF($A334&gt;nrows,"",IF(col_s1=0,0,--(LEN(INDEX('Paste Export'!$A$2:$BZ$1001,$A334,col_s1))&gt;0))+IF(col_s2=0,0,--(LEN(INDEX('Paste Export'!$A$2:$BZ$1001,$A334,col_s2))&gt;0))+IF(col_s3=0,0,--(LEN(INDEX('Paste Export'!$A$2:$BZ$1001,$A334,col_s3))&gt;0))+IF(col_s4=0,0,--(LEN(INDEX('Paste Export'!$A$2:$BZ$1001,$A334,col_s4))&gt;0))+IF(col_s5=0,0,--(LEN(INDEX('Paste Export'!$A$2:$BZ$1001,$A334,col_s5))&gt;0))+IF(col_s6=0,0,--(LEN(INDEX('Paste Export'!$A$2:$BZ$1001,$A334,col_s6))&gt;0))+IF(col_s7=0,0,--(LEN(INDEX('Paste Export'!$A$2:$BZ$1001,$A334,col_s7))&gt;0))+IF(col_s8=0,0,--(LEN(INDEX('Paste Export'!$A$2:$BZ$1001,$A334,col_s8))&gt;0)))</f>
        <v/>
      </c>
      <c r="I334" s="25" t="str">
        <f t="shared" si="38"/>
        <v/>
      </c>
      <c r="J334" s="25" t="str">
        <f t="shared" si="39"/>
        <v/>
      </c>
      <c r="K334" s="24" t="str">
        <f t="shared" si="40"/>
        <v/>
      </c>
      <c r="L334" s="24" t="str">
        <f t="shared" si="41"/>
        <v/>
      </c>
    </row>
    <row r="335" spans="1:12" x14ac:dyDescent="0.25">
      <c r="A335" s="24">
        <f t="shared" si="35"/>
        <v>334</v>
      </c>
      <c r="B335" s="25" t="str">
        <f>IF($A335&gt;nrows,"",IF(col_user=0,"",INDEX('Paste Export'!$A$2:$BZ$1001,$A335,col_user)))</f>
        <v/>
      </c>
      <c r="C335" s="24" t="str">
        <f>IF($A335&gt;nrows,"",IF(col_days=0,0,N(INDEX('Paste Export'!$A$2:$BZ$1001,$A335,col_days))))</f>
        <v/>
      </c>
      <c r="D335" s="24" t="str">
        <f>IF($A335&gt;nrows,"",IF(col_prompts=0,0,N(INDEX('Paste Export'!$A$2:$BZ$1001,$A335,col_prompts))))</f>
        <v/>
      </c>
      <c r="E335" s="24" t="str">
        <f>IF($A335&gt;nrows,"",IF(col_web=0,0,N(INDEX('Paste Export'!$A$2:$BZ$1001,$A335,col_web))))</f>
        <v/>
      </c>
      <c r="F335" s="26" t="str">
        <f t="shared" si="36"/>
        <v/>
      </c>
      <c r="G335" s="27" t="str">
        <f t="shared" si="37"/>
        <v/>
      </c>
      <c r="H335" s="24" t="str">
        <f>IF($A335&gt;nrows,"",IF(col_s1=0,0,--(LEN(INDEX('Paste Export'!$A$2:$BZ$1001,$A335,col_s1))&gt;0))+IF(col_s2=0,0,--(LEN(INDEX('Paste Export'!$A$2:$BZ$1001,$A335,col_s2))&gt;0))+IF(col_s3=0,0,--(LEN(INDEX('Paste Export'!$A$2:$BZ$1001,$A335,col_s3))&gt;0))+IF(col_s4=0,0,--(LEN(INDEX('Paste Export'!$A$2:$BZ$1001,$A335,col_s4))&gt;0))+IF(col_s5=0,0,--(LEN(INDEX('Paste Export'!$A$2:$BZ$1001,$A335,col_s5))&gt;0))+IF(col_s6=0,0,--(LEN(INDEX('Paste Export'!$A$2:$BZ$1001,$A335,col_s6))&gt;0))+IF(col_s7=0,0,--(LEN(INDEX('Paste Export'!$A$2:$BZ$1001,$A335,col_s7))&gt;0))+IF(col_s8=0,0,--(LEN(INDEX('Paste Export'!$A$2:$BZ$1001,$A335,col_s8))&gt;0)))</f>
        <v/>
      </c>
      <c r="I335" s="25" t="str">
        <f t="shared" si="38"/>
        <v/>
      </c>
      <c r="J335" s="25" t="str">
        <f t="shared" si="39"/>
        <v/>
      </c>
      <c r="K335" s="24" t="str">
        <f t="shared" si="40"/>
        <v/>
      </c>
      <c r="L335" s="24" t="str">
        <f t="shared" si="41"/>
        <v/>
      </c>
    </row>
    <row r="336" spans="1:12" x14ac:dyDescent="0.25">
      <c r="A336" s="24">
        <f t="shared" si="35"/>
        <v>335</v>
      </c>
      <c r="B336" s="25" t="str">
        <f>IF($A336&gt;nrows,"",IF(col_user=0,"",INDEX('Paste Export'!$A$2:$BZ$1001,$A336,col_user)))</f>
        <v/>
      </c>
      <c r="C336" s="24" t="str">
        <f>IF($A336&gt;nrows,"",IF(col_days=0,0,N(INDEX('Paste Export'!$A$2:$BZ$1001,$A336,col_days))))</f>
        <v/>
      </c>
      <c r="D336" s="24" t="str">
        <f>IF($A336&gt;nrows,"",IF(col_prompts=0,0,N(INDEX('Paste Export'!$A$2:$BZ$1001,$A336,col_prompts))))</f>
        <v/>
      </c>
      <c r="E336" s="24" t="str">
        <f>IF($A336&gt;nrows,"",IF(col_web=0,0,N(INDEX('Paste Export'!$A$2:$BZ$1001,$A336,col_web))))</f>
        <v/>
      </c>
      <c r="F336" s="26" t="str">
        <f t="shared" si="36"/>
        <v/>
      </c>
      <c r="G336" s="27" t="str">
        <f t="shared" si="37"/>
        <v/>
      </c>
      <c r="H336" s="24" t="str">
        <f>IF($A336&gt;nrows,"",IF(col_s1=0,0,--(LEN(INDEX('Paste Export'!$A$2:$BZ$1001,$A336,col_s1))&gt;0))+IF(col_s2=0,0,--(LEN(INDEX('Paste Export'!$A$2:$BZ$1001,$A336,col_s2))&gt;0))+IF(col_s3=0,0,--(LEN(INDEX('Paste Export'!$A$2:$BZ$1001,$A336,col_s3))&gt;0))+IF(col_s4=0,0,--(LEN(INDEX('Paste Export'!$A$2:$BZ$1001,$A336,col_s4))&gt;0))+IF(col_s5=0,0,--(LEN(INDEX('Paste Export'!$A$2:$BZ$1001,$A336,col_s5))&gt;0))+IF(col_s6=0,0,--(LEN(INDEX('Paste Export'!$A$2:$BZ$1001,$A336,col_s6))&gt;0))+IF(col_s7=0,0,--(LEN(INDEX('Paste Export'!$A$2:$BZ$1001,$A336,col_s7))&gt;0))+IF(col_s8=0,0,--(LEN(INDEX('Paste Export'!$A$2:$BZ$1001,$A336,col_s8))&gt;0)))</f>
        <v/>
      </c>
      <c r="I336" s="25" t="str">
        <f t="shared" si="38"/>
        <v/>
      </c>
      <c r="J336" s="25" t="str">
        <f t="shared" si="39"/>
        <v/>
      </c>
      <c r="K336" s="24" t="str">
        <f t="shared" si="40"/>
        <v/>
      </c>
      <c r="L336" s="24" t="str">
        <f t="shared" si="41"/>
        <v/>
      </c>
    </row>
    <row r="337" spans="1:12" x14ac:dyDescent="0.25">
      <c r="A337" s="24">
        <f t="shared" si="35"/>
        <v>336</v>
      </c>
      <c r="B337" s="25" t="str">
        <f>IF($A337&gt;nrows,"",IF(col_user=0,"",INDEX('Paste Export'!$A$2:$BZ$1001,$A337,col_user)))</f>
        <v/>
      </c>
      <c r="C337" s="24" t="str">
        <f>IF($A337&gt;nrows,"",IF(col_days=0,0,N(INDEX('Paste Export'!$A$2:$BZ$1001,$A337,col_days))))</f>
        <v/>
      </c>
      <c r="D337" s="24" t="str">
        <f>IF($A337&gt;nrows,"",IF(col_prompts=0,0,N(INDEX('Paste Export'!$A$2:$BZ$1001,$A337,col_prompts))))</f>
        <v/>
      </c>
      <c r="E337" s="24" t="str">
        <f>IF($A337&gt;nrows,"",IF(col_web=0,0,N(INDEX('Paste Export'!$A$2:$BZ$1001,$A337,col_web))))</f>
        <v/>
      </c>
      <c r="F337" s="26" t="str">
        <f t="shared" si="36"/>
        <v/>
      </c>
      <c r="G337" s="27" t="str">
        <f t="shared" si="37"/>
        <v/>
      </c>
      <c r="H337" s="24" t="str">
        <f>IF($A337&gt;nrows,"",IF(col_s1=0,0,--(LEN(INDEX('Paste Export'!$A$2:$BZ$1001,$A337,col_s1))&gt;0))+IF(col_s2=0,0,--(LEN(INDEX('Paste Export'!$A$2:$BZ$1001,$A337,col_s2))&gt;0))+IF(col_s3=0,0,--(LEN(INDEX('Paste Export'!$A$2:$BZ$1001,$A337,col_s3))&gt;0))+IF(col_s4=0,0,--(LEN(INDEX('Paste Export'!$A$2:$BZ$1001,$A337,col_s4))&gt;0))+IF(col_s5=0,0,--(LEN(INDEX('Paste Export'!$A$2:$BZ$1001,$A337,col_s5))&gt;0))+IF(col_s6=0,0,--(LEN(INDEX('Paste Export'!$A$2:$BZ$1001,$A337,col_s6))&gt;0))+IF(col_s7=0,0,--(LEN(INDEX('Paste Export'!$A$2:$BZ$1001,$A337,col_s7))&gt;0))+IF(col_s8=0,0,--(LEN(INDEX('Paste Export'!$A$2:$BZ$1001,$A337,col_s8))&gt;0)))</f>
        <v/>
      </c>
      <c r="I337" s="25" t="str">
        <f t="shared" si="38"/>
        <v/>
      </c>
      <c r="J337" s="25" t="str">
        <f t="shared" si="39"/>
        <v/>
      </c>
      <c r="K337" s="24" t="str">
        <f t="shared" si="40"/>
        <v/>
      </c>
      <c r="L337" s="24" t="str">
        <f t="shared" si="41"/>
        <v/>
      </c>
    </row>
    <row r="338" spans="1:12" x14ac:dyDescent="0.25">
      <c r="A338" s="24">
        <f t="shared" si="35"/>
        <v>337</v>
      </c>
      <c r="B338" s="25" t="str">
        <f>IF($A338&gt;nrows,"",IF(col_user=0,"",INDEX('Paste Export'!$A$2:$BZ$1001,$A338,col_user)))</f>
        <v/>
      </c>
      <c r="C338" s="24" t="str">
        <f>IF($A338&gt;nrows,"",IF(col_days=0,0,N(INDEX('Paste Export'!$A$2:$BZ$1001,$A338,col_days))))</f>
        <v/>
      </c>
      <c r="D338" s="24" t="str">
        <f>IF($A338&gt;nrows,"",IF(col_prompts=0,0,N(INDEX('Paste Export'!$A$2:$BZ$1001,$A338,col_prompts))))</f>
        <v/>
      </c>
      <c r="E338" s="24" t="str">
        <f>IF($A338&gt;nrows,"",IF(col_web=0,0,N(INDEX('Paste Export'!$A$2:$BZ$1001,$A338,col_web))))</f>
        <v/>
      </c>
      <c r="F338" s="26" t="str">
        <f t="shared" si="36"/>
        <v/>
      </c>
      <c r="G338" s="27" t="str">
        <f t="shared" si="37"/>
        <v/>
      </c>
      <c r="H338" s="24" t="str">
        <f>IF($A338&gt;nrows,"",IF(col_s1=0,0,--(LEN(INDEX('Paste Export'!$A$2:$BZ$1001,$A338,col_s1))&gt;0))+IF(col_s2=0,0,--(LEN(INDEX('Paste Export'!$A$2:$BZ$1001,$A338,col_s2))&gt;0))+IF(col_s3=0,0,--(LEN(INDEX('Paste Export'!$A$2:$BZ$1001,$A338,col_s3))&gt;0))+IF(col_s4=0,0,--(LEN(INDEX('Paste Export'!$A$2:$BZ$1001,$A338,col_s4))&gt;0))+IF(col_s5=0,0,--(LEN(INDEX('Paste Export'!$A$2:$BZ$1001,$A338,col_s5))&gt;0))+IF(col_s6=0,0,--(LEN(INDEX('Paste Export'!$A$2:$BZ$1001,$A338,col_s6))&gt;0))+IF(col_s7=0,0,--(LEN(INDEX('Paste Export'!$A$2:$BZ$1001,$A338,col_s7))&gt;0))+IF(col_s8=0,0,--(LEN(INDEX('Paste Export'!$A$2:$BZ$1001,$A338,col_s8))&gt;0)))</f>
        <v/>
      </c>
      <c r="I338" s="25" t="str">
        <f t="shared" si="38"/>
        <v/>
      </c>
      <c r="J338" s="25" t="str">
        <f t="shared" si="39"/>
        <v/>
      </c>
      <c r="K338" s="24" t="str">
        <f t="shared" si="40"/>
        <v/>
      </c>
      <c r="L338" s="24" t="str">
        <f t="shared" si="41"/>
        <v/>
      </c>
    </row>
    <row r="339" spans="1:12" x14ac:dyDescent="0.25">
      <c r="A339" s="24">
        <f t="shared" si="35"/>
        <v>338</v>
      </c>
      <c r="B339" s="25" t="str">
        <f>IF($A339&gt;nrows,"",IF(col_user=0,"",INDEX('Paste Export'!$A$2:$BZ$1001,$A339,col_user)))</f>
        <v/>
      </c>
      <c r="C339" s="24" t="str">
        <f>IF($A339&gt;nrows,"",IF(col_days=0,0,N(INDEX('Paste Export'!$A$2:$BZ$1001,$A339,col_days))))</f>
        <v/>
      </c>
      <c r="D339" s="24" t="str">
        <f>IF($A339&gt;nrows,"",IF(col_prompts=0,0,N(INDEX('Paste Export'!$A$2:$BZ$1001,$A339,col_prompts))))</f>
        <v/>
      </c>
      <c r="E339" s="24" t="str">
        <f>IF($A339&gt;nrows,"",IF(col_web=0,0,N(INDEX('Paste Export'!$A$2:$BZ$1001,$A339,col_web))))</f>
        <v/>
      </c>
      <c r="F339" s="26" t="str">
        <f t="shared" si="36"/>
        <v/>
      </c>
      <c r="G339" s="27" t="str">
        <f t="shared" si="37"/>
        <v/>
      </c>
      <c r="H339" s="24" t="str">
        <f>IF($A339&gt;nrows,"",IF(col_s1=0,0,--(LEN(INDEX('Paste Export'!$A$2:$BZ$1001,$A339,col_s1))&gt;0))+IF(col_s2=0,0,--(LEN(INDEX('Paste Export'!$A$2:$BZ$1001,$A339,col_s2))&gt;0))+IF(col_s3=0,0,--(LEN(INDEX('Paste Export'!$A$2:$BZ$1001,$A339,col_s3))&gt;0))+IF(col_s4=0,0,--(LEN(INDEX('Paste Export'!$A$2:$BZ$1001,$A339,col_s4))&gt;0))+IF(col_s5=0,0,--(LEN(INDEX('Paste Export'!$A$2:$BZ$1001,$A339,col_s5))&gt;0))+IF(col_s6=0,0,--(LEN(INDEX('Paste Export'!$A$2:$BZ$1001,$A339,col_s6))&gt;0))+IF(col_s7=0,0,--(LEN(INDEX('Paste Export'!$A$2:$BZ$1001,$A339,col_s7))&gt;0))+IF(col_s8=0,0,--(LEN(INDEX('Paste Export'!$A$2:$BZ$1001,$A339,col_s8))&gt;0)))</f>
        <v/>
      </c>
      <c r="I339" s="25" t="str">
        <f t="shared" si="38"/>
        <v/>
      </c>
      <c r="J339" s="25" t="str">
        <f t="shared" si="39"/>
        <v/>
      </c>
      <c r="K339" s="24" t="str">
        <f t="shared" si="40"/>
        <v/>
      </c>
      <c r="L339" s="24" t="str">
        <f t="shared" si="41"/>
        <v/>
      </c>
    </row>
    <row r="340" spans="1:12" x14ac:dyDescent="0.25">
      <c r="A340" s="24">
        <f t="shared" si="35"/>
        <v>339</v>
      </c>
      <c r="B340" s="25" t="str">
        <f>IF($A340&gt;nrows,"",IF(col_user=0,"",INDEX('Paste Export'!$A$2:$BZ$1001,$A340,col_user)))</f>
        <v/>
      </c>
      <c r="C340" s="24" t="str">
        <f>IF($A340&gt;nrows,"",IF(col_days=0,0,N(INDEX('Paste Export'!$A$2:$BZ$1001,$A340,col_days))))</f>
        <v/>
      </c>
      <c r="D340" s="24" t="str">
        <f>IF($A340&gt;nrows,"",IF(col_prompts=0,0,N(INDEX('Paste Export'!$A$2:$BZ$1001,$A340,col_prompts))))</f>
        <v/>
      </c>
      <c r="E340" s="24" t="str">
        <f>IF($A340&gt;nrows,"",IF(col_web=0,0,N(INDEX('Paste Export'!$A$2:$BZ$1001,$A340,col_web))))</f>
        <v/>
      </c>
      <c r="F340" s="26" t="str">
        <f t="shared" si="36"/>
        <v/>
      </c>
      <c r="G340" s="27" t="str">
        <f t="shared" si="37"/>
        <v/>
      </c>
      <c r="H340" s="24" t="str">
        <f>IF($A340&gt;nrows,"",IF(col_s1=0,0,--(LEN(INDEX('Paste Export'!$A$2:$BZ$1001,$A340,col_s1))&gt;0))+IF(col_s2=0,0,--(LEN(INDEX('Paste Export'!$A$2:$BZ$1001,$A340,col_s2))&gt;0))+IF(col_s3=0,0,--(LEN(INDEX('Paste Export'!$A$2:$BZ$1001,$A340,col_s3))&gt;0))+IF(col_s4=0,0,--(LEN(INDEX('Paste Export'!$A$2:$BZ$1001,$A340,col_s4))&gt;0))+IF(col_s5=0,0,--(LEN(INDEX('Paste Export'!$A$2:$BZ$1001,$A340,col_s5))&gt;0))+IF(col_s6=0,0,--(LEN(INDEX('Paste Export'!$A$2:$BZ$1001,$A340,col_s6))&gt;0))+IF(col_s7=0,0,--(LEN(INDEX('Paste Export'!$A$2:$BZ$1001,$A340,col_s7))&gt;0))+IF(col_s8=0,0,--(LEN(INDEX('Paste Export'!$A$2:$BZ$1001,$A340,col_s8))&gt;0)))</f>
        <v/>
      </c>
      <c r="I340" s="25" t="str">
        <f t="shared" si="38"/>
        <v/>
      </c>
      <c r="J340" s="25" t="str">
        <f t="shared" si="39"/>
        <v/>
      </c>
      <c r="K340" s="24" t="str">
        <f t="shared" si="40"/>
        <v/>
      </c>
      <c r="L340" s="24" t="str">
        <f t="shared" si="41"/>
        <v/>
      </c>
    </row>
    <row r="341" spans="1:12" x14ac:dyDescent="0.25">
      <c r="A341" s="24">
        <f t="shared" si="35"/>
        <v>340</v>
      </c>
      <c r="B341" s="25" t="str">
        <f>IF($A341&gt;nrows,"",IF(col_user=0,"",INDEX('Paste Export'!$A$2:$BZ$1001,$A341,col_user)))</f>
        <v/>
      </c>
      <c r="C341" s="24" t="str">
        <f>IF($A341&gt;nrows,"",IF(col_days=0,0,N(INDEX('Paste Export'!$A$2:$BZ$1001,$A341,col_days))))</f>
        <v/>
      </c>
      <c r="D341" s="24" t="str">
        <f>IF($A341&gt;nrows,"",IF(col_prompts=0,0,N(INDEX('Paste Export'!$A$2:$BZ$1001,$A341,col_prompts))))</f>
        <v/>
      </c>
      <c r="E341" s="24" t="str">
        <f>IF($A341&gt;nrows,"",IF(col_web=0,0,N(INDEX('Paste Export'!$A$2:$BZ$1001,$A341,col_web))))</f>
        <v/>
      </c>
      <c r="F341" s="26" t="str">
        <f t="shared" si="36"/>
        <v/>
      </c>
      <c r="G341" s="27" t="str">
        <f t="shared" si="37"/>
        <v/>
      </c>
      <c r="H341" s="24" t="str">
        <f>IF($A341&gt;nrows,"",IF(col_s1=0,0,--(LEN(INDEX('Paste Export'!$A$2:$BZ$1001,$A341,col_s1))&gt;0))+IF(col_s2=0,0,--(LEN(INDEX('Paste Export'!$A$2:$BZ$1001,$A341,col_s2))&gt;0))+IF(col_s3=0,0,--(LEN(INDEX('Paste Export'!$A$2:$BZ$1001,$A341,col_s3))&gt;0))+IF(col_s4=0,0,--(LEN(INDEX('Paste Export'!$A$2:$BZ$1001,$A341,col_s4))&gt;0))+IF(col_s5=0,0,--(LEN(INDEX('Paste Export'!$A$2:$BZ$1001,$A341,col_s5))&gt;0))+IF(col_s6=0,0,--(LEN(INDEX('Paste Export'!$A$2:$BZ$1001,$A341,col_s6))&gt;0))+IF(col_s7=0,0,--(LEN(INDEX('Paste Export'!$A$2:$BZ$1001,$A341,col_s7))&gt;0))+IF(col_s8=0,0,--(LEN(INDEX('Paste Export'!$A$2:$BZ$1001,$A341,col_s8))&gt;0)))</f>
        <v/>
      </c>
      <c r="I341" s="25" t="str">
        <f t="shared" si="38"/>
        <v/>
      </c>
      <c r="J341" s="25" t="str">
        <f t="shared" si="39"/>
        <v/>
      </c>
      <c r="K341" s="24" t="str">
        <f t="shared" si="40"/>
        <v/>
      </c>
      <c r="L341" s="24" t="str">
        <f t="shared" si="41"/>
        <v/>
      </c>
    </row>
    <row r="342" spans="1:12" x14ac:dyDescent="0.25">
      <c r="A342" s="24">
        <f t="shared" si="35"/>
        <v>341</v>
      </c>
      <c r="B342" s="25" t="str">
        <f>IF($A342&gt;nrows,"",IF(col_user=0,"",INDEX('Paste Export'!$A$2:$BZ$1001,$A342,col_user)))</f>
        <v/>
      </c>
      <c r="C342" s="24" t="str">
        <f>IF($A342&gt;nrows,"",IF(col_days=0,0,N(INDEX('Paste Export'!$A$2:$BZ$1001,$A342,col_days))))</f>
        <v/>
      </c>
      <c r="D342" s="24" t="str">
        <f>IF($A342&gt;nrows,"",IF(col_prompts=0,0,N(INDEX('Paste Export'!$A$2:$BZ$1001,$A342,col_prompts))))</f>
        <v/>
      </c>
      <c r="E342" s="24" t="str">
        <f>IF($A342&gt;nrows,"",IF(col_web=0,0,N(INDEX('Paste Export'!$A$2:$BZ$1001,$A342,col_web))))</f>
        <v/>
      </c>
      <c r="F342" s="26" t="str">
        <f t="shared" si="36"/>
        <v/>
      </c>
      <c r="G342" s="27" t="str">
        <f t="shared" si="37"/>
        <v/>
      </c>
      <c r="H342" s="24" t="str">
        <f>IF($A342&gt;nrows,"",IF(col_s1=0,0,--(LEN(INDEX('Paste Export'!$A$2:$BZ$1001,$A342,col_s1))&gt;0))+IF(col_s2=0,0,--(LEN(INDEX('Paste Export'!$A$2:$BZ$1001,$A342,col_s2))&gt;0))+IF(col_s3=0,0,--(LEN(INDEX('Paste Export'!$A$2:$BZ$1001,$A342,col_s3))&gt;0))+IF(col_s4=0,0,--(LEN(INDEX('Paste Export'!$A$2:$BZ$1001,$A342,col_s4))&gt;0))+IF(col_s5=0,0,--(LEN(INDEX('Paste Export'!$A$2:$BZ$1001,$A342,col_s5))&gt;0))+IF(col_s6=0,0,--(LEN(INDEX('Paste Export'!$A$2:$BZ$1001,$A342,col_s6))&gt;0))+IF(col_s7=0,0,--(LEN(INDEX('Paste Export'!$A$2:$BZ$1001,$A342,col_s7))&gt;0))+IF(col_s8=0,0,--(LEN(INDEX('Paste Export'!$A$2:$BZ$1001,$A342,col_s8))&gt;0)))</f>
        <v/>
      </c>
      <c r="I342" s="25" t="str">
        <f t="shared" si="38"/>
        <v/>
      </c>
      <c r="J342" s="25" t="str">
        <f t="shared" si="39"/>
        <v/>
      </c>
      <c r="K342" s="24" t="str">
        <f t="shared" si="40"/>
        <v/>
      </c>
      <c r="L342" s="24" t="str">
        <f t="shared" si="41"/>
        <v/>
      </c>
    </row>
    <row r="343" spans="1:12" x14ac:dyDescent="0.25">
      <c r="A343" s="24">
        <f t="shared" si="35"/>
        <v>342</v>
      </c>
      <c r="B343" s="25" t="str">
        <f>IF($A343&gt;nrows,"",IF(col_user=0,"",INDEX('Paste Export'!$A$2:$BZ$1001,$A343,col_user)))</f>
        <v/>
      </c>
      <c r="C343" s="24" t="str">
        <f>IF($A343&gt;nrows,"",IF(col_days=0,0,N(INDEX('Paste Export'!$A$2:$BZ$1001,$A343,col_days))))</f>
        <v/>
      </c>
      <c r="D343" s="24" t="str">
        <f>IF($A343&gt;nrows,"",IF(col_prompts=0,0,N(INDEX('Paste Export'!$A$2:$BZ$1001,$A343,col_prompts))))</f>
        <v/>
      </c>
      <c r="E343" s="24" t="str">
        <f>IF($A343&gt;nrows,"",IF(col_web=0,0,N(INDEX('Paste Export'!$A$2:$BZ$1001,$A343,col_web))))</f>
        <v/>
      </c>
      <c r="F343" s="26" t="str">
        <f t="shared" si="36"/>
        <v/>
      </c>
      <c r="G343" s="27" t="str">
        <f t="shared" si="37"/>
        <v/>
      </c>
      <c r="H343" s="24" t="str">
        <f>IF($A343&gt;nrows,"",IF(col_s1=0,0,--(LEN(INDEX('Paste Export'!$A$2:$BZ$1001,$A343,col_s1))&gt;0))+IF(col_s2=0,0,--(LEN(INDEX('Paste Export'!$A$2:$BZ$1001,$A343,col_s2))&gt;0))+IF(col_s3=0,0,--(LEN(INDEX('Paste Export'!$A$2:$BZ$1001,$A343,col_s3))&gt;0))+IF(col_s4=0,0,--(LEN(INDEX('Paste Export'!$A$2:$BZ$1001,$A343,col_s4))&gt;0))+IF(col_s5=0,0,--(LEN(INDEX('Paste Export'!$A$2:$BZ$1001,$A343,col_s5))&gt;0))+IF(col_s6=0,0,--(LEN(INDEX('Paste Export'!$A$2:$BZ$1001,$A343,col_s6))&gt;0))+IF(col_s7=0,0,--(LEN(INDEX('Paste Export'!$A$2:$BZ$1001,$A343,col_s7))&gt;0))+IF(col_s8=0,0,--(LEN(INDEX('Paste Export'!$A$2:$BZ$1001,$A343,col_s8))&gt;0)))</f>
        <v/>
      </c>
      <c r="I343" s="25" t="str">
        <f t="shared" si="38"/>
        <v/>
      </c>
      <c r="J343" s="25" t="str">
        <f t="shared" si="39"/>
        <v/>
      </c>
      <c r="K343" s="24" t="str">
        <f t="shared" si="40"/>
        <v/>
      </c>
      <c r="L343" s="24" t="str">
        <f t="shared" si="41"/>
        <v/>
      </c>
    </row>
    <row r="344" spans="1:12" x14ac:dyDescent="0.25">
      <c r="A344" s="24">
        <f t="shared" si="35"/>
        <v>343</v>
      </c>
      <c r="B344" s="25" t="str">
        <f>IF($A344&gt;nrows,"",IF(col_user=0,"",INDEX('Paste Export'!$A$2:$BZ$1001,$A344,col_user)))</f>
        <v/>
      </c>
      <c r="C344" s="24" t="str">
        <f>IF($A344&gt;nrows,"",IF(col_days=0,0,N(INDEX('Paste Export'!$A$2:$BZ$1001,$A344,col_days))))</f>
        <v/>
      </c>
      <c r="D344" s="24" t="str">
        <f>IF($A344&gt;nrows,"",IF(col_prompts=0,0,N(INDEX('Paste Export'!$A$2:$BZ$1001,$A344,col_prompts))))</f>
        <v/>
      </c>
      <c r="E344" s="24" t="str">
        <f>IF($A344&gt;nrows,"",IF(col_web=0,0,N(INDEX('Paste Export'!$A$2:$BZ$1001,$A344,col_web))))</f>
        <v/>
      </c>
      <c r="F344" s="26" t="str">
        <f t="shared" si="36"/>
        <v/>
      </c>
      <c r="G344" s="27" t="str">
        <f t="shared" si="37"/>
        <v/>
      </c>
      <c r="H344" s="24" t="str">
        <f>IF($A344&gt;nrows,"",IF(col_s1=0,0,--(LEN(INDEX('Paste Export'!$A$2:$BZ$1001,$A344,col_s1))&gt;0))+IF(col_s2=0,0,--(LEN(INDEX('Paste Export'!$A$2:$BZ$1001,$A344,col_s2))&gt;0))+IF(col_s3=0,0,--(LEN(INDEX('Paste Export'!$A$2:$BZ$1001,$A344,col_s3))&gt;0))+IF(col_s4=0,0,--(LEN(INDEX('Paste Export'!$A$2:$BZ$1001,$A344,col_s4))&gt;0))+IF(col_s5=0,0,--(LEN(INDEX('Paste Export'!$A$2:$BZ$1001,$A344,col_s5))&gt;0))+IF(col_s6=0,0,--(LEN(INDEX('Paste Export'!$A$2:$BZ$1001,$A344,col_s6))&gt;0))+IF(col_s7=0,0,--(LEN(INDEX('Paste Export'!$A$2:$BZ$1001,$A344,col_s7))&gt;0))+IF(col_s8=0,0,--(LEN(INDEX('Paste Export'!$A$2:$BZ$1001,$A344,col_s8))&gt;0)))</f>
        <v/>
      </c>
      <c r="I344" s="25" t="str">
        <f t="shared" si="38"/>
        <v/>
      </c>
      <c r="J344" s="25" t="str">
        <f t="shared" si="39"/>
        <v/>
      </c>
      <c r="K344" s="24" t="str">
        <f t="shared" si="40"/>
        <v/>
      </c>
      <c r="L344" s="24" t="str">
        <f t="shared" si="41"/>
        <v/>
      </c>
    </row>
    <row r="345" spans="1:12" x14ac:dyDescent="0.25">
      <c r="A345" s="24">
        <f t="shared" si="35"/>
        <v>344</v>
      </c>
      <c r="B345" s="25" t="str">
        <f>IF($A345&gt;nrows,"",IF(col_user=0,"",INDEX('Paste Export'!$A$2:$BZ$1001,$A345,col_user)))</f>
        <v/>
      </c>
      <c r="C345" s="24" t="str">
        <f>IF($A345&gt;nrows,"",IF(col_days=0,0,N(INDEX('Paste Export'!$A$2:$BZ$1001,$A345,col_days))))</f>
        <v/>
      </c>
      <c r="D345" s="24" t="str">
        <f>IF($A345&gt;nrows,"",IF(col_prompts=0,0,N(INDEX('Paste Export'!$A$2:$BZ$1001,$A345,col_prompts))))</f>
        <v/>
      </c>
      <c r="E345" s="24" t="str">
        <f>IF($A345&gt;nrows,"",IF(col_web=0,0,N(INDEX('Paste Export'!$A$2:$BZ$1001,$A345,col_web))))</f>
        <v/>
      </c>
      <c r="F345" s="26" t="str">
        <f t="shared" si="36"/>
        <v/>
      </c>
      <c r="G345" s="27" t="str">
        <f t="shared" si="37"/>
        <v/>
      </c>
      <c r="H345" s="24" t="str">
        <f>IF($A345&gt;nrows,"",IF(col_s1=0,0,--(LEN(INDEX('Paste Export'!$A$2:$BZ$1001,$A345,col_s1))&gt;0))+IF(col_s2=0,0,--(LEN(INDEX('Paste Export'!$A$2:$BZ$1001,$A345,col_s2))&gt;0))+IF(col_s3=0,0,--(LEN(INDEX('Paste Export'!$A$2:$BZ$1001,$A345,col_s3))&gt;0))+IF(col_s4=0,0,--(LEN(INDEX('Paste Export'!$A$2:$BZ$1001,$A345,col_s4))&gt;0))+IF(col_s5=0,0,--(LEN(INDEX('Paste Export'!$A$2:$BZ$1001,$A345,col_s5))&gt;0))+IF(col_s6=0,0,--(LEN(INDEX('Paste Export'!$A$2:$BZ$1001,$A345,col_s6))&gt;0))+IF(col_s7=0,0,--(LEN(INDEX('Paste Export'!$A$2:$BZ$1001,$A345,col_s7))&gt;0))+IF(col_s8=0,0,--(LEN(INDEX('Paste Export'!$A$2:$BZ$1001,$A345,col_s8))&gt;0)))</f>
        <v/>
      </c>
      <c r="I345" s="25" t="str">
        <f t="shared" si="38"/>
        <v/>
      </c>
      <c r="J345" s="25" t="str">
        <f t="shared" si="39"/>
        <v/>
      </c>
      <c r="K345" s="24" t="str">
        <f t="shared" si="40"/>
        <v/>
      </c>
      <c r="L345" s="24" t="str">
        <f t="shared" si="41"/>
        <v/>
      </c>
    </row>
    <row r="346" spans="1:12" x14ac:dyDescent="0.25">
      <c r="A346" s="24">
        <f t="shared" si="35"/>
        <v>345</v>
      </c>
      <c r="B346" s="25" t="str">
        <f>IF($A346&gt;nrows,"",IF(col_user=0,"",INDEX('Paste Export'!$A$2:$BZ$1001,$A346,col_user)))</f>
        <v/>
      </c>
      <c r="C346" s="24" t="str">
        <f>IF($A346&gt;nrows,"",IF(col_days=0,0,N(INDEX('Paste Export'!$A$2:$BZ$1001,$A346,col_days))))</f>
        <v/>
      </c>
      <c r="D346" s="24" t="str">
        <f>IF($A346&gt;nrows,"",IF(col_prompts=0,0,N(INDEX('Paste Export'!$A$2:$BZ$1001,$A346,col_prompts))))</f>
        <v/>
      </c>
      <c r="E346" s="24" t="str">
        <f>IF($A346&gt;nrows,"",IF(col_web=0,0,N(INDEX('Paste Export'!$A$2:$BZ$1001,$A346,col_web))))</f>
        <v/>
      </c>
      <c r="F346" s="26" t="str">
        <f t="shared" si="36"/>
        <v/>
      </c>
      <c r="G346" s="27" t="str">
        <f t="shared" si="37"/>
        <v/>
      </c>
      <c r="H346" s="24" t="str">
        <f>IF($A346&gt;nrows,"",IF(col_s1=0,0,--(LEN(INDEX('Paste Export'!$A$2:$BZ$1001,$A346,col_s1))&gt;0))+IF(col_s2=0,0,--(LEN(INDEX('Paste Export'!$A$2:$BZ$1001,$A346,col_s2))&gt;0))+IF(col_s3=0,0,--(LEN(INDEX('Paste Export'!$A$2:$BZ$1001,$A346,col_s3))&gt;0))+IF(col_s4=0,0,--(LEN(INDEX('Paste Export'!$A$2:$BZ$1001,$A346,col_s4))&gt;0))+IF(col_s5=0,0,--(LEN(INDEX('Paste Export'!$A$2:$BZ$1001,$A346,col_s5))&gt;0))+IF(col_s6=0,0,--(LEN(INDEX('Paste Export'!$A$2:$BZ$1001,$A346,col_s6))&gt;0))+IF(col_s7=0,0,--(LEN(INDEX('Paste Export'!$A$2:$BZ$1001,$A346,col_s7))&gt;0))+IF(col_s8=0,0,--(LEN(INDEX('Paste Export'!$A$2:$BZ$1001,$A346,col_s8))&gt;0)))</f>
        <v/>
      </c>
      <c r="I346" s="25" t="str">
        <f t="shared" si="38"/>
        <v/>
      </c>
      <c r="J346" s="25" t="str">
        <f t="shared" si="39"/>
        <v/>
      </c>
      <c r="K346" s="24" t="str">
        <f t="shared" si="40"/>
        <v/>
      </c>
      <c r="L346" s="24" t="str">
        <f t="shared" si="41"/>
        <v/>
      </c>
    </row>
    <row r="347" spans="1:12" x14ac:dyDescent="0.25">
      <c r="A347" s="24">
        <f t="shared" si="35"/>
        <v>346</v>
      </c>
      <c r="B347" s="25" t="str">
        <f>IF($A347&gt;nrows,"",IF(col_user=0,"",INDEX('Paste Export'!$A$2:$BZ$1001,$A347,col_user)))</f>
        <v/>
      </c>
      <c r="C347" s="24" t="str">
        <f>IF($A347&gt;nrows,"",IF(col_days=0,0,N(INDEX('Paste Export'!$A$2:$BZ$1001,$A347,col_days))))</f>
        <v/>
      </c>
      <c r="D347" s="24" t="str">
        <f>IF($A347&gt;nrows,"",IF(col_prompts=0,0,N(INDEX('Paste Export'!$A$2:$BZ$1001,$A347,col_prompts))))</f>
        <v/>
      </c>
      <c r="E347" s="24" t="str">
        <f>IF($A347&gt;nrows,"",IF(col_web=0,0,N(INDEX('Paste Export'!$A$2:$BZ$1001,$A347,col_web))))</f>
        <v/>
      </c>
      <c r="F347" s="26" t="str">
        <f t="shared" si="36"/>
        <v/>
      </c>
      <c r="G347" s="27" t="str">
        <f t="shared" si="37"/>
        <v/>
      </c>
      <c r="H347" s="24" t="str">
        <f>IF($A347&gt;nrows,"",IF(col_s1=0,0,--(LEN(INDEX('Paste Export'!$A$2:$BZ$1001,$A347,col_s1))&gt;0))+IF(col_s2=0,0,--(LEN(INDEX('Paste Export'!$A$2:$BZ$1001,$A347,col_s2))&gt;0))+IF(col_s3=0,0,--(LEN(INDEX('Paste Export'!$A$2:$BZ$1001,$A347,col_s3))&gt;0))+IF(col_s4=0,0,--(LEN(INDEX('Paste Export'!$A$2:$BZ$1001,$A347,col_s4))&gt;0))+IF(col_s5=0,0,--(LEN(INDEX('Paste Export'!$A$2:$BZ$1001,$A347,col_s5))&gt;0))+IF(col_s6=0,0,--(LEN(INDEX('Paste Export'!$A$2:$BZ$1001,$A347,col_s6))&gt;0))+IF(col_s7=0,0,--(LEN(INDEX('Paste Export'!$A$2:$BZ$1001,$A347,col_s7))&gt;0))+IF(col_s8=0,0,--(LEN(INDEX('Paste Export'!$A$2:$BZ$1001,$A347,col_s8))&gt;0)))</f>
        <v/>
      </c>
      <c r="I347" s="25" t="str">
        <f t="shared" si="38"/>
        <v/>
      </c>
      <c r="J347" s="25" t="str">
        <f t="shared" si="39"/>
        <v/>
      </c>
      <c r="K347" s="24" t="str">
        <f t="shared" si="40"/>
        <v/>
      </c>
      <c r="L347" s="24" t="str">
        <f t="shared" si="41"/>
        <v/>
      </c>
    </row>
    <row r="348" spans="1:12" x14ac:dyDescent="0.25">
      <c r="A348" s="24">
        <f t="shared" si="35"/>
        <v>347</v>
      </c>
      <c r="B348" s="25" t="str">
        <f>IF($A348&gt;nrows,"",IF(col_user=0,"",INDEX('Paste Export'!$A$2:$BZ$1001,$A348,col_user)))</f>
        <v/>
      </c>
      <c r="C348" s="24" t="str">
        <f>IF($A348&gt;nrows,"",IF(col_days=0,0,N(INDEX('Paste Export'!$A$2:$BZ$1001,$A348,col_days))))</f>
        <v/>
      </c>
      <c r="D348" s="24" t="str">
        <f>IF($A348&gt;nrows,"",IF(col_prompts=0,0,N(INDEX('Paste Export'!$A$2:$BZ$1001,$A348,col_prompts))))</f>
        <v/>
      </c>
      <c r="E348" s="24" t="str">
        <f>IF($A348&gt;nrows,"",IF(col_web=0,0,N(INDEX('Paste Export'!$A$2:$BZ$1001,$A348,col_web))))</f>
        <v/>
      </c>
      <c r="F348" s="26" t="str">
        <f t="shared" si="36"/>
        <v/>
      </c>
      <c r="G348" s="27" t="str">
        <f t="shared" si="37"/>
        <v/>
      </c>
      <c r="H348" s="24" t="str">
        <f>IF($A348&gt;nrows,"",IF(col_s1=0,0,--(LEN(INDEX('Paste Export'!$A$2:$BZ$1001,$A348,col_s1))&gt;0))+IF(col_s2=0,0,--(LEN(INDEX('Paste Export'!$A$2:$BZ$1001,$A348,col_s2))&gt;0))+IF(col_s3=0,0,--(LEN(INDEX('Paste Export'!$A$2:$BZ$1001,$A348,col_s3))&gt;0))+IF(col_s4=0,0,--(LEN(INDEX('Paste Export'!$A$2:$BZ$1001,$A348,col_s4))&gt;0))+IF(col_s5=0,0,--(LEN(INDEX('Paste Export'!$A$2:$BZ$1001,$A348,col_s5))&gt;0))+IF(col_s6=0,0,--(LEN(INDEX('Paste Export'!$A$2:$BZ$1001,$A348,col_s6))&gt;0))+IF(col_s7=0,0,--(LEN(INDEX('Paste Export'!$A$2:$BZ$1001,$A348,col_s7))&gt;0))+IF(col_s8=0,0,--(LEN(INDEX('Paste Export'!$A$2:$BZ$1001,$A348,col_s8))&gt;0)))</f>
        <v/>
      </c>
      <c r="I348" s="25" t="str">
        <f t="shared" si="38"/>
        <v/>
      </c>
      <c r="J348" s="25" t="str">
        <f t="shared" si="39"/>
        <v/>
      </c>
      <c r="K348" s="24" t="str">
        <f t="shared" si="40"/>
        <v/>
      </c>
      <c r="L348" s="24" t="str">
        <f t="shared" si="41"/>
        <v/>
      </c>
    </row>
    <row r="349" spans="1:12" x14ac:dyDescent="0.25">
      <c r="A349" s="24">
        <f t="shared" si="35"/>
        <v>348</v>
      </c>
      <c r="B349" s="25" t="str">
        <f>IF($A349&gt;nrows,"",IF(col_user=0,"",INDEX('Paste Export'!$A$2:$BZ$1001,$A349,col_user)))</f>
        <v/>
      </c>
      <c r="C349" s="24" t="str">
        <f>IF($A349&gt;nrows,"",IF(col_days=0,0,N(INDEX('Paste Export'!$A$2:$BZ$1001,$A349,col_days))))</f>
        <v/>
      </c>
      <c r="D349" s="24" t="str">
        <f>IF($A349&gt;nrows,"",IF(col_prompts=0,0,N(INDEX('Paste Export'!$A$2:$BZ$1001,$A349,col_prompts))))</f>
        <v/>
      </c>
      <c r="E349" s="24" t="str">
        <f>IF($A349&gt;nrows,"",IF(col_web=0,0,N(INDEX('Paste Export'!$A$2:$BZ$1001,$A349,col_web))))</f>
        <v/>
      </c>
      <c r="F349" s="26" t="str">
        <f t="shared" si="36"/>
        <v/>
      </c>
      <c r="G349" s="27" t="str">
        <f t="shared" si="37"/>
        <v/>
      </c>
      <c r="H349" s="24" t="str">
        <f>IF($A349&gt;nrows,"",IF(col_s1=0,0,--(LEN(INDEX('Paste Export'!$A$2:$BZ$1001,$A349,col_s1))&gt;0))+IF(col_s2=0,0,--(LEN(INDEX('Paste Export'!$A$2:$BZ$1001,$A349,col_s2))&gt;0))+IF(col_s3=0,0,--(LEN(INDEX('Paste Export'!$A$2:$BZ$1001,$A349,col_s3))&gt;0))+IF(col_s4=0,0,--(LEN(INDEX('Paste Export'!$A$2:$BZ$1001,$A349,col_s4))&gt;0))+IF(col_s5=0,0,--(LEN(INDEX('Paste Export'!$A$2:$BZ$1001,$A349,col_s5))&gt;0))+IF(col_s6=0,0,--(LEN(INDEX('Paste Export'!$A$2:$BZ$1001,$A349,col_s6))&gt;0))+IF(col_s7=0,0,--(LEN(INDEX('Paste Export'!$A$2:$BZ$1001,$A349,col_s7))&gt;0))+IF(col_s8=0,0,--(LEN(INDEX('Paste Export'!$A$2:$BZ$1001,$A349,col_s8))&gt;0)))</f>
        <v/>
      </c>
      <c r="I349" s="25" t="str">
        <f t="shared" si="38"/>
        <v/>
      </c>
      <c r="J349" s="25" t="str">
        <f t="shared" si="39"/>
        <v/>
      </c>
      <c r="K349" s="24" t="str">
        <f t="shared" si="40"/>
        <v/>
      </c>
      <c r="L349" s="24" t="str">
        <f t="shared" si="41"/>
        <v/>
      </c>
    </row>
    <row r="350" spans="1:12" x14ac:dyDescent="0.25">
      <c r="A350" s="24">
        <f t="shared" si="35"/>
        <v>349</v>
      </c>
      <c r="B350" s="25" t="str">
        <f>IF($A350&gt;nrows,"",IF(col_user=0,"",INDEX('Paste Export'!$A$2:$BZ$1001,$A350,col_user)))</f>
        <v/>
      </c>
      <c r="C350" s="24" t="str">
        <f>IF($A350&gt;nrows,"",IF(col_days=0,0,N(INDEX('Paste Export'!$A$2:$BZ$1001,$A350,col_days))))</f>
        <v/>
      </c>
      <c r="D350" s="24" t="str">
        <f>IF($A350&gt;nrows,"",IF(col_prompts=0,0,N(INDEX('Paste Export'!$A$2:$BZ$1001,$A350,col_prompts))))</f>
        <v/>
      </c>
      <c r="E350" s="24" t="str">
        <f>IF($A350&gt;nrows,"",IF(col_web=0,0,N(INDEX('Paste Export'!$A$2:$BZ$1001,$A350,col_web))))</f>
        <v/>
      </c>
      <c r="F350" s="26" t="str">
        <f t="shared" si="36"/>
        <v/>
      </c>
      <c r="G350" s="27" t="str">
        <f t="shared" si="37"/>
        <v/>
      </c>
      <c r="H350" s="24" t="str">
        <f>IF($A350&gt;nrows,"",IF(col_s1=0,0,--(LEN(INDEX('Paste Export'!$A$2:$BZ$1001,$A350,col_s1))&gt;0))+IF(col_s2=0,0,--(LEN(INDEX('Paste Export'!$A$2:$BZ$1001,$A350,col_s2))&gt;0))+IF(col_s3=0,0,--(LEN(INDEX('Paste Export'!$A$2:$BZ$1001,$A350,col_s3))&gt;0))+IF(col_s4=0,0,--(LEN(INDEX('Paste Export'!$A$2:$BZ$1001,$A350,col_s4))&gt;0))+IF(col_s5=0,0,--(LEN(INDEX('Paste Export'!$A$2:$BZ$1001,$A350,col_s5))&gt;0))+IF(col_s6=0,0,--(LEN(INDEX('Paste Export'!$A$2:$BZ$1001,$A350,col_s6))&gt;0))+IF(col_s7=0,0,--(LEN(INDEX('Paste Export'!$A$2:$BZ$1001,$A350,col_s7))&gt;0))+IF(col_s8=0,0,--(LEN(INDEX('Paste Export'!$A$2:$BZ$1001,$A350,col_s8))&gt;0)))</f>
        <v/>
      </c>
      <c r="I350" s="25" t="str">
        <f t="shared" si="38"/>
        <v/>
      </c>
      <c r="J350" s="25" t="str">
        <f t="shared" si="39"/>
        <v/>
      </c>
      <c r="K350" s="24" t="str">
        <f t="shared" si="40"/>
        <v/>
      </c>
      <c r="L350" s="24" t="str">
        <f t="shared" si="41"/>
        <v/>
      </c>
    </row>
    <row r="351" spans="1:12" x14ac:dyDescent="0.25">
      <c r="A351" s="24">
        <f t="shared" si="35"/>
        <v>350</v>
      </c>
      <c r="B351" s="25" t="str">
        <f>IF($A351&gt;nrows,"",IF(col_user=0,"",INDEX('Paste Export'!$A$2:$BZ$1001,$A351,col_user)))</f>
        <v/>
      </c>
      <c r="C351" s="24" t="str">
        <f>IF($A351&gt;nrows,"",IF(col_days=0,0,N(INDEX('Paste Export'!$A$2:$BZ$1001,$A351,col_days))))</f>
        <v/>
      </c>
      <c r="D351" s="24" t="str">
        <f>IF($A351&gt;nrows,"",IF(col_prompts=0,0,N(INDEX('Paste Export'!$A$2:$BZ$1001,$A351,col_prompts))))</f>
        <v/>
      </c>
      <c r="E351" s="24" t="str">
        <f>IF($A351&gt;nrows,"",IF(col_web=0,0,N(INDEX('Paste Export'!$A$2:$BZ$1001,$A351,col_web))))</f>
        <v/>
      </c>
      <c r="F351" s="26" t="str">
        <f t="shared" si="36"/>
        <v/>
      </c>
      <c r="G351" s="27" t="str">
        <f t="shared" si="37"/>
        <v/>
      </c>
      <c r="H351" s="24" t="str">
        <f>IF($A351&gt;nrows,"",IF(col_s1=0,0,--(LEN(INDEX('Paste Export'!$A$2:$BZ$1001,$A351,col_s1))&gt;0))+IF(col_s2=0,0,--(LEN(INDEX('Paste Export'!$A$2:$BZ$1001,$A351,col_s2))&gt;0))+IF(col_s3=0,0,--(LEN(INDEX('Paste Export'!$A$2:$BZ$1001,$A351,col_s3))&gt;0))+IF(col_s4=0,0,--(LEN(INDEX('Paste Export'!$A$2:$BZ$1001,$A351,col_s4))&gt;0))+IF(col_s5=0,0,--(LEN(INDEX('Paste Export'!$A$2:$BZ$1001,$A351,col_s5))&gt;0))+IF(col_s6=0,0,--(LEN(INDEX('Paste Export'!$A$2:$BZ$1001,$A351,col_s6))&gt;0))+IF(col_s7=0,0,--(LEN(INDEX('Paste Export'!$A$2:$BZ$1001,$A351,col_s7))&gt;0))+IF(col_s8=0,0,--(LEN(INDEX('Paste Export'!$A$2:$BZ$1001,$A351,col_s8))&gt;0)))</f>
        <v/>
      </c>
      <c r="I351" s="25" t="str">
        <f t="shared" si="38"/>
        <v/>
      </c>
      <c r="J351" s="25" t="str">
        <f t="shared" si="39"/>
        <v/>
      </c>
      <c r="K351" s="24" t="str">
        <f t="shared" si="40"/>
        <v/>
      </c>
      <c r="L351" s="24" t="str">
        <f t="shared" si="41"/>
        <v/>
      </c>
    </row>
    <row r="352" spans="1:12" x14ac:dyDescent="0.25">
      <c r="A352" s="24">
        <f t="shared" si="35"/>
        <v>351</v>
      </c>
      <c r="B352" s="25" t="str">
        <f>IF($A352&gt;nrows,"",IF(col_user=0,"",INDEX('Paste Export'!$A$2:$BZ$1001,$A352,col_user)))</f>
        <v/>
      </c>
      <c r="C352" s="24" t="str">
        <f>IF($A352&gt;nrows,"",IF(col_days=0,0,N(INDEX('Paste Export'!$A$2:$BZ$1001,$A352,col_days))))</f>
        <v/>
      </c>
      <c r="D352" s="24" t="str">
        <f>IF($A352&gt;nrows,"",IF(col_prompts=0,0,N(INDEX('Paste Export'!$A$2:$BZ$1001,$A352,col_prompts))))</f>
        <v/>
      </c>
      <c r="E352" s="24" t="str">
        <f>IF($A352&gt;nrows,"",IF(col_web=0,0,N(INDEX('Paste Export'!$A$2:$BZ$1001,$A352,col_web))))</f>
        <v/>
      </c>
      <c r="F352" s="26" t="str">
        <f t="shared" si="36"/>
        <v/>
      </c>
      <c r="G352" s="27" t="str">
        <f t="shared" si="37"/>
        <v/>
      </c>
      <c r="H352" s="24" t="str">
        <f>IF($A352&gt;nrows,"",IF(col_s1=0,0,--(LEN(INDEX('Paste Export'!$A$2:$BZ$1001,$A352,col_s1))&gt;0))+IF(col_s2=0,0,--(LEN(INDEX('Paste Export'!$A$2:$BZ$1001,$A352,col_s2))&gt;0))+IF(col_s3=0,0,--(LEN(INDEX('Paste Export'!$A$2:$BZ$1001,$A352,col_s3))&gt;0))+IF(col_s4=0,0,--(LEN(INDEX('Paste Export'!$A$2:$BZ$1001,$A352,col_s4))&gt;0))+IF(col_s5=0,0,--(LEN(INDEX('Paste Export'!$A$2:$BZ$1001,$A352,col_s5))&gt;0))+IF(col_s6=0,0,--(LEN(INDEX('Paste Export'!$A$2:$BZ$1001,$A352,col_s6))&gt;0))+IF(col_s7=0,0,--(LEN(INDEX('Paste Export'!$A$2:$BZ$1001,$A352,col_s7))&gt;0))+IF(col_s8=0,0,--(LEN(INDEX('Paste Export'!$A$2:$BZ$1001,$A352,col_s8))&gt;0)))</f>
        <v/>
      </c>
      <c r="I352" s="25" t="str">
        <f t="shared" si="38"/>
        <v/>
      </c>
      <c r="J352" s="25" t="str">
        <f t="shared" si="39"/>
        <v/>
      </c>
      <c r="K352" s="24" t="str">
        <f t="shared" si="40"/>
        <v/>
      </c>
      <c r="L352" s="24" t="str">
        <f t="shared" si="41"/>
        <v/>
      </c>
    </row>
    <row r="353" spans="1:12" x14ac:dyDescent="0.25">
      <c r="A353" s="24">
        <f t="shared" si="35"/>
        <v>352</v>
      </c>
      <c r="B353" s="25" t="str">
        <f>IF($A353&gt;nrows,"",IF(col_user=0,"",INDEX('Paste Export'!$A$2:$BZ$1001,$A353,col_user)))</f>
        <v/>
      </c>
      <c r="C353" s="24" t="str">
        <f>IF($A353&gt;nrows,"",IF(col_days=0,0,N(INDEX('Paste Export'!$A$2:$BZ$1001,$A353,col_days))))</f>
        <v/>
      </c>
      <c r="D353" s="24" t="str">
        <f>IF($A353&gt;nrows,"",IF(col_prompts=0,0,N(INDEX('Paste Export'!$A$2:$BZ$1001,$A353,col_prompts))))</f>
        <v/>
      </c>
      <c r="E353" s="24" t="str">
        <f>IF($A353&gt;nrows,"",IF(col_web=0,0,N(INDEX('Paste Export'!$A$2:$BZ$1001,$A353,col_web))))</f>
        <v/>
      </c>
      <c r="F353" s="26" t="str">
        <f t="shared" si="36"/>
        <v/>
      </c>
      <c r="G353" s="27" t="str">
        <f t="shared" si="37"/>
        <v/>
      </c>
      <c r="H353" s="24" t="str">
        <f>IF($A353&gt;nrows,"",IF(col_s1=0,0,--(LEN(INDEX('Paste Export'!$A$2:$BZ$1001,$A353,col_s1))&gt;0))+IF(col_s2=0,0,--(LEN(INDEX('Paste Export'!$A$2:$BZ$1001,$A353,col_s2))&gt;0))+IF(col_s3=0,0,--(LEN(INDEX('Paste Export'!$A$2:$BZ$1001,$A353,col_s3))&gt;0))+IF(col_s4=0,0,--(LEN(INDEX('Paste Export'!$A$2:$BZ$1001,$A353,col_s4))&gt;0))+IF(col_s5=0,0,--(LEN(INDEX('Paste Export'!$A$2:$BZ$1001,$A353,col_s5))&gt;0))+IF(col_s6=0,0,--(LEN(INDEX('Paste Export'!$A$2:$BZ$1001,$A353,col_s6))&gt;0))+IF(col_s7=0,0,--(LEN(INDEX('Paste Export'!$A$2:$BZ$1001,$A353,col_s7))&gt;0))+IF(col_s8=0,0,--(LEN(INDEX('Paste Export'!$A$2:$BZ$1001,$A353,col_s8))&gt;0)))</f>
        <v/>
      </c>
      <c r="I353" s="25" t="str">
        <f t="shared" si="38"/>
        <v/>
      </c>
      <c r="J353" s="25" t="str">
        <f t="shared" si="39"/>
        <v/>
      </c>
      <c r="K353" s="24" t="str">
        <f t="shared" si="40"/>
        <v/>
      </c>
      <c r="L353" s="24" t="str">
        <f t="shared" si="41"/>
        <v/>
      </c>
    </row>
    <row r="354" spans="1:12" x14ac:dyDescent="0.25">
      <c r="A354" s="24">
        <f t="shared" si="35"/>
        <v>353</v>
      </c>
      <c r="B354" s="25" t="str">
        <f>IF($A354&gt;nrows,"",IF(col_user=0,"",INDEX('Paste Export'!$A$2:$BZ$1001,$A354,col_user)))</f>
        <v/>
      </c>
      <c r="C354" s="24" t="str">
        <f>IF($A354&gt;nrows,"",IF(col_days=0,0,N(INDEX('Paste Export'!$A$2:$BZ$1001,$A354,col_days))))</f>
        <v/>
      </c>
      <c r="D354" s="24" t="str">
        <f>IF($A354&gt;nrows,"",IF(col_prompts=0,0,N(INDEX('Paste Export'!$A$2:$BZ$1001,$A354,col_prompts))))</f>
        <v/>
      </c>
      <c r="E354" s="24" t="str">
        <f>IF($A354&gt;nrows,"",IF(col_web=0,0,N(INDEX('Paste Export'!$A$2:$BZ$1001,$A354,col_web))))</f>
        <v/>
      </c>
      <c r="F354" s="26" t="str">
        <f t="shared" si="36"/>
        <v/>
      </c>
      <c r="G354" s="27" t="str">
        <f t="shared" si="37"/>
        <v/>
      </c>
      <c r="H354" s="24" t="str">
        <f>IF($A354&gt;nrows,"",IF(col_s1=0,0,--(LEN(INDEX('Paste Export'!$A$2:$BZ$1001,$A354,col_s1))&gt;0))+IF(col_s2=0,0,--(LEN(INDEX('Paste Export'!$A$2:$BZ$1001,$A354,col_s2))&gt;0))+IF(col_s3=0,0,--(LEN(INDEX('Paste Export'!$A$2:$BZ$1001,$A354,col_s3))&gt;0))+IF(col_s4=0,0,--(LEN(INDEX('Paste Export'!$A$2:$BZ$1001,$A354,col_s4))&gt;0))+IF(col_s5=0,0,--(LEN(INDEX('Paste Export'!$A$2:$BZ$1001,$A354,col_s5))&gt;0))+IF(col_s6=0,0,--(LEN(INDEX('Paste Export'!$A$2:$BZ$1001,$A354,col_s6))&gt;0))+IF(col_s7=0,0,--(LEN(INDEX('Paste Export'!$A$2:$BZ$1001,$A354,col_s7))&gt;0))+IF(col_s8=0,0,--(LEN(INDEX('Paste Export'!$A$2:$BZ$1001,$A354,col_s8))&gt;0)))</f>
        <v/>
      </c>
      <c r="I354" s="25" t="str">
        <f t="shared" si="38"/>
        <v/>
      </c>
      <c r="J354" s="25" t="str">
        <f t="shared" si="39"/>
        <v/>
      </c>
      <c r="K354" s="24" t="str">
        <f t="shared" si="40"/>
        <v/>
      </c>
      <c r="L354" s="24" t="str">
        <f t="shared" si="41"/>
        <v/>
      </c>
    </row>
    <row r="355" spans="1:12" x14ac:dyDescent="0.25">
      <c r="A355" s="24">
        <f t="shared" si="35"/>
        <v>354</v>
      </c>
      <c r="B355" s="25" t="str">
        <f>IF($A355&gt;nrows,"",IF(col_user=0,"",INDEX('Paste Export'!$A$2:$BZ$1001,$A355,col_user)))</f>
        <v/>
      </c>
      <c r="C355" s="24" t="str">
        <f>IF($A355&gt;nrows,"",IF(col_days=0,0,N(INDEX('Paste Export'!$A$2:$BZ$1001,$A355,col_days))))</f>
        <v/>
      </c>
      <c r="D355" s="24" t="str">
        <f>IF($A355&gt;nrows,"",IF(col_prompts=0,0,N(INDEX('Paste Export'!$A$2:$BZ$1001,$A355,col_prompts))))</f>
        <v/>
      </c>
      <c r="E355" s="24" t="str">
        <f>IF($A355&gt;nrows,"",IF(col_web=0,0,N(INDEX('Paste Export'!$A$2:$BZ$1001,$A355,col_web))))</f>
        <v/>
      </c>
      <c r="F355" s="26" t="str">
        <f t="shared" si="36"/>
        <v/>
      </c>
      <c r="G355" s="27" t="str">
        <f t="shared" si="37"/>
        <v/>
      </c>
      <c r="H355" s="24" t="str">
        <f>IF($A355&gt;nrows,"",IF(col_s1=0,0,--(LEN(INDEX('Paste Export'!$A$2:$BZ$1001,$A355,col_s1))&gt;0))+IF(col_s2=0,0,--(LEN(INDEX('Paste Export'!$A$2:$BZ$1001,$A355,col_s2))&gt;0))+IF(col_s3=0,0,--(LEN(INDEX('Paste Export'!$A$2:$BZ$1001,$A355,col_s3))&gt;0))+IF(col_s4=0,0,--(LEN(INDEX('Paste Export'!$A$2:$BZ$1001,$A355,col_s4))&gt;0))+IF(col_s5=0,0,--(LEN(INDEX('Paste Export'!$A$2:$BZ$1001,$A355,col_s5))&gt;0))+IF(col_s6=0,0,--(LEN(INDEX('Paste Export'!$A$2:$BZ$1001,$A355,col_s6))&gt;0))+IF(col_s7=0,0,--(LEN(INDEX('Paste Export'!$A$2:$BZ$1001,$A355,col_s7))&gt;0))+IF(col_s8=0,0,--(LEN(INDEX('Paste Export'!$A$2:$BZ$1001,$A355,col_s8))&gt;0)))</f>
        <v/>
      </c>
      <c r="I355" s="25" t="str">
        <f t="shared" si="38"/>
        <v/>
      </c>
      <c r="J355" s="25" t="str">
        <f t="shared" si="39"/>
        <v/>
      </c>
      <c r="K355" s="24" t="str">
        <f t="shared" si="40"/>
        <v/>
      </c>
      <c r="L355" s="24" t="str">
        <f t="shared" si="41"/>
        <v/>
      </c>
    </row>
    <row r="356" spans="1:12" x14ac:dyDescent="0.25">
      <c r="A356" s="24">
        <f t="shared" si="35"/>
        <v>355</v>
      </c>
      <c r="B356" s="25" t="str">
        <f>IF($A356&gt;nrows,"",IF(col_user=0,"",INDEX('Paste Export'!$A$2:$BZ$1001,$A356,col_user)))</f>
        <v/>
      </c>
      <c r="C356" s="24" t="str">
        <f>IF($A356&gt;nrows,"",IF(col_days=0,0,N(INDEX('Paste Export'!$A$2:$BZ$1001,$A356,col_days))))</f>
        <v/>
      </c>
      <c r="D356" s="24" t="str">
        <f>IF($A356&gt;nrows,"",IF(col_prompts=0,0,N(INDEX('Paste Export'!$A$2:$BZ$1001,$A356,col_prompts))))</f>
        <v/>
      </c>
      <c r="E356" s="24" t="str">
        <f>IF($A356&gt;nrows,"",IF(col_web=0,0,N(INDEX('Paste Export'!$A$2:$BZ$1001,$A356,col_web))))</f>
        <v/>
      </c>
      <c r="F356" s="26" t="str">
        <f t="shared" si="36"/>
        <v/>
      </c>
      <c r="G356" s="27" t="str">
        <f t="shared" si="37"/>
        <v/>
      </c>
      <c r="H356" s="24" t="str">
        <f>IF($A356&gt;nrows,"",IF(col_s1=0,0,--(LEN(INDEX('Paste Export'!$A$2:$BZ$1001,$A356,col_s1))&gt;0))+IF(col_s2=0,0,--(LEN(INDEX('Paste Export'!$A$2:$BZ$1001,$A356,col_s2))&gt;0))+IF(col_s3=0,0,--(LEN(INDEX('Paste Export'!$A$2:$BZ$1001,$A356,col_s3))&gt;0))+IF(col_s4=0,0,--(LEN(INDEX('Paste Export'!$A$2:$BZ$1001,$A356,col_s4))&gt;0))+IF(col_s5=0,0,--(LEN(INDEX('Paste Export'!$A$2:$BZ$1001,$A356,col_s5))&gt;0))+IF(col_s6=0,0,--(LEN(INDEX('Paste Export'!$A$2:$BZ$1001,$A356,col_s6))&gt;0))+IF(col_s7=0,0,--(LEN(INDEX('Paste Export'!$A$2:$BZ$1001,$A356,col_s7))&gt;0))+IF(col_s8=0,0,--(LEN(INDEX('Paste Export'!$A$2:$BZ$1001,$A356,col_s8))&gt;0)))</f>
        <v/>
      </c>
      <c r="I356" s="25" t="str">
        <f t="shared" si="38"/>
        <v/>
      </c>
      <c r="J356" s="25" t="str">
        <f t="shared" si="39"/>
        <v/>
      </c>
      <c r="K356" s="24" t="str">
        <f t="shared" si="40"/>
        <v/>
      </c>
      <c r="L356" s="24" t="str">
        <f t="shared" si="41"/>
        <v/>
      </c>
    </row>
    <row r="357" spans="1:12" x14ac:dyDescent="0.25">
      <c r="A357" s="24">
        <f t="shared" si="35"/>
        <v>356</v>
      </c>
      <c r="B357" s="25" t="str">
        <f>IF($A357&gt;nrows,"",IF(col_user=0,"",INDEX('Paste Export'!$A$2:$BZ$1001,$A357,col_user)))</f>
        <v/>
      </c>
      <c r="C357" s="24" t="str">
        <f>IF($A357&gt;nrows,"",IF(col_days=0,0,N(INDEX('Paste Export'!$A$2:$BZ$1001,$A357,col_days))))</f>
        <v/>
      </c>
      <c r="D357" s="24" t="str">
        <f>IF($A357&gt;nrows,"",IF(col_prompts=0,0,N(INDEX('Paste Export'!$A$2:$BZ$1001,$A357,col_prompts))))</f>
        <v/>
      </c>
      <c r="E357" s="24" t="str">
        <f>IF($A357&gt;nrows,"",IF(col_web=0,0,N(INDEX('Paste Export'!$A$2:$BZ$1001,$A357,col_web))))</f>
        <v/>
      </c>
      <c r="F357" s="26" t="str">
        <f t="shared" si="36"/>
        <v/>
      </c>
      <c r="G357" s="27" t="str">
        <f t="shared" si="37"/>
        <v/>
      </c>
      <c r="H357" s="24" t="str">
        <f>IF($A357&gt;nrows,"",IF(col_s1=0,0,--(LEN(INDEX('Paste Export'!$A$2:$BZ$1001,$A357,col_s1))&gt;0))+IF(col_s2=0,0,--(LEN(INDEX('Paste Export'!$A$2:$BZ$1001,$A357,col_s2))&gt;0))+IF(col_s3=0,0,--(LEN(INDEX('Paste Export'!$A$2:$BZ$1001,$A357,col_s3))&gt;0))+IF(col_s4=0,0,--(LEN(INDEX('Paste Export'!$A$2:$BZ$1001,$A357,col_s4))&gt;0))+IF(col_s5=0,0,--(LEN(INDEX('Paste Export'!$A$2:$BZ$1001,$A357,col_s5))&gt;0))+IF(col_s6=0,0,--(LEN(INDEX('Paste Export'!$A$2:$BZ$1001,$A357,col_s6))&gt;0))+IF(col_s7=0,0,--(LEN(INDEX('Paste Export'!$A$2:$BZ$1001,$A357,col_s7))&gt;0))+IF(col_s8=0,0,--(LEN(INDEX('Paste Export'!$A$2:$BZ$1001,$A357,col_s8))&gt;0)))</f>
        <v/>
      </c>
      <c r="I357" s="25" t="str">
        <f t="shared" si="38"/>
        <v/>
      </c>
      <c r="J357" s="25" t="str">
        <f t="shared" si="39"/>
        <v/>
      </c>
      <c r="K357" s="24" t="str">
        <f t="shared" si="40"/>
        <v/>
      </c>
      <c r="L357" s="24" t="str">
        <f t="shared" si="41"/>
        <v/>
      </c>
    </row>
    <row r="358" spans="1:12" x14ac:dyDescent="0.25">
      <c r="A358" s="24">
        <f t="shared" si="35"/>
        <v>357</v>
      </c>
      <c r="B358" s="25" t="str">
        <f>IF($A358&gt;nrows,"",IF(col_user=0,"",INDEX('Paste Export'!$A$2:$BZ$1001,$A358,col_user)))</f>
        <v/>
      </c>
      <c r="C358" s="24" t="str">
        <f>IF($A358&gt;nrows,"",IF(col_days=0,0,N(INDEX('Paste Export'!$A$2:$BZ$1001,$A358,col_days))))</f>
        <v/>
      </c>
      <c r="D358" s="24" t="str">
        <f>IF($A358&gt;nrows,"",IF(col_prompts=0,0,N(INDEX('Paste Export'!$A$2:$BZ$1001,$A358,col_prompts))))</f>
        <v/>
      </c>
      <c r="E358" s="24" t="str">
        <f>IF($A358&gt;nrows,"",IF(col_web=0,0,N(INDEX('Paste Export'!$A$2:$BZ$1001,$A358,col_web))))</f>
        <v/>
      </c>
      <c r="F358" s="26" t="str">
        <f t="shared" si="36"/>
        <v/>
      </c>
      <c r="G358" s="27" t="str">
        <f t="shared" si="37"/>
        <v/>
      </c>
      <c r="H358" s="24" t="str">
        <f>IF($A358&gt;nrows,"",IF(col_s1=0,0,--(LEN(INDEX('Paste Export'!$A$2:$BZ$1001,$A358,col_s1))&gt;0))+IF(col_s2=0,0,--(LEN(INDEX('Paste Export'!$A$2:$BZ$1001,$A358,col_s2))&gt;0))+IF(col_s3=0,0,--(LEN(INDEX('Paste Export'!$A$2:$BZ$1001,$A358,col_s3))&gt;0))+IF(col_s4=0,0,--(LEN(INDEX('Paste Export'!$A$2:$BZ$1001,$A358,col_s4))&gt;0))+IF(col_s5=0,0,--(LEN(INDEX('Paste Export'!$A$2:$BZ$1001,$A358,col_s5))&gt;0))+IF(col_s6=0,0,--(LEN(INDEX('Paste Export'!$A$2:$BZ$1001,$A358,col_s6))&gt;0))+IF(col_s7=0,0,--(LEN(INDEX('Paste Export'!$A$2:$BZ$1001,$A358,col_s7))&gt;0))+IF(col_s8=0,0,--(LEN(INDEX('Paste Export'!$A$2:$BZ$1001,$A358,col_s8))&gt;0)))</f>
        <v/>
      </c>
      <c r="I358" s="25" t="str">
        <f t="shared" si="38"/>
        <v/>
      </c>
      <c r="J358" s="25" t="str">
        <f t="shared" si="39"/>
        <v/>
      </c>
      <c r="K358" s="24" t="str">
        <f t="shared" si="40"/>
        <v/>
      </c>
      <c r="L358" s="24" t="str">
        <f t="shared" si="41"/>
        <v/>
      </c>
    </row>
    <row r="359" spans="1:12" x14ac:dyDescent="0.25">
      <c r="A359" s="24">
        <f t="shared" si="35"/>
        <v>358</v>
      </c>
      <c r="B359" s="25" t="str">
        <f>IF($A359&gt;nrows,"",IF(col_user=0,"",INDEX('Paste Export'!$A$2:$BZ$1001,$A359,col_user)))</f>
        <v/>
      </c>
      <c r="C359" s="24" t="str">
        <f>IF($A359&gt;nrows,"",IF(col_days=0,0,N(INDEX('Paste Export'!$A$2:$BZ$1001,$A359,col_days))))</f>
        <v/>
      </c>
      <c r="D359" s="24" t="str">
        <f>IF($A359&gt;nrows,"",IF(col_prompts=0,0,N(INDEX('Paste Export'!$A$2:$BZ$1001,$A359,col_prompts))))</f>
        <v/>
      </c>
      <c r="E359" s="24" t="str">
        <f>IF($A359&gt;nrows,"",IF(col_web=0,0,N(INDEX('Paste Export'!$A$2:$BZ$1001,$A359,col_web))))</f>
        <v/>
      </c>
      <c r="F359" s="26" t="str">
        <f t="shared" si="36"/>
        <v/>
      </c>
      <c r="G359" s="27" t="str">
        <f t="shared" si="37"/>
        <v/>
      </c>
      <c r="H359" s="24" t="str">
        <f>IF($A359&gt;nrows,"",IF(col_s1=0,0,--(LEN(INDEX('Paste Export'!$A$2:$BZ$1001,$A359,col_s1))&gt;0))+IF(col_s2=0,0,--(LEN(INDEX('Paste Export'!$A$2:$BZ$1001,$A359,col_s2))&gt;0))+IF(col_s3=0,0,--(LEN(INDEX('Paste Export'!$A$2:$BZ$1001,$A359,col_s3))&gt;0))+IF(col_s4=0,0,--(LEN(INDEX('Paste Export'!$A$2:$BZ$1001,$A359,col_s4))&gt;0))+IF(col_s5=0,0,--(LEN(INDEX('Paste Export'!$A$2:$BZ$1001,$A359,col_s5))&gt;0))+IF(col_s6=0,0,--(LEN(INDEX('Paste Export'!$A$2:$BZ$1001,$A359,col_s6))&gt;0))+IF(col_s7=0,0,--(LEN(INDEX('Paste Export'!$A$2:$BZ$1001,$A359,col_s7))&gt;0))+IF(col_s8=0,0,--(LEN(INDEX('Paste Export'!$A$2:$BZ$1001,$A359,col_s8))&gt;0)))</f>
        <v/>
      </c>
      <c r="I359" s="25" t="str">
        <f t="shared" si="38"/>
        <v/>
      </c>
      <c r="J359" s="25" t="str">
        <f t="shared" si="39"/>
        <v/>
      </c>
      <c r="K359" s="24" t="str">
        <f t="shared" si="40"/>
        <v/>
      </c>
      <c r="L359" s="24" t="str">
        <f t="shared" si="41"/>
        <v/>
      </c>
    </row>
    <row r="360" spans="1:12" x14ac:dyDescent="0.25">
      <c r="A360" s="24">
        <f t="shared" si="35"/>
        <v>359</v>
      </c>
      <c r="B360" s="25" t="str">
        <f>IF($A360&gt;nrows,"",IF(col_user=0,"",INDEX('Paste Export'!$A$2:$BZ$1001,$A360,col_user)))</f>
        <v/>
      </c>
      <c r="C360" s="24" t="str">
        <f>IF($A360&gt;nrows,"",IF(col_days=0,0,N(INDEX('Paste Export'!$A$2:$BZ$1001,$A360,col_days))))</f>
        <v/>
      </c>
      <c r="D360" s="24" t="str">
        <f>IF($A360&gt;nrows,"",IF(col_prompts=0,0,N(INDEX('Paste Export'!$A$2:$BZ$1001,$A360,col_prompts))))</f>
        <v/>
      </c>
      <c r="E360" s="24" t="str">
        <f>IF($A360&gt;nrows,"",IF(col_web=0,0,N(INDEX('Paste Export'!$A$2:$BZ$1001,$A360,col_web))))</f>
        <v/>
      </c>
      <c r="F360" s="26" t="str">
        <f t="shared" si="36"/>
        <v/>
      </c>
      <c r="G360" s="27" t="str">
        <f t="shared" si="37"/>
        <v/>
      </c>
      <c r="H360" s="24" t="str">
        <f>IF($A360&gt;nrows,"",IF(col_s1=0,0,--(LEN(INDEX('Paste Export'!$A$2:$BZ$1001,$A360,col_s1))&gt;0))+IF(col_s2=0,0,--(LEN(INDEX('Paste Export'!$A$2:$BZ$1001,$A360,col_s2))&gt;0))+IF(col_s3=0,0,--(LEN(INDEX('Paste Export'!$A$2:$BZ$1001,$A360,col_s3))&gt;0))+IF(col_s4=0,0,--(LEN(INDEX('Paste Export'!$A$2:$BZ$1001,$A360,col_s4))&gt;0))+IF(col_s5=0,0,--(LEN(INDEX('Paste Export'!$A$2:$BZ$1001,$A360,col_s5))&gt;0))+IF(col_s6=0,0,--(LEN(INDEX('Paste Export'!$A$2:$BZ$1001,$A360,col_s6))&gt;0))+IF(col_s7=0,0,--(LEN(INDEX('Paste Export'!$A$2:$BZ$1001,$A360,col_s7))&gt;0))+IF(col_s8=0,0,--(LEN(INDEX('Paste Export'!$A$2:$BZ$1001,$A360,col_s8))&gt;0)))</f>
        <v/>
      </c>
      <c r="I360" s="25" t="str">
        <f t="shared" si="38"/>
        <v/>
      </c>
      <c r="J360" s="25" t="str">
        <f t="shared" si="39"/>
        <v/>
      </c>
      <c r="K360" s="24" t="str">
        <f t="shared" si="40"/>
        <v/>
      </c>
      <c r="L360" s="24" t="str">
        <f t="shared" si="41"/>
        <v/>
      </c>
    </row>
    <row r="361" spans="1:12" x14ac:dyDescent="0.25">
      <c r="A361" s="24">
        <f t="shared" si="35"/>
        <v>360</v>
      </c>
      <c r="B361" s="25" t="str">
        <f>IF($A361&gt;nrows,"",IF(col_user=0,"",INDEX('Paste Export'!$A$2:$BZ$1001,$A361,col_user)))</f>
        <v/>
      </c>
      <c r="C361" s="24" t="str">
        <f>IF($A361&gt;nrows,"",IF(col_days=0,0,N(INDEX('Paste Export'!$A$2:$BZ$1001,$A361,col_days))))</f>
        <v/>
      </c>
      <c r="D361" s="24" t="str">
        <f>IF($A361&gt;nrows,"",IF(col_prompts=0,0,N(INDEX('Paste Export'!$A$2:$BZ$1001,$A361,col_prompts))))</f>
        <v/>
      </c>
      <c r="E361" s="24" t="str">
        <f>IF($A361&gt;nrows,"",IF(col_web=0,0,N(INDEX('Paste Export'!$A$2:$BZ$1001,$A361,col_web))))</f>
        <v/>
      </c>
      <c r="F361" s="26" t="str">
        <f t="shared" si="36"/>
        <v/>
      </c>
      <c r="G361" s="27" t="str">
        <f t="shared" si="37"/>
        <v/>
      </c>
      <c r="H361" s="24" t="str">
        <f>IF($A361&gt;nrows,"",IF(col_s1=0,0,--(LEN(INDEX('Paste Export'!$A$2:$BZ$1001,$A361,col_s1))&gt;0))+IF(col_s2=0,0,--(LEN(INDEX('Paste Export'!$A$2:$BZ$1001,$A361,col_s2))&gt;0))+IF(col_s3=0,0,--(LEN(INDEX('Paste Export'!$A$2:$BZ$1001,$A361,col_s3))&gt;0))+IF(col_s4=0,0,--(LEN(INDEX('Paste Export'!$A$2:$BZ$1001,$A361,col_s4))&gt;0))+IF(col_s5=0,0,--(LEN(INDEX('Paste Export'!$A$2:$BZ$1001,$A361,col_s5))&gt;0))+IF(col_s6=0,0,--(LEN(INDEX('Paste Export'!$A$2:$BZ$1001,$A361,col_s6))&gt;0))+IF(col_s7=0,0,--(LEN(INDEX('Paste Export'!$A$2:$BZ$1001,$A361,col_s7))&gt;0))+IF(col_s8=0,0,--(LEN(INDEX('Paste Export'!$A$2:$BZ$1001,$A361,col_s8))&gt;0)))</f>
        <v/>
      </c>
      <c r="I361" s="25" t="str">
        <f t="shared" si="38"/>
        <v/>
      </c>
      <c r="J361" s="25" t="str">
        <f t="shared" si="39"/>
        <v/>
      </c>
      <c r="K361" s="24" t="str">
        <f t="shared" si="40"/>
        <v/>
      </c>
      <c r="L361" s="24" t="str">
        <f t="shared" si="41"/>
        <v/>
      </c>
    </row>
    <row r="362" spans="1:12" x14ac:dyDescent="0.25">
      <c r="A362" s="24">
        <f t="shared" si="35"/>
        <v>361</v>
      </c>
      <c r="B362" s="25" t="str">
        <f>IF($A362&gt;nrows,"",IF(col_user=0,"",INDEX('Paste Export'!$A$2:$BZ$1001,$A362,col_user)))</f>
        <v/>
      </c>
      <c r="C362" s="24" t="str">
        <f>IF($A362&gt;nrows,"",IF(col_days=0,0,N(INDEX('Paste Export'!$A$2:$BZ$1001,$A362,col_days))))</f>
        <v/>
      </c>
      <c r="D362" s="24" t="str">
        <f>IF($A362&gt;nrows,"",IF(col_prompts=0,0,N(INDEX('Paste Export'!$A$2:$BZ$1001,$A362,col_prompts))))</f>
        <v/>
      </c>
      <c r="E362" s="24" t="str">
        <f>IF($A362&gt;nrows,"",IF(col_web=0,0,N(INDEX('Paste Export'!$A$2:$BZ$1001,$A362,col_web))))</f>
        <v/>
      </c>
      <c r="F362" s="26" t="str">
        <f t="shared" si="36"/>
        <v/>
      </c>
      <c r="G362" s="27" t="str">
        <f t="shared" si="37"/>
        <v/>
      </c>
      <c r="H362" s="24" t="str">
        <f>IF($A362&gt;nrows,"",IF(col_s1=0,0,--(LEN(INDEX('Paste Export'!$A$2:$BZ$1001,$A362,col_s1))&gt;0))+IF(col_s2=0,0,--(LEN(INDEX('Paste Export'!$A$2:$BZ$1001,$A362,col_s2))&gt;0))+IF(col_s3=0,0,--(LEN(INDEX('Paste Export'!$A$2:$BZ$1001,$A362,col_s3))&gt;0))+IF(col_s4=0,0,--(LEN(INDEX('Paste Export'!$A$2:$BZ$1001,$A362,col_s4))&gt;0))+IF(col_s5=0,0,--(LEN(INDEX('Paste Export'!$A$2:$BZ$1001,$A362,col_s5))&gt;0))+IF(col_s6=0,0,--(LEN(INDEX('Paste Export'!$A$2:$BZ$1001,$A362,col_s6))&gt;0))+IF(col_s7=0,0,--(LEN(INDEX('Paste Export'!$A$2:$BZ$1001,$A362,col_s7))&gt;0))+IF(col_s8=0,0,--(LEN(INDEX('Paste Export'!$A$2:$BZ$1001,$A362,col_s8))&gt;0)))</f>
        <v/>
      </c>
      <c r="I362" s="25" t="str">
        <f t="shared" si="38"/>
        <v/>
      </c>
      <c r="J362" s="25" t="str">
        <f t="shared" si="39"/>
        <v/>
      </c>
      <c r="K362" s="24" t="str">
        <f t="shared" si="40"/>
        <v/>
      </c>
      <c r="L362" s="24" t="str">
        <f t="shared" si="41"/>
        <v/>
      </c>
    </row>
    <row r="363" spans="1:12" x14ac:dyDescent="0.25">
      <c r="A363" s="24">
        <f t="shared" si="35"/>
        <v>362</v>
      </c>
      <c r="B363" s="25" t="str">
        <f>IF($A363&gt;nrows,"",IF(col_user=0,"",INDEX('Paste Export'!$A$2:$BZ$1001,$A363,col_user)))</f>
        <v/>
      </c>
      <c r="C363" s="24" t="str">
        <f>IF($A363&gt;nrows,"",IF(col_days=0,0,N(INDEX('Paste Export'!$A$2:$BZ$1001,$A363,col_days))))</f>
        <v/>
      </c>
      <c r="D363" s="24" t="str">
        <f>IF($A363&gt;nrows,"",IF(col_prompts=0,0,N(INDEX('Paste Export'!$A$2:$BZ$1001,$A363,col_prompts))))</f>
        <v/>
      </c>
      <c r="E363" s="24" t="str">
        <f>IF($A363&gt;nrows,"",IF(col_web=0,0,N(INDEX('Paste Export'!$A$2:$BZ$1001,$A363,col_web))))</f>
        <v/>
      </c>
      <c r="F363" s="26" t="str">
        <f t="shared" si="36"/>
        <v/>
      </c>
      <c r="G363" s="27" t="str">
        <f t="shared" si="37"/>
        <v/>
      </c>
      <c r="H363" s="24" t="str">
        <f>IF($A363&gt;nrows,"",IF(col_s1=0,0,--(LEN(INDEX('Paste Export'!$A$2:$BZ$1001,$A363,col_s1))&gt;0))+IF(col_s2=0,0,--(LEN(INDEX('Paste Export'!$A$2:$BZ$1001,$A363,col_s2))&gt;0))+IF(col_s3=0,0,--(LEN(INDEX('Paste Export'!$A$2:$BZ$1001,$A363,col_s3))&gt;0))+IF(col_s4=0,0,--(LEN(INDEX('Paste Export'!$A$2:$BZ$1001,$A363,col_s4))&gt;0))+IF(col_s5=0,0,--(LEN(INDEX('Paste Export'!$A$2:$BZ$1001,$A363,col_s5))&gt;0))+IF(col_s6=0,0,--(LEN(INDEX('Paste Export'!$A$2:$BZ$1001,$A363,col_s6))&gt;0))+IF(col_s7=0,0,--(LEN(INDEX('Paste Export'!$A$2:$BZ$1001,$A363,col_s7))&gt;0))+IF(col_s8=0,0,--(LEN(INDEX('Paste Export'!$A$2:$BZ$1001,$A363,col_s8))&gt;0)))</f>
        <v/>
      </c>
      <c r="I363" s="25" t="str">
        <f t="shared" si="38"/>
        <v/>
      </c>
      <c r="J363" s="25" t="str">
        <f t="shared" si="39"/>
        <v/>
      </c>
      <c r="K363" s="24" t="str">
        <f t="shared" si="40"/>
        <v/>
      </c>
      <c r="L363" s="24" t="str">
        <f t="shared" si="41"/>
        <v/>
      </c>
    </row>
    <row r="364" spans="1:12" x14ac:dyDescent="0.25">
      <c r="A364" s="24">
        <f t="shared" si="35"/>
        <v>363</v>
      </c>
      <c r="B364" s="25" t="str">
        <f>IF($A364&gt;nrows,"",IF(col_user=0,"",INDEX('Paste Export'!$A$2:$BZ$1001,$A364,col_user)))</f>
        <v/>
      </c>
      <c r="C364" s="24" t="str">
        <f>IF($A364&gt;nrows,"",IF(col_days=0,0,N(INDEX('Paste Export'!$A$2:$BZ$1001,$A364,col_days))))</f>
        <v/>
      </c>
      <c r="D364" s="24" t="str">
        <f>IF($A364&gt;nrows,"",IF(col_prompts=0,0,N(INDEX('Paste Export'!$A$2:$BZ$1001,$A364,col_prompts))))</f>
        <v/>
      </c>
      <c r="E364" s="24" t="str">
        <f>IF($A364&gt;nrows,"",IF(col_web=0,0,N(INDEX('Paste Export'!$A$2:$BZ$1001,$A364,col_web))))</f>
        <v/>
      </c>
      <c r="F364" s="26" t="str">
        <f t="shared" si="36"/>
        <v/>
      </c>
      <c r="G364" s="27" t="str">
        <f t="shared" si="37"/>
        <v/>
      </c>
      <c r="H364" s="24" t="str">
        <f>IF($A364&gt;nrows,"",IF(col_s1=0,0,--(LEN(INDEX('Paste Export'!$A$2:$BZ$1001,$A364,col_s1))&gt;0))+IF(col_s2=0,0,--(LEN(INDEX('Paste Export'!$A$2:$BZ$1001,$A364,col_s2))&gt;0))+IF(col_s3=0,0,--(LEN(INDEX('Paste Export'!$A$2:$BZ$1001,$A364,col_s3))&gt;0))+IF(col_s4=0,0,--(LEN(INDEX('Paste Export'!$A$2:$BZ$1001,$A364,col_s4))&gt;0))+IF(col_s5=0,0,--(LEN(INDEX('Paste Export'!$A$2:$BZ$1001,$A364,col_s5))&gt;0))+IF(col_s6=0,0,--(LEN(INDEX('Paste Export'!$A$2:$BZ$1001,$A364,col_s6))&gt;0))+IF(col_s7=0,0,--(LEN(INDEX('Paste Export'!$A$2:$BZ$1001,$A364,col_s7))&gt;0))+IF(col_s8=0,0,--(LEN(INDEX('Paste Export'!$A$2:$BZ$1001,$A364,col_s8))&gt;0)))</f>
        <v/>
      </c>
      <c r="I364" s="25" t="str">
        <f t="shared" si="38"/>
        <v/>
      </c>
      <c r="J364" s="25" t="str">
        <f t="shared" si="39"/>
        <v/>
      </c>
      <c r="K364" s="24" t="str">
        <f t="shared" si="40"/>
        <v/>
      </c>
      <c r="L364" s="24" t="str">
        <f t="shared" si="41"/>
        <v/>
      </c>
    </row>
    <row r="365" spans="1:12" x14ac:dyDescent="0.25">
      <c r="A365" s="24">
        <f t="shared" si="35"/>
        <v>364</v>
      </c>
      <c r="B365" s="25" t="str">
        <f>IF($A365&gt;nrows,"",IF(col_user=0,"",INDEX('Paste Export'!$A$2:$BZ$1001,$A365,col_user)))</f>
        <v/>
      </c>
      <c r="C365" s="24" t="str">
        <f>IF($A365&gt;nrows,"",IF(col_days=0,0,N(INDEX('Paste Export'!$A$2:$BZ$1001,$A365,col_days))))</f>
        <v/>
      </c>
      <c r="D365" s="24" t="str">
        <f>IF($A365&gt;nrows,"",IF(col_prompts=0,0,N(INDEX('Paste Export'!$A$2:$BZ$1001,$A365,col_prompts))))</f>
        <v/>
      </c>
      <c r="E365" s="24" t="str">
        <f>IF($A365&gt;nrows,"",IF(col_web=0,0,N(INDEX('Paste Export'!$A$2:$BZ$1001,$A365,col_web))))</f>
        <v/>
      </c>
      <c r="F365" s="26" t="str">
        <f t="shared" si="36"/>
        <v/>
      </c>
      <c r="G365" s="27" t="str">
        <f t="shared" si="37"/>
        <v/>
      </c>
      <c r="H365" s="24" t="str">
        <f>IF($A365&gt;nrows,"",IF(col_s1=0,0,--(LEN(INDEX('Paste Export'!$A$2:$BZ$1001,$A365,col_s1))&gt;0))+IF(col_s2=0,0,--(LEN(INDEX('Paste Export'!$A$2:$BZ$1001,$A365,col_s2))&gt;0))+IF(col_s3=0,0,--(LEN(INDEX('Paste Export'!$A$2:$BZ$1001,$A365,col_s3))&gt;0))+IF(col_s4=0,0,--(LEN(INDEX('Paste Export'!$A$2:$BZ$1001,$A365,col_s4))&gt;0))+IF(col_s5=0,0,--(LEN(INDEX('Paste Export'!$A$2:$BZ$1001,$A365,col_s5))&gt;0))+IF(col_s6=0,0,--(LEN(INDEX('Paste Export'!$A$2:$BZ$1001,$A365,col_s6))&gt;0))+IF(col_s7=0,0,--(LEN(INDEX('Paste Export'!$A$2:$BZ$1001,$A365,col_s7))&gt;0))+IF(col_s8=0,0,--(LEN(INDEX('Paste Export'!$A$2:$BZ$1001,$A365,col_s8))&gt;0)))</f>
        <v/>
      </c>
      <c r="I365" s="25" t="str">
        <f t="shared" si="38"/>
        <v/>
      </c>
      <c r="J365" s="25" t="str">
        <f t="shared" si="39"/>
        <v/>
      </c>
      <c r="K365" s="24" t="str">
        <f t="shared" si="40"/>
        <v/>
      </c>
      <c r="L365" s="24" t="str">
        <f t="shared" si="41"/>
        <v/>
      </c>
    </row>
    <row r="366" spans="1:12" x14ac:dyDescent="0.25">
      <c r="A366" s="24">
        <f t="shared" si="35"/>
        <v>365</v>
      </c>
      <c r="B366" s="25" t="str">
        <f>IF($A366&gt;nrows,"",IF(col_user=0,"",INDEX('Paste Export'!$A$2:$BZ$1001,$A366,col_user)))</f>
        <v/>
      </c>
      <c r="C366" s="24" t="str">
        <f>IF($A366&gt;nrows,"",IF(col_days=0,0,N(INDEX('Paste Export'!$A$2:$BZ$1001,$A366,col_days))))</f>
        <v/>
      </c>
      <c r="D366" s="24" t="str">
        <f>IF($A366&gt;nrows,"",IF(col_prompts=0,0,N(INDEX('Paste Export'!$A$2:$BZ$1001,$A366,col_prompts))))</f>
        <v/>
      </c>
      <c r="E366" s="24" t="str">
        <f>IF($A366&gt;nrows,"",IF(col_web=0,0,N(INDEX('Paste Export'!$A$2:$BZ$1001,$A366,col_web))))</f>
        <v/>
      </c>
      <c r="F366" s="26" t="str">
        <f t="shared" si="36"/>
        <v/>
      </c>
      <c r="G366" s="27" t="str">
        <f t="shared" si="37"/>
        <v/>
      </c>
      <c r="H366" s="24" t="str">
        <f>IF($A366&gt;nrows,"",IF(col_s1=0,0,--(LEN(INDEX('Paste Export'!$A$2:$BZ$1001,$A366,col_s1))&gt;0))+IF(col_s2=0,0,--(LEN(INDEX('Paste Export'!$A$2:$BZ$1001,$A366,col_s2))&gt;0))+IF(col_s3=0,0,--(LEN(INDEX('Paste Export'!$A$2:$BZ$1001,$A366,col_s3))&gt;0))+IF(col_s4=0,0,--(LEN(INDEX('Paste Export'!$A$2:$BZ$1001,$A366,col_s4))&gt;0))+IF(col_s5=0,0,--(LEN(INDEX('Paste Export'!$A$2:$BZ$1001,$A366,col_s5))&gt;0))+IF(col_s6=0,0,--(LEN(INDEX('Paste Export'!$A$2:$BZ$1001,$A366,col_s6))&gt;0))+IF(col_s7=0,0,--(LEN(INDEX('Paste Export'!$A$2:$BZ$1001,$A366,col_s7))&gt;0))+IF(col_s8=0,0,--(LEN(INDEX('Paste Export'!$A$2:$BZ$1001,$A366,col_s8))&gt;0)))</f>
        <v/>
      </c>
      <c r="I366" s="25" t="str">
        <f t="shared" si="38"/>
        <v/>
      </c>
      <c r="J366" s="25" t="str">
        <f t="shared" si="39"/>
        <v/>
      </c>
      <c r="K366" s="24" t="str">
        <f t="shared" si="40"/>
        <v/>
      </c>
      <c r="L366" s="24" t="str">
        <f t="shared" si="41"/>
        <v/>
      </c>
    </row>
    <row r="367" spans="1:12" x14ac:dyDescent="0.25">
      <c r="A367" s="24">
        <f t="shared" si="35"/>
        <v>366</v>
      </c>
      <c r="B367" s="25" t="str">
        <f>IF($A367&gt;nrows,"",IF(col_user=0,"",INDEX('Paste Export'!$A$2:$BZ$1001,$A367,col_user)))</f>
        <v/>
      </c>
      <c r="C367" s="24" t="str">
        <f>IF($A367&gt;nrows,"",IF(col_days=0,0,N(INDEX('Paste Export'!$A$2:$BZ$1001,$A367,col_days))))</f>
        <v/>
      </c>
      <c r="D367" s="24" t="str">
        <f>IF($A367&gt;nrows,"",IF(col_prompts=0,0,N(INDEX('Paste Export'!$A$2:$BZ$1001,$A367,col_prompts))))</f>
        <v/>
      </c>
      <c r="E367" s="24" t="str">
        <f>IF($A367&gt;nrows,"",IF(col_web=0,0,N(INDEX('Paste Export'!$A$2:$BZ$1001,$A367,col_web))))</f>
        <v/>
      </c>
      <c r="F367" s="26" t="str">
        <f t="shared" si="36"/>
        <v/>
      </c>
      <c r="G367" s="27" t="str">
        <f t="shared" si="37"/>
        <v/>
      </c>
      <c r="H367" s="24" t="str">
        <f>IF($A367&gt;nrows,"",IF(col_s1=0,0,--(LEN(INDEX('Paste Export'!$A$2:$BZ$1001,$A367,col_s1))&gt;0))+IF(col_s2=0,0,--(LEN(INDEX('Paste Export'!$A$2:$BZ$1001,$A367,col_s2))&gt;0))+IF(col_s3=0,0,--(LEN(INDEX('Paste Export'!$A$2:$BZ$1001,$A367,col_s3))&gt;0))+IF(col_s4=0,0,--(LEN(INDEX('Paste Export'!$A$2:$BZ$1001,$A367,col_s4))&gt;0))+IF(col_s5=0,0,--(LEN(INDEX('Paste Export'!$A$2:$BZ$1001,$A367,col_s5))&gt;0))+IF(col_s6=0,0,--(LEN(INDEX('Paste Export'!$A$2:$BZ$1001,$A367,col_s6))&gt;0))+IF(col_s7=0,0,--(LEN(INDEX('Paste Export'!$A$2:$BZ$1001,$A367,col_s7))&gt;0))+IF(col_s8=0,0,--(LEN(INDEX('Paste Export'!$A$2:$BZ$1001,$A367,col_s8))&gt;0)))</f>
        <v/>
      </c>
      <c r="I367" s="25" t="str">
        <f t="shared" si="38"/>
        <v/>
      </c>
      <c r="J367" s="25" t="str">
        <f t="shared" si="39"/>
        <v/>
      </c>
      <c r="K367" s="24" t="str">
        <f t="shared" si="40"/>
        <v/>
      </c>
      <c r="L367" s="24" t="str">
        <f t="shared" si="41"/>
        <v/>
      </c>
    </row>
    <row r="368" spans="1:12" x14ac:dyDescent="0.25">
      <c r="A368" s="24">
        <f t="shared" si="35"/>
        <v>367</v>
      </c>
      <c r="B368" s="25" t="str">
        <f>IF($A368&gt;nrows,"",IF(col_user=0,"",INDEX('Paste Export'!$A$2:$BZ$1001,$A368,col_user)))</f>
        <v/>
      </c>
      <c r="C368" s="24" t="str">
        <f>IF($A368&gt;nrows,"",IF(col_days=0,0,N(INDEX('Paste Export'!$A$2:$BZ$1001,$A368,col_days))))</f>
        <v/>
      </c>
      <c r="D368" s="24" t="str">
        <f>IF($A368&gt;nrows,"",IF(col_prompts=0,0,N(INDEX('Paste Export'!$A$2:$BZ$1001,$A368,col_prompts))))</f>
        <v/>
      </c>
      <c r="E368" s="24" t="str">
        <f>IF($A368&gt;nrows,"",IF(col_web=0,0,N(INDEX('Paste Export'!$A$2:$BZ$1001,$A368,col_web))))</f>
        <v/>
      </c>
      <c r="F368" s="26" t="str">
        <f t="shared" si="36"/>
        <v/>
      </c>
      <c r="G368" s="27" t="str">
        <f t="shared" si="37"/>
        <v/>
      </c>
      <c r="H368" s="24" t="str">
        <f>IF($A368&gt;nrows,"",IF(col_s1=0,0,--(LEN(INDEX('Paste Export'!$A$2:$BZ$1001,$A368,col_s1))&gt;0))+IF(col_s2=0,0,--(LEN(INDEX('Paste Export'!$A$2:$BZ$1001,$A368,col_s2))&gt;0))+IF(col_s3=0,0,--(LEN(INDEX('Paste Export'!$A$2:$BZ$1001,$A368,col_s3))&gt;0))+IF(col_s4=0,0,--(LEN(INDEX('Paste Export'!$A$2:$BZ$1001,$A368,col_s4))&gt;0))+IF(col_s5=0,0,--(LEN(INDEX('Paste Export'!$A$2:$BZ$1001,$A368,col_s5))&gt;0))+IF(col_s6=0,0,--(LEN(INDEX('Paste Export'!$A$2:$BZ$1001,$A368,col_s6))&gt;0))+IF(col_s7=0,0,--(LEN(INDEX('Paste Export'!$A$2:$BZ$1001,$A368,col_s7))&gt;0))+IF(col_s8=0,0,--(LEN(INDEX('Paste Export'!$A$2:$BZ$1001,$A368,col_s8))&gt;0)))</f>
        <v/>
      </c>
      <c r="I368" s="25" t="str">
        <f t="shared" si="38"/>
        <v/>
      </c>
      <c r="J368" s="25" t="str">
        <f t="shared" si="39"/>
        <v/>
      </c>
      <c r="K368" s="24" t="str">
        <f t="shared" si="40"/>
        <v/>
      </c>
      <c r="L368" s="24" t="str">
        <f t="shared" si="41"/>
        <v/>
      </c>
    </row>
    <row r="369" spans="1:12" x14ac:dyDescent="0.25">
      <c r="A369" s="24">
        <f t="shared" si="35"/>
        <v>368</v>
      </c>
      <c r="B369" s="25" t="str">
        <f>IF($A369&gt;nrows,"",IF(col_user=0,"",INDEX('Paste Export'!$A$2:$BZ$1001,$A369,col_user)))</f>
        <v/>
      </c>
      <c r="C369" s="24" t="str">
        <f>IF($A369&gt;nrows,"",IF(col_days=0,0,N(INDEX('Paste Export'!$A$2:$BZ$1001,$A369,col_days))))</f>
        <v/>
      </c>
      <c r="D369" s="24" t="str">
        <f>IF($A369&gt;nrows,"",IF(col_prompts=0,0,N(INDEX('Paste Export'!$A$2:$BZ$1001,$A369,col_prompts))))</f>
        <v/>
      </c>
      <c r="E369" s="24" t="str">
        <f>IF($A369&gt;nrows,"",IF(col_web=0,0,N(INDEX('Paste Export'!$A$2:$BZ$1001,$A369,col_web))))</f>
        <v/>
      </c>
      <c r="F369" s="26" t="str">
        <f t="shared" si="36"/>
        <v/>
      </c>
      <c r="G369" s="27" t="str">
        <f t="shared" si="37"/>
        <v/>
      </c>
      <c r="H369" s="24" t="str">
        <f>IF($A369&gt;nrows,"",IF(col_s1=0,0,--(LEN(INDEX('Paste Export'!$A$2:$BZ$1001,$A369,col_s1))&gt;0))+IF(col_s2=0,0,--(LEN(INDEX('Paste Export'!$A$2:$BZ$1001,$A369,col_s2))&gt;0))+IF(col_s3=0,0,--(LEN(INDEX('Paste Export'!$A$2:$BZ$1001,$A369,col_s3))&gt;0))+IF(col_s4=0,0,--(LEN(INDEX('Paste Export'!$A$2:$BZ$1001,$A369,col_s4))&gt;0))+IF(col_s5=0,0,--(LEN(INDEX('Paste Export'!$A$2:$BZ$1001,$A369,col_s5))&gt;0))+IF(col_s6=0,0,--(LEN(INDEX('Paste Export'!$A$2:$BZ$1001,$A369,col_s6))&gt;0))+IF(col_s7=0,0,--(LEN(INDEX('Paste Export'!$A$2:$BZ$1001,$A369,col_s7))&gt;0))+IF(col_s8=0,0,--(LEN(INDEX('Paste Export'!$A$2:$BZ$1001,$A369,col_s8))&gt;0)))</f>
        <v/>
      </c>
      <c r="I369" s="25" t="str">
        <f t="shared" si="38"/>
        <v/>
      </c>
      <c r="J369" s="25" t="str">
        <f t="shared" si="39"/>
        <v/>
      </c>
      <c r="K369" s="24" t="str">
        <f t="shared" si="40"/>
        <v/>
      </c>
      <c r="L369" s="24" t="str">
        <f t="shared" si="41"/>
        <v/>
      </c>
    </row>
    <row r="370" spans="1:12" x14ac:dyDescent="0.25">
      <c r="A370" s="24">
        <f t="shared" si="35"/>
        <v>369</v>
      </c>
      <c r="B370" s="25" t="str">
        <f>IF($A370&gt;nrows,"",IF(col_user=0,"",INDEX('Paste Export'!$A$2:$BZ$1001,$A370,col_user)))</f>
        <v/>
      </c>
      <c r="C370" s="24" t="str">
        <f>IF($A370&gt;nrows,"",IF(col_days=0,0,N(INDEX('Paste Export'!$A$2:$BZ$1001,$A370,col_days))))</f>
        <v/>
      </c>
      <c r="D370" s="24" t="str">
        <f>IF($A370&gt;nrows,"",IF(col_prompts=0,0,N(INDEX('Paste Export'!$A$2:$BZ$1001,$A370,col_prompts))))</f>
        <v/>
      </c>
      <c r="E370" s="24" t="str">
        <f>IF($A370&gt;nrows,"",IF(col_web=0,0,N(INDEX('Paste Export'!$A$2:$BZ$1001,$A370,col_web))))</f>
        <v/>
      </c>
      <c r="F370" s="26" t="str">
        <f t="shared" si="36"/>
        <v/>
      </c>
      <c r="G370" s="27" t="str">
        <f t="shared" si="37"/>
        <v/>
      </c>
      <c r="H370" s="24" t="str">
        <f>IF($A370&gt;nrows,"",IF(col_s1=0,0,--(LEN(INDEX('Paste Export'!$A$2:$BZ$1001,$A370,col_s1))&gt;0))+IF(col_s2=0,0,--(LEN(INDEX('Paste Export'!$A$2:$BZ$1001,$A370,col_s2))&gt;0))+IF(col_s3=0,0,--(LEN(INDEX('Paste Export'!$A$2:$BZ$1001,$A370,col_s3))&gt;0))+IF(col_s4=0,0,--(LEN(INDEX('Paste Export'!$A$2:$BZ$1001,$A370,col_s4))&gt;0))+IF(col_s5=0,0,--(LEN(INDEX('Paste Export'!$A$2:$BZ$1001,$A370,col_s5))&gt;0))+IF(col_s6=0,0,--(LEN(INDEX('Paste Export'!$A$2:$BZ$1001,$A370,col_s6))&gt;0))+IF(col_s7=0,0,--(LEN(INDEX('Paste Export'!$A$2:$BZ$1001,$A370,col_s7))&gt;0))+IF(col_s8=0,0,--(LEN(INDEX('Paste Export'!$A$2:$BZ$1001,$A370,col_s8))&gt;0)))</f>
        <v/>
      </c>
      <c r="I370" s="25" t="str">
        <f t="shared" si="38"/>
        <v/>
      </c>
      <c r="J370" s="25" t="str">
        <f t="shared" si="39"/>
        <v/>
      </c>
      <c r="K370" s="24" t="str">
        <f t="shared" si="40"/>
        <v/>
      </c>
      <c r="L370" s="24" t="str">
        <f t="shared" si="41"/>
        <v/>
      </c>
    </row>
    <row r="371" spans="1:12" x14ac:dyDescent="0.25">
      <c r="A371" s="24">
        <f t="shared" si="35"/>
        <v>370</v>
      </c>
      <c r="B371" s="25" t="str">
        <f>IF($A371&gt;nrows,"",IF(col_user=0,"",INDEX('Paste Export'!$A$2:$BZ$1001,$A371,col_user)))</f>
        <v/>
      </c>
      <c r="C371" s="24" t="str">
        <f>IF($A371&gt;nrows,"",IF(col_days=0,0,N(INDEX('Paste Export'!$A$2:$BZ$1001,$A371,col_days))))</f>
        <v/>
      </c>
      <c r="D371" s="24" t="str">
        <f>IF($A371&gt;nrows,"",IF(col_prompts=0,0,N(INDEX('Paste Export'!$A$2:$BZ$1001,$A371,col_prompts))))</f>
        <v/>
      </c>
      <c r="E371" s="24" t="str">
        <f>IF($A371&gt;nrows,"",IF(col_web=0,0,N(INDEX('Paste Export'!$A$2:$BZ$1001,$A371,col_web))))</f>
        <v/>
      </c>
      <c r="F371" s="26" t="str">
        <f t="shared" si="36"/>
        <v/>
      </c>
      <c r="G371" s="27" t="str">
        <f t="shared" si="37"/>
        <v/>
      </c>
      <c r="H371" s="24" t="str">
        <f>IF($A371&gt;nrows,"",IF(col_s1=0,0,--(LEN(INDEX('Paste Export'!$A$2:$BZ$1001,$A371,col_s1))&gt;0))+IF(col_s2=0,0,--(LEN(INDEX('Paste Export'!$A$2:$BZ$1001,$A371,col_s2))&gt;0))+IF(col_s3=0,0,--(LEN(INDEX('Paste Export'!$A$2:$BZ$1001,$A371,col_s3))&gt;0))+IF(col_s4=0,0,--(LEN(INDEX('Paste Export'!$A$2:$BZ$1001,$A371,col_s4))&gt;0))+IF(col_s5=0,0,--(LEN(INDEX('Paste Export'!$A$2:$BZ$1001,$A371,col_s5))&gt;0))+IF(col_s6=0,0,--(LEN(INDEX('Paste Export'!$A$2:$BZ$1001,$A371,col_s6))&gt;0))+IF(col_s7=0,0,--(LEN(INDEX('Paste Export'!$A$2:$BZ$1001,$A371,col_s7))&gt;0))+IF(col_s8=0,0,--(LEN(INDEX('Paste Export'!$A$2:$BZ$1001,$A371,col_s8))&gt;0)))</f>
        <v/>
      </c>
      <c r="I371" s="25" t="str">
        <f t="shared" si="38"/>
        <v/>
      </c>
      <c r="J371" s="25" t="str">
        <f t="shared" si="39"/>
        <v/>
      </c>
      <c r="K371" s="24" t="str">
        <f t="shared" si="40"/>
        <v/>
      </c>
      <c r="L371" s="24" t="str">
        <f t="shared" si="41"/>
        <v/>
      </c>
    </row>
    <row r="372" spans="1:12" x14ac:dyDescent="0.25">
      <c r="A372" s="24">
        <f t="shared" si="35"/>
        <v>371</v>
      </c>
      <c r="B372" s="25" t="str">
        <f>IF($A372&gt;nrows,"",IF(col_user=0,"",INDEX('Paste Export'!$A$2:$BZ$1001,$A372,col_user)))</f>
        <v/>
      </c>
      <c r="C372" s="24" t="str">
        <f>IF($A372&gt;nrows,"",IF(col_days=0,0,N(INDEX('Paste Export'!$A$2:$BZ$1001,$A372,col_days))))</f>
        <v/>
      </c>
      <c r="D372" s="24" t="str">
        <f>IF($A372&gt;nrows,"",IF(col_prompts=0,0,N(INDEX('Paste Export'!$A$2:$BZ$1001,$A372,col_prompts))))</f>
        <v/>
      </c>
      <c r="E372" s="24" t="str">
        <f>IF($A372&gt;nrows,"",IF(col_web=0,0,N(INDEX('Paste Export'!$A$2:$BZ$1001,$A372,col_web))))</f>
        <v/>
      </c>
      <c r="F372" s="26" t="str">
        <f t="shared" si="36"/>
        <v/>
      </c>
      <c r="G372" s="27" t="str">
        <f t="shared" si="37"/>
        <v/>
      </c>
      <c r="H372" s="24" t="str">
        <f>IF($A372&gt;nrows,"",IF(col_s1=0,0,--(LEN(INDEX('Paste Export'!$A$2:$BZ$1001,$A372,col_s1))&gt;0))+IF(col_s2=0,0,--(LEN(INDEX('Paste Export'!$A$2:$BZ$1001,$A372,col_s2))&gt;0))+IF(col_s3=0,0,--(LEN(INDEX('Paste Export'!$A$2:$BZ$1001,$A372,col_s3))&gt;0))+IF(col_s4=0,0,--(LEN(INDEX('Paste Export'!$A$2:$BZ$1001,$A372,col_s4))&gt;0))+IF(col_s5=0,0,--(LEN(INDEX('Paste Export'!$A$2:$BZ$1001,$A372,col_s5))&gt;0))+IF(col_s6=0,0,--(LEN(INDEX('Paste Export'!$A$2:$BZ$1001,$A372,col_s6))&gt;0))+IF(col_s7=0,0,--(LEN(INDEX('Paste Export'!$A$2:$BZ$1001,$A372,col_s7))&gt;0))+IF(col_s8=0,0,--(LEN(INDEX('Paste Export'!$A$2:$BZ$1001,$A372,col_s8))&gt;0)))</f>
        <v/>
      </c>
      <c r="I372" s="25" t="str">
        <f t="shared" si="38"/>
        <v/>
      </c>
      <c r="J372" s="25" t="str">
        <f t="shared" si="39"/>
        <v/>
      </c>
      <c r="K372" s="24" t="str">
        <f t="shared" si="40"/>
        <v/>
      </c>
      <c r="L372" s="24" t="str">
        <f t="shared" si="41"/>
        <v/>
      </c>
    </row>
    <row r="373" spans="1:12" x14ac:dyDescent="0.25">
      <c r="A373" s="24">
        <f t="shared" si="35"/>
        <v>372</v>
      </c>
      <c r="B373" s="25" t="str">
        <f>IF($A373&gt;nrows,"",IF(col_user=0,"",INDEX('Paste Export'!$A$2:$BZ$1001,$A373,col_user)))</f>
        <v/>
      </c>
      <c r="C373" s="24" t="str">
        <f>IF($A373&gt;nrows,"",IF(col_days=0,0,N(INDEX('Paste Export'!$A$2:$BZ$1001,$A373,col_days))))</f>
        <v/>
      </c>
      <c r="D373" s="24" t="str">
        <f>IF($A373&gt;nrows,"",IF(col_prompts=0,0,N(INDEX('Paste Export'!$A$2:$BZ$1001,$A373,col_prompts))))</f>
        <v/>
      </c>
      <c r="E373" s="24" t="str">
        <f>IF($A373&gt;nrows,"",IF(col_web=0,0,N(INDEX('Paste Export'!$A$2:$BZ$1001,$A373,col_web))))</f>
        <v/>
      </c>
      <c r="F373" s="26" t="str">
        <f t="shared" si="36"/>
        <v/>
      </c>
      <c r="G373" s="27" t="str">
        <f t="shared" si="37"/>
        <v/>
      </c>
      <c r="H373" s="24" t="str">
        <f>IF($A373&gt;nrows,"",IF(col_s1=0,0,--(LEN(INDEX('Paste Export'!$A$2:$BZ$1001,$A373,col_s1))&gt;0))+IF(col_s2=0,0,--(LEN(INDEX('Paste Export'!$A$2:$BZ$1001,$A373,col_s2))&gt;0))+IF(col_s3=0,0,--(LEN(INDEX('Paste Export'!$A$2:$BZ$1001,$A373,col_s3))&gt;0))+IF(col_s4=0,0,--(LEN(INDEX('Paste Export'!$A$2:$BZ$1001,$A373,col_s4))&gt;0))+IF(col_s5=0,0,--(LEN(INDEX('Paste Export'!$A$2:$BZ$1001,$A373,col_s5))&gt;0))+IF(col_s6=0,0,--(LEN(INDEX('Paste Export'!$A$2:$BZ$1001,$A373,col_s6))&gt;0))+IF(col_s7=0,0,--(LEN(INDEX('Paste Export'!$A$2:$BZ$1001,$A373,col_s7))&gt;0))+IF(col_s8=0,0,--(LEN(INDEX('Paste Export'!$A$2:$BZ$1001,$A373,col_s8))&gt;0)))</f>
        <v/>
      </c>
      <c r="I373" s="25" t="str">
        <f t="shared" si="38"/>
        <v/>
      </c>
      <c r="J373" s="25" t="str">
        <f t="shared" si="39"/>
        <v/>
      </c>
      <c r="K373" s="24" t="str">
        <f t="shared" si="40"/>
        <v/>
      </c>
      <c r="L373" s="24" t="str">
        <f t="shared" si="41"/>
        <v/>
      </c>
    </row>
    <row r="374" spans="1:12" x14ac:dyDescent="0.25">
      <c r="A374" s="24">
        <f t="shared" si="35"/>
        <v>373</v>
      </c>
      <c r="B374" s="25" t="str">
        <f>IF($A374&gt;nrows,"",IF(col_user=0,"",INDEX('Paste Export'!$A$2:$BZ$1001,$A374,col_user)))</f>
        <v/>
      </c>
      <c r="C374" s="24" t="str">
        <f>IF($A374&gt;nrows,"",IF(col_days=0,0,N(INDEX('Paste Export'!$A$2:$BZ$1001,$A374,col_days))))</f>
        <v/>
      </c>
      <c r="D374" s="24" t="str">
        <f>IF($A374&gt;nrows,"",IF(col_prompts=0,0,N(INDEX('Paste Export'!$A$2:$BZ$1001,$A374,col_prompts))))</f>
        <v/>
      </c>
      <c r="E374" s="24" t="str">
        <f>IF($A374&gt;nrows,"",IF(col_web=0,0,N(INDEX('Paste Export'!$A$2:$BZ$1001,$A374,col_web))))</f>
        <v/>
      </c>
      <c r="F374" s="26" t="str">
        <f t="shared" si="36"/>
        <v/>
      </c>
      <c r="G374" s="27" t="str">
        <f t="shared" si="37"/>
        <v/>
      </c>
      <c r="H374" s="24" t="str">
        <f>IF($A374&gt;nrows,"",IF(col_s1=0,0,--(LEN(INDEX('Paste Export'!$A$2:$BZ$1001,$A374,col_s1))&gt;0))+IF(col_s2=0,0,--(LEN(INDEX('Paste Export'!$A$2:$BZ$1001,$A374,col_s2))&gt;0))+IF(col_s3=0,0,--(LEN(INDEX('Paste Export'!$A$2:$BZ$1001,$A374,col_s3))&gt;0))+IF(col_s4=0,0,--(LEN(INDEX('Paste Export'!$A$2:$BZ$1001,$A374,col_s4))&gt;0))+IF(col_s5=0,0,--(LEN(INDEX('Paste Export'!$A$2:$BZ$1001,$A374,col_s5))&gt;0))+IF(col_s6=0,0,--(LEN(INDEX('Paste Export'!$A$2:$BZ$1001,$A374,col_s6))&gt;0))+IF(col_s7=0,0,--(LEN(INDEX('Paste Export'!$A$2:$BZ$1001,$A374,col_s7))&gt;0))+IF(col_s8=0,0,--(LEN(INDEX('Paste Export'!$A$2:$BZ$1001,$A374,col_s8))&gt;0)))</f>
        <v/>
      </c>
      <c r="I374" s="25" t="str">
        <f t="shared" si="38"/>
        <v/>
      </c>
      <c r="J374" s="25" t="str">
        <f t="shared" si="39"/>
        <v/>
      </c>
      <c r="K374" s="24" t="str">
        <f t="shared" si="40"/>
        <v/>
      </c>
      <c r="L374" s="24" t="str">
        <f t="shared" si="41"/>
        <v/>
      </c>
    </row>
    <row r="375" spans="1:12" x14ac:dyDescent="0.25">
      <c r="A375" s="24">
        <f t="shared" si="35"/>
        <v>374</v>
      </c>
      <c r="B375" s="25" t="str">
        <f>IF($A375&gt;nrows,"",IF(col_user=0,"",INDEX('Paste Export'!$A$2:$BZ$1001,$A375,col_user)))</f>
        <v/>
      </c>
      <c r="C375" s="24" t="str">
        <f>IF($A375&gt;nrows,"",IF(col_days=0,0,N(INDEX('Paste Export'!$A$2:$BZ$1001,$A375,col_days))))</f>
        <v/>
      </c>
      <c r="D375" s="24" t="str">
        <f>IF($A375&gt;nrows,"",IF(col_prompts=0,0,N(INDEX('Paste Export'!$A$2:$BZ$1001,$A375,col_prompts))))</f>
        <v/>
      </c>
      <c r="E375" s="24" t="str">
        <f>IF($A375&gt;nrows,"",IF(col_web=0,0,N(INDEX('Paste Export'!$A$2:$BZ$1001,$A375,col_web))))</f>
        <v/>
      </c>
      <c r="F375" s="26" t="str">
        <f t="shared" si="36"/>
        <v/>
      </c>
      <c r="G375" s="27" t="str">
        <f t="shared" si="37"/>
        <v/>
      </c>
      <c r="H375" s="24" t="str">
        <f>IF($A375&gt;nrows,"",IF(col_s1=0,0,--(LEN(INDEX('Paste Export'!$A$2:$BZ$1001,$A375,col_s1))&gt;0))+IF(col_s2=0,0,--(LEN(INDEX('Paste Export'!$A$2:$BZ$1001,$A375,col_s2))&gt;0))+IF(col_s3=0,0,--(LEN(INDEX('Paste Export'!$A$2:$BZ$1001,$A375,col_s3))&gt;0))+IF(col_s4=0,0,--(LEN(INDEX('Paste Export'!$A$2:$BZ$1001,$A375,col_s4))&gt;0))+IF(col_s5=0,0,--(LEN(INDEX('Paste Export'!$A$2:$BZ$1001,$A375,col_s5))&gt;0))+IF(col_s6=0,0,--(LEN(INDEX('Paste Export'!$A$2:$BZ$1001,$A375,col_s6))&gt;0))+IF(col_s7=0,0,--(LEN(INDEX('Paste Export'!$A$2:$BZ$1001,$A375,col_s7))&gt;0))+IF(col_s8=0,0,--(LEN(INDEX('Paste Export'!$A$2:$BZ$1001,$A375,col_s8))&gt;0)))</f>
        <v/>
      </c>
      <c r="I375" s="25" t="str">
        <f t="shared" si="38"/>
        <v/>
      </c>
      <c r="J375" s="25" t="str">
        <f t="shared" si="39"/>
        <v/>
      </c>
      <c r="K375" s="24" t="str">
        <f t="shared" si="40"/>
        <v/>
      </c>
      <c r="L375" s="24" t="str">
        <f t="shared" si="41"/>
        <v/>
      </c>
    </row>
    <row r="376" spans="1:12" x14ac:dyDescent="0.25">
      <c r="A376" s="24">
        <f t="shared" si="35"/>
        <v>375</v>
      </c>
      <c r="B376" s="25" t="str">
        <f>IF($A376&gt;nrows,"",IF(col_user=0,"",INDEX('Paste Export'!$A$2:$BZ$1001,$A376,col_user)))</f>
        <v/>
      </c>
      <c r="C376" s="24" t="str">
        <f>IF($A376&gt;nrows,"",IF(col_days=0,0,N(INDEX('Paste Export'!$A$2:$BZ$1001,$A376,col_days))))</f>
        <v/>
      </c>
      <c r="D376" s="24" t="str">
        <f>IF($A376&gt;nrows,"",IF(col_prompts=0,0,N(INDEX('Paste Export'!$A$2:$BZ$1001,$A376,col_prompts))))</f>
        <v/>
      </c>
      <c r="E376" s="24" t="str">
        <f>IF($A376&gt;nrows,"",IF(col_web=0,0,N(INDEX('Paste Export'!$A$2:$BZ$1001,$A376,col_web))))</f>
        <v/>
      </c>
      <c r="F376" s="26" t="str">
        <f t="shared" si="36"/>
        <v/>
      </c>
      <c r="G376" s="27" t="str">
        <f t="shared" si="37"/>
        <v/>
      </c>
      <c r="H376" s="24" t="str">
        <f>IF($A376&gt;nrows,"",IF(col_s1=0,0,--(LEN(INDEX('Paste Export'!$A$2:$BZ$1001,$A376,col_s1))&gt;0))+IF(col_s2=0,0,--(LEN(INDEX('Paste Export'!$A$2:$BZ$1001,$A376,col_s2))&gt;0))+IF(col_s3=0,0,--(LEN(INDEX('Paste Export'!$A$2:$BZ$1001,$A376,col_s3))&gt;0))+IF(col_s4=0,0,--(LEN(INDEX('Paste Export'!$A$2:$BZ$1001,$A376,col_s4))&gt;0))+IF(col_s5=0,0,--(LEN(INDEX('Paste Export'!$A$2:$BZ$1001,$A376,col_s5))&gt;0))+IF(col_s6=0,0,--(LEN(INDEX('Paste Export'!$A$2:$BZ$1001,$A376,col_s6))&gt;0))+IF(col_s7=0,0,--(LEN(INDEX('Paste Export'!$A$2:$BZ$1001,$A376,col_s7))&gt;0))+IF(col_s8=0,0,--(LEN(INDEX('Paste Export'!$A$2:$BZ$1001,$A376,col_s8))&gt;0)))</f>
        <v/>
      </c>
      <c r="I376" s="25" t="str">
        <f t="shared" si="38"/>
        <v/>
      </c>
      <c r="J376" s="25" t="str">
        <f t="shared" si="39"/>
        <v/>
      </c>
      <c r="K376" s="24" t="str">
        <f t="shared" si="40"/>
        <v/>
      </c>
      <c r="L376" s="24" t="str">
        <f t="shared" si="41"/>
        <v/>
      </c>
    </row>
    <row r="377" spans="1:12" x14ac:dyDescent="0.25">
      <c r="A377" s="24">
        <f t="shared" si="35"/>
        <v>376</v>
      </c>
      <c r="B377" s="25" t="str">
        <f>IF($A377&gt;nrows,"",IF(col_user=0,"",INDEX('Paste Export'!$A$2:$BZ$1001,$A377,col_user)))</f>
        <v/>
      </c>
      <c r="C377" s="24" t="str">
        <f>IF($A377&gt;nrows,"",IF(col_days=0,0,N(INDEX('Paste Export'!$A$2:$BZ$1001,$A377,col_days))))</f>
        <v/>
      </c>
      <c r="D377" s="24" t="str">
        <f>IF($A377&gt;nrows,"",IF(col_prompts=0,0,N(INDEX('Paste Export'!$A$2:$BZ$1001,$A377,col_prompts))))</f>
        <v/>
      </c>
      <c r="E377" s="24" t="str">
        <f>IF($A377&gt;nrows,"",IF(col_web=0,0,N(INDEX('Paste Export'!$A$2:$BZ$1001,$A377,col_web))))</f>
        <v/>
      </c>
      <c r="F377" s="26" t="str">
        <f t="shared" si="36"/>
        <v/>
      </c>
      <c r="G377" s="27" t="str">
        <f t="shared" si="37"/>
        <v/>
      </c>
      <c r="H377" s="24" t="str">
        <f>IF($A377&gt;nrows,"",IF(col_s1=0,0,--(LEN(INDEX('Paste Export'!$A$2:$BZ$1001,$A377,col_s1))&gt;0))+IF(col_s2=0,0,--(LEN(INDEX('Paste Export'!$A$2:$BZ$1001,$A377,col_s2))&gt;0))+IF(col_s3=0,0,--(LEN(INDEX('Paste Export'!$A$2:$BZ$1001,$A377,col_s3))&gt;0))+IF(col_s4=0,0,--(LEN(INDEX('Paste Export'!$A$2:$BZ$1001,$A377,col_s4))&gt;0))+IF(col_s5=0,0,--(LEN(INDEX('Paste Export'!$A$2:$BZ$1001,$A377,col_s5))&gt;0))+IF(col_s6=0,0,--(LEN(INDEX('Paste Export'!$A$2:$BZ$1001,$A377,col_s6))&gt;0))+IF(col_s7=0,0,--(LEN(INDEX('Paste Export'!$A$2:$BZ$1001,$A377,col_s7))&gt;0))+IF(col_s8=0,0,--(LEN(INDEX('Paste Export'!$A$2:$BZ$1001,$A377,col_s8))&gt;0)))</f>
        <v/>
      </c>
      <c r="I377" s="25" t="str">
        <f t="shared" si="38"/>
        <v/>
      </c>
      <c r="J377" s="25" t="str">
        <f t="shared" si="39"/>
        <v/>
      </c>
      <c r="K377" s="24" t="str">
        <f t="shared" si="40"/>
        <v/>
      </c>
      <c r="L377" s="24" t="str">
        <f t="shared" si="41"/>
        <v/>
      </c>
    </row>
    <row r="378" spans="1:12" x14ac:dyDescent="0.25">
      <c r="A378" s="24">
        <f t="shared" si="35"/>
        <v>377</v>
      </c>
      <c r="B378" s="25" t="str">
        <f>IF($A378&gt;nrows,"",IF(col_user=0,"",INDEX('Paste Export'!$A$2:$BZ$1001,$A378,col_user)))</f>
        <v/>
      </c>
      <c r="C378" s="24" t="str">
        <f>IF($A378&gt;nrows,"",IF(col_days=0,0,N(INDEX('Paste Export'!$A$2:$BZ$1001,$A378,col_days))))</f>
        <v/>
      </c>
      <c r="D378" s="24" t="str">
        <f>IF($A378&gt;nrows,"",IF(col_prompts=0,0,N(INDEX('Paste Export'!$A$2:$BZ$1001,$A378,col_prompts))))</f>
        <v/>
      </c>
      <c r="E378" s="24" t="str">
        <f>IF($A378&gt;nrows,"",IF(col_web=0,0,N(INDEX('Paste Export'!$A$2:$BZ$1001,$A378,col_web))))</f>
        <v/>
      </c>
      <c r="F378" s="26" t="str">
        <f t="shared" si="36"/>
        <v/>
      </c>
      <c r="G378" s="27" t="str">
        <f t="shared" si="37"/>
        <v/>
      </c>
      <c r="H378" s="24" t="str">
        <f>IF($A378&gt;nrows,"",IF(col_s1=0,0,--(LEN(INDEX('Paste Export'!$A$2:$BZ$1001,$A378,col_s1))&gt;0))+IF(col_s2=0,0,--(LEN(INDEX('Paste Export'!$A$2:$BZ$1001,$A378,col_s2))&gt;0))+IF(col_s3=0,0,--(LEN(INDEX('Paste Export'!$A$2:$BZ$1001,$A378,col_s3))&gt;0))+IF(col_s4=0,0,--(LEN(INDEX('Paste Export'!$A$2:$BZ$1001,$A378,col_s4))&gt;0))+IF(col_s5=0,0,--(LEN(INDEX('Paste Export'!$A$2:$BZ$1001,$A378,col_s5))&gt;0))+IF(col_s6=0,0,--(LEN(INDEX('Paste Export'!$A$2:$BZ$1001,$A378,col_s6))&gt;0))+IF(col_s7=0,0,--(LEN(INDEX('Paste Export'!$A$2:$BZ$1001,$A378,col_s7))&gt;0))+IF(col_s8=0,0,--(LEN(INDEX('Paste Export'!$A$2:$BZ$1001,$A378,col_s8))&gt;0)))</f>
        <v/>
      </c>
      <c r="I378" s="25" t="str">
        <f t="shared" si="38"/>
        <v/>
      </c>
      <c r="J378" s="25" t="str">
        <f t="shared" si="39"/>
        <v/>
      </c>
      <c r="K378" s="24" t="str">
        <f t="shared" si="40"/>
        <v/>
      </c>
      <c r="L378" s="24" t="str">
        <f t="shared" si="41"/>
        <v/>
      </c>
    </row>
    <row r="379" spans="1:12" x14ac:dyDescent="0.25">
      <c r="A379" s="24">
        <f t="shared" si="35"/>
        <v>378</v>
      </c>
      <c r="B379" s="25" t="str">
        <f>IF($A379&gt;nrows,"",IF(col_user=0,"",INDEX('Paste Export'!$A$2:$BZ$1001,$A379,col_user)))</f>
        <v/>
      </c>
      <c r="C379" s="24" t="str">
        <f>IF($A379&gt;nrows,"",IF(col_days=0,0,N(INDEX('Paste Export'!$A$2:$BZ$1001,$A379,col_days))))</f>
        <v/>
      </c>
      <c r="D379" s="24" t="str">
        <f>IF($A379&gt;nrows,"",IF(col_prompts=0,0,N(INDEX('Paste Export'!$A$2:$BZ$1001,$A379,col_prompts))))</f>
        <v/>
      </c>
      <c r="E379" s="24" t="str">
        <f>IF($A379&gt;nrows,"",IF(col_web=0,0,N(INDEX('Paste Export'!$A$2:$BZ$1001,$A379,col_web))))</f>
        <v/>
      </c>
      <c r="F379" s="26" t="str">
        <f t="shared" si="36"/>
        <v/>
      </c>
      <c r="G379" s="27" t="str">
        <f t="shared" si="37"/>
        <v/>
      </c>
      <c r="H379" s="24" t="str">
        <f>IF($A379&gt;nrows,"",IF(col_s1=0,0,--(LEN(INDEX('Paste Export'!$A$2:$BZ$1001,$A379,col_s1))&gt;0))+IF(col_s2=0,0,--(LEN(INDEX('Paste Export'!$A$2:$BZ$1001,$A379,col_s2))&gt;0))+IF(col_s3=0,0,--(LEN(INDEX('Paste Export'!$A$2:$BZ$1001,$A379,col_s3))&gt;0))+IF(col_s4=0,0,--(LEN(INDEX('Paste Export'!$A$2:$BZ$1001,$A379,col_s4))&gt;0))+IF(col_s5=0,0,--(LEN(INDEX('Paste Export'!$A$2:$BZ$1001,$A379,col_s5))&gt;0))+IF(col_s6=0,0,--(LEN(INDEX('Paste Export'!$A$2:$BZ$1001,$A379,col_s6))&gt;0))+IF(col_s7=0,0,--(LEN(INDEX('Paste Export'!$A$2:$BZ$1001,$A379,col_s7))&gt;0))+IF(col_s8=0,0,--(LEN(INDEX('Paste Export'!$A$2:$BZ$1001,$A379,col_s8))&gt;0)))</f>
        <v/>
      </c>
      <c r="I379" s="25" t="str">
        <f t="shared" si="38"/>
        <v/>
      </c>
      <c r="J379" s="25" t="str">
        <f t="shared" si="39"/>
        <v/>
      </c>
      <c r="K379" s="24" t="str">
        <f t="shared" si="40"/>
        <v/>
      </c>
      <c r="L379" s="24" t="str">
        <f t="shared" si="41"/>
        <v/>
      </c>
    </row>
    <row r="380" spans="1:12" x14ac:dyDescent="0.25">
      <c r="A380" s="24">
        <f t="shared" si="35"/>
        <v>379</v>
      </c>
      <c r="B380" s="25" t="str">
        <f>IF($A380&gt;nrows,"",IF(col_user=0,"",INDEX('Paste Export'!$A$2:$BZ$1001,$A380,col_user)))</f>
        <v/>
      </c>
      <c r="C380" s="24" t="str">
        <f>IF($A380&gt;nrows,"",IF(col_days=0,0,N(INDEX('Paste Export'!$A$2:$BZ$1001,$A380,col_days))))</f>
        <v/>
      </c>
      <c r="D380" s="24" t="str">
        <f>IF($A380&gt;nrows,"",IF(col_prompts=0,0,N(INDEX('Paste Export'!$A$2:$BZ$1001,$A380,col_prompts))))</f>
        <v/>
      </c>
      <c r="E380" s="24" t="str">
        <f>IF($A380&gt;nrows,"",IF(col_web=0,0,N(INDEX('Paste Export'!$A$2:$BZ$1001,$A380,col_web))))</f>
        <v/>
      </c>
      <c r="F380" s="26" t="str">
        <f t="shared" si="36"/>
        <v/>
      </c>
      <c r="G380" s="27" t="str">
        <f t="shared" si="37"/>
        <v/>
      </c>
      <c r="H380" s="24" t="str">
        <f>IF($A380&gt;nrows,"",IF(col_s1=0,0,--(LEN(INDEX('Paste Export'!$A$2:$BZ$1001,$A380,col_s1))&gt;0))+IF(col_s2=0,0,--(LEN(INDEX('Paste Export'!$A$2:$BZ$1001,$A380,col_s2))&gt;0))+IF(col_s3=0,0,--(LEN(INDEX('Paste Export'!$A$2:$BZ$1001,$A380,col_s3))&gt;0))+IF(col_s4=0,0,--(LEN(INDEX('Paste Export'!$A$2:$BZ$1001,$A380,col_s4))&gt;0))+IF(col_s5=0,0,--(LEN(INDEX('Paste Export'!$A$2:$BZ$1001,$A380,col_s5))&gt;0))+IF(col_s6=0,0,--(LEN(INDEX('Paste Export'!$A$2:$BZ$1001,$A380,col_s6))&gt;0))+IF(col_s7=0,0,--(LEN(INDEX('Paste Export'!$A$2:$BZ$1001,$A380,col_s7))&gt;0))+IF(col_s8=0,0,--(LEN(INDEX('Paste Export'!$A$2:$BZ$1001,$A380,col_s8))&gt;0)))</f>
        <v/>
      </c>
      <c r="I380" s="25" t="str">
        <f t="shared" si="38"/>
        <v/>
      </c>
      <c r="J380" s="25" t="str">
        <f t="shared" si="39"/>
        <v/>
      </c>
      <c r="K380" s="24" t="str">
        <f t="shared" si="40"/>
        <v/>
      </c>
      <c r="L380" s="24" t="str">
        <f t="shared" si="41"/>
        <v/>
      </c>
    </row>
    <row r="381" spans="1:12" x14ac:dyDescent="0.25">
      <c r="A381" s="24">
        <f t="shared" si="35"/>
        <v>380</v>
      </c>
      <c r="B381" s="25" t="str">
        <f>IF($A381&gt;nrows,"",IF(col_user=0,"",INDEX('Paste Export'!$A$2:$BZ$1001,$A381,col_user)))</f>
        <v/>
      </c>
      <c r="C381" s="24" t="str">
        <f>IF($A381&gt;nrows,"",IF(col_days=0,0,N(INDEX('Paste Export'!$A$2:$BZ$1001,$A381,col_days))))</f>
        <v/>
      </c>
      <c r="D381" s="24" t="str">
        <f>IF($A381&gt;nrows,"",IF(col_prompts=0,0,N(INDEX('Paste Export'!$A$2:$BZ$1001,$A381,col_prompts))))</f>
        <v/>
      </c>
      <c r="E381" s="24" t="str">
        <f>IF($A381&gt;nrows,"",IF(col_web=0,0,N(INDEX('Paste Export'!$A$2:$BZ$1001,$A381,col_web))))</f>
        <v/>
      </c>
      <c r="F381" s="26" t="str">
        <f t="shared" si="36"/>
        <v/>
      </c>
      <c r="G381" s="27" t="str">
        <f t="shared" si="37"/>
        <v/>
      </c>
      <c r="H381" s="24" t="str">
        <f>IF($A381&gt;nrows,"",IF(col_s1=0,0,--(LEN(INDEX('Paste Export'!$A$2:$BZ$1001,$A381,col_s1))&gt;0))+IF(col_s2=0,0,--(LEN(INDEX('Paste Export'!$A$2:$BZ$1001,$A381,col_s2))&gt;0))+IF(col_s3=0,0,--(LEN(INDEX('Paste Export'!$A$2:$BZ$1001,$A381,col_s3))&gt;0))+IF(col_s4=0,0,--(LEN(INDEX('Paste Export'!$A$2:$BZ$1001,$A381,col_s4))&gt;0))+IF(col_s5=0,0,--(LEN(INDEX('Paste Export'!$A$2:$BZ$1001,$A381,col_s5))&gt;0))+IF(col_s6=0,0,--(LEN(INDEX('Paste Export'!$A$2:$BZ$1001,$A381,col_s6))&gt;0))+IF(col_s7=0,0,--(LEN(INDEX('Paste Export'!$A$2:$BZ$1001,$A381,col_s7))&gt;0))+IF(col_s8=0,0,--(LEN(INDEX('Paste Export'!$A$2:$BZ$1001,$A381,col_s8))&gt;0)))</f>
        <v/>
      </c>
      <c r="I381" s="25" t="str">
        <f t="shared" si="38"/>
        <v/>
      </c>
      <c r="J381" s="25" t="str">
        <f t="shared" si="39"/>
        <v/>
      </c>
      <c r="K381" s="24" t="str">
        <f t="shared" si="40"/>
        <v/>
      </c>
      <c r="L381" s="24" t="str">
        <f t="shared" si="41"/>
        <v/>
      </c>
    </row>
    <row r="382" spans="1:12" x14ac:dyDescent="0.25">
      <c r="A382" s="24">
        <f t="shared" si="35"/>
        <v>381</v>
      </c>
      <c r="B382" s="25" t="str">
        <f>IF($A382&gt;nrows,"",IF(col_user=0,"",INDEX('Paste Export'!$A$2:$BZ$1001,$A382,col_user)))</f>
        <v/>
      </c>
      <c r="C382" s="24" t="str">
        <f>IF($A382&gt;nrows,"",IF(col_days=0,0,N(INDEX('Paste Export'!$A$2:$BZ$1001,$A382,col_days))))</f>
        <v/>
      </c>
      <c r="D382" s="24" t="str">
        <f>IF($A382&gt;nrows,"",IF(col_prompts=0,0,N(INDEX('Paste Export'!$A$2:$BZ$1001,$A382,col_prompts))))</f>
        <v/>
      </c>
      <c r="E382" s="24" t="str">
        <f>IF($A382&gt;nrows,"",IF(col_web=0,0,N(INDEX('Paste Export'!$A$2:$BZ$1001,$A382,col_web))))</f>
        <v/>
      </c>
      <c r="F382" s="26" t="str">
        <f t="shared" si="36"/>
        <v/>
      </c>
      <c r="G382" s="27" t="str">
        <f t="shared" si="37"/>
        <v/>
      </c>
      <c r="H382" s="24" t="str">
        <f>IF($A382&gt;nrows,"",IF(col_s1=0,0,--(LEN(INDEX('Paste Export'!$A$2:$BZ$1001,$A382,col_s1))&gt;0))+IF(col_s2=0,0,--(LEN(INDEX('Paste Export'!$A$2:$BZ$1001,$A382,col_s2))&gt;0))+IF(col_s3=0,0,--(LEN(INDEX('Paste Export'!$A$2:$BZ$1001,$A382,col_s3))&gt;0))+IF(col_s4=0,0,--(LEN(INDEX('Paste Export'!$A$2:$BZ$1001,$A382,col_s4))&gt;0))+IF(col_s5=0,0,--(LEN(INDEX('Paste Export'!$A$2:$BZ$1001,$A382,col_s5))&gt;0))+IF(col_s6=0,0,--(LEN(INDEX('Paste Export'!$A$2:$BZ$1001,$A382,col_s6))&gt;0))+IF(col_s7=0,0,--(LEN(INDEX('Paste Export'!$A$2:$BZ$1001,$A382,col_s7))&gt;0))+IF(col_s8=0,0,--(LEN(INDEX('Paste Export'!$A$2:$BZ$1001,$A382,col_s8))&gt;0)))</f>
        <v/>
      </c>
      <c r="I382" s="25" t="str">
        <f t="shared" si="38"/>
        <v/>
      </c>
      <c r="J382" s="25" t="str">
        <f t="shared" si="39"/>
        <v/>
      </c>
      <c r="K382" s="24" t="str">
        <f t="shared" si="40"/>
        <v/>
      </c>
      <c r="L382" s="24" t="str">
        <f t="shared" si="41"/>
        <v/>
      </c>
    </row>
    <row r="383" spans="1:12" x14ac:dyDescent="0.25">
      <c r="A383" s="24">
        <f t="shared" si="35"/>
        <v>382</v>
      </c>
      <c r="B383" s="25" t="str">
        <f>IF($A383&gt;nrows,"",IF(col_user=0,"",INDEX('Paste Export'!$A$2:$BZ$1001,$A383,col_user)))</f>
        <v/>
      </c>
      <c r="C383" s="24" t="str">
        <f>IF($A383&gt;nrows,"",IF(col_days=0,0,N(INDEX('Paste Export'!$A$2:$BZ$1001,$A383,col_days))))</f>
        <v/>
      </c>
      <c r="D383" s="24" t="str">
        <f>IF($A383&gt;nrows,"",IF(col_prompts=0,0,N(INDEX('Paste Export'!$A$2:$BZ$1001,$A383,col_prompts))))</f>
        <v/>
      </c>
      <c r="E383" s="24" t="str">
        <f>IF($A383&gt;nrows,"",IF(col_web=0,0,N(INDEX('Paste Export'!$A$2:$BZ$1001,$A383,col_web))))</f>
        <v/>
      </c>
      <c r="F383" s="26" t="str">
        <f t="shared" si="36"/>
        <v/>
      </c>
      <c r="G383" s="27" t="str">
        <f t="shared" si="37"/>
        <v/>
      </c>
      <c r="H383" s="24" t="str">
        <f>IF($A383&gt;nrows,"",IF(col_s1=0,0,--(LEN(INDEX('Paste Export'!$A$2:$BZ$1001,$A383,col_s1))&gt;0))+IF(col_s2=0,0,--(LEN(INDEX('Paste Export'!$A$2:$BZ$1001,$A383,col_s2))&gt;0))+IF(col_s3=0,0,--(LEN(INDEX('Paste Export'!$A$2:$BZ$1001,$A383,col_s3))&gt;0))+IF(col_s4=0,0,--(LEN(INDEX('Paste Export'!$A$2:$BZ$1001,$A383,col_s4))&gt;0))+IF(col_s5=0,0,--(LEN(INDEX('Paste Export'!$A$2:$BZ$1001,$A383,col_s5))&gt;0))+IF(col_s6=0,0,--(LEN(INDEX('Paste Export'!$A$2:$BZ$1001,$A383,col_s6))&gt;0))+IF(col_s7=0,0,--(LEN(INDEX('Paste Export'!$A$2:$BZ$1001,$A383,col_s7))&gt;0))+IF(col_s8=0,0,--(LEN(INDEX('Paste Export'!$A$2:$BZ$1001,$A383,col_s8))&gt;0)))</f>
        <v/>
      </c>
      <c r="I383" s="25" t="str">
        <f t="shared" si="38"/>
        <v/>
      </c>
      <c r="J383" s="25" t="str">
        <f t="shared" si="39"/>
        <v/>
      </c>
      <c r="K383" s="24" t="str">
        <f t="shared" si="40"/>
        <v/>
      </c>
      <c r="L383" s="24" t="str">
        <f t="shared" si="41"/>
        <v/>
      </c>
    </row>
    <row r="384" spans="1:12" x14ac:dyDescent="0.25">
      <c r="A384" s="24">
        <f t="shared" si="35"/>
        <v>383</v>
      </c>
      <c r="B384" s="25" t="str">
        <f>IF($A384&gt;nrows,"",IF(col_user=0,"",INDEX('Paste Export'!$A$2:$BZ$1001,$A384,col_user)))</f>
        <v/>
      </c>
      <c r="C384" s="24" t="str">
        <f>IF($A384&gt;nrows,"",IF(col_days=0,0,N(INDEX('Paste Export'!$A$2:$BZ$1001,$A384,col_days))))</f>
        <v/>
      </c>
      <c r="D384" s="24" t="str">
        <f>IF($A384&gt;nrows,"",IF(col_prompts=0,0,N(INDEX('Paste Export'!$A$2:$BZ$1001,$A384,col_prompts))))</f>
        <v/>
      </c>
      <c r="E384" s="24" t="str">
        <f>IF($A384&gt;nrows,"",IF(col_web=0,0,N(INDEX('Paste Export'!$A$2:$BZ$1001,$A384,col_web))))</f>
        <v/>
      </c>
      <c r="F384" s="26" t="str">
        <f t="shared" si="36"/>
        <v/>
      </c>
      <c r="G384" s="27" t="str">
        <f t="shared" si="37"/>
        <v/>
      </c>
      <c r="H384" s="24" t="str">
        <f>IF($A384&gt;nrows,"",IF(col_s1=0,0,--(LEN(INDEX('Paste Export'!$A$2:$BZ$1001,$A384,col_s1))&gt;0))+IF(col_s2=0,0,--(LEN(INDEX('Paste Export'!$A$2:$BZ$1001,$A384,col_s2))&gt;0))+IF(col_s3=0,0,--(LEN(INDEX('Paste Export'!$A$2:$BZ$1001,$A384,col_s3))&gt;0))+IF(col_s4=0,0,--(LEN(INDEX('Paste Export'!$A$2:$BZ$1001,$A384,col_s4))&gt;0))+IF(col_s5=0,0,--(LEN(INDEX('Paste Export'!$A$2:$BZ$1001,$A384,col_s5))&gt;0))+IF(col_s6=0,0,--(LEN(INDEX('Paste Export'!$A$2:$BZ$1001,$A384,col_s6))&gt;0))+IF(col_s7=0,0,--(LEN(INDEX('Paste Export'!$A$2:$BZ$1001,$A384,col_s7))&gt;0))+IF(col_s8=0,0,--(LEN(INDEX('Paste Export'!$A$2:$BZ$1001,$A384,col_s8))&gt;0)))</f>
        <v/>
      </c>
      <c r="I384" s="25" t="str">
        <f t="shared" si="38"/>
        <v/>
      </c>
      <c r="J384" s="25" t="str">
        <f t="shared" si="39"/>
        <v/>
      </c>
      <c r="K384" s="24" t="str">
        <f t="shared" si="40"/>
        <v/>
      </c>
      <c r="L384" s="24" t="str">
        <f t="shared" si="41"/>
        <v/>
      </c>
    </row>
    <row r="385" spans="1:12" x14ac:dyDescent="0.25">
      <c r="A385" s="24">
        <f t="shared" si="35"/>
        <v>384</v>
      </c>
      <c r="B385" s="25" t="str">
        <f>IF($A385&gt;nrows,"",IF(col_user=0,"",INDEX('Paste Export'!$A$2:$BZ$1001,$A385,col_user)))</f>
        <v/>
      </c>
      <c r="C385" s="24" t="str">
        <f>IF($A385&gt;nrows,"",IF(col_days=0,0,N(INDEX('Paste Export'!$A$2:$BZ$1001,$A385,col_days))))</f>
        <v/>
      </c>
      <c r="D385" s="24" t="str">
        <f>IF($A385&gt;nrows,"",IF(col_prompts=0,0,N(INDEX('Paste Export'!$A$2:$BZ$1001,$A385,col_prompts))))</f>
        <v/>
      </c>
      <c r="E385" s="24" t="str">
        <f>IF($A385&gt;nrows,"",IF(col_web=0,0,N(INDEX('Paste Export'!$A$2:$BZ$1001,$A385,col_web))))</f>
        <v/>
      </c>
      <c r="F385" s="26" t="str">
        <f t="shared" si="36"/>
        <v/>
      </c>
      <c r="G385" s="27" t="str">
        <f t="shared" si="37"/>
        <v/>
      </c>
      <c r="H385" s="24" t="str">
        <f>IF($A385&gt;nrows,"",IF(col_s1=0,0,--(LEN(INDEX('Paste Export'!$A$2:$BZ$1001,$A385,col_s1))&gt;0))+IF(col_s2=0,0,--(LEN(INDEX('Paste Export'!$A$2:$BZ$1001,$A385,col_s2))&gt;0))+IF(col_s3=0,0,--(LEN(INDEX('Paste Export'!$A$2:$BZ$1001,$A385,col_s3))&gt;0))+IF(col_s4=0,0,--(LEN(INDEX('Paste Export'!$A$2:$BZ$1001,$A385,col_s4))&gt;0))+IF(col_s5=0,0,--(LEN(INDEX('Paste Export'!$A$2:$BZ$1001,$A385,col_s5))&gt;0))+IF(col_s6=0,0,--(LEN(INDEX('Paste Export'!$A$2:$BZ$1001,$A385,col_s6))&gt;0))+IF(col_s7=0,0,--(LEN(INDEX('Paste Export'!$A$2:$BZ$1001,$A385,col_s7))&gt;0))+IF(col_s8=0,0,--(LEN(INDEX('Paste Export'!$A$2:$BZ$1001,$A385,col_s8))&gt;0)))</f>
        <v/>
      </c>
      <c r="I385" s="25" t="str">
        <f t="shared" si="38"/>
        <v/>
      </c>
      <c r="J385" s="25" t="str">
        <f t="shared" si="39"/>
        <v/>
      </c>
      <c r="K385" s="24" t="str">
        <f t="shared" si="40"/>
        <v/>
      </c>
      <c r="L385" s="24" t="str">
        <f t="shared" si="41"/>
        <v/>
      </c>
    </row>
    <row r="386" spans="1:12" x14ac:dyDescent="0.25">
      <c r="A386" s="24">
        <f t="shared" ref="A386:A449" si="42">ROW()-1</f>
        <v>385</v>
      </c>
      <c r="B386" s="25" t="str">
        <f>IF($A386&gt;nrows,"",IF(col_user=0,"",INDEX('Paste Export'!$A$2:$BZ$1001,$A386,col_user)))</f>
        <v/>
      </c>
      <c r="C386" s="24" t="str">
        <f>IF($A386&gt;nrows,"",IF(col_days=0,0,N(INDEX('Paste Export'!$A$2:$BZ$1001,$A386,col_days))))</f>
        <v/>
      </c>
      <c r="D386" s="24" t="str">
        <f>IF($A386&gt;nrows,"",IF(col_prompts=0,0,N(INDEX('Paste Export'!$A$2:$BZ$1001,$A386,col_prompts))))</f>
        <v/>
      </c>
      <c r="E386" s="24" t="str">
        <f>IF($A386&gt;nrows,"",IF(col_web=0,0,N(INDEX('Paste Export'!$A$2:$BZ$1001,$A386,col_web))))</f>
        <v/>
      </c>
      <c r="F386" s="26" t="str">
        <f t="shared" ref="F386:F449" si="43">IF($A386&gt;nrows,"",IFERROR($D386/$C386,0))</f>
        <v/>
      </c>
      <c r="G386" s="27" t="str">
        <f t="shared" ref="G386:G449" si="44">IF($A386&gt;nrows,"",IFERROR($E386/$D386,""))</f>
        <v/>
      </c>
      <c r="H386" s="24" t="str">
        <f>IF($A386&gt;nrows,"",IF(col_s1=0,0,--(LEN(INDEX('Paste Export'!$A$2:$BZ$1001,$A386,col_s1))&gt;0))+IF(col_s2=0,0,--(LEN(INDEX('Paste Export'!$A$2:$BZ$1001,$A386,col_s2))&gt;0))+IF(col_s3=0,0,--(LEN(INDEX('Paste Export'!$A$2:$BZ$1001,$A386,col_s3))&gt;0))+IF(col_s4=0,0,--(LEN(INDEX('Paste Export'!$A$2:$BZ$1001,$A386,col_s4))&gt;0))+IF(col_s5=0,0,--(LEN(INDEX('Paste Export'!$A$2:$BZ$1001,$A386,col_s5))&gt;0))+IF(col_s6=0,0,--(LEN(INDEX('Paste Export'!$A$2:$BZ$1001,$A386,col_s6))&gt;0))+IF(col_s7=0,0,--(LEN(INDEX('Paste Export'!$A$2:$BZ$1001,$A386,col_s7))&gt;0))+IF(col_s8=0,0,--(LEN(INDEX('Paste Export'!$A$2:$BZ$1001,$A386,col_s8))&gt;0)))</f>
        <v/>
      </c>
      <c r="I386" s="25" t="str">
        <f t="shared" ref="I386:I449" si="45">IF($A386&gt;nrows,"",IF($C386&gt;=freq_line,IF($D386&gt;=depth_line,"Embedded","Loyal but shallow"),IF($D386&gt;=depth_line,"Project-driven","Drifting")))</f>
        <v/>
      </c>
      <c r="J386" s="25" t="str">
        <f t="shared" ref="J386:J449" si="46">IF($A386&gt;nrows,"",IF($I386="Drifting",IF($H386&gt;=3,"tried and stopped","never started"),""))</f>
        <v/>
      </c>
      <c r="K386" s="24" t="str">
        <f t="shared" ref="K386:K449" si="47">IF($A386&gt;nrows,"",MAX($D386,1))</f>
        <v/>
      </c>
      <c r="L386" s="24" t="str">
        <f t="shared" ref="L386:L449" si="48">IF($A386&gt;nrows,"",IF(AND($C386=0,$D386=0),1,0))</f>
        <v/>
      </c>
    </row>
    <row r="387" spans="1:12" x14ac:dyDescent="0.25">
      <c r="A387" s="24">
        <f t="shared" si="42"/>
        <v>386</v>
      </c>
      <c r="B387" s="25" t="str">
        <f>IF($A387&gt;nrows,"",IF(col_user=0,"",INDEX('Paste Export'!$A$2:$BZ$1001,$A387,col_user)))</f>
        <v/>
      </c>
      <c r="C387" s="24" t="str">
        <f>IF($A387&gt;nrows,"",IF(col_days=0,0,N(INDEX('Paste Export'!$A$2:$BZ$1001,$A387,col_days))))</f>
        <v/>
      </c>
      <c r="D387" s="24" t="str">
        <f>IF($A387&gt;nrows,"",IF(col_prompts=0,0,N(INDEX('Paste Export'!$A$2:$BZ$1001,$A387,col_prompts))))</f>
        <v/>
      </c>
      <c r="E387" s="24" t="str">
        <f>IF($A387&gt;nrows,"",IF(col_web=0,0,N(INDEX('Paste Export'!$A$2:$BZ$1001,$A387,col_web))))</f>
        <v/>
      </c>
      <c r="F387" s="26" t="str">
        <f t="shared" si="43"/>
        <v/>
      </c>
      <c r="G387" s="27" t="str">
        <f t="shared" si="44"/>
        <v/>
      </c>
      <c r="H387" s="24" t="str">
        <f>IF($A387&gt;nrows,"",IF(col_s1=0,0,--(LEN(INDEX('Paste Export'!$A$2:$BZ$1001,$A387,col_s1))&gt;0))+IF(col_s2=0,0,--(LEN(INDEX('Paste Export'!$A$2:$BZ$1001,$A387,col_s2))&gt;0))+IF(col_s3=0,0,--(LEN(INDEX('Paste Export'!$A$2:$BZ$1001,$A387,col_s3))&gt;0))+IF(col_s4=0,0,--(LEN(INDEX('Paste Export'!$A$2:$BZ$1001,$A387,col_s4))&gt;0))+IF(col_s5=0,0,--(LEN(INDEX('Paste Export'!$A$2:$BZ$1001,$A387,col_s5))&gt;0))+IF(col_s6=0,0,--(LEN(INDEX('Paste Export'!$A$2:$BZ$1001,$A387,col_s6))&gt;0))+IF(col_s7=0,0,--(LEN(INDEX('Paste Export'!$A$2:$BZ$1001,$A387,col_s7))&gt;0))+IF(col_s8=0,0,--(LEN(INDEX('Paste Export'!$A$2:$BZ$1001,$A387,col_s8))&gt;0)))</f>
        <v/>
      </c>
      <c r="I387" s="25" t="str">
        <f t="shared" si="45"/>
        <v/>
      </c>
      <c r="J387" s="25" t="str">
        <f t="shared" si="46"/>
        <v/>
      </c>
      <c r="K387" s="24" t="str">
        <f t="shared" si="47"/>
        <v/>
      </c>
      <c r="L387" s="24" t="str">
        <f t="shared" si="48"/>
        <v/>
      </c>
    </row>
    <row r="388" spans="1:12" x14ac:dyDescent="0.25">
      <c r="A388" s="24">
        <f t="shared" si="42"/>
        <v>387</v>
      </c>
      <c r="B388" s="25" t="str">
        <f>IF($A388&gt;nrows,"",IF(col_user=0,"",INDEX('Paste Export'!$A$2:$BZ$1001,$A388,col_user)))</f>
        <v/>
      </c>
      <c r="C388" s="24" t="str">
        <f>IF($A388&gt;nrows,"",IF(col_days=0,0,N(INDEX('Paste Export'!$A$2:$BZ$1001,$A388,col_days))))</f>
        <v/>
      </c>
      <c r="D388" s="24" t="str">
        <f>IF($A388&gt;nrows,"",IF(col_prompts=0,0,N(INDEX('Paste Export'!$A$2:$BZ$1001,$A388,col_prompts))))</f>
        <v/>
      </c>
      <c r="E388" s="24" t="str">
        <f>IF($A388&gt;nrows,"",IF(col_web=0,0,N(INDEX('Paste Export'!$A$2:$BZ$1001,$A388,col_web))))</f>
        <v/>
      </c>
      <c r="F388" s="26" t="str">
        <f t="shared" si="43"/>
        <v/>
      </c>
      <c r="G388" s="27" t="str">
        <f t="shared" si="44"/>
        <v/>
      </c>
      <c r="H388" s="24" t="str">
        <f>IF($A388&gt;nrows,"",IF(col_s1=0,0,--(LEN(INDEX('Paste Export'!$A$2:$BZ$1001,$A388,col_s1))&gt;0))+IF(col_s2=0,0,--(LEN(INDEX('Paste Export'!$A$2:$BZ$1001,$A388,col_s2))&gt;0))+IF(col_s3=0,0,--(LEN(INDEX('Paste Export'!$A$2:$BZ$1001,$A388,col_s3))&gt;0))+IF(col_s4=0,0,--(LEN(INDEX('Paste Export'!$A$2:$BZ$1001,$A388,col_s4))&gt;0))+IF(col_s5=0,0,--(LEN(INDEX('Paste Export'!$A$2:$BZ$1001,$A388,col_s5))&gt;0))+IF(col_s6=0,0,--(LEN(INDEX('Paste Export'!$A$2:$BZ$1001,$A388,col_s6))&gt;0))+IF(col_s7=0,0,--(LEN(INDEX('Paste Export'!$A$2:$BZ$1001,$A388,col_s7))&gt;0))+IF(col_s8=0,0,--(LEN(INDEX('Paste Export'!$A$2:$BZ$1001,$A388,col_s8))&gt;0)))</f>
        <v/>
      </c>
      <c r="I388" s="25" t="str">
        <f t="shared" si="45"/>
        <v/>
      </c>
      <c r="J388" s="25" t="str">
        <f t="shared" si="46"/>
        <v/>
      </c>
      <c r="K388" s="24" t="str">
        <f t="shared" si="47"/>
        <v/>
      </c>
      <c r="L388" s="24" t="str">
        <f t="shared" si="48"/>
        <v/>
      </c>
    </row>
    <row r="389" spans="1:12" x14ac:dyDescent="0.25">
      <c r="A389" s="24">
        <f t="shared" si="42"/>
        <v>388</v>
      </c>
      <c r="B389" s="25" t="str">
        <f>IF($A389&gt;nrows,"",IF(col_user=0,"",INDEX('Paste Export'!$A$2:$BZ$1001,$A389,col_user)))</f>
        <v/>
      </c>
      <c r="C389" s="24" t="str">
        <f>IF($A389&gt;nrows,"",IF(col_days=0,0,N(INDEX('Paste Export'!$A$2:$BZ$1001,$A389,col_days))))</f>
        <v/>
      </c>
      <c r="D389" s="24" t="str">
        <f>IF($A389&gt;nrows,"",IF(col_prompts=0,0,N(INDEX('Paste Export'!$A$2:$BZ$1001,$A389,col_prompts))))</f>
        <v/>
      </c>
      <c r="E389" s="24" t="str">
        <f>IF($A389&gt;nrows,"",IF(col_web=0,0,N(INDEX('Paste Export'!$A$2:$BZ$1001,$A389,col_web))))</f>
        <v/>
      </c>
      <c r="F389" s="26" t="str">
        <f t="shared" si="43"/>
        <v/>
      </c>
      <c r="G389" s="27" t="str">
        <f t="shared" si="44"/>
        <v/>
      </c>
      <c r="H389" s="24" t="str">
        <f>IF($A389&gt;nrows,"",IF(col_s1=0,0,--(LEN(INDEX('Paste Export'!$A$2:$BZ$1001,$A389,col_s1))&gt;0))+IF(col_s2=0,0,--(LEN(INDEX('Paste Export'!$A$2:$BZ$1001,$A389,col_s2))&gt;0))+IF(col_s3=0,0,--(LEN(INDEX('Paste Export'!$A$2:$BZ$1001,$A389,col_s3))&gt;0))+IF(col_s4=0,0,--(LEN(INDEX('Paste Export'!$A$2:$BZ$1001,$A389,col_s4))&gt;0))+IF(col_s5=0,0,--(LEN(INDEX('Paste Export'!$A$2:$BZ$1001,$A389,col_s5))&gt;0))+IF(col_s6=0,0,--(LEN(INDEX('Paste Export'!$A$2:$BZ$1001,$A389,col_s6))&gt;0))+IF(col_s7=0,0,--(LEN(INDEX('Paste Export'!$A$2:$BZ$1001,$A389,col_s7))&gt;0))+IF(col_s8=0,0,--(LEN(INDEX('Paste Export'!$A$2:$BZ$1001,$A389,col_s8))&gt;0)))</f>
        <v/>
      </c>
      <c r="I389" s="25" t="str">
        <f t="shared" si="45"/>
        <v/>
      </c>
      <c r="J389" s="25" t="str">
        <f t="shared" si="46"/>
        <v/>
      </c>
      <c r="K389" s="24" t="str">
        <f t="shared" si="47"/>
        <v/>
      </c>
      <c r="L389" s="24" t="str">
        <f t="shared" si="48"/>
        <v/>
      </c>
    </row>
    <row r="390" spans="1:12" x14ac:dyDescent="0.25">
      <c r="A390" s="24">
        <f t="shared" si="42"/>
        <v>389</v>
      </c>
      <c r="B390" s="25" t="str">
        <f>IF($A390&gt;nrows,"",IF(col_user=0,"",INDEX('Paste Export'!$A$2:$BZ$1001,$A390,col_user)))</f>
        <v/>
      </c>
      <c r="C390" s="24" t="str">
        <f>IF($A390&gt;nrows,"",IF(col_days=0,0,N(INDEX('Paste Export'!$A$2:$BZ$1001,$A390,col_days))))</f>
        <v/>
      </c>
      <c r="D390" s="24" t="str">
        <f>IF($A390&gt;nrows,"",IF(col_prompts=0,0,N(INDEX('Paste Export'!$A$2:$BZ$1001,$A390,col_prompts))))</f>
        <v/>
      </c>
      <c r="E390" s="24" t="str">
        <f>IF($A390&gt;nrows,"",IF(col_web=0,0,N(INDEX('Paste Export'!$A$2:$BZ$1001,$A390,col_web))))</f>
        <v/>
      </c>
      <c r="F390" s="26" t="str">
        <f t="shared" si="43"/>
        <v/>
      </c>
      <c r="G390" s="27" t="str">
        <f t="shared" si="44"/>
        <v/>
      </c>
      <c r="H390" s="24" t="str">
        <f>IF($A390&gt;nrows,"",IF(col_s1=0,0,--(LEN(INDEX('Paste Export'!$A$2:$BZ$1001,$A390,col_s1))&gt;0))+IF(col_s2=0,0,--(LEN(INDEX('Paste Export'!$A$2:$BZ$1001,$A390,col_s2))&gt;0))+IF(col_s3=0,0,--(LEN(INDEX('Paste Export'!$A$2:$BZ$1001,$A390,col_s3))&gt;0))+IF(col_s4=0,0,--(LEN(INDEX('Paste Export'!$A$2:$BZ$1001,$A390,col_s4))&gt;0))+IF(col_s5=0,0,--(LEN(INDEX('Paste Export'!$A$2:$BZ$1001,$A390,col_s5))&gt;0))+IF(col_s6=0,0,--(LEN(INDEX('Paste Export'!$A$2:$BZ$1001,$A390,col_s6))&gt;0))+IF(col_s7=0,0,--(LEN(INDEX('Paste Export'!$A$2:$BZ$1001,$A390,col_s7))&gt;0))+IF(col_s8=0,0,--(LEN(INDEX('Paste Export'!$A$2:$BZ$1001,$A390,col_s8))&gt;0)))</f>
        <v/>
      </c>
      <c r="I390" s="25" t="str">
        <f t="shared" si="45"/>
        <v/>
      </c>
      <c r="J390" s="25" t="str">
        <f t="shared" si="46"/>
        <v/>
      </c>
      <c r="K390" s="24" t="str">
        <f t="shared" si="47"/>
        <v/>
      </c>
      <c r="L390" s="24" t="str">
        <f t="shared" si="48"/>
        <v/>
      </c>
    </row>
    <row r="391" spans="1:12" x14ac:dyDescent="0.25">
      <c r="A391" s="24">
        <f t="shared" si="42"/>
        <v>390</v>
      </c>
      <c r="B391" s="25" t="str">
        <f>IF($A391&gt;nrows,"",IF(col_user=0,"",INDEX('Paste Export'!$A$2:$BZ$1001,$A391,col_user)))</f>
        <v/>
      </c>
      <c r="C391" s="24" t="str">
        <f>IF($A391&gt;nrows,"",IF(col_days=0,0,N(INDEX('Paste Export'!$A$2:$BZ$1001,$A391,col_days))))</f>
        <v/>
      </c>
      <c r="D391" s="24" t="str">
        <f>IF($A391&gt;nrows,"",IF(col_prompts=0,0,N(INDEX('Paste Export'!$A$2:$BZ$1001,$A391,col_prompts))))</f>
        <v/>
      </c>
      <c r="E391" s="24" t="str">
        <f>IF($A391&gt;nrows,"",IF(col_web=0,0,N(INDEX('Paste Export'!$A$2:$BZ$1001,$A391,col_web))))</f>
        <v/>
      </c>
      <c r="F391" s="26" t="str">
        <f t="shared" si="43"/>
        <v/>
      </c>
      <c r="G391" s="27" t="str">
        <f t="shared" si="44"/>
        <v/>
      </c>
      <c r="H391" s="24" t="str">
        <f>IF($A391&gt;nrows,"",IF(col_s1=0,0,--(LEN(INDEX('Paste Export'!$A$2:$BZ$1001,$A391,col_s1))&gt;0))+IF(col_s2=0,0,--(LEN(INDEX('Paste Export'!$A$2:$BZ$1001,$A391,col_s2))&gt;0))+IF(col_s3=0,0,--(LEN(INDEX('Paste Export'!$A$2:$BZ$1001,$A391,col_s3))&gt;0))+IF(col_s4=0,0,--(LEN(INDEX('Paste Export'!$A$2:$BZ$1001,$A391,col_s4))&gt;0))+IF(col_s5=0,0,--(LEN(INDEX('Paste Export'!$A$2:$BZ$1001,$A391,col_s5))&gt;0))+IF(col_s6=0,0,--(LEN(INDEX('Paste Export'!$A$2:$BZ$1001,$A391,col_s6))&gt;0))+IF(col_s7=0,0,--(LEN(INDEX('Paste Export'!$A$2:$BZ$1001,$A391,col_s7))&gt;0))+IF(col_s8=0,0,--(LEN(INDEX('Paste Export'!$A$2:$BZ$1001,$A391,col_s8))&gt;0)))</f>
        <v/>
      </c>
      <c r="I391" s="25" t="str">
        <f t="shared" si="45"/>
        <v/>
      </c>
      <c r="J391" s="25" t="str">
        <f t="shared" si="46"/>
        <v/>
      </c>
      <c r="K391" s="24" t="str">
        <f t="shared" si="47"/>
        <v/>
      </c>
      <c r="L391" s="24" t="str">
        <f t="shared" si="48"/>
        <v/>
      </c>
    </row>
    <row r="392" spans="1:12" x14ac:dyDescent="0.25">
      <c r="A392" s="24">
        <f t="shared" si="42"/>
        <v>391</v>
      </c>
      <c r="B392" s="25" t="str">
        <f>IF($A392&gt;nrows,"",IF(col_user=0,"",INDEX('Paste Export'!$A$2:$BZ$1001,$A392,col_user)))</f>
        <v/>
      </c>
      <c r="C392" s="24" t="str">
        <f>IF($A392&gt;nrows,"",IF(col_days=0,0,N(INDEX('Paste Export'!$A$2:$BZ$1001,$A392,col_days))))</f>
        <v/>
      </c>
      <c r="D392" s="24" t="str">
        <f>IF($A392&gt;nrows,"",IF(col_prompts=0,0,N(INDEX('Paste Export'!$A$2:$BZ$1001,$A392,col_prompts))))</f>
        <v/>
      </c>
      <c r="E392" s="24" t="str">
        <f>IF($A392&gt;nrows,"",IF(col_web=0,0,N(INDEX('Paste Export'!$A$2:$BZ$1001,$A392,col_web))))</f>
        <v/>
      </c>
      <c r="F392" s="26" t="str">
        <f t="shared" si="43"/>
        <v/>
      </c>
      <c r="G392" s="27" t="str">
        <f t="shared" si="44"/>
        <v/>
      </c>
      <c r="H392" s="24" t="str">
        <f>IF($A392&gt;nrows,"",IF(col_s1=0,0,--(LEN(INDEX('Paste Export'!$A$2:$BZ$1001,$A392,col_s1))&gt;0))+IF(col_s2=0,0,--(LEN(INDEX('Paste Export'!$A$2:$BZ$1001,$A392,col_s2))&gt;0))+IF(col_s3=0,0,--(LEN(INDEX('Paste Export'!$A$2:$BZ$1001,$A392,col_s3))&gt;0))+IF(col_s4=0,0,--(LEN(INDEX('Paste Export'!$A$2:$BZ$1001,$A392,col_s4))&gt;0))+IF(col_s5=0,0,--(LEN(INDEX('Paste Export'!$A$2:$BZ$1001,$A392,col_s5))&gt;0))+IF(col_s6=0,0,--(LEN(INDEX('Paste Export'!$A$2:$BZ$1001,$A392,col_s6))&gt;0))+IF(col_s7=0,0,--(LEN(INDEX('Paste Export'!$A$2:$BZ$1001,$A392,col_s7))&gt;0))+IF(col_s8=0,0,--(LEN(INDEX('Paste Export'!$A$2:$BZ$1001,$A392,col_s8))&gt;0)))</f>
        <v/>
      </c>
      <c r="I392" s="25" t="str">
        <f t="shared" si="45"/>
        <v/>
      </c>
      <c r="J392" s="25" t="str">
        <f t="shared" si="46"/>
        <v/>
      </c>
      <c r="K392" s="24" t="str">
        <f t="shared" si="47"/>
        <v/>
      </c>
      <c r="L392" s="24" t="str">
        <f t="shared" si="48"/>
        <v/>
      </c>
    </row>
    <row r="393" spans="1:12" x14ac:dyDescent="0.25">
      <c r="A393" s="24">
        <f t="shared" si="42"/>
        <v>392</v>
      </c>
      <c r="B393" s="25" t="str">
        <f>IF($A393&gt;nrows,"",IF(col_user=0,"",INDEX('Paste Export'!$A$2:$BZ$1001,$A393,col_user)))</f>
        <v/>
      </c>
      <c r="C393" s="24" t="str">
        <f>IF($A393&gt;nrows,"",IF(col_days=0,0,N(INDEX('Paste Export'!$A$2:$BZ$1001,$A393,col_days))))</f>
        <v/>
      </c>
      <c r="D393" s="24" t="str">
        <f>IF($A393&gt;nrows,"",IF(col_prompts=0,0,N(INDEX('Paste Export'!$A$2:$BZ$1001,$A393,col_prompts))))</f>
        <v/>
      </c>
      <c r="E393" s="24" t="str">
        <f>IF($A393&gt;nrows,"",IF(col_web=0,0,N(INDEX('Paste Export'!$A$2:$BZ$1001,$A393,col_web))))</f>
        <v/>
      </c>
      <c r="F393" s="26" t="str">
        <f t="shared" si="43"/>
        <v/>
      </c>
      <c r="G393" s="27" t="str">
        <f t="shared" si="44"/>
        <v/>
      </c>
      <c r="H393" s="24" t="str">
        <f>IF($A393&gt;nrows,"",IF(col_s1=0,0,--(LEN(INDEX('Paste Export'!$A$2:$BZ$1001,$A393,col_s1))&gt;0))+IF(col_s2=0,0,--(LEN(INDEX('Paste Export'!$A$2:$BZ$1001,$A393,col_s2))&gt;0))+IF(col_s3=0,0,--(LEN(INDEX('Paste Export'!$A$2:$BZ$1001,$A393,col_s3))&gt;0))+IF(col_s4=0,0,--(LEN(INDEX('Paste Export'!$A$2:$BZ$1001,$A393,col_s4))&gt;0))+IF(col_s5=0,0,--(LEN(INDEX('Paste Export'!$A$2:$BZ$1001,$A393,col_s5))&gt;0))+IF(col_s6=0,0,--(LEN(INDEX('Paste Export'!$A$2:$BZ$1001,$A393,col_s6))&gt;0))+IF(col_s7=0,0,--(LEN(INDEX('Paste Export'!$A$2:$BZ$1001,$A393,col_s7))&gt;0))+IF(col_s8=0,0,--(LEN(INDEX('Paste Export'!$A$2:$BZ$1001,$A393,col_s8))&gt;0)))</f>
        <v/>
      </c>
      <c r="I393" s="25" t="str">
        <f t="shared" si="45"/>
        <v/>
      </c>
      <c r="J393" s="25" t="str">
        <f t="shared" si="46"/>
        <v/>
      </c>
      <c r="K393" s="24" t="str">
        <f t="shared" si="47"/>
        <v/>
      </c>
      <c r="L393" s="24" t="str">
        <f t="shared" si="48"/>
        <v/>
      </c>
    </row>
    <row r="394" spans="1:12" x14ac:dyDescent="0.25">
      <c r="A394" s="24">
        <f t="shared" si="42"/>
        <v>393</v>
      </c>
      <c r="B394" s="25" t="str">
        <f>IF($A394&gt;nrows,"",IF(col_user=0,"",INDEX('Paste Export'!$A$2:$BZ$1001,$A394,col_user)))</f>
        <v/>
      </c>
      <c r="C394" s="24" t="str">
        <f>IF($A394&gt;nrows,"",IF(col_days=0,0,N(INDEX('Paste Export'!$A$2:$BZ$1001,$A394,col_days))))</f>
        <v/>
      </c>
      <c r="D394" s="24" t="str">
        <f>IF($A394&gt;nrows,"",IF(col_prompts=0,0,N(INDEX('Paste Export'!$A$2:$BZ$1001,$A394,col_prompts))))</f>
        <v/>
      </c>
      <c r="E394" s="24" t="str">
        <f>IF($A394&gt;nrows,"",IF(col_web=0,0,N(INDEX('Paste Export'!$A$2:$BZ$1001,$A394,col_web))))</f>
        <v/>
      </c>
      <c r="F394" s="26" t="str">
        <f t="shared" si="43"/>
        <v/>
      </c>
      <c r="G394" s="27" t="str">
        <f t="shared" si="44"/>
        <v/>
      </c>
      <c r="H394" s="24" t="str">
        <f>IF($A394&gt;nrows,"",IF(col_s1=0,0,--(LEN(INDEX('Paste Export'!$A$2:$BZ$1001,$A394,col_s1))&gt;0))+IF(col_s2=0,0,--(LEN(INDEX('Paste Export'!$A$2:$BZ$1001,$A394,col_s2))&gt;0))+IF(col_s3=0,0,--(LEN(INDEX('Paste Export'!$A$2:$BZ$1001,$A394,col_s3))&gt;0))+IF(col_s4=0,0,--(LEN(INDEX('Paste Export'!$A$2:$BZ$1001,$A394,col_s4))&gt;0))+IF(col_s5=0,0,--(LEN(INDEX('Paste Export'!$A$2:$BZ$1001,$A394,col_s5))&gt;0))+IF(col_s6=0,0,--(LEN(INDEX('Paste Export'!$A$2:$BZ$1001,$A394,col_s6))&gt;0))+IF(col_s7=0,0,--(LEN(INDEX('Paste Export'!$A$2:$BZ$1001,$A394,col_s7))&gt;0))+IF(col_s8=0,0,--(LEN(INDEX('Paste Export'!$A$2:$BZ$1001,$A394,col_s8))&gt;0)))</f>
        <v/>
      </c>
      <c r="I394" s="25" t="str">
        <f t="shared" si="45"/>
        <v/>
      </c>
      <c r="J394" s="25" t="str">
        <f t="shared" si="46"/>
        <v/>
      </c>
      <c r="K394" s="24" t="str">
        <f t="shared" si="47"/>
        <v/>
      </c>
      <c r="L394" s="24" t="str">
        <f t="shared" si="48"/>
        <v/>
      </c>
    </row>
    <row r="395" spans="1:12" x14ac:dyDescent="0.25">
      <c r="A395" s="24">
        <f t="shared" si="42"/>
        <v>394</v>
      </c>
      <c r="B395" s="25" t="str">
        <f>IF($A395&gt;nrows,"",IF(col_user=0,"",INDEX('Paste Export'!$A$2:$BZ$1001,$A395,col_user)))</f>
        <v/>
      </c>
      <c r="C395" s="24" t="str">
        <f>IF($A395&gt;nrows,"",IF(col_days=0,0,N(INDEX('Paste Export'!$A$2:$BZ$1001,$A395,col_days))))</f>
        <v/>
      </c>
      <c r="D395" s="24" t="str">
        <f>IF($A395&gt;nrows,"",IF(col_prompts=0,0,N(INDEX('Paste Export'!$A$2:$BZ$1001,$A395,col_prompts))))</f>
        <v/>
      </c>
      <c r="E395" s="24" t="str">
        <f>IF($A395&gt;nrows,"",IF(col_web=0,0,N(INDEX('Paste Export'!$A$2:$BZ$1001,$A395,col_web))))</f>
        <v/>
      </c>
      <c r="F395" s="26" t="str">
        <f t="shared" si="43"/>
        <v/>
      </c>
      <c r="G395" s="27" t="str">
        <f t="shared" si="44"/>
        <v/>
      </c>
      <c r="H395" s="24" t="str">
        <f>IF($A395&gt;nrows,"",IF(col_s1=0,0,--(LEN(INDEX('Paste Export'!$A$2:$BZ$1001,$A395,col_s1))&gt;0))+IF(col_s2=0,0,--(LEN(INDEX('Paste Export'!$A$2:$BZ$1001,$A395,col_s2))&gt;0))+IF(col_s3=0,0,--(LEN(INDEX('Paste Export'!$A$2:$BZ$1001,$A395,col_s3))&gt;0))+IF(col_s4=0,0,--(LEN(INDEX('Paste Export'!$A$2:$BZ$1001,$A395,col_s4))&gt;0))+IF(col_s5=0,0,--(LEN(INDEX('Paste Export'!$A$2:$BZ$1001,$A395,col_s5))&gt;0))+IF(col_s6=0,0,--(LEN(INDEX('Paste Export'!$A$2:$BZ$1001,$A395,col_s6))&gt;0))+IF(col_s7=0,0,--(LEN(INDEX('Paste Export'!$A$2:$BZ$1001,$A395,col_s7))&gt;0))+IF(col_s8=0,0,--(LEN(INDEX('Paste Export'!$A$2:$BZ$1001,$A395,col_s8))&gt;0)))</f>
        <v/>
      </c>
      <c r="I395" s="25" t="str">
        <f t="shared" si="45"/>
        <v/>
      </c>
      <c r="J395" s="25" t="str">
        <f t="shared" si="46"/>
        <v/>
      </c>
      <c r="K395" s="24" t="str">
        <f t="shared" si="47"/>
        <v/>
      </c>
      <c r="L395" s="24" t="str">
        <f t="shared" si="48"/>
        <v/>
      </c>
    </row>
    <row r="396" spans="1:12" x14ac:dyDescent="0.25">
      <c r="A396" s="24">
        <f t="shared" si="42"/>
        <v>395</v>
      </c>
      <c r="B396" s="25" t="str">
        <f>IF($A396&gt;nrows,"",IF(col_user=0,"",INDEX('Paste Export'!$A$2:$BZ$1001,$A396,col_user)))</f>
        <v/>
      </c>
      <c r="C396" s="24" t="str">
        <f>IF($A396&gt;nrows,"",IF(col_days=0,0,N(INDEX('Paste Export'!$A$2:$BZ$1001,$A396,col_days))))</f>
        <v/>
      </c>
      <c r="D396" s="24" t="str">
        <f>IF($A396&gt;nrows,"",IF(col_prompts=0,0,N(INDEX('Paste Export'!$A$2:$BZ$1001,$A396,col_prompts))))</f>
        <v/>
      </c>
      <c r="E396" s="24" t="str">
        <f>IF($A396&gt;nrows,"",IF(col_web=0,0,N(INDEX('Paste Export'!$A$2:$BZ$1001,$A396,col_web))))</f>
        <v/>
      </c>
      <c r="F396" s="26" t="str">
        <f t="shared" si="43"/>
        <v/>
      </c>
      <c r="G396" s="27" t="str">
        <f t="shared" si="44"/>
        <v/>
      </c>
      <c r="H396" s="24" t="str">
        <f>IF($A396&gt;nrows,"",IF(col_s1=0,0,--(LEN(INDEX('Paste Export'!$A$2:$BZ$1001,$A396,col_s1))&gt;0))+IF(col_s2=0,0,--(LEN(INDEX('Paste Export'!$A$2:$BZ$1001,$A396,col_s2))&gt;0))+IF(col_s3=0,0,--(LEN(INDEX('Paste Export'!$A$2:$BZ$1001,$A396,col_s3))&gt;0))+IF(col_s4=0,0,--(LEN(INDEX('Paste Export'!$A$2:$BZ$1001,$A396,col_s4))&gt;0))+IF(col_s5=0,0,--(LEN(INDEX('Paste Export'!$A$2:$BZ$1001,$A396,col_s5))&gt;0))+IF(col_s6=0,0,--(LEN(INDEX('Paste Export'!$A$2:$BZ$1001,$A396,col_s6))&gt;0))+IF(col_s7=0,0,--(LEN(INDEX('Paste Export'!$A$2:$BZ$1001,$A396,col_s7))&gt;0))+IF(col_s8=0,0,--(LEN(INDEX('Paste Export'!$A$2:$BZ$1001,$A396,col_s8))&gt;0)))</f>
        <v/>
      </c>
      <c r="I396" s="25" t="str">
        <f t="shared" si="45"/>
        <v/>
      </c>
      <c r="J396" s="25" t="str">
        <f t="shared" si="46"/>
        <v/>
      </c>
      <c r="K396" s="24" t="str">
        <f t="shared" si="47"/>
        <v/>
      </c>
      <c r="L396" s="24" t="str">
        <f t="shared" si="48"/>
        <v/>
      </c>
    </row>
    <row r="397" spans="1:12" x14ac:dyDescent="0.25">
      <c r="A397" s="24">
        <f t="shared" si="42"/>
        <v>396</v>
      </c>
      <c r="B397" s="25" t="str">
        <f>IF($A397&gt;nrows,"",IF(col_user=0,"",INDEX('Paste Export'!$A$2:$BZ$1001,$A397,col_user)))</f>
        <v/>
      </c>
      <c r="C397" s="24" t="str">
        <f>IF($A397&gt;nrows,"",IF(col_days=0,0,N(INDEX('Paste Export'!$A$2:$BZ$1001,$A397,col_days))))</f>
        <v/>
      </c>
      <c r="D397" s="24" t="str">
        <f>IF($A397&gt;nrows,"",IF(col_prompts=0,0,N(INDEX('Paste Export'!$A$2:$BZ$1001,$A397,col_prompts))))</f>
        <v/>
      </c>
      <c r="E397" s="24" t="str">
        <f>IF($A397&gt;nrows,"",IF(col_web=0,0,N(INDEX('Paste Export'!$A$2:$BZ$1001,$A397,col_web))))</f>
        <v/>
      </c>
      <c r="F397" s="26" t="str">
        <f t="shared" si="43"/>
        <v/>
      </c>
      <c r="G397" s="27" t="str">
        <f t="shared" si="44"/>
        <v/>
      </c>
      <c r="H397" s="24" t="str">
        <f>IF($A397&gt;nrows,"",IF(col_s1=0,0,--(LEN(INDEX('Paste Export'!$A$2:$BZ$1001,$A397,col_s1))&gt;0))+IF(col_s2=0,0,--(LEN(INDEX('Paste Export'!$A$2:$BZ$1001,$A397,col_s2))&gt;0))+IF(col_s3=0,0,--(LEN(INDEX('Paste Export'!$A$2:$BZ$1001,$A397,col_s3))&gt;0))+IF(col_s4=0,0,--(LEN(INDEX('Paste Export'!$A$2:$BZ$1001,$A397,col_s4))&gt;0))+IF(col_s5=0,0,--(LEN(INDEX('Paste Export'!$A$2:$BZ$1001,$A397,col_s5))&gt;0))+IF(col_s6=0,0,--(LEN(INDEX('Paste Export'!$A$2:$BZ$1001,$A397,col_s6))&gt;0))+IF(col_s7=0,0,--(LEN(INDEX('Paste Export'!$A$2:$BZ$1001,$A397,col_s7))&gt;0))+IF(col_s8=0,0,--(LEN(INDEX('Paste Export'!$A$2:$BZ$1001,$A397,col_s8))&gt;0)))</f>
        <v/>
      </c>
      <c r="I397" s="25" t="str">
        <f t="shared" si="45"/>
        <v/>
      </c>
      <c r="J397" s="25" t="str">
        <f t="shared" si="46"/>
        <v/>
      </c>
      <c r="K397" s="24" t="str">
        <f t="shared" si="47"/>
        <v/>
      </c>
      <c r="L397" s="24" t="str">
        <f t="shared" si="48"/>
        <v/>
      </c>
    </row>
    <row r="398" spans="1:12" x14ac:dyDescent="0.25">
      <c r="A398" s="24">
        <f t="shared" si="42"/>
        <v>397</v>
      </c>
      <c r="B398" s="25" t="str">
        <f>IF($A398&gt;nrows,"",IF(col_user=0,"",INDEX('Paste Export'!$A$2:$BZ$1001,$A398,col_user)))</f>
        <v/>
      </c>
      <c r="C398" s="24" t="str">
        <f>IF($A398&gt;nrows,"",IF(col_days=0,0,N(INDEX('Paste Export'!$A$2:$BZ$1001,$A398,col_days))))</f>
        <v/>
      </c>
      <c r="D398" s="24" t="str">
        <f>IF($A398&gt;nrows,"",IF(col_prompts=0,0,N(INDEX('Paste Export'!$A$2:$BZ$1001,$A398,col_prompts))))</f>
        <v/>
      </c>
      <c r="E398" s="24" t="str">
        <f>IF($A398&gt;nrows,"",IF(col_web=0,0,N(INDEX('Paste Export'!$A$2:$BZ$1001,$A398,col_web))))</f>
        <v/>
      </c>
      <c r="F398" s="26" t="str">
        <f t="shared" si="43"/>
        <v/>
      </c>
      <c r="G398" s="27" t="str">
        <f t="shared" si="44"/>
        <v/>
      </c>
      <c r="H398" s="24" t="str">
        <f>IF($A398&gt;nrows,"",IF(col_s1=0,0,--(LEN(INDEX('Paste Export'!$A$2:$BZ$1001,$A398,col_s1))&gt;0))+IF(col_s2=0,0,--(LEN(INDEX('Paste Export'!$A$2:$BZ$1001,$A398,col_s2))&gt;0))+IF(col_s3=0,0,--(LEN(INDEX('Paste Export'!$A$2:$BZ$1001,$A398,col_s3))&gt;0))+IF(col_s4=0,0,--(LEN(INDEX('Paste Export'!$A$2:$BZ$1001,$A398,col_s4))&gt;0))+IF(col_s5=0,0,--(LEN(INDEX('Paste Export'!$A$2:$BZ$1001,$A398,col_s5))&gt;0))+IF(col_s6=0,0,--(LEN(INDEX('Paste Export'!$A$2:$BZ$1001,$A398,col_s6))&gt;0))+IF(col_s7=0,0,--(LEN(INDEX('Paste Export'!$A$2:$BZ$1001,$A398,col_s7))&gt;0))+IF(col_s8=0,0,--(LEN(INDEX('Paste Export'!$A$2:$BZ$1001,$A398,col_s8))&gt;0)))</f>
        <v/>
      </c>
      <c r="I398" s="25" t="str">
        <f t="shared" si="45"/>
        <v/>
      </c>
      <c r="J398" s="25" t="str">
        <f t="shared" si="46"/>
        <v/>
      </c>
      <c r="K398" s="24" t="str">
        <f t="shared" si="47"/>
        <v/>
      </c>
      <c r="L398" s="24" t="str">
        <f t="shared" si="48"/>
        <v/>
      </c>
    </row>
    <row r="399" spans="1:12" x14ac:dyDescent="0.25">
      <c r="A399" s="24">
        <f t="shared" si="42"/>
        <v>398</v>
      </c>
      <c r="B399" s="25" t="str">
        <f>IF($A399&gt;nrows,"",IF(col_user=0,"",INDEX('Paste Export'!$A$2:$BZ$1001,$A399,col_user)))</f>
        <v/>
      </c>
      <c r="C399" s="24" t="str">
        <f>IF($A399&gt;nrows,"",IF(col_days=0,0,N(INDEX('Paste Export'!$A$2:$BZ$1001,$A399,col_days))))</f>
        <v/>
      </c>
      <c r="D399" s="24" t="str">
        <f>IF($A399&gt;nrows,"",IF(col_prompts=0,0,N(INDEX('Paste Export'!$A$2:$BZ$1001,$A399,col_prompts))))</f>
        <v/>
      </c>
      <c r="E399" s="24" t="str">
        <f>IF($A399&gt;nrows,"",IF(col_web=0,0,N(INDEX('Paste Export'!$A$2:$BZ$1001,$A399,col_web))))</f>
        <v/>
      </c>
      <c r="F399" s="26" t="str">
        <f t="shared" si="43"/>
        <v/>
      </c>
      <c r="G399" s="27" t="str">
        <f t="shared" si="44"/>
        <v/>
      </c>
      <c r="H399" s="24" t="str">
        <f>IF($A399&gt;nrows,"",IF(col_s1=0,0,--(LEN(INDEX('Paste Export'!$A$2:$BZ$1001,$A399,col_s1))&gt;0))+IF(col_s2=0,0,--(LEN(INDEX('Paste Export'!$A$2:$BZ$1001,$A399,col_s2))&gt;0))+IF(col_s3=0,0,--(LEN(INDEX('Paste Export'!$A$2:$BZ$1001,$A399,col_s3))&gt;0))+IF(col_s4=0,0,--(LEN(INDEX('Paste Export'!$A$2:$BZ$1001,$A399,col_s4))&gt;0))+IF(col_s5=0,0,--(LEN(INDEX('Paste Export'!$A$2:$BZ$1001,$A399,col_s5))&gt;0))+IF(col_s6=0,0,--(LEN(INDEX('Paste Export'!$A$2:$BZ$1001,$A399,col_s6))&gt;0))+IF(col_s7=0,0,--(LEN(INDEX('Paste Export'!$A$2:$BZ$1001,$A399,col_s7))&gt;0))+IF(col_s8=0,0,--(LEN(INDEX('Paste Export'!$A$2:$BZ$1001,$A399,col_s8))&gt;0)))</f>
        <v/>
      </c>
      <c r="I399" s="25" t="str">
        <f t="shared" si="45"/>
        <v/>
      </c>
      <c r="J399" s="25" t="str">
        <f t="shared" si="46"/>
        <v/>
      </c>
      <c r="K399" s="24" t="str">
        <f t="shared" si="47"/>
        <v/>
      </c>
      <c r="L399" s="24" t="str">
        <f t="shared" si="48"/>
        <v/>
      </c>
    </row>
    <row r="400" spans="1:12" x14ac:dyDescent="0.25">
      <c r="A400" s="24">
        <f t="shared" si="42"/>
        <v>399</v>
      </c>
      <c r="B400" s="25" t="str">
        <f>IF($A400&gt;nrows,"",IF(col_user=0,"",INDEX('Paste Export'!$A$2:$BZ$1001,$A400,col_user)))</f>
        <v/>
      </c>
      <c r="C400" s="24" t="str">
        <f>IF($A400&gt;nrows,"",IF(col_days=0,0,N(INDEX('Paste Export'!$A$2:$BZ$1001,$A400,col_days))))</f>
        <v/>
      </c>
      <c r="D400" s="24" t="str">
        <f>IF($A400&gt;nrows,"",IF(col_prompts=0,0,N(INDEX('Paste Export'!$A$2:$BZ$1001,$A400,col_prompts))))</f>
        <v/>
      </c>
      <c r="E400" s="24" t="str">
        <f>IF($A400&gt;nrows,"",IF(col_web=0,0,N(INDEX('Paste Export'!$A$2:$BZ$1001,$A400,col_web))))</f>
        <v/>
      </c>
      <c r="F400" s="26" t="str">
        <f t="shared" si="43"/>
        <v/>
      </c>
      <c r="G400" s="27" t="str">
        <f t="shared" si="44"/>
        <v/>
      </c>
      <c r="H400" s="24" t="str">
        <f>IF($A400&gt;nrows,"",IF(col_s1=0,0,--(LEN(INDEX('Paste Export'!$A$2:$BZ$1001,$A400,col_s1))&gt;0))+IF(col_s2=0,0,--(LEN(INDEX('Paste Export'!$A$2:$BZ$1001,$A400,col_s2))&gt;0))+IF(col_s3=0,0,--(LEN(INDEX('Paste Export'!$A$2:$BZ$1001,$A400,col_s3))&gt;0))+IF(col_s4=0,0,--(LEN(INDEX('Paste Export'!$A$2:$BZ$1001,$A400,col_s4))&gt;0))+IF(col_s5=0,0,--(LEN(INDEX('Paste Export'!$A$2:$BZ$1001,$A400,col_s5))&gt;0))+IF(col_s6=0,0,--(LEN(INDEX('Paste Export'!$A$2:$BZ$1001,$A400,col_s6))&gt;0))+IF(col_s7=0,0,--(LEN(INDEX('Paste Export'!$A$2:$BZ$1001,$A400,col_s7))&gt;0))+IF(col_s8=0,0,--(LEN(INDEX('Paste Export'!$A$2:$BZ$1001,$A400,col_s8))&gt;0)))</f>
        <v/>
      </c>
      <c r="I400" s="25" t="str">
        <f t="shared" si="45"/>
        <v/>
      </c>
      <c r="J400" s="25" t="str">
        <f t="shared" si="46"/>
        <v/>
      </c>
      <c r="K400" s="24" t="str">
        <f t="shared" si="47"/>
        <v/>
      </c>
      <c r="L400" s="24" t="str">
        <f t="shared" si="48"/>
        <v/>
      </c>
    </row>
    <row r="401" spans="1:12" x14ac:dyDescent="0.25">
      <c r="A401" s="24">
        <f t="shared" si="42"/>
        <v>400</v>
      </c>
      <c r="B401" s="25" t="str">
        <f>IF($A401&gt;nrows,"",IF(col_user=0,"",INDEX('Paste Export'!$A$2:$BZ$1001,$A401,col_user)))</f>
        <v/>
      </c>
      <c r="C401" s="24" t="str">
        <f>IF($A401&gt;nrows,"",IF(col_days=0,0,N(INDEX('Paste Export'!$A$2:$BZ$1001,$A401,col_days))))</f>
        <v/>
      </c>
      <c r="D401" s="24" t="str">
        <f>IF($A401&gt;nrows,"",IF(col_prompts=0,0,N(INDEX('Paste Export'!$A$2:$BZ$1001,$A401,col_prompts))))</f>
        <v/>
      </c>
      <c r="E401" s="24" t="str">
        <f>IF($A401&gt;nrows,"",IF(col_web=0,0,N(INDEX('Paste Export'!$A$2:$BZ$1001,$A401,col_web))))</f>
        <v/>
      </c>
      <c r="F401" s="26" t="str">
        <f t="shared" si="43"/>
        <v/>
      </c>
      <c r="G401" s="27" t="str">
        <f t="shared" si="44"/>
        <v/>
      </c>
      <c r="H401" s="24" t="str">
        <f>IF($A401&gt;nrows,"",IF(col_s1=0,0,--(LEN(INDEX('Paste Export'!$A$2:$BZ$1001,$A401,col_s1))&gt;0))+IF(col_s2=0,0,--(LEN(INDEX('Paste Export'!$A$2:$BZ$1001,$A401,col_s2))&gt;0))+IF(col_s3=0,0,--(LEN(INDEX('Paste Export'!$A$2:$BZ$1001,$A401,col_s3))&gt;0))+IF(col_s4=0,0,--(LEN(INDEX('Paste Export'!$A$2:$BZ$1001,$A401,col_s4))&gt;0))+IF(col_s5=0,0,--(LEN(INDEX('Paste Export'!$A$2:$BZ$1001,$A401,col_s5))&gt;0))+IF(col_s6=0,0,--(LEN(INDEX('Paste Export'!$A$2:$BZ$1001,$A401,col_s6))&gt;0))+IF(col_s7=0,0,--(LEN(INDEX('Paste Export'!$A$2:$BZ$1001,$A401,col_s7))&gt;0))+IF(col_s8=0,0,--(LEN(INDEX('Paste Export'!$A$2:$BZ$1001,$A401,col_s8))&gt;0)))</f>
        <v/>
      </c>
      <c r="I401" s="25" t="str">
        <f t="shared" si="45"/>
        <v/>
      </c>
      <c r="J401" s="25" t="str">
        <f t="shared" si="46"/>
        <v/>
      </c>
      <c r="K401" s="24" t="str">
        <f t="shared" si="47"/>
        <v/>
      </c>
      <c r="L401" s="24" t="str">
        <f t="shared" si="48"/>
        <v/>
      </c>
    </row>
    <row r="402" spans="1:12" x14ac:dyDescent="0.25">
      <c r="A402" s="24">
        <f t="shared" si="42"/>
        <v>401</v>
      </c>
      <c r="B402" s="25" t="str">
        <f>IF($A402&gt;nrows,"",IF(col_user=0,"",INDEX('Paste Export'!$A$2:$BZ$1001,$A402,col_user)))</f>
        <v/>
      </c>
      <c r="C402" s="24" t="str">
        <f>IF($A402&gt;nrows,"",IF(col_days=0,0,N(INDEX('Paste Export'!$A$2:$BZ$1001,$A402,col_days))))</f>
        <v/>
      </c>
      <c r="D402" s="24" t="str">
        <f>IF($A402&gt;nrows,"",IF(col_prompts=0,0,N(INDEX('Paste Export'!$A$2:$BZ$1001,$A402,col_prompts))))</f>
        <v/>
      </c>
      <c r="E402" s="24" t="str">
        <f>IF($A402&gt;nrows,"",IF(col_web=0,0,N(INDEX('Paste Export'!$A$2:$BZ$1001,$A402,col_web))))</f>
        <v/>
      </c>
      <c r="F402" s="26" t="str">
        <f t="shared" si="43"/>
        <v/>
      </c>
      <c r="G402" s="27" t="str">
        <f t="shared" si="44"/>
        <v/>
      </c>
      <c r="H402" s="24" t="str">
        <f>IF($A402&gt;nrows,"",IF(col_s1=0,0,--(LEN(INDEX('Paste Export'!$A$2:$BZ$1001,$A402,col_s1))&gt;0))+IF(col_s2=0,0,--(LEN(INDEX('Paste Export'!$A$2:$BZ$1001,$A402,col_s2))&gt;0))+IF(col_s3=0,0,--(LEN(INDEX('Paste Export'!$A$2:$BZ$1001,$A402,col_s3))&gt;0))+IF(col_s4=0,0,--(LEN(INDEX('Paste Export'!$A$2:$BZ$1001,$A402,col_s4))&gt;0))+IF(col_s5=0,0,--(LEN(INDEX('Paste Export'!$A$2:$BZ$1001,$A402,col_s5))&gt;0))+IF(col_s6=0,0,--(LEN(INDEX('Paste Export'!$A$2:$BZ$1001,$A402,col_s6))&gt;0))+IF(col_s7=0,0,--(LEN(INDEX('Paste Export'!$A$2:$BZ$1001,$A402,col_s7))&gt;0))+IF(col_s8=0,0,--(LEN(INDEX('Paste Export'!$A$2:$BZ$1001,$A402,col_s8))&gt;0)))</f>
        <v/>
      </c>
      <c r="I402" s="25" t="str">
        <f t="shared" si="45"/>
        <v/>
      </c>
      <c r="J402" s="25" t="str">
        <f t="shared" si="46"/>
        <v/>
      </c>
      <c r="K402" s="24" t="str">
        <f t="shared" si="47"/>
        <v/>
      </c>
      <c r="L402" s="24" t="str">
        <f t="shared" si="48"/>
        <v/>
      </c>
    </row>
    <row r="403" spans="1:12" x14ac:dyDescent="0.25">
      <c r="A403" s="24">
        <f t="shared" si="42"/>
        <v>402</v>
      </c>
      <c r="B403" s="25" t="str">
        <f>IF($A403&gt;nrows,"",IF(col_user=0,"",INDEX('Paste Export'!$A$2:$BZ$1001,$A403,col_user)))</f>
        <v/>
      </c>
      <c r="C403" s="24" t="str">
        <f>IF($A403&gt;nrows,"",IF(col_days=0,0,N(INDEX('Paste Export'!$A$2:$BZ$1001,$A403,col_days))))</f>
        <v/>
      </c>
      <c r="D403" s="24" t="str">
        <f>IF($A403&gt;nrows,"",IF(col_prompts=0,0,N(INDEX('Paste Export'!$A$2:$BZ$1001,$A403,col_prompts))))</f>
        <v/>
      </c>
      <c r="E403" s="24" t="str">
        <f>IF($A403&gt;nrows,"",IF(col_web=0,0,N(INDEX('Paste Export'!$A$2:$BZ$1001,$A403,col_web))))</f>
        <v/>
      </c>
      <c r="F403" s="26" t="str">
        <f t="shared" si="43"/>
        <v/>
      </c>
      <c r="G403" s="27" t="str">
        <f t="shared" si="44"/>
        <v/>
      </c>
      <c r="H403" s="24" t="str">
        <f>IF($A403&gt;nrows,"",IF(col_s1=0,0,--(LEN(INDEX('Paste Export'!$A$2:$BZ$1001,$A403,col_s1))&gt;0))+IF(col_s2=0,0,--(LEN(INDEX('Paste Export'!$A$2:$BZ$1001,$A403,col_s2))&gt;0))+IF(col_s3=0,0,--(LEN(INDEX('Paste Export'!$A$2:$BZ$1001,$A403,col_s3))&gt;0))+IF(col_s4=0,0,--(LEN(INDEX('Paste Export'!$A$2:$BZ$1001,$A403,col_s4))&gt;0))+IF(col_s5=0,0,--(LEN(INDEX('Paste Export'!$A$2:$BZ$1001,$A403,col_s5))&gt;0))+IF(col_s6=0,0,--(LEN(INDEX('Paste Export'!$A$2:$BZ$1001,$A403,col_s6))&gt;0))+IF(col_s7=0,0,--(LEN(INDEX('Paste Export'!$A$2:$BZ$1001,$A403,col_s7))&gt;0))+IF(col_s8=0,0,--(LEN(INDEX('Paste Export'!$A$2:$BZ$1001,$A403,col_s8))&gt;0)))</f>
        <v/>
      </c>
      <c r="I403" s="25" t="str">
        <f t="shared" si="45"/>
        <v/>
      </c>
      <c r="J403" s="25" t="str">
        <f t="shared" si="46"/>
        <v/>
      </c>
      <c r="K403" s="24" t="str">
        <f t="shared" si="47"/>
        <v/>
      </c>
      <c r="L403" s="24" t="str">
        <f t="shared" si="48"/>
        <v/>
      </c>
    </row>
    <row r="404" spans="1:12" x14ac:dyDescent="0.25">
      <c r="A404" s="24">
        <f t="shared" si="42"/>
        <v>403</v>
      </c>
      <c r="B404" s="25" t="str">
        <f>IF($A404&gt;nrows,"",IF(col_user=0,"",INDEX('Paste Export'!$A$2:$BZ$1001,$A404,col_user)))</f>
        <v/>
      </c>
      <c r="C404" s="24" t="str">
        <f>IF($A404&gt;nrows,"",IF(col_days=0,0,N(INDEX('Paste Export'!$A$2:$BZ$1001,$A404,col_days))))</f>
        <v/>
      </c>
      <c r="D404" s="24" t="str">
        <f>IF($A404&gt;nrows,"",IF(col_prompts=0,0,N(INDEX('Paste Export'!$A$2:$BZ$1001,$A404,col_prompts))))</f>
        <v/>
      </c>
      <c r="E404" s="24" t="str">
        <f>IF($A404&gt;nrows,"",IF(col_web=0,0,N(INDEX('Paste Export'!$A$2:$BZ$1001,$A404,col_web))))</f>
        <v/>
      </c>
      <c r="F404" s="26" t="str">
        <f t="shared" si="43"/>
        <v/>
      </c>
      <c r="G404" s="27" t="str">
        <f t="shared" si="44"/>
        <v/>
      </c>
      <c r="H404" s="24" t="str">
        <f>IF($A404&gt;nrows,"",IF(col_s1=0,0,--(LEN(INDEX('Paste Export'!$A$2:$BZ$1001,$A404,col_s1))&gt;0))+IF(col_s2=0,0,--(LEN(INDEX('Paste Export'!$A$2:$BZ$1001,$A404,col_s2))&gt;0))+IF(col_s3=0,0,--(LEN(INDEX('Paste Export'!$A$2:$BZ$1001,$A404,col_s3))&gt;0))+IF(col_s4=0,0,--(LEN(INDEX('Paste Export'!$A$2:$BZ$1001,$A404,col_s4))&gt;0))+IF(col_s5=0,0,--(LEN(INDEX('Paste Export'!$A$2:$BZ$1001,$A404,col_s5))&gt;0))+IF(col_s6=0,0,--(LEN(INDEX('Paste Export'!$A$2:$BZ$1001,$A404,col_s6))&gt;0))+IF(col_s7=0,0,--(LEN(INDEX('Paste Export'!$A$2:$BZ$1001,$A404,col_s7))&gt;0))+IF(col_s8=0,0,--(LEN(INDEX('Paste Export'!$A$2:$BZ$1001,$A404,col_s8))&gt;0)))</f>
        <v/>
      </c>
      <c r="I404" s="25" t="str">
        <f t="shared" si="45"/>
        <v/>
      </c>
      <c r="J404" s="25" t="str">
        <f t="shared" si="46"/>
        <v/>
      </c>
      <c r="K404" s="24" t="str">
        <f t="shared" si="47"/>
        <v/>
      </c>
      <c r="L404" s="24" t="str">
        <f t="shared" si="48"/>
        <v/>
      </c>
    </row>
    <row r="405" spans="1:12" x14ac:dyDescent="0.25">
      <c r="A405" s="24">
        <f t="shared" si="42"/>
        <v>404</v>
      </c>
      <c r="B405" s="25" t="str">
        <f>IF($A405&gt;nrows,"",IF(col_user=0,"",INDEX('Paste Export'!$A$2:$BZ$1001,$A405,col_user)))</f>
        <v/>
      </c>
      <c r="C405" s="24" t="str">
        <f>IF($A405&gt;nrows,"",IF(col_days=0,0,N(INDEX('Paste Export'!$A$2:$BZ$1001,$A405,col_days))))</f>
        <v/>
      </c>
      <c r="D405" s="24" t="str">
        <f>IF($A405&gt;nrows,"",IF(col_prompts=0,0,N(INDEX('Paste Export'!$A$2:$BZ$1001,$A405,col_prompts))))</f>
        <v/>
      </c>
      <c r="E405" s="24" t="str">
        <f>IF($A405&gt;nrows,"",IF(col_web=0,0,N(INDEX('Paste Export'!$A$2:$BZ$1001,$A405,col_web))))</f>
        <v/>
      </c>
      <c r="F405" s="26" t="str">
        <f t="shared" si="43"/>
        <v/>
      </c>
      <c r="G405" s="27" t="str">
        <f t="shared" si="44"/>
        <v/>
      </c>
      <c r="H405" s="24" t="str">
        <f>IF($A405&gt;nrows,"",IF(col_s1=0,0,--(LEN(INDEX('Paste Export'!$A$2:$BZ$1001,$A405,col_s1))&gt;0))+IF(col_s2=0,0,--(LEN(INDEX('Paste Export'!$A$2:$BZ$1001,$A405,col_s2))&gt;0))+IF(col_s3=0,0,--(LEN(INDEX('Paste Export'!$A$2:$BZ$1001,$A405,col_s3))&gt;0))+IF(col_s4=0,0,--(LEN(INDEX('Paste Export'!$A$2:$BZ$1001,$A405,col_s4))&gt;0))+IF(col_s5=0,0,--(LEN(INDEX('Paste Export'!$A$2:$BZ$1001,$A405,col_s5))&gt;0))+IF(col_s6=0,0,--(LEN(INDEX('Paste Export'!$A$2:$BZ$1001,$A405,col_s6))&gt;0))+IF(col_s7=0,0,--(LEN(INDEX('Paste Export'!$A$2:$BZ$1001,$A405,col_s7))&gt;0))+IF(col_s8=0,0,--(LEN(INDEX('Paste Export'!$A$2:$BZ$1001,$A405,col_s8))&gt;0)))</f>
        <v/>
      </c>
      <c r="I405" s="25" t="str">
        <f t="shared" si="45"/>
        <v/>
      </c>
      <c r="J405" s="25" t="str">
        <f t="shared" si="46"/>
        <v/>
      </c>
      <c r="K405" s="24" t="str">
        <f t="shared" si="47"/>
        <v/>
      </c>
      <c r="L405" s="24" t="str">
        <f t="shared" si="48"/>
        <v/>
      </c>
    </row>
    <row r="406" spans="1:12" x14ac:dyDescent="0.25">
      <c r="A406" s="24">
        <f t="shared" si="42"/>
        <v>405</v>
      </c>
      <c r="B406" s="25" t="str">
        <f>IF($A406&gt;nrows,"",IF(col_user=0,"",INDEX('Paste Export'!$A$2:$BZ$1001,$A406,col_user)))</f>
        <v/>
      </c>
      <c r="C406" s="24" t="str">
        <f>IF($A406&gt;nrows,"",IF(col_days=0,0,N(INDEX('Paste Export'!$A$2:$BZ$1001,$A406,col_days))))</f>
        <v/>
      </c>
      <c r="D406" s="24" t="str">
        <f>IF($A406&gt;nrows,"",IF(col_prompts=0,0,N(INDEX('Paste Export'!$A$2:$BZ$1001,$A406,col_prompts))))</f>
        <v/>
      </c>
      <c r="E406" s="24" t="str">
        <f>IF($A406&gt;nrows,"",IF(col_web=0,0,N(INDEX('Paste Export'!$A$2:$BZ$1001,$A406,col_web))))</f>
        <v/>
      </c>
      <c r="F406" s="26" t="str">
        <f t="shared" si="43"/>
        <v/>
      </c>
      <c r="G406" s="27" t="str">
        <f t="shared" si="44"/>
        <v/>
      </c>
      <c r="H406" s="24" t="str">
        <f>IF($A406&gt;nrows,"",IF(col_s1=0,0,--(LEN(INDEX('Paste Export'!$A$2:$BZ$1001,$A406,col_s1))&gt;0))+IF(col_s2=0,0,--(LEN(INDEX('Paste Export'!$A$2:$BZ$1001,$A406,col_s2))&gt;0))+IF(col_s3=0,0,--(LEN(INDEX('Paste Export'!$A$2:$BZ$1001,$A406,col_s3))&gt;0))+IF(col_s4=0,0,--(LEN(INDEX('Paste Export'!$A$2:$BZ$1001,$A406,col_s4))&gt;0))+IF(col_s5=0,0,--(LEN(INDEX('Paste Export'!$A$2:$BZ$1001,$A406,col_s5))&gt;0))+IF(col_s6=0,0,--(LEN(INDEX('Paste Export'!$A$2:$BZ$1001,$A406,col_s6))&gt;0))+IF(col_s7=0,0,--(LEN(INDEX('Paste Export'!$A$2:$BZ$1001,$A406,col_s7))&gt;0))+IF(col_s8=0,0,--(LEN(INDEX('Paste Export'!$A$2:$BZ$1001,$A406,col_s8))&gt;0)))</f>
        <v/>
      </c>
      <c r="I406" s="25" t="str">
        <f t="shared" si="45"/>
        <v/>
      </c>
      <c r="J406" s="25" t="str">
        <f t="shared" si="46"/>
        <v/>
      </c>
      <c r="K406" s="24" t="str">
        <f t="shared" si="47"/>
        <v/>
      </c>
      <c r="L406" s="24" t="str">
        <f t="shared" si="48"/>
        <v/>
      </c>
    </row>
    <row r="407" spans="1:12" x14ac:dyDescent="0.25">
      <c r="A407" s="24">
        <f t="shared" si="42"/>
        <v>406</v>
      </c>
      <c r="B407" s="25" t="str">
        <f>IF($A407&gt;nrows,"",IF(col_user=0,"",INDEX('Paste Export'!$A$2:$BZ$1001,$A407,col_user)))</f>
        <v/>
      </c>
      <c r="C407" s="24" t="str">
        <f>IF($A407&gt;nrows,"",IF(col_days=0,0,N(INDEX('Paste Export'!$A$2:$BZ$1001,$A407,col_days))))</f>
        <v/>
      </c>
      <c r="D407" s="24" t="str">
        <f>IF($A407&gt;nrows,"",IF(col_prompts=0,0,N(INDEX('Paste Export'!$A$2:$BZ$1001,$A407,col_prompts))))</f>
        <v/>
      </c>
      <c r="E407" s="24" t="str">
        <f>IF($A407&gt;nrows,"",IF(col_web=0,0,N(INDEX('Paste Export'!$A$2:$BZ$1001,$A407,col_web))))</f>
        <v/>
      </c>
      <c r="F407" s="26" t="str">
        <f t="shared" si="43"/>
        <v/>
      </c>
      <c r="G407" s="27" t="str">
        <f t="shared" si="44"/>
        <v/>
      </c>
      <c r="H407" s="24" t="str">
        <f>IF($A407&gt;nrows,"",IF(col_s1=0,0,--(LEN(INDEX('Paste Export'!$A$2:$BZ$1001,$A407,col_s1))&gt;0))+IF(col_s2=0,0,--(LEN(INDEX('Paste Export'!$A$2:$BZ$1001,$A407,col_s2))&gt;0))+IF(col_s3=0,0,--(LEN(INDEX('Paste Export'!$A$2:$BZ$1001,$A407,col_s3))&gt;0))+IF(col_s4=0,0,--(LEN(INDEX('Paste Export'!$A$2:$BZ$1001,$A407,col_s4))&gt;0))+IF(col_s5=0,0,--(LEN(INDEX('Paste Export'!$A$2:$BZ$1001,$A407,col_s5))&gt;0))+IF(col_s6=0,0,--(LEN(INDEX('Paste Export'!$A$2:$BZ$1001,$A407,col_s6))&gt;0))+IF(col_s7=0,0,--(LEN(INDEX('Paste Export'!$A$2:$BZ$1001,$A407,col_s7))&gt;0))+IF(col_s8=0,0,--(LEN(INDEX('Paste Export'!$A$2:$BZ$1001,$A407,col_s8))&gt;0)))</f>
        <v/>
      </c>
      <c r="I407" s="25" t="str">
        <f t="shared" si="45"/>
        <v/>
      </c>
      <c r="J407" s="25" t="str">
        <f t="shared" si="46"/>
        <v/>
      </c>
      <c r="K407" s="24" t="str">
        <f t="shared" si="47"/>
        <v/>
      </c>
      <c r="L407" s="24" t="str">
        <f t="shared" si="48"/>
        <v/>
      </c>
    </row>
    <row r="408" spans="1:12" x14ac:dyDescent="0.25">
      <c r="A408" s="24">
        <f t="shared" si="42"/>
        <v>407</v>
      </c>
      <c r="B408" s="25" t="str">
        <f>IF($A408&gt;nrows,"",IF(col_user=0,"",INDEX('Paste Export'!$A$2:$BZ$1001,$A408,col_user)))</f>
        <v/>
      </c>
      <c r="C408" s="24" t="str">
        <f>IF($A408&gt;nrows,"",IF(col_days=0,0,N(INDEX('Paste Export'!$A$2:$BZ$1001,$A408,col_days))))</f>
        <v/>
      </c>
      <c r="D408" s="24" t="str">
        <f>IF($A408&gt;nrows,"",IF(col_prompts=0,0,N(INDEX('Paste Export'!$A$2:$BZ$1001,$A408,col_prompts))))</f>
        <v/>
      </c>
      <c r="E408" s="24" t="str">
        <f>IF($A408&gt;nrows,"",IF(col_web=0,0,N(INDEX('Paste Export'!$A$2:$BZ$1001,$A408,col_web))))</f>
        <v/>
      </c>
      <c r="F408" s="26" t="str">
        <f t="shared" si="43"/>
        <v/>
      </c>
      <c r="G408" s="27" t="str">
        <f t="shared" si="44"/>
        <v/>
      </c>
      <c r="H408" s="24" t="str">
        <f>IF($A408&gt;nrows,"",IF(col_s1=0,0,--(LEN(INDEX('Paste Export'!$A$2:$BZ$1001,$A408,col_s1))&gt;0))+IF(col_s2=0,0,--(LEN(INDEX('Paste Export'!$A$2:$BZ$1001,$A408,col_s2))&gt;0))+IF(col_s3=0,0,--(LEN(INDEX('Paste Export'!$A$2:$BZ$1001,$A408,col_s3))&gt;0))+IF(col_s4=0,0,--(LEN(INDEX('Paste Export'!$A$2:$BZ$1001,$A408,col_s4))&gt;0))+IF(col_s5=0,0,--(LEN(INDEX('Paste Export'!$A$2:$BZ$1001,$A408,col_s5))&gt;0))+IF(col_s6=0,0,--(LEN(INDEX('Paste Export'!$A$2:$BZ$1001,$A408,col_s6))&gt;0))+IF(col_s7=0,0,--(LEN(INDEX('Paste Export'!$A$2:$BZ$1001,$A408,col_s7))&gt;0))+IF(col_s8=0,0,--(LEN(INDEX('Paste Export'!$A$2:$BZ$1001,$A408,col_s8))&gt;0)))</f>
        <v/>
      </c>
      <c r="I408" s="25" t="str">
        <f t="shared" si="45"/>
        <v/>
      </c>
      <c r="J408" s="25" t="str">
        <f t="shared" si="46"/>
        <v/>
      </c>
      <c r="K408" s="24" t="str">
        <f t="shared" si="47"/>
        <v/>
      </c>
      <c r="L408" s="24" t="str">
        <f t="shared" si="48"/>
        <v/>
      </c>
    </row>
    <row r="409" spans="1:12" x14ac:dyDescent="0.25">
      <c r="A409" s="24">
        <f t="shared" si="42"/>
        <v>408</v>
      </c>
      <c r="B409" s="25" t="str">
        <f>IF($A409&gt;nrows,"",IF(col_user=0,"",INDEX('Paste Export'!$A$2:$BZ$1001,$A409,col_user)))</f>
        <v/>
      </c>
      <c r="C409" s="24" t="str">
        <f>IF($A409&gt;nrows,"",IF(col_days=0,0,N(INDEX('Paste Export'!$A$2:$BZ$1001,$A409,col_days))))</f>
        <v/>
      </c>
      <c r="D409" s="24" t="str">
        <f>IF($A409&gt;nrows,"",IF(col_prompts=0,0,N(INDEX('Paste Export'!$A$2:$BZ$1001,$A409,col_prompts))))</f>
        <v/>
      </c>
      <c r="E409" s="24" t="str">
        <f>IF($A409&gt;nrows,"",IF(col_web=0,0,N(INDEX('Paste Export'!$A$2:$BZ$1001,$A409,col_web))))</f>
        <v/>
      </c>
      <c r="F409" s="26" t="str">
        <f t="shared" si="43"/>
        <v/>
      </c>
      <c r="G409" s="27" t="str">
        <f t="shared" si="44"/>
        <v/>
      </c>
      <c r="H409" s="24" t="str">
        <f>IF($A409&gt;nrows,"",IF(col_s1=0,0,--(LEN(INDEX('Paste Export'!$A$2:$BZ$1001,$A409,col_s1))&gt;0))+IF(col_s2=0,0,--(LEN(INDEX('Paste Export'!$A$2:$BZ$1001,$A409,col_s2))&gt;0))+IF(col_s3=0,0,--(LEN(INDEX('Paste Export'!$A$2:$BZ$1001,$A409,col_s3))&gt;0))+IF(col_s4=0,0,--(LEN(INDEX('Paste Export'!$A$2:$BZ$1001,$A409,col_s4))&gt;0))+IF(col_s5=0,0,--(LEN(INDEX('Paste Export'!$A$2:$BZ$1001,$A409,col_s5))&gt;0))+IF(col_s6=0,0,--(LEN(INDEX('Paste Export'!$A$2:$BZ$1001,$A409,col_s6))&gt;0))+IF(col_s7=0,0,--(LEN(INDEX('Paste Export'!$A$2:$BZ$1001,$A409,col_s7))&gt;0))+IF(col_s8=0,0,--(LEN(INDEX('Paste Export'!$A$2:$BZ$1001,$A409,col_s8))&gt;0)))</f>
        <v/>
      </c>
      <c r="I409" s="25" t="str">
        <f t="shared" si="45"/>
        <v/>
      </c>
      <c r="J409" s="25" t="str">
        <f t="shared" si="46"/>
        <v/>
      </c>
      <c r="K409" s="24" t="str">
        <f t="shared" si="47"/>
        <v/>
      </c>
      <c r="L409" s="24" t="str">
        <f t="shared" si="48"/>
        <v/>
      </c>
    </row>
    <row r="410" spans="1:12" x14ac:dyDescent="0.25">
      <c r="A410" s="24">
        <f t="shared" si="42"/>
        <v>409</v>
      </c>
      <c r="B410" s="25" t="str">
        <f>IF($A410&gt;nrows,"",IF(col_user=0,"",INDEX('Paste Export'!$A$2:$BZ$1001,$A410,col_user)))</f>
        <v/>
      </c>
      <c r="C410" s="24" t="str">
        <f>IF($A410&gt;nrows,"",IF(col_days=0,0,N(INDEX('Paste Export'!$A$2:$BZ$1001,$A410,col_days))))</f>
        <v/>
      </c>
      <c r="D410" s="24" t="str">
        <f>IF($A410&gt;nrows,"",IF(col_prompts=0,0,N(INDEX('Paste Export'!$A$2:$BZ$1001,$A410,col_prompts))))</f>
        <v/>
      </c>
      <c r="E410" s="24" t="str">
        <f>IF($A410&gt;nrows,"",IF(col_web=0,0,N(INDEX('Paste Export'!$A$2:$BZ$1001,$A410,col_web))))</f>
        <v/>
      </c>
      <c r="F410" s="26" t="str">
        <f t="shared" si="43"/>
        <v/>
      </c>
      <c r="G410" s="27" t="str">
        <f t="shared" si="44"/>
        <v/>
      </c>
      <c r="H410" s="24" t="str">
        <f>IF($A410&gt;nrows,"",IF(col_s1=0,0,--(LEN(INDEX('Paste Export'!$A$2:$BZ$1001,$A410,col_s1))&gt;0))+IF(col_s2=0,0,--(LEN(INDEX('Paste Export'!$A$2:$BZ$1001,$A410,col_s2))&gt;0))+IF(col_s3=0,0,--(LEN(INDEX('Paste Export'!$A$2:$BZ$1001,$A410,col_s3))&gt;0))+IF(col_s4=0,0,--(LEN(INDEX('Paste Export'!$A$2:$BZ$1001,$A410,col_s4))&gt;0))+IF(col_s5=0,0,--(LEN(INDEX('Paste Export'!$A$2:$BZ$1001,$A410,col_s5))&gt;0))+IF(col_s6=0,0,--(LEN(INDEX('Paste Export'!$A$2:$BZ$1001,$A410,col_s6))&gt;0))+IF(col_s7=0,0,--(LEN(INDEX('Paste Export'!$A$2:$BZ$1001,$A410,col_s7))&gt;0))+IF(col_s8=0,0,--(LEN(INDEX('Paste Export'!$A$2:$BZ$1001,$A410,col_s8))&gt;0)))</f>
        <v/>
      </c>
      <c r="I410" s="25" t="str">
        <f t="shared" si="45"/>
        <v/>
      </c>
      <c r="J410" s="25" t="str">
        <f t="shared" si="46"/>
        <v/>
      </c>
      <c r="K410" s="24" t="str">
        <f t="shared" si="47"/>
        <v/>
      </c>
      <c r="L410" s="24" t="str">
        <f t="shared" si="48"/>
        <v/>
      </c>
    </row>
    <row r="411" spans="1:12" x14ac:dyDescent="0.25">
      <c r="A411" s="24">
        <f t="shared" si="42"/>
        <v>410</v>
      </c>
      <c r="B411" s="25" t="str">
        <f>IF($A411&gt;nrows,"",IF(col_user=0,"",INDEX('Paste Export'!$A$2:$BZ$1001,$A411,col_user)))</f>
        <v/>
      </c>
      <c r="C411" s="24" t="str">
        <f>IF($A411&gt;nrows,"",IF(col_days=0,0,N(INDEX('Paste Export'!$A$2:$BZ$1001,$A411,col_days))))</f>
        <v/>
      </c>
      <c r="D411" s="24" t="str">
        <f>IF($A411&gt;nrows,"",IF(col_prompts=0,0,N(INDEX('Paste Export'!$A$2:$BZ$1001,$A411,col_prompts))))</f>
        <v/>
      </c>
      <c r="E411" s="24" t="str">
        <f>IF($A411&gt;nrows,"",IF(col_web=0,0,N(INDEX('Paste Export'!$A$2:$BZ$1001,$A411,col_web))))</f>
        <v/>
      </c>
      <c r="F411" s="26" t="str">
        <f t="shared" si="43"/>
        <v/>
      </c>
      <c r="G411" s="27" t="str">
        <f t="shared" si="44"/>
        <v/>
      </c>
      <c r="H411" s="24" t="str">
        <f>IF($A411&gt;nrows,"",IF(col_s1=0,0,--(LEN(INDEX('Paste Export'!$A$2:$BZ$1001,$A411,col_s1))&gt;0))+IF(col_s2=0,0,--(LEN(INDEX('Paste Export'!$A$2:$BZ$1001,$A411,col_s2))&gt;0))+IF(col_s3=0,0,--(LEN(INDEX('Paste Export'!$A$2:$BZ$1001,$A411,col_s3))&gt;0))+IF(col_s4=0,0,--(LEN(INDEX('Paste Export'!$A$2:$BZ$1001,$A411,col_s4))&gt;0))+IF(col_s5=0,0,--(LEN(INDEX('Paste Export'!$A$2:$BZ$1001,$A411,col_s5))&gt;0))+IF(col_s6=0,0,--(LEN(INDEX('Paste Export'!$A$2:$BZ$1001,$A411,col_s6))&gt;0))+IF(col_s7=0,0,--(LEN(INDEX('Paste Export'!$A$2:$BZ$1001,$A411,col_s7))&gt;0))+IF(col_s8=0,0,--(LEN(INDEX('Paste Export'!$A$2:$BZ$1001,$A411,col_s8))&gt;0)))</f>
        <v/>
      </c>
      <c r="I411" s="25" t="str">
        <f t="shared" si="45"/>
        <v/>
      </c>
      <c r="J411" s="25" t="str">
        <f t="shared" si="46"/>
        <v/>
      </c>
      <c r="K411" s="24" t="str">
        <f t="shared" si="47"/>
        <v/>
      </c>
      <c r="L411" s="24" t="str">
        <f t="shared" si="48"/>
        <v/>
      </c>
    </row>
    <row r="412" spans="1:12" x14ac:dyDescent="0.25">
      <c r="A412" s="24">
        <f t="shared" si="42"/>
        <v>411</v>
      </c>
      <c r="B412" s="25" t="str">
        <f>IF($A412&gt;nrows,"",IF(col_user=0,"",INDEX('Paste Export'!$A$2:$BZ$1001,$A412,col_user)))</f>
        <v/>
      </c>
      <c r="C412" s="24" t="str">
        <f>IF($A412&gt;nrows,"",IF(col_days=0,0,N(INDEX('Paste Export'!$A$2:$BZ$1001,$A412,col_days))))</f>
        <v/>
      </c>
      <c r="D412" s="24" t="str">
        <f>IF($A412&gt;nrows,"",IF(col_prompts=0,0,N(INDEX('Paste Export'!$A$2:$BZ$1001,$A412,col_prompts))))</f>
        <v/>
      </c>
      <c r="E412" s="24" t="str">
        <f>IF($A412&gt;nrows,"",IF(col_web=0,0,N(INDEX('Paste Export'!$A$2:$BZ$1001,$A412,col_web))))</f>
        <v/>
      </c>
      <c r="F412" s="26" t="str">
        <f t="shared" si="43"/>
        <v/>
      </c>
      <c r="G412" s="27" t="str">
        <f t="shared" si="44"/>
        <v/>
      </c>
      <c r="H412" s="24" t="str">
        <f>IF($A412&gt;nrows,"",IF(col_s1=0,0,--(LEN(INDEX('Paste Export'!$A$2:$BZ$1001,$A412,col_s1))&gt;0))+IF(col_s2=0,0,--(LEN(INDEX('Paste Export'!$A$2:$BZ$1001,$A412,col_s2))&gt;0))+IF(col_s3=0,0,--(LEN(INDEX('Paste Export'!$A$2:$BZ$1001,$A412,col_s3))&gt;0))+IF(col_s4=0,0,--(LEN(INDEX('Paste Export'!$A$2:$BZ$1001,$A412,col_s4))&gt;0))+IF(col_s5=0,0,--(LEN(INDEX('Paste Export'!$A$2:$BZ$1001,$A412,col_s5))&gt;0))+IF(col_s6=0,0,--(LEN(INDEX('Paste Export'!$A$2:$BZ$1001,$A412,col_s6))&gt;0))+IF(col_s7=0,0,--(LEN(INDEX('Paste Export'!$A$2:$BZ$1001,$A412,col_s7))&gt;0))+IF(col_s8=0,0,--(LEN(INDEX('Paste Export'!$A$2:$BZ$1001,$A412,col_s8))&gt;0)))</f>
        <v/>
      </c>
      <c r="I412" s="25" t="str">
        <f t="shared" si="45"/>
        <v/>
      </c>
      <c r="J412" s="25" t="str">
        <f t="shared" si="46"/>
        <v/>
      </c>
      <c r="K412" s="24" t="str">
        <f t="shared" si="47"/>
        <v/>
      </c>
      <c r="L412" s="24" t="str">
        <f t="shared" si="48"/>
        <v/>
      </c>
    </row>
    <row r="413" spans="1:12" x14ac:dyDescent="0.25">
      <c r="A413" s="24">
        <f t="shared" si="42"/>
        <v>412</v>
      </c>
      <c r="B413" s="25" t="str">
        <f>IF($A413&gt;nrows,"",IF(col_user=0,"",INDEX('Paste Export'!$A$2:$BZ$1001,$A413,col_user)))</f>
        <v/>
      </c>
      <c r="C413" s="24" t="str">
        <f>IF($A413&gt;nrows,"",IF(col_days=0,0,N(INDEX('Paste Export'!$A$2:$BZ$1001,$A413,col_days))))</f>
        <v/>
      </c>
      <c r="D413" s="24" t="str">
        <f>IF($A413&gt;nrows,"",IF(col_prompts=0,0,N(INDEX('Paste Export'!$A$2:$BZ$1001,$A413,col_prompts))))</f>
        <v/>
      </c>
      <c r="E413" s="24" t="str">
        <f>IF($A413&gt;nrows,"",IF(col_web=0,0,N(INDEX('Paste Export'!$A$2:$BZ$1001,$A413,col_web))))</f>
        <v/>
      </c>
      <c r="F413" s="26" t="str">
        <f t="shared" si="43"/>
        <v/>
      </c>
      <c r="G413" s="27" t="str">
        <f t="shared" si="44"/>
        <v/>
      </c>
      <c r="H413" s="24" t="str">
        <f>IF($A413&gt;nrows,"",IF(col_s1=0,0,--(LEN(INDEX('Paste Export'!$A$2:$BZ$1001,$A413,col_s1))&gt;0))+IF(col_s2=0,0,--(LEN(INDEX('Paste Export'!$A$2:$BZ$1001,$A413,col_s2))&gt;0))+IF(col_s3=0,0,--(LEN(INDEX('Paste Export'!$A$2:$BZ$1001,$A413,col_s3))&gt;0))+IF(col_s4=0,0,--(LEN(INDEX('Paste Export'!$A$2:$BZ$1001,$A413,col_s4))&gt;0))+IF(col_s5=0,0,--(LEN(INDEX('Paste Export'!$A$2:$BZ$1001,$A413,col_s5))&gt;0))+IF(col_s6=0,0,--(LEN(INDEX('Paste Export'!$A$2:$BZ$1001,$A413,col_s6))&gt;0))+IF(col_s7=0,0,--(LEN(INDEX('Paste Export'!$A$2:$BZ$1001,$A413,col_s7))&gt;0))+IF(col_s8=0,0,--(LEN(INDEX('Paste Export'!$A$2:$BZ$1001,$A413,col_s8))&gt;0)))</f>
        <v/>
      </c>
      <c r="I413" s="25" t="str">
        <f t="shared" si="45"/>
        <v/>
      </c>
      <c r="J413" s="25" t="str">
        <f t="shared" si="46"/>
        <v/>
      </c>
      <c r="K413" s="24" t="str">
        <f t="shared" si="47"/>
        <v/>
      </c>
      <c r="L413" s="24" t="str">
        <f t="shared" si="48"/>
        <v/>
      </c>
    </row>
    <row r="414" spans="1:12" x14ac:dyDescent="0.25">
      <c r="A414" s="24">
        <f t="shared" si="42"/>
        <v>413</v>
      </c>
      <c r="B414" s="25" t="str">
        <f>IF($A414&gt;nrows,"",IF(col_user=0,"",INDEX('Paste Export'!$A$2:$BZ$1001,$A414,col_user)))</f>
        <v/>
      </c>
      <c r="C414" s="24" t="str">
        <f>IF($A414&gt;nrows,"",IF(col_days=0,0,N(INDEX('Paste Export'!$A$2:$BZ$1001,$A414,col_days))))</f>
        <v/>
      </c>
      <c r="D414" s="24" t="str">
        <f>IF($A414&gt;nrows,"",IF(col_prompts=0,0,N(INDEX('Paste Export'!$A$2:$BZ$1001,$A414,col_prompts))))</f>
        <v/>
      </c>
      <c r="E414" s="24" t="str">
        <f>IF($A414&gt;nrows,"",IF(col_web=0,0,N(INDEX('Paste Export'!$A$2:$BZ$1001,$A414,col_web))))</f>
        <v/>
      </c>
      <c r="F414" s="26" t="str">
        <f t="shared" si="43"/>
        <v/>
      </c>
      <c r="G414" s="27" t="str">
        <f t="shared" si="44"/>
        <v/>
      </c>
      <c r="H414" s="24" t="str">
        <f>IF($A414&gt;nrows,"",IF(col_s1=0,0,--(LEN(INDEX('Paste Export'!$A$2:$BZ$1001,$A414,col_s1))&gt;0))+IF(col_s2=0,0,--(LEN(INDEX('Paste Export'!$A$2:$BZ$1001,$A414,col_s2))&gt;0))+IF(col_s3=0,0,--(LEN(INDEX('Paste Export'!$A$2:$BZ$1001,$A414,col_s3))&gt;0))+IF(col_s4=0,0,--(LEN(INDEX('Paste Export'!$A$2:$BZ$1001,$A414,col_s4))&gt;0))+IF(col_s5=0,0,--(LEN(INDEX('Paste Export'!$A$2:$BZ$1001,$A414,col_s5))&gt;0))+IF(col_s6=0,0,--(LEN(INDEX('Paste Export'!$A$2:$BZ$1001,$A414,col_s6))&gt;0))+IF(col_s7=0,0,--(LEN(INDEX('Paste Export'!$A$2:$BZ$1001,$A414,col_s7))&gt;0))+IF(col_s8=0,0,--(LEN(INDEX('Paste Export'!$A$2:$BZ$1001,$A414,col_s8))&gt;0)))</f>
        <v/>
      </c>
      <c r="I414" s="25" t="str">
        <f t="shared" si="45"/>
        <v/>
      </c>
      <c r="J414" s="25" t="str">
        <f t="shared" si="46"/>
        <v/>
      </c>
      <c r="K414" s="24" t="str">
        <f t="shared" si="47"/>
        <v/>
      </c>
      <c r="L414" s="24" t="str">
        <f t="shared" si="48"/>
        <v/>
      </c>
    </row>
    <row r="415" spans="1:12" x14ac:dyDescent="0.25">
      <c r="A415" s="24">
        <f t="shared" si="42"/>
        <v>414</v>
      </c>
      <c r="B415" s="25" t="str">
        <f>IF($A415&gt;nrows,"",IF(col_user=0,"",INDEX('Paste Export'!$A$2:$BZ$1001,$A415,col_user)))</f>
        <v/>
      </c>
      <c r="C415" s="24" t="str">
        <f>IF($A415&gt;nrows,"",IF(col_days=0,0,N(INDEX('Paste Export'!$A$2:$BZ$1001,$A415,col_days))))</f>
        <v/>
      </c>
      <c r="D415" s="24" t="str">
        <f>IF($A415&gt;nrows,"",IF(col_prompts=0,0,N(INDEX('Paste Export'!$A$2:$BZ$1001,$A415,col_prompts))))</f>
        <v/>
      </c>
      <c r="E415" s="24" t="str">
        <f>IF($A415&gt;nrows,"",IF(col_web=0,0,N(INDEX('Paste Export'!$A$2:$BZ$1001,$A415,col_web))))</f>
        <v/>
      </c>
      <c r="F415" s="26" t="str">
        <f t="shared" si="43"/>
        <v/>
      </c>
      <c r="G415" s="27" t="str">
        <f t="shared" si="44"/>
        <v/>
      </c>
      <c r="H415" s="24" t="str">
        <f>IF($A415&gt;nrows,"",IF(col_s1=0,0,--(LEN(INDEX('Paste Export'!$A$2:$BZ$1001,$A415,col_s1))&gt;0))+IF(col_s2=0,0,--(LEN(INDEX('Paste Export'!$A$2:$BZ$1001,$A415,col_s2))&gt;0))+IF(col_s3=0,0,--(LEN(INDEX('Paste Export'!$A$2:$BZ$1001,$A415,col_s3))&gt;0))+IF(col_s4=0,0,--(LEN(INDEX('Paste Export'!$A$2:$BZ$1001,$A415,col_s4))&gt;0))+IF(col_s5=0,0,--(LEN(INDEX('Paste Export'!$A$2:$BZ$1001,$A415,col_s5))&gt;0))+IF(col_s6=0,0,--(LEN(INDEX('Paste Export'!$A$2:$BZ$1001,$A415,col_s6))&gt;0))+IF(col_s7=0,0,--(LEN(INDEX('Paste Export'!$A$2:$BZ$1001,$A415,col_s7))&gt;0))+IF(col_s8=0,0,--(LEN(INDEX('Paste Export'!$A$2:$BZ$1001,$A415,col_s8))&gt;0)))</f>
        <v/>
      </c>
      <c r="I415" s="25" t="str">
        <f t="shared" si="45"/>
        <v/>
      </c>
      <c r="J415" s="25" t="str">
        <f t="shared" si="46"/>
        <v/>
      </c>
      <c r="K415" s="24" t="str">
        <f t="shared" si="47"/>
        <v/>
      </c>
      <c r="L415" s="24" t="str">
        <f t="shared" si="48"/>
        <v/>
      </c>
    </row>
    <row r="416" spans="1:12" x14ac:dyDescent="0.25">
      <c r="A416" s="24">
        <f t="shared" si="42"/>
        <v>415</v>
      </c>
      <c r="B416" s="25" t="str">
        <f>IF($A416&gt;nrows,"",IF(col_user=0,"",INDEX('Paste Export'!$A$2:$BZ$1001,$A416,col_user)))</f>
        <v/>
      </c>
      <c r="C416" s="24" t="str">
        <f>IF($A416&gt;nrows,"",IF(col_days=0,0,N(INDEX('Paste Export'!$A$2:$BZ$1001,$A416,col_days))))</f>
        <v/>
      </c>
      <c r="D416" s="24" t="str">
        <f>IF($A416&gt;nrows,"",IF(col_prompts=0,0,N(INDEX('Paste Export'!$A$2:$BZ$1001,$A416,col_prompts))))</f>
        <v/>
      </c>
      <c r="E416" s="24" t="str">
        <f>IF($A416&gt;nrows,"",IF(col_web=0,0,N(INDEX('Paste Export'!$A$2:$BZ$1001,$A416,col_web))))</f>
        <v/>
      </c>
      <c r="F416" s="26" t="str">
        <f t="shared" si="43"/>
        <v/>
      </c>
      <c r="G416" s="27" t="str">
        <f t="shared" si="44"/>
        <v/>
      </c>
      <c r="H416" s="24" t="str">
        <f>IF($A416&gt;nrows,"",IF(col_s1=0,0,--(LEN(INDEX('Paste Export'!$A$2:$BZ$1001,$A416,col_s1))&gt;0))+IF(col_s2=0,0,--(LEN(INDEX('Paste Export'!$A$2:$BZ$1001,$A416,col_s2))&gt;0))+IF(col_s3=0,0,--(LEN(INDEX('Paste Export'!$A$2:$BZ$1001,$A416,col_s3))&gt;0))+IF(col_s4=0,0,--(LEN(INDEX('Paste Export'!$A$2:$BZ$1001,$A416,col_s4))&gt;0))+IF(col_s5=0,0,--(LEN(INDEX('Paste Export'!$A$2:$BZ$1001,$A416,col_s5))&gt;0))+IF(col_s6=0,0,--(LEN(INDEX('Paste Export'!$A$2:$BZ$1001,$A416,col_s6))&gt;0))+IF(col_s7=0,0,--(LEN(INDEX('Paste Export'!$A$2:$BZ$1001,$A416,col_s7))&gt;0))+IF(col_s8=0,0,--(LEN(INDEX('Paste Export'!$A$2:$BZ$1001,$A416,col_s8))&gt;0)))</f>
        <v/>
      </c>
      <c r="I416" s="25" t="str">
        <f t="shared" si="45"/>
        <v/>
      </c>
      <c r="J416" s="25" t="str">
        <f t="shared" si="46"/>
        <v/>
      </c>
      <c r="K416" s="24" t="str">
        <f t="shared" si="47"/>
        <v/>
      </c>
      <c r="L416" s="24" t="str">
        <f t="shared" si="48"/>
        <v/>
      </c>
    </row>
    <row r="417" spans="1:12" x14ac:dyDescent="0.25">
      <c r="A417" s="24">
        <f t="shared" si="42"/>
        <v>416</v>
      </c>
      <c r="B417" s="25" t="str">
        <f>IF($A417&gt;nrows,"",IF(col_user=0,"",INDEX('Paste Export'!$A$2:$BZ$1001,$A417,col_user)))</f>
        <v/>
      </c>
      <c r="C417" s="24" t="str">
        <f>IF($A417&gt;nrows,"",IF(col_days=0,0,N(INDEX('Paste Export'!$A$2:$BZ$1001,$A417,col_days))))</f>
        <v/>
      </c>
      <c r="D417" s="24" t="str">
        <f>IF($A417&gt;nrows,"",IF(col_prompts=0,0,N(INDEX('Paste Export'!$A$2:$BZ$1001,$A417,col_prompts))))</f>
        <v/>
      </c>
      <c r="E417" s="24" t="str">
        <f>IF($A417&gt;nrows,"",IF(col_web=0,0,N(INDEX('Paste Export'!$A$2:$BZ$1001,$A417,col_web))))</f>
        <v/>
      </c>
      <c r="F417" s="26" t="str">
        <f t="shared" si="43"/>
        <v/>
      </c>
      <c r="G417" s="27" t="str">
        <f t="shared" si="44"/>
        <v/>
      </c>
      <c r="H417" s="24" t="str">
        <f>IF($A417&gt;nrows,"",IF(col_s1=0,0,--(LEN(INDEX('Paste Export'!$A$2:$BZ$1001,$A417,col_s1))&gt;0))+IF(col_s2=0,0,--(LEN(INDEX('Paste Export'!$A$2:$BZ$1001,$A417,col_s2))&gt;0))+IF(col_s3=0,0,--(LEN(INDEX('Paste Export'!$A$2:$BZ$1001,$A417,col_s3))&gt;0))+IF(col_s4=0,0,--(LEN(INDEX('Paste Export'!$A$2:$BZ$1001,$A417,col_s4))&gt;0))+IF(col_s5=0,0,--(LEN(INDEX('Paste Export'!$A$2:$BZ$1001,$A417,col_s5))&gt;0))+IF(col_s6=0,0,--(LEN(INDEX('Paste Export'!$A$2:$BZ$1001,$A417,col_s6))&gt;0))+IF(col_s7=0,0,--(LEN(INDEX('Paste Export'!$A$2:$BZ$1001,$A417,col_s7))&gt;0))+IF(col_s8=0,0,--(LEN(INDEX('Paste Export'!$A$2:$BZ$1001,$A417,col_s8))&gt;0)))</f>
        <v/>
      </c>
      <c r="I417" s="25" t="str">
        <f t="shared" si="45"/>
        <v/>
      </c>
      <c r="J417" s="25" t="str">
        <f t="shared" si="46"/>
        <v/>
      </c>
      <c r="K417" s="24" t="str">
        <f t="shared" si="47"/>
        <v/>
      </c>
      <c r="L417" s="24" t="str">
        <f t="shared" si="48"/>
        <v/>
      </c>
    </row>
    <row r="418" spans="1:12" x14ac:dyDescent="0.25">
      <c r="A418" s="24">
        <f t="shared" si="42"/>
        <v>417</v>
      </c>
      <c r="B418" s="25" t="str">
        <f>IF($A418&gt;nrows,"",IF(col_user=0,"",INDEX('Paste Export'!$A$2:$BZ$1001,$A418,col_user)))</f>
        <v/>
      </c>
      <c r="C418" s="24" t="str">
        <f>IF($A418&gt;nrows,"",IF(col_days=0,0,N(INDEX('Paste Export'!$A$2:$BZ$1001,$A418,col_days))))</f>
        <v/>
      </c>
      <c r="D418" s="24" t="str">
        <f>IF($A418&gt;nrows,"",IF(col_prompts=0,0,N(INDEX('Paste Export'!$A$2:$BZ$1001,$A418,col_prompts))))</f>
        <v/>
      </c>
      <c r="E418" s="24" t="str">
        <f>IF($A418&gt;nrows,"",IF(col_web=0,0,N(INDEX('Paste Export'!$A$2:$BZ$1001,$A418,col_web))))</f>
        <v/>
      </c>
      <c r="F418" s="26" t="str">
        <f t="shared" si="43"/>
        <v/>
      </c>
      <c r="G418" s="27" t="str">
        <f t="shared" si="44"/>
        <v/>
      </c>
      <c r="H418" s="24" t="str">
        <f>IF($A418&gt;nrows,"",IF(col_s1=0,0,--(LEN(INDEX('Paste Export'!$A$2:$BZ$1001,$A418,col_s1))&gt;0))+IF(col_s2=0,0,--(LEN(INDEX('Paste Export'!$A$2:$BZ$1001,$A418,col_s2))&gt;0))+IF(col_s3=0,0,--(LEN(INDEX('Paste Export'!$A$2:$BZ$1001,$A418,col_s3))&gt;0))+IF(col_s4=0,0,--(LEN(INDEX('Paste Export'!$A$2:$BZ$1001,$A418,col_s4))&gt;0))+IF(col_s5=0,0,--(LEN(INDEX('Paste Export'!$A$2:$BZ$1001,$A418,col_s5))&gt;0))+IF(col_s6=0,0,--(LEN(INDEX('Paste Export'!$A$2:$BZ$1001,$A418,col_s6))&gt;0))+IF(col_s7=0,0,--(LEN(INDEX('Paste Export'!$A$2:$BZ$1001,$A418,col_s7))&gt;0))+IF(col_s8=0,0,--(LEN(INDEX('Paste Export'!$A$2:$BZ$1001,$A418,col_s8))&gt;0)))</f>
        <v/>
      </c>
      <c r="I418" s="25" t="str">
        <f t="shared" si="45"/>
        <v/>
      </c>
      <c r="J418" s="25" t="str">
        <f t="shared" si="46"/>
        <v/>
      </c>
      <c r="K418" s="24" t="str">
        <f t="shared" si="47"/>
        <v/>
      </c>
      <c r="L418" s="24" t="str">
        <f t="shared" si="48"/>
        <v/>
      </c>
    </row>
    <row r="419" spans="1:12" x14ac:dyDescent="0.25">
      <c r="A419" s="24">
        <f t="shared" si="42"/>
        <v>418</v>
      </c>
      <c r="B419" s="25" t="str">
        <f>IF($A419&gt;nrows,"",IF(col_user=0,"",INDEX('Paste Export'!$A$2:$BZ$1001,$A419,col_user)))</f>
        <v/>
      </c>
      <c r="C419" s="24" t="str">
        <f>IF($A419&gt;nrows,"",IF(col_days=0,0,N(INDEX('Paste Export'!$A$2:$BZ$1001,$A419,col_days))))</f>
        <v/>
      </c>
      <c r="D419" s="24" t="str">
        <f>IF($A419&gt;nrows,"",IF(col_prompts=0,0,N(INDEX('Paste Export'!$A$2:$BZ$1001,$A419,col_prompts))))</f>
        <v/>
      </c>
      <c r="E419" s="24" t="str">
        <f>IF($A419&gt;nrows,"",IF(col_web=0,0,N(INDEX('Paste Export'!$A$2:$BZ$1001,$A419,col_web))))</f>
        <v/>
      </c>
      <c r="F419" s="26" t="str">
        <f t="shared" si="43"/>
        <v/>
      </c>
      <c r="G419" s="27" t="str">
        <f t="shared" si="44"/>
        <v/>
      </c>
      <c r="H419" s="24" t="str">
        <f>IF($A419&gt;nrows,"",IF(col_s1=0,0,--(LEN(INDEX('Paste Export'!$A$2:$BZ$1001,$A419,col_s1))&gt;0))+IF(col_s2=0,0,--(LEN(INDEX('Paste Export'!$A$2:$BZ$1001,$A419,col_s2))&gt;0))+IF(col_s3=0,0,--(LEN(INDEX('Paste Export'!$A$2:$BZ$1001,$A419,col_s3))&gt;0))+IF(col_s4=0,0,--(LEN(INDEX('Paste Export'!$A$2:$BZ$1001,$A419,col_s4))&gt;0))+IF(col_s5=0,0,--(LEN(INDEX('Paste Export'!$A$2:$BZ$1001,$A419,col_s5))&gt;0))+IF(col_s6=0,0,--(LEN(INDEX('Paste Export'!$A$2:$BZ$1001,$A419,col_s6))&gt;0))+IF(col_s7=0,0,--(LEN(INDEX('Paste Export'!$A$2:$BZ$1001,$A419,col_s7))&gt;0))+IF(col_s8=0,0,--(LEN(INDEX('Paste Export'!$A$2:$BZ$1001,$A419,col_s8))&gt;0)))</f>
        <v/>
      </c>
      <c r="I419" s="25" t="str">
        <f t="shared" si="45"/>
        <v/>
      </c>
      <c r="J419" s="25" t="str">
        <f t="shared" si="46"/>
        <v/>
      </c>
      <c r="K419" s="24" t="str">
        <f t="shared" si="47"/>
        <v/>
      </c>
      <c r="L419" s="24" t="str">
        <f t="shared" si="48"/>
        <v/>
      </c>
    </row>
    <row r="420" spans="1:12" x14ac:dyDescent="0.25">
      <c r="A420" s="24">
        <f t="shared" si="42"/>
        <v>419</v>
      </c>
      <c r="B420" s="25" t="str">
        <f>IF($A420&gt;nrows,"",IF(col_user=0,"",INDEX('Paste Export'!$A$2:$BZ$1001,$A420,col_user)))</f>
        <v/>
      </c>
      <c r="C420" s="24" t="str">
        <f>IF($A420&gt;nrows,"",IF(col_days=0,0,N(INDEX('Paste Export'!$A$2:$BZ$1001,$A420,col_days))))</f>
        <v/>
      </c>
      <c r="D420" s="24" t="str">
        <f>IF($A420&gt;nrows,"",IF(col_prompts=0,0,N(INDEX('Paste Export'!$A$2:$BZ$1001,$A420,col_prompts))))</f>
        <v/>
      </c>
      <c r="E420" s="24" t="str">
        <f>IF($A420&gt;nrows,"",IF(col_web=0,0,N(INDEX('Paste Export'!$A$2:$BZ$1001,$A420,col_web))))</f>
        <v/>
      </c>
      <c r="F420" s="26" t="str">
        <f t="shared" si="43"/>
        <v/>
      </c>
      <c r="G420" s="27" t="str">
        <f t="shared" si="44"/>
        <v/>
      </c>
      <c r="H420" s="24" t="str">
        <f>IF($A420&gt;nrows,"",IF(col_s1=0,0,--(LEN(INDEX('Paste Export'!$A$2:$BZ$1001,$A420,col_s1))&gt;0))+IF(col_s2=0,0,--(LEN(INDEX('Paste Export'!$A$2:$BZ$1001,$A420,col_s2))&gt;0))+IF(col_s3=0,0,--(LEN(INDEX('Paste Export'!$A$2:$BZ$1001,$A420,col_s3))&gt;0))+IF(col_s4=0,0,--(LEN(INDEX('Paste Export'!$A$2:$BZ$1001,$A420,col_s4))&gt;0))+IF(col_s5=0,0,--(LEN(INDEX('Paste Export'!$A$2:$BZ$1001,$A420,col_s5))&gt;0))+IF(col_s6=0,0,--(LEN(INDEX('Paste Export'!$A$2:$BZ$1001,$A420,col_s6))&gt;0))+IF(col_s7=0,0,--(LEN(INDEX('Paste Export'!$A$2:$BZ$1001,$A420,col_s7))&gt;0))+IF(col_s8=0,0,--(LEN(INDEX('Paste Export'!$A$2:$BZ$1001,$A420,col_s8))&gt;0)))</f>
        <v/>
      </c>
      <c r="I420" s="25" t="str">
        <f t="shared" si="45"/>
        <v/>
      </c>
      <c r="J420" s="25" t="str">
        <f t="shared" si="46"/>
        <v/>
      </c>
      <c r="K420" s="24" t="str">
        <f t="shared" si="47"/>
        <v/>
      </c>
      <c r="L420" s="24" t="str">
        <f t="shared" si="48"/>
        <v/>
      </c>
    </row>
    <row r="421" spans="1:12" x14ac:dyDescent="0.25">
      <c r="A421" s="24">
        <f t="shared" si="42"/>
        <v>420</v>
      </c>
      <c r="B421" s="25" t="str">
        <f>IF($A421&gt;nrows,"",IF(col_user=0,"",INDEX('Paste Export'!$A$2:$BZ$1001,$A421,col_user)))</f>
        <v/>
      </c>
      <c r="C421" s="24" t="str">
        <f>IF($A421&gt;nrows,"",IF(col_days=0,0,N(INDEX('Paste Export'!$A$2:$BZ$1001,$A421,col_days))))</f>
        <v/>
      </c>
      <c r="D421" s="24" t="str">
        <f>IF($A421&gt;nrows,"",IF(col_prompts=0,0,N(INDEX('Paste Export'!$A$2:$BZ$1001,$A421,col_prompts))))</f>
        <v/>
      </c>
      <c r="E421" s="24" t="str">
        <f>IF($A421&gt;nrows,"",IF(col_web=0,0,N(INDEX('Paste Export'!$A$2:$BZ$1001,$A421,col_web))))</f>
        <v/>
      </c>
      <c r="F421" s="26" t="str">
        <f t="shared" si="43"/>
        <v/>
      </c>
      <c r="G421" s="27" t="str">
        <f t="shared" si="44"/>
        <v/>
      </c>
      <c r="H421" s="24" t="str">
        <f>IF($A421&gt;nrows,"",IF(col_s1=0,0,--(LEN(INDEX('Paste Export'!$A$2:$BZ$1001,$A421,col_s1))&gt;0))+IF(col_s2=0,0,--(LEN(INDEX('Paste Export'!$A$2:$BZ$1001,$A421,col_s2))&gt;0))+IF(col_s3=0,0,--(LEN(INDEX('Paste Export'!$A$2:$BZ$1001,$A421,col_s3))&gt;0))+IF(col_s4=0,0,--(LEN(INDEX('Paste Export'!$A$2:$BZ$1001,$A421,col_s4))&gt;0))+IF(col_s5=0,0,--(LEN(INDEX('Paste Export'!$A$2:$BZ$1001,$A421,col_s5))&gt;0))+IF(col_s6=0,0,--(LEN(INDEX('Paste Export'!$A$2:$BZ$1001,$A421,col_s6))&gt;0))+IF(col_s7=0,0,--(LEN(INDEX('Paste Export'!$A$2:$BZ$1001,$A421,col_s7))&gt;0))+IF(col_s8=0,0,--(LEN(INDEX('Paste Export'!$A$2:$BZ$1001,$A421,col_s8))&gt;0)))</f>
        <v/>
      </c>
      <c r="I421" s="25" t="str">
        <f t="shared" si="45"/>
        <v/>
      </c>
      <c r="J421" s="25" t="str">
        <f t="shared" si="46"/>
        <v/>
      </c>
      <c r="K421" s="24" t="str">
        <f t="shared" si="47"/>
        <v/>
      </c>
      <c r="L421" s="24" t="str">
        <f t="shared" si="48"/>
        <v/>
      </c>
    </row>
    <row r="422" spans="1:12" x14ac:dyDescent="0.25">
      <c r="A422" s="24">
        <f t="shared" si="42"/>
        <v>421</v>
      </c>
      <c r="B422" s="25" t="str">
        <f>IF($A422&gt;nrows,"",IF(col_user=0,"",INDEX('Paste Export'!$A$2:$BZ$1001,$A422,col_user)))</f>
        <v/>
      </c>
      <c r="C422" s="24" t="str">
        <f>IF($A422&gt;nrows,"",IF(col_days=0,0,N(INDEX('Paste Export'!$A$2:$BZ$1001,$A422,col_days))))</f>
        <v/>
      </c>
      <c r="D422" s="24" t="str">
        <f>IF($A422&gt;nrows,"",IF(col_prompts=0,0,N(INDEX('Paste Export'!$A$2:$BZ$1001,$A422,col_prompts))))</f>
        <v/>
      </c>
      <c r="E422" s="24" t="str">
        <f>IF($A422&gt;nrows,"",IF(col_web=0,0,N(INDEX('Paste Export'!$A$2:$BZ$1001,$A422,col_web))))</f>
        <v/>
      </c>
      <c r="F422" s="26" t="str">
        <f t="shared" si="43"/>
        <v/>
      </c>
      <c r="G422" s="27" t="str">
        <f t="shared" si="44"/>
        <v/>
      </c>
      <c r="H422" s="24" t="str">
        <f>IF($A422&gt;nrows,"",IF(col_s1=0,0,--(LEN(INDEX('Paste Export'!$A$2:$BZ$1001,$A422,col_s1))&gt;0))+IF(col_s2=0,0,--(LEN(INDEX('Paste Export'!$A$2:$BZ$1001,$A422,col_s2))&gt;0))+IF(col_s3=0,0,--(LEN(INDEX('Paste Export'!$A$2:$BZ$1001,$A422,col_s3))&gt;0))+IF(col_s4=0,0,--(LEN(INDEX('Paste Export'!$A$2:$BZ$1001,$A422,col_s4))&gt;0))+IF(col_s5=0,0,--(LEN(INDEX('Paste Export'!$A$2:$BZ$1001,$A422,col_s5))&gt;0))+IF(col_s6=0,0,--(LEN(INDEX('Paste Export'!$A$2:$BZ$1001,$A422,col_s6))&gt;0))+IF(col_s7=0,0,--(LEN(INDEX('Paste Export'!$A$2:$BZ$1001,$A422,col_s7))&gt;0))+IF(col_s8=0,0,--(LEN(INDEX('Paste Export'!$A$2:$BZ$1001,$A422,col_s8))&gt;0)))</f>
        <v/>
      </c>
      <c r="I422" s="25" t="str">
        <f t="shared" si="45"/>
        <v/>
      </c>
      <c r="J422" s="25" t="str">
        <f t="shared" si="46"/>
        <v/>
      </c>
      <c r="K422" s="24" t="str">
        <f t="shared" si="47"/>
        <v/>
      </c>
      <c r="L422" s="24" t="str">
        <f t="shared" si="48"/>
        <v/>
      </c>
    </row>
    <row r="423" spans="1:12" x14ac:dyDescent="0.25">
      <c r="A423" s="24">
        <f t="shared" si="42"/>
        <v>422</v>
      </c>
      <c r="B423" s="25" t="str">
        <f>IF($A423&gt;nrows,"",IF(col_user=0,"",INDEX('Paste Export'!$A$2:$BZ$1001,$A423,col_user)))</f>
        <v/>
      </c>
      <c r="C423" s="24" t="str">
        <f>IF($A423&gt;nrows,"",IF(col_days=0,0,N(INDEX('Paste Export'!$A$2:$BZ$1001,$A423,col_days))))</f>
        <v/>
      </c>
      <c r="D423" s="24" t="str">
        <f>IF($A423&gt;nrows,"",IF(col_prompts=0,0,N(INDEX('Paste Export'!$A$2:$BZ$1001,$A423,col_prompts))))</f>
        <v/>
      </c>
      <c r="E423" s="24" t="str">
        <f>IF($A423&gt;nrows,"",IF(col_web=0,0,N(INDEX('Paste Export'!$A$2:$BZ$1001,$A423,col_web))))</f>
        <v/>
      </c>
      <c r="F423" s="26" t="str">
        <f t="shared" si="43"/>
        <v/>
      </c>
      <c r="G423" s="27" t="str">
        <f t="shared" si="44"/>
        <v/>
      </c>
      <c r="H423" s="24" t="str">
        <f>IF($A423&gt;nrows,"",IF(col_s1=0,0,--(LEN(INDEX('Paste Export'!$A$2:$BZ$1001,$A423,col_s1))&gt;0))+IF(col_s2=0,0,--(LEN(INDEX('Paste Export'!$A$2:$BZ$1001,$A423,col_s2))&gt;0))+IF(col_s3=0,0,--(LEN(INDEX('Paste Export'!$A$2:$BZ$1001,$A423,col_s3))&gt;0))+IF(col_s4=0,0,--(LEN(INDEX('Paste Export'!$A$2:$BZ$1001,$A423,col_s4))&gt;0))+IF(col_s5=0,0,--(LEN(INDEX('Paste Export'!$A$2:$BZ$1001,$A423,col_s5))&gt;0))+IF(col_s6=0,0,--(LEN(INDEX('Paste Export'!$A$2:$BZ$1001,$A423,col_s6))&gt;0))+IF(col_s7=0,0,--(LEN(INDEX('Paste Export'!$A$2:$BZ$1001,$A423,col_s7))&gt;0))+IF(col_s8=0,0,--(LEN(INDEX('Paste Export'!$A$2:$BZ$1001,$A423,col_s8))&gt;0)))</f>
        <v/>
      </c>
      <c r="I423" s="25" t="str">
        <f t="shared" si="45"/>
        <v/>
      </c>
      <c r="J423" s="25" t="str">
        <f t="shared" si="46"/>
        <v/>
      </c>
      <c r="K423" s="24" t="str">
        <f t="shared" si="47"/>
        <v/>
      </c>
      <c r="L423" s="24" t="str">
        <f t="shared" si="48"/>
        <v/>
      </c>
    </row>
    <row r="424" spans="1:12" x14ac:dyDescent="0.25">
      <c r="A424" s="24">
        <f t="shared" si="42"/>
        <v>423</v>
      </c>
      <c r="B424" s="25" t="str">
        <f>IF($A424&gt;nrows,"",IF(col_user=0,"",INDEX('Paste Export'!$A$2:$BZ$1001,$A424,col_user)))</f>
        <v/>
      </c>
      <c r="C424" s="24" t="str">
        <f>IF($A424&gt;nrows,"",IF(col_days=0,0,N(INDEX('Paste Export'!$A$2:$BZ$1001,$A424,col_days))))</f>
        <v/>
      </c>
      <c r="D424" s="24" t="str">
        <f>IF($A424&gt;nrows,"",IF(col_prompts=0,0,N(INDEX('Paste Export'!$A$2:$BZ$1001,$A424,col_prompts))))</f>
        <v/>
      </c>
      <c r="E424" s="24" t="str">
        <f>IF($A424&gt;nrows,"",IF(col_web=0,0,N(INDEX('Paste Export'!$A$2:$BZ$1001,$A424,col_web))))</f>
        <v/>
      </c>
      <c r="F424" s="26" t="str">
        <f t="shared" si="43"/>
        <v/>
      </c>
      <c r="G424" s="27" t="str">
        <f t="shared" si="44"/>
        <v/>
      </c>
      <c r="H424" s="24" t="str">
        <f>IF($A424&gt;nrows,"",IF(col_s1=0,0,--(LEN(INDEX('Paste Export'!$A$2:$BZ$1001,$A424,col_s1))&gt;0))+IF(col_s2=0,0,--(LEN(INDEX('Paste Export'!$A$2:$BZ$1001,$A424,col_s2))&gt;0))+IF(col_s3=0,0,--(LEN(INDEX('Paste Export'!$A$2:$BZ$1001,$A424,col_s3))&gt;0))+IF(col_s4=0,0,--(LEN(INDEX('Paste Export'!$A$2:$BZ$1001,$A424,col_s4))&gt;0))+IF(col_s5=0,0,--(LEN(INDEX('Paste Export'!$A$2:$BZ$1001,$A424,col_s5))&gt;0))+IF(col_s6=0,0,--(LEN(INDEX('Paste Export'!$A$2:$BZ$1001,$A424,col_s6))&gt;0))+IF(col_s7=0,0,--(LEN(INDEX('Paste Export'!$A$2:$BZ$1001,$A424,col_s7))&gt;0))+IF(col_s8=0,0,--(LEN(INDEX('Paste Export'!$A$2:$BZ$1001,$A424,col_s8))&gt;0)))</f>
        <v/>
      </c>
      <c r="I424" s="25" t="str">
        <f t="shared" si="45"/>
        <v/>
      </c>
      <c r="J424" s="25" t="str">
        <f t="shared" si="46"/>
        <v/>
      </c>
      <c r="K424" s="24" t="str">
        <f t="shared" si="47"/>
        <v/>
      </c>
      <c r="L424" s="24" t="str">
        <f t="shared" si="48"/>
        <v/>
      </c>
    </row>
    <row r="425" spans="1:12" x14ac:dyDescent="0.25">
      <c r="A425" s="24">
        <f t="shared" si="42"/>
        <v>424</v>
      </c>
      <c r="B425" s="25" t="str">
        <f>IF($A425&gt;nrows,"",IF(col_user=0,"",INDEX('Paste Export'!$A$2:$BZ$1001,$A425,col_user)))</f>
        <v/>
      </c>
      <c r="C425" s="24" t="str">
        <f>IF($A425&gt;nrows,"",IF(col_days=0,0,N(INDEX('Paste Export'!$A$2:$BZ$1001,$A425,col_days))))</f>
        <v/>
      </c>
      <c r="D425" s="24" t="str">
        <f>IF($A425&gt;nrows,"",IF(col_prompts=0,0,N(INDEX('Paste Export'!$A$2:$BZ$1001,$A425,col_prompts))))</f>
        <v/>
      </c>
      <c r="E425" s="24" t="str">
        <f>IF($A425&gt;nrows,"",IF(col_web=0,0,N(INDEX('Paste Export'!$A$2:$BZ$1001,$A425,col_web))))</f>
        <v/>
      </c>
      <c r="F425" s="26" t="str">
        <f t="shared" si="43"/>
        <v/>
      </c>
      <c r="G425" s="27" t="str">
        <f t="shared" si="44"/>
        <v/>
      </c>
      <c r="H425" s="24" t="str">
        <f>IF($A425&gt;nrows,"",IF(col_s1=0,0,--(LEN(INDEX('Paste Export'!$A$2:$BZ$1001,$A425,col_s1))&gt;0))+IF(col_s2=0,0,--(LEN(INDEX('Paste Export'!$A$2:$BZ$1001,$A425,col_s2))&gt;0))+IF(col_s3=0,0,--(LEN(INDEX('Paste Export'!$A$2:$BZ$1001,$A425,col_s3))&gt;0))+IF(col_s4=0,0,--(LEN(INDEX('Paste Export'!$A$2:$BZ$1001,$A425,col_s4))&gt;0))+IF(col_s5=0,0,--(LEN(INDEX('Paste Export'!$A$2:$BZ$1001,$A425,col_s5))&gt;0))+IF(col_s6=0,0,--(LEN(INDEX('Paste Export'!$A$2:$BZ$1001,$A425,col_s6))&gt;0))+IF(col_s7=0,0,--(LEN(INDEX('Paste Export'!$A$2:$BZ$1001,$A425,col_s7))&gt;0))+IF(col_s8=0,0,--(LEN(INDEX('Paste Export'!$A$2:$BZ$1001,$A425,col_s8))&gt;0)))</f>
        <v/>
      </c>
      <c r="I425" s="25" t="str">
        <f t="shared" si="45"/>
        <v/>
      </c>
      <c r="J425" s="25" t="str">
        <f t="shared" si="46"/>
        <v/>
      </c>
      <c r="K425" s="24" t="str">
        <f t="shared" si="47"/>
        <v/>
      </c>
      <c r="L425" s="24" t="str">
        <f t="shared" si="48"/>
        <v/>
      </c>
    </row>
    <row r="426" spans="1:12" x14ac:dyDescent="0.25">
      <c r="A426" s="24">
        <f t="shared" si="42"/>
        <v>425</v>
      </c>
      <c r="B426" s="25" t="str">
        <f>IF($A426&gt;nrows,"",IF(col_user=0,"",INDEX('Paste Export'!$A$2:$BZ$1001,$A426,col_user)))</f>
        <v/>
      </c>
      <c r="C426" s="24" t="str">
        <f>IF($A426&gt;nrows,"",IF(col_days=0,0,N(INDEX('Paste Export'!$A$2:$BZ$1001,$A426,col_days))))</f>
        <v/>
      </c>
      <c r="D426" s="24" t="str">
        <f>IF($A426&gt;nrows,"",IF(col_prompts=0,0,N(INDEX('Paste Export'!$A$2:$BZ$1001,$A426,col_prompts))))</f>
        <v/>
      </c>
      <c r="E426" s="24" t="str">
        <f>IF($A426&gt;nrows,"",IF(col_web=0,0,N(INDEX('Paste Export'!$A$2:$BZ$1001,$A426,col_web))))</f>
        <v/>
      </c>
      <c r="F426" s="26" t="str">
        <f t="shared" si="43"/>
        <v/>
      </c>
      <c r="G426" s="27" t="str">
        <f t="shared" si="44"/>
        <v/>
      </c>
      <c r="H426" s="24" t="str">
        <f>IF($A426&gt;nrows,"",IF(col_s1=0,0,--(LEN(INDEX('Paste Export'!$A$2:$BZ$1001,$A426,col_s1))&gt;0))+IF(col_s2=0,0,--(LEN(INDEX('Paste Export'!$A$2:$BZ$1001,$A426,col_s2))&gt;0))+IF(col_s3=0,0,--(LEN(INDEX('Paste Export'!$A$2:$BZ$1001,$A426,col_s3))&gt;0))+IF(col_s4=0,0,--(LEN(INDEX('Paste Export'!$A$2:$BZ$1001,$A426,col_s4))&gt;0))+IF(col_s5=0,0,--(LEN(INDEX('Paste Export'!$A$2:$BZ$1001,$A426,col_s5))&gt;0))+IF(col_s6=0,0,--(LEN(INDEX('Paste Export'!$A$2:$BZ$1001,$A426,col_s6))&gt;0))+IF(col_s7=0,0,--(LEN(INDEX('Paste Export'!$A$2:$BZ$1001,$A426,col_s7))&gt;0))+IF(col_s8=0,0,--(LEN(INDEX('Paste Export'!$A$2:$BZ$1001,$A426,col_s8))&gt;0)))</f>
        <v/>
      </c>
      <c r="I426" s="25" t="str">
        <f t="shared" si="45"/>
        <v/>
      </c>
      <c r="J426" s="25" t="str">
        <f t="shared" si="46"/>
        <v/>
      </c>
      <c r="K426" s="24" t="str">
        <f t="shared" si="47"/>
        <v/>
      </c>
      <c r="L426" s="24" t="str">
        <f t="shared" si="48"/>
        <v/>
      </c>
    </row>
    <row r="427" spans="1:12" x14ac:dyDescent="0.25">
      <c r="A427" s="24">
        <f t="shared" si="42"/>
        <v>426</v>
      </c>
      <c r="B427" s="25" t="str">
        <f>IF($A427&gt;nrows,"",IF(col_user=0,"",INDEX('Paste Export'!$A$2:$BZ$1001,$A427,col_user)))</f>
        <v/>
      </c>
      <c r="C427" s="24" t="str">
        <f>IF($A427&gt;nrows,"",IF(col_days=0,0,N(INDEX('Paste Export'!$A$2:$BZ$1001,$A427,col_days))))</f>
        <v/>
      </c>
      <c r="D427" s="24" t="str">
        <f>IF($A427&gt;nrows,"",IF(col_prompts=0,0,N(INDEX('Paste Export'!$A$2:$BZ$1001,$A427,col_prompts))))</f>
        <v/>
      </c>
      <c r="E427" s="24" t="str">
        <f>IF($A427&gt;nrows,"",IF(col_web=0,0,N(INDEX('Paste Export'!$A$2:$BZ$1001,$A427,col_web))))</f>
        <v/>
      </c>
      <c r="F427" s="26" t="str">
        <f t="shared" si="43"/>
        <v/>
      </c>
      <c r="G427" s="27" t="str">
        <f t="shared" si="44"/>
        <v/>
      </c>
      <c r="H427" s="24" t="str">
        <f>IF($A427&gt;nrows,"",IF(col_s1=0,0,--(LEN(INDEX('Paste Export'!$A$2:$BZ$1001,$A427,col_s1))&gt;0))+IF(col_s2=0,0,--(LEN(INDEX('Paste Export'!$A$2:$BZ$1001,$A427,col_s2))&gt;0))+IF(col_s3=0,0,--(LEN(INDEX('Paste Export'!$A$2:$BZ$1001,$A427,col_s3))&gt;0))+IF(col_s4=0,0,--(LEN(INDEX('Paste Export'!$A$2:$BZ$1001,$A427,col_s4))&gt;0))+IF(col_s5=0,0,--(LEN(INDEX('Paste Export'!$A$2:$BZ$1001,$A427,col_s5))&gt;0))+IF(col_s6=0,0,--(LEN(INDEX('Paste Export'!$A$2:$BZ$1001,$A427,col_s6))&gt;0))+IF(col_s7=0,0,--(LEN(INDEX('Paste Export'!$A$2:$BZ$1001,$A427,col_s7))&gt;0))+IF(col_s8=0,0,--(LEN(INDEX('Paste Export'!$A$2:$BZ$1001,$A427,col_s8))&gt;0)))</f>
        <v/>
      </c>
      <c r="I427" s="25" t="str">
        <f t="shared" si="45"/>
        <v/>
      </c>
      <c r="J427" s="25" t="str">
        <f t="shared" si="46"/>
        <v/>
      </c>
      <c r="K427" s="24" t="str">
        <f t="shared" si="47"/>
        <v/>
      </c>
      <c r="L427" s="24" t="str">
        <f t="shared" si="48"/>
        <v/>
      </c>
    </row>
    <row r="428" spans="1:12" x14ac:dyDescent="0.25">
      <c r="A428" s="24">
        <f t="shared" si="42"/>
        <v>427</v>
      </c>
      <c r="B428" s="25" t="str">
        <f>IF($A428&gt;nrows,"",IF(col_user=0,"",INDEX('Paste Export'!$A$2:$BZ$1001,$A428,col_user)))</f>
        <v/>
      </c>
      <c r="C428" s="24" t="str">
        <f>IF($A428&gt;nrows,"",IF(col_days=0,0,N(INDEX('Paste Export'!$A$2:$BZ$1001,$A428,col_days))))</f>
        <v/>
      </c>
      <c r="D428" s="24" t="str">
        <f>IF($A428&gt;nrows,"",IF(col_prompts=0,0,N(INDEX('Paste Export'!$A$2:$BZ$1001,$A428,col_prompts))))</f>
        <v/>
      </c>
      <c r="E428" s="24" t="str">
        <f>IF($A428&gt;nrows,"",IF(col_web=0,0,N(INDEX('Paste Export'!$A$2:$BZ$1001,$A428,col_web))))</f>
        <v/>
      </c>
      <c r="F428" s="26" t="str">
        <f t="shared" si="43"/>
        <v/>
      </c>
      <c r="G428" s="27" t="str">
        <f t="shared" si="44"/>
        <v/>
      </c>
      <c r="H428" s="24" t="str">
        <f>IF($A428&gt;nrows,"",IF(col_s1=0,0,--(LEN(INDEX('Paste Export'!$A$2:$BZ$1001,$A428,col_s1))&gt;0))+IF(col_s2=0,0,--(LEN(INDEX('Paste Export'!$A$2:$BZ$1001,$A428,col_s2))&gt;0))+IF(col_s3=0,0,--(LEN(INDEX('Paste Export'!$A$2:$BZ$1001,$A428,col_s3))&gt;0))+IF(col_s4=0,0,--(LEN(INDEX('Paste Export'!$A$2:$BZ$1001,$A428,col_s4))&gt;0))+IF(col_s5=0,0,--(LEN(INDEX('Paste Export'!$A$2:$BZ$1001,$A428,col_s5))&gt;0))+IF(col_s6=0,0,--(LEN(INDEX('Paste Export'!$A$2:$BZ$1001,$A428,col_s6))&gt;0))+IF(col_s7=0,0,--(LEN(INDEX('Paste Export'!$A$2:$BZ$1001,$A428,col_s7))&gt;0))+IF(col_s8=0,0,--(LEN(INDEX('Paste Export'!$A$2:$BZ$1001,$A428,col_s8))&gt;0)))</f>
        <v/>
      </c>
      <c r="I428" s="25" t="str">
        <f t="shared" si="45"/>
        <v/>
      </c>
      <c r="J428" s="25" t="str">
        <f t="shared" si="46"/>
        <v/>
      </c>
      <c r="K428" s="24" t="str">
        <f t="shared" si="47"/>
        <v/>
      </c>
      <c r="L428" s="24" t="str">
        <f t="shared" si="48"/>
        <v/>
      </c>
    </row>
    <row r="429" spans="1:12" x14ac:dyDescent="0.25">
      <c r="A429" s="24">
        <f t="shared" si="42"/>
        <v>428</v>
      </c>
      <c r="B429" s="25" t="str">
        <f>IF($A429&gt;nrows,"",IF(col_user=0,"",INDEX('Paste Export'!$A$2:$BZ$1001,$A429,col_user)))</f>
        <v/>
      </c>
      <c r="C429" s="24" t="str">
        <f>IF($A429&gt;nrows,"",IF(col_days=0,0,N(INDEX('Paste Export'!$A$2:$BZ$1001,$A429,col_days))))</f>
        <v/>
      </c>
      <c r="D429" s="24" t="str">
        <f>IF($A429&gt;nrows,"",IF(col_prompts=0,0,N(INDEX('Paste Export'!$A$2:$BZ$1001,$A429,col_prompts))))</f>
        <v/>
      </c>
      <c r="E429" s="24" t="str">
        <f>IF($A429&gt;nrows,"",IF(col_web=0,0,N(INDEX('Paste Export'!$A$2:$BZ$1001,$A429,col_web))))</f>
        <v/>
      </c>
      <c r="F429" s="26" t="str">
        <f t="shared" si="43"/>
        <v/>
      </c>
      <c r="G429" s="27" t="str">
        <f t="shared" si="44"/>
        <v/>
      </c>
      <c r="H429" s="24" t="str">
        <f>IF($A429&gt;nrows,"",IF(col_s1=0,0,--(LEN(INDEX('Paste Export'!$A$2:$BZ$1001,$A429,col_s1))&gt;0))+IF(col_s2=0,0,--(LEN(INDEX('Paste Export'!$A$2:$BZ$1001,$A429,col_s2))&gt;0))+IF(col_s3=0,0,--(LEN(INDEX('Paste Export'!$A$2:$BZ$1001,$A429,col_s3))&gt;0))+IF(col_s4=0,0,--(LEN(INDEX('Paste Export'!$A$2:$BZ$1001,$A429,col_s4))&gt;0))+IF(col_s5=0,0,--(LEN(INDEX('Paste Export'!$A$2:$BZ$1001,$A429,col_s5))&gt;0))+IF(col_s6=0,0,--(LEN(INDEX('Paste Export'!$A$2:$BZ$1001,$A429,col_s6))&gt;0))+IF(col_s7=0,0,--(LEN(INDEX('Paste Export'!$A$2:$BZ$1001,$A429,col_s7))&gt;0))+IF(col_s8=0,0,--(LEN(INDEX('Paste Export'!$A$2:$BZ$1001,$A429,col_s8))&gt;0)))</f>
        <v/>
      </c>
      <c r="I429" s="25" t="str">
        <f t="shared" si="45"/>
        <v/>
      </c>
      <c r="J429" s="25" t="str">
        <f t="shared" si="46"/>
        <v/>
      </c>
      <c r="K429" s="24" t="str">
        <f t="shared" si="47"/>
        <v/>
      </c>
      <c r="L429" s="24" t="str">
        <f t="shared" si="48"/>
        <v/>
      </c>
    </row>
    <row r="430" spans="1:12" x14ac:dyDescent="0.25">
      <c r="A430" s="24">
        <f t="shared" si="42"/>
        <v>429</v>
      </c>
      <c r="B430" s="25" t="str">
        <f>IF($A430&gt;nrows,"",IF(col_user=0,"",INDEX('Paste Export'!$A$2:$BZ$1001,$A430,col_user)))</f>
        <v/>
      </c>
      <c r="C430" s="24" t="str">
        <f>IF($A430&gt;nrows,"",IF(col_days=0,0,N(INDEX('Paste Export'!$A$2:$BZ$1001,$A430,col_days))))</f>
        <v/>
      </c>
      <c r="D430" s="24" t="str">
        <f>IF($A430&gt;nrows,"",IF(col_prompts=0,0,N(INDEX('Paste Export'!$A$2:$BZ$1001,$A430,col_prompts))))</f>
        <v/>
      </c>
      <c r="E430" s="24" t="str">
        <f>IF($A430&gt;nrows,"",IF(col_web=0,0,N(INDEX('Paste Export'!$A$2:$BZ$1001,$A430,col_web))))</f>
        <v/>
      </c>
      <c r="F430" s="26" t="str">
        <f t="shared" si="43"/>
        <v/>
      </c>
      <c r="G430" s="27" t="str">
        <f t="shared" si="44"/>
        <v/>
      </c>
      <c r="H430" s="24" t="str">
        <f>IF($A430&gt;nrows,"",IF(col_s1=0,0,--(LEN(INDEX('Paste Export'!$A$2:$BZ$1001,$A430,col_s1))&gt;0))+IF(col_s2=0,0,--(LEN(INDEX('Paste Export'!$A$2:$BZ$1001,$A430,col_s2))&gt;0))+IF(col_s3=0,0,--(LEN(INDEX('Paste Export'!$A$2:$BZ$1001,$A430,col_s3))&gt;0))+IF(col_s4=0,0,--(LEN(INDEX('Paste Export'!$A$2:$BZ$1001,$A430,col_s4))&gt;0))+IF(col_s5=0,0,--(LEN(INDEX('Paste Export'!$A$2:$BZ$1001,$A430,col_s5))&gt;0))+IF(col_s6=0,0,--(LEN(INDEX('Paste Export'!$A$2:$BZ$1001,$A430,col_s6))&gt;0))+IF(col_s7=0,0,--(LEN(INDEX('Paste Export'!$A$2:$BZ$1001,$A430,col_s7))&gt;0))+IF(col_s8=0,0,--(LEN(INDEX('Paste Export'!$A$2:$BZ$1001,$A430,col_s8))&gt;0)))</f>
        <v/>
      </c>
      <c r="I430" s="25" t="str">
        <f t="shared" si="45"/>
        <v/>
      </c>
      <c r="J430" s="25" t="str">
        <f t="shared" si="46"/>
        <v/>
      </c>
      <c r="K430" s="24" t="str">
        <f t="shared" si="47"/>
        <v/>
      </c>
      <c r="L430" s="24" t="str">
        <f t="shared" si="48"/>
        <v/>
      </c>
    </row>
    <row r="431" spans="1:12" x14ac:dyDescent="0.25">
      <c r="A431" s="24">
        <f t="shared" si="42"/>
        <v>430</v>
      </c>
      <c r="B431" s="25" t="str">
        <f>IF($A431&gt;nrows,"",IF(col_user=0,"",INDEX('Paste Export'!$A$2:$BZ$1001,$A431,col_user)))</f>
        <v/>
      </c>
      <c r="C431" s="24" t="str">
        <f>IF($A431&gt;nrows,"",IF(col_days=0,0,N(INDEX('Paste Export'!$A$2:$BZ$1001,$A431,col_days))))</f>
        <v/>
      </c>
      <c r="D431" s="24" t="str">
        <f>IF($A431&gt;nrows,"",IF(col_prompts=0,0,N(INDEX('Paste Export'!$A$2:$BZ$1001,$A431,col_prompts))))</f>
        <v/>
      </c>
      <c r="E431" s="24" t="str">
        <f>IF($A431&gt;nrows,"",IF(col_web=0,0,N(INDEX('Paste Export'!$A$2:$BZ$1001,$A431,col_web))))</f>
        <v/>
      </c>
      <c r="F431" s="26" t="str">
        <f t="shared" si="43"/>
        <v/>
      </c>
      <c r="G431" s="27" t="str">
        <f t="shared" si="44"/>
        <v/>
      </c>
      <c r="H431" s="24" t="str">
        <f>IF($A431&gt;nrows,"",IF(col_s1=0,0,--(LEN(INDEX('Paste Export'!$A$2:$BZ$1001,$A431,col_s1))&gt;0))+IF(col_s2=0,0,--(LEN(INDEX('Paste Export'!$A$2:$BZ$1001,$A431,col_s2))&gt;0))+IF(col_s3=0,0,--(LEN(INDEX('Paste Export'!$A$2:$BZ$1001,$A431,col_s3))&gt;0))+IF(col_s4=0,0,--(LEN(INDEX('Paste Export'!$A$2:$BZ$1001,$A431,col_s4))&gt;0))+IF(col_s5=0,0,--(LEN(INDEX('Paste Export'!$A$2:$BZ$1001,$A431,col_s5))&gt;0))+IF(col_s6=0,0,--(LEN(INDEX('Paste Export'!$A$2:$BZ$1001,$A431,col_s6))&gt;0))+IF(col_s7=0,0,--(LEN(INDEX('Paste Export'!$A$2:$BZ$1001,$A431,col_s7))&gt;0))+IF(col_s8=0,0,--(LEN(INDEX('Paste Export'!$A$2:$BZ$1001,$A431,col_s8))&gt;0)))</f>
        <v/>
      </c>
      <c r="I431" s="25" t="str">
        <f t="shared" si="45"/>
        <v/>
      </c>
      <c r="J431" s="25" t="str">
        <f t="shared" si="46"/>
        <v/>
      </c>
      <c r="K431" s="24" t="str">
        <f t="shared" si="47"/>
        <v/>
      </c>
      <c r="L431" s="24" t="str">
        <f t="shared" si="48"/>
        <v/>
      </c>
    </row>
    <row r="432" spans="1:12" x14ac:dyDescent="0.25">
      <c r="A432" s="24">
        <f t="shared" si="42"/>
        <v>431</v>
      </c>
      <c r="B432" s="25" t="str">
        <f>IF($A432&gt;nrows,"",IF(col_user=0,"",INDEX('Paste Export'!$A$2:$BZ$1001,$A432,col_user)))</f>
        <v/>
      </c>
      <c r="C432" s="24" t="str">
        <f>IF($A432&gt;nrows,"",IF(col_days=0,0,N(INDEX('Paste Export'!$A$2:$BZ$1001,$A432,col_days))))</f>
        <v/>
      </c>
      <c r="D432" s="24" t="str">
        <f>IF($A432&gt;nrows,"",IF(col_prompts=0,0,N(INDEX('Paste Export'!$A$2:$BZ$1001,$A432,col_prompts))))</f>
        <v/>
      </c>
      <c r="E432" s="24" t="str">
        <f>IF($A432&gt;nrows,"",IF(col_web=0,0,N(INDEX('Paste Export'!$A$2:$BZ$1001,$A432,col_web))))</f>
        <v/>
      </c>
      <c r="F432" s="26" t="str">
        <f t="shared" si="43"/>
        <v/>
      </c>
      <c r="G432" s="27" t="str">
        <f t="shared" si="44"/>
        <v/>
      </c>
      <c r="H432" s="24" t="str">
        <f>IF($A432&gt;nrows,"",IF(col_s1=0,0,--(LEN(INDEX('Paste Export'!$A$2:$BZ$1001,$A432,col_s1))&gt;0))+IF(col_s2=0,0,--(LEN(INDEX('Paste Export'!$A$2:$BZ$1001,$A432,col_s2))&gt;0))+IF(col_s3=0,0,--(LEN(INDEX('Paste Export'!$A$2:$BZ$1001,$A432,col_s3))&gt;0))+IF(col_s4=0,0,--(LEN(INDEX('Paste Export'!$A$2:$BZ$1001,$A432,col_s4))&gt;0))+IF(col_s5=0,0,--(LEN(INDEX('Paste Export'!$A$2:$BZ$1001,$A432,col_s5))&gt;0))+IF(col_s6=0,0,--(LEN(INDEX('Paste Export'!$A$2:$BZ$1001,$A432,col_s6))&gt;0))+IF(col_s7=0,0,--(LEN(INDEX('Paste Export'!$A$2:$BZ$1001,$A432,col_s7))&gt;0))+IF(col_s8=0,0,--(LEN(INDEX('Paste Export'!$A$2:$BZ$1001,$A432,col_s8))&gt;0)))</f>
        <v/>
      </c>
      <c r="I432" s="25" t="str">
        <f t="shared" si="45"/>
        <v/>
      </c>
      <c r="J432" s="25" t="str">
        <f t="shared" si="46"/>
        <v/>
      </c>
      <c r="K432" s="24" t="str">
        <f t="shared" si="47"/>
        <v/>
      </c>
      <c r="L432" s="24" t="str">
        <f t="shared" si="48"/>
        <v/>
      </c>
    </row>
    <row r="433" spans="1:12" x14ac:dyDescent="0.25">
      <c r="A433" s="24">
        <f t="shared" si="42"/>
        <v>432</v>
      </c>
      <c r="B433" s="25" t="str">
        <f>IF($A433&gt;nrows,"",IF(col_user=0,"",INDEX('Paste Export'!$A$2:$BZ$1001,$A433,col_user)))</f>
        <v/>
      </c>
      <c r="C433" s="24" t="str">
        <f>IF($A433&gt;nrows,"",IF(col_days=0,0,N(INDEX('Paste Export'!$A$2:$BZ$1001,$A433,col_days))))</f>
        <v/>
      </c>
      <c r="D433" s="24" t="str">
        <f>IF($A433&gt;nrows,"",IF(col_prompts=0,0,N(INDEX('Paste Export'!$A$2:$BZ$1001,$A433,col_prompts))))</f>
        <v/>
      </c>
      <c r="E433" s="24" t="str">
        <f>IF($A433&gt;nrows,"",IF(col_web=0,0,N(INDEX('Paste Export'!$A$2:$BZ$1001,$A433,col_web))))</f>
        <v/>
      </c>
      <c r="F433" s="26" t="str">
        <f t="shared" si="43"/>
        <v/>
      </c>
      <c r="G433" s="27" t="str">
        <f t="shared" si="44"/>
        <v/>
      </c>
      <c r="H433" s="24" t="str">
        <f>IF($A433&gt;nrows,"",IF(col_s1=0,0,--(LEN(INDEX('Paste Export'!$A$2:$BZ$1001,$A433,col_s1))&gt;0))+IF(col_s2=0,0,--(LEN(INDEX('Paste Export'!$A$2:$BZ$1001,$A433,col_s2))&gt;0))+IF(col_s3=0,0,--(LEN(INDEX('Paste Export'!$A$2:$BZ$1001,$A433,col_s3))&gt;0))+IF(col_s4=0,0,--(LEN(INDEX('Paste Export'!$A$2:$BZ$1001,$A433,col_s4))&gt;0))+IF(col_s5=0,0,--(LEN(INDEX('Paste Export'!$A$2:$BZ$1001,$A433,col_s5))&gt;0))+IF(col_s6=0,0,--(LEN(INDEX('Paste Export'!$A$2:$BZ$1001,$A433,col_s6))&gt;0))+IF(col_s7=0,0,--(LEN(INDEX('Paste Export'!$A$2:$BZ$1001,$A433,col_s7))&gt;0))+IF(col_s8=0,0,--(LEN(INDEX('Paste Export'!$A$2:$BZ$1001,$A433,col_s8))&gt;0)))</f>
        <v/>
      </c>
      <c r="I433" s="25" t="str">
        <f t="shared" si="45"/>
        <v/>
      </c>
      <c r="J433" s="25" t="str">
        <f t="shared" si="46"/>
        <v/>
      </c>
      <c r="K433" s="24" t="str">
        <f t="shared" si="47"/>
        <v/>
      </c>
      <c r="L433" s="24" t="str">
        <f t="shared" si="48"/>
        <v/>
      </c>
    </row>
    <row r="434" spans="1:12" x14ac:dyDescent="0.25">
      <c r="A434" s="24">
        <f t="shared" si="42"/>
        <v>433</v>
      </c>
      <c r="B434" s="25" t="str">
        <f>IF($A434&gt;nrows,"",IF(col_user=0,"",INDEX('Paste Export'!$A$2:$BZ$1001,$A434,col_user)))</f>
        <v/>
      </c>
      <c r="C434" s="24" t="str">
        <f>IF($A434&gt;nrows,"",IF(col_days=0,0,N(INDEX('Paste Export'!$A$2:$BZ$1001,$A434,col_days))))</f>
        <v/>
      </c>
      <c r="D434" s="24" t="str">
        <f>IF($A434&gt;nrows,"",IF(col_prompts=0,0,N(INDEX('Paste Export'!$A$2:$BZ$1001,$A434,col_prompts))))</f>
        <v/>
      </c>
      <c r="E434" s="24" t="str">
        <f>IF($A434&gt;nrows,"",IF(col_web=0,0,N(INDEX('Paste Export'!$A$2:$BZ$1001,$A434,col_web))))</f>
        <v/>
      </c>
      <c r="F434" s="26" t="str">
        <f t="shared" si="43"/>
        <v/>
      </c>
      <c r="G434" s="27" t="str">
        <f t="shared" si="44"/>
        <v/>
      </c>
      <c r="H434" s="24" t="str">
        <f>IF($A434&gt;nrows,"",IF(col_s1=0,0,--(LEN(INDEX('Paste Export'!$A$2:$BZ$1001,$A434,col_s1))&gt;0))+IF(col_s2=0,0,--(LEN(INDEX('Paste Export'!$A$2:$BZ$1001,$A434,col_s2))&gt;0))+IF(col_s3=0,0,--(LEN(INDEX('Paste Export'!$A$2:$BZ$1001,$A434,col_s3))&gt;0))+IF(col_s4=0,0,--(LEN(INDEX('Paste Export'!$A$2:$BZ$1001,$A434,col_s4))&gt;0))+IF(col_s5=0,0,--(LEN(INDEX('Paste Export'!$A$2:$BZ$1001,$A434,col_s5))&gt;0))+IF(col_s6=0,0,--(LEN(INDEX('Paste Export'!$A$2:$BZ$1001,$A434,col_s6))&gt;0))+IF(col_s7=0,0,--(LEN(INDEX('Paste Export'!$A$2:$BZ$1001,$A434,col_s7))&gt;0))+IF(col_s8=0,0,--(LEN(INDEX('Paste Export'!$A$2:$BZ$1001,$A434,col_s8))&gt;0)))</f>
        <v/>
      </c>
      <c r="I434" s="25" t="str">
        <f t="shared" si="45"/>
        <v/>
      </c>
      <c r="J434" s="25" t="str">
        <f t="shared" si="46"/>
        <v/>
      </c>
      <c r="K434" s="24" t="str">
        <f t="shared" si="47"/>
        <v/>
      </c>
      <c r="L434" s="24" t="str">
        <f t="shared" si="48"/>
        <v/>
      </c>
    </row>
    <row r="435" spans="1:12" x14ac:dyDescent="0.25">
      <c r="A435" s="24">
        <f t="shared" si="42"/>
        <v>434</v>
      </c>
      <c r="B435" s="25" t="str">
        <f>IF($A435&gt;nrows,"",IF(col_user=0,"",INDEX('Paste Export'!$A$2:$BZ$1001,$A435,col_user)))</f>
        <v/>
      </c>
      <c r="C435" s="24" t="str">
        <f>IF($A435&gt;nrows,"",IF(col_days=0,0,N(INDEX('Paste Export'!$A$2:$BZ$1001,$A435,col_days))))</f>
        <v/>
      </c>
      <c r="D435" s="24" t="str">
        <f>IF($A435&gt;nrows,"",IF(col_prompts=0,0,N(INDEX('Paste Export'!$A$2:$BZ$1001,$A435,col_prompts))))</f>
        <v/>
      </c>
      <c r="E435" s="24" t="str">
        <f>IF($A435&gt;nrows,"",IF(col_web=0,0,N(INDEX('Paste Export'!$A$2:$BZ$1001,$A435,col_web))))</f>
        <v/>
      </c>
      <c r="F435" s="26" t="str">
        <f t="shared" si="43"/>
        <v/>
      </c>
      <c r="G435" s="27" t="str">
        <f t="shared" si="44"/>
        <v/>
      </c>
      <c r="H435" s="24" t="str">
        <f>IF($A435&gt;nrows,"",IF(col_s1=0,0,--(LEN(INDEX('Paste Export'!$A$2:$BZ$1001,$A435,col_s1))&gt;0))+IF(col_s2=0,0,--(LEN(INDEX('Paste Export'!$A$2:$BZ$1001,$A435,col_s2))&gt;0))+IF(col_s3=0,0,--(LEN(INDEX('Paste Export'!$A$2:$BZ$1001,$A435,col_s3))&gt;0))+IF(col_s4=0,0,--(LEN(INDEX('Paste Export'!$A$2:$BZ$1001,$A435,col_s4))&gt;0))+IF(col_s5=0,0,--(LEN(INDEX('Paste Export'!$A$2:$BZ$1001,$A435,col_s5))&gt;0))+IF(col_s6=0,0,--(LEN(INDEX('Paste Export'!$A$2:$BZ$1001,$A435,col_s6))&gt;0))+IF(col_s7=0,0,--(LEN(INDEX('Paste Export'!$A$2:$BZ$1001,$A435,col_s7))&gt;0))+IF(col_s8=0,0,--(LEN(INDEX('Paste Export'!$A$2:$BZ$1001,$A435,col_s8))&gt;0)))</f>
        <v/>
      </c>
      <c r="I435" s="25" t="str">
        <f t="shared" si="45"/>
        <v/>
      </c>
      <c r="J435" s="25" t="str">
        <f t="shared" si="46"/>
        <v/>
      </c>
      <c r="K435" s="24" t="str">
        <f t="shared" si="47"/>
        <v/>
      </c>
      <c r="L435" s="24" t="str">
        <f t="shared" si="48"/>
        <v/>
      </c>
    </row>
    <row r="436" spans="1:12" x14ac:dyDescent="0.25">
      <c r="A436" s="24">
        <f t="shared" si="42"/>
        <v>435</v>
      </c>
      <c r="B436" s="25" t="str">
        <f>IF($A436&gt;nrows,"",IF(col_user=0,"",INDEX('Paste Export'!$A$2:$BZ$1001,$A436,col_user)))</f>
        <v/>
      </c>
      <c r="C436" s="24" t="str">
        <f>IF($A436&gt;nrows,"",IF(col_days=0,0,N(INDEX('Paste Export'!$A$2:$BZ$1001,$A436,col_days))))</f>
        <v/>
      </c>
      <c r="D436" s="24" t="str">
        <f>IF($A436&gt;nrows,"",IF(col_prompts=0,0,N(INDEX('Paste Export'!$A$2:$BZ$1001,$A436,col_prompts))))</f>
        <v/>
      </c>
      <c r="E436" s="24" t="str">
        <f>IF($A436&gt;nrows,"",IF(col_web=0,0,N(INDEX('Paste Export'!$A$2:$BZ$1001,$A436,col_web))))</f>
        <v/>
      </c>
      <c r="F436" s="26" t="str">
        <f t="shared" si="43"/>
        <v/>
      </c>
      <c r="G436" s="27" t="str">
        <f t="shared" si="44"/>
        <v/>
      </c>
      <c r="H436" s="24" t="str">
        <f>IF($A436&gt;nrows,"",IF(col_s1=0,0,--(LEN(INDEX('Paste Export'!$A$2:$BZ$1001,$A436,col_s1))&gt;0))+IF(col_s2=0,0,--(LEN(INDEX('Paste Export'!$A$2:$BZ$1001,$A436,col_s2))&gt;0))+IF(col_s3=0,0,--(LEN(INDEX('Paste Export'!$A$2:$BZ$1001,$A436,col_s3))&gt;0))+IF(col_s4=0,0,--(LEN(INDEX('Paste Export'!$A$2:$BZ$1001,$A436,col_s4))&gt;0))+IF(col_s5=0,0,--(LEN(INDEX('Paste Export'!$A$2:$BZ$1001,$A436,col_s5))&gt;0))+IF(col_s6=0,0,--(LEN(INDEX('Paste Export'!$A$2:$BZ$1001,$A436,col_s6))&gt;0))+IF(col_s7=0,0,--(LEN(INDEX('Paste Export'!$A$2:$BZ$1001,$A436,col_s7))&gt;0))+IF(col_s8=0,0,--(LEN(INDEX('Paste Export'!$A$2:$BZ$1001,$A436,col_s8))&gt;0)))</f>
        <v/>
      </c>
      <c r="I436" s="25" t="str">
        <f t="shared" si="45"/>
        <v/>
      </c>
      <c r="J436" s="25" t="str">
        <f t="shared" si="46"/>
        <v/>
      </c>
      <c r="K436" s="24" t="str">
        <f t="shared" si="47"/>
        <v/>
      </c>
      <c r="L436" s="24" t="str">
        <f t="shared" si="48"/>
        <v/>
      </c>
    </row>
    <row r="437" spans="1:12" x14ac:dyDescent="0.25">
      <c r="A437" s="24">
        <f t="shared" si="42"/>
        <v>436</v>
      </c>
      <c r="B437" s="25" t="str">
        <f>IF($A437&gt;nrows,"",IF(col_user=0,"",INDEX('Paste Export'!$A$2:$BZ$1001,$A437,col_user)))</f>
        <v/>
      </c>
      <c r="C437" s="24" t="str">
        <f>IF($A437&gt;nrows,"",IF(col_days=0,0,N(INDEX('Paste Export'!$A$2:$BZ$1001,$A437,col_days))))</f>
        <v/>
      </c>
      <c r="D437" s="24" t="str">
        <f>IF($A437&gt;nrows,"",IF(col_prompts=0,0,N(INDEX('Paste Export'!$A$2:$BZ$1001,$A437,col_prompts))))</f>
        <v/>
      </c>
      <c r="E437" s="24" t="str">
        <f>IF($A437&gt;nrows,"",IF(col_web=0,0,N(INDEX('Paste Export'!$A$2:$BZ$1001,$A437,col_web))))</f>
        <v/>
      </c>
      <c r="F437" s="26" t="str">
        <f t="shared" si="43"/>
        <v/>
      </c>
      <c r="G437" s="27" t="str">
        <f t="shared" si="44"/>
        <v/>
      </c>
      <c r="H437" s="24" t="str">
        <f>IF($A437&gt;nrows,"",IF(col_s1=0,0,--(LEN(INDEX('Paste Export'!$A$2:$BZ$1001,$A437,col_s1))&gt;0))+IF(col_s2=0,0,--(LEN(INDEX('Paste Export'!$A$2:$BZ$1001,$A437,col_s2))&gt;0))+IF(col_s3=0,0,--(LEN(INDEX('Paste Export'!$A$2:$BZ$1001,$A437,col_s3))&gt;0))+IF(col_s4=0,0,--(LEN(INDEX('Paste Export'!$A$2:$BZ$1001,$A437,col_s4))&gt;0))+IF(col_s5=0,0,--(LEN(INDEX('Paste Export'!$A$2:$BZ$1001,$A437,col_s5))&gt;0))+IF(col_s6=0,0,--(LEN(INDEX('Paste Export'!$A$2:$BZ$1001,$A437,col_s6))&gt;0))+IF(col_s7=0,0,--(LEN(INDEX('Paste Export'!$A$2:$BZ$1001,$A437,col_s7))&gt;0))+IF(col_s8=0,0,--(LEN(INDEX('Paste Export'!$A$2:$BZ$1001,$A437,col_s8))&gt;0)))</f>
        <v/>
      </c>
      <c r="I437" s="25" t="str">
        <f t="shared" si="45"/>
        <v/>
      </c>
      <c r="J437" s="25" t="str">
        <f t="shared" si="46"/>
        <v/>
      </c>
      <c r="K437" s="24" t="str">
        <f t="shared" si="47"/>
        <v/>
      </c>
      <c r="L437" s="24" t="str">
        <f t="shared" si="48"/>
        <v/>
      </c>
    </row>
    <row r="438" spans="1:12" x14ac:dyDescent="0.25">
      <c r="A438" s="24">
        <f t="shared" si="42"/>
        <v>437</v>
      </c>
      <c r="B438" s="25" t="str">
        <f>IF($A438&gt;nrows,"",IF(col_user=0,"",INDEX('Paste Export'!$A$2:$BZ$1001,$A438,col_user)))</f>
        <v/>
      </c>
      <c r="C438" s="24" t="str">
        <f>IF($A438&gt;nrows,"",IF(col_days=0,0,N(INDEX('Paste Export'!$A$2:$BZ$1001,$A438,col_days))))</f>
        <v/>
      </c>
      <c r="D438" s="24" t="str">
        <f>IF($A438&gt;nrows,"",IF(col_prompts=0,0,N(INDEX('Paste Export'!$A$2:$BZ$1001,$A438,col_prompts))))</f>
        <v/>
      </c>
      <c r="E438" s="24" t="str">
        <f>IF($A438&gt;nrows,"",IF(col_web=0,0,N(INDEX('Paste Export'!$A$2:$BZ$1001,$A438,col_web))))</f>
        <v/>
      </c>
      <c r="F438" s="26" t="str">
        <f t="shared" si="43"/>
        <v/>
      </c>
      <c r="G438" s="27" t="str">
        <f t="shared" si="44"/>
        <v/>
      </c>
      <c r="H438" s="24" t="str">
        <f>IF($A438&gt;nrows,"",IF(col_s1=0,0,--(LEN(INDEX('Paste Export'!$A$2:$BZ$1001,$A438,col_s1))&gt;0))+IF(col_s2=0,0,--(LEN(INDEX('Paste Export'!$A$2:$BZ$1001,$A438,col_s2))&gt;0))+IF(col_s3=0,0,--(LEN(INDEX('Paste Export'!$A$2:$BZ$1001,$A438,col_s3))&gt;0))+IF(col_s4=0,0,--(LEN(INDEX('Paste Export'!$A$2:$BZ$1001,$A438,col_s4))&gt;0))+IF(col_s5=0,0,--(LEN(INDEX('Paste Export'!$A$2:$BZ$1001,$A438,col_s5))&gt;0))+IF(col_s6=0,0,--(LEN(INDEX('Paste Export'!$A$2:$BZ$1001,$A438,col_s6))&gt;0))+IF(col_s7=0,0,--(LEN(INDEX('Paste Export'!$A$2:$BZ$1001,$A438,col_s7))&gt;0))+IF(col_s8=0,0,--(LEN(INDEX('Paste Export'!$A$2:$BZ$1001,$A438,col_s8))&gt;0)))</f>
        <v/>
      </c>
      <c r="I438" s="25" t="str">
        <f t="shared" si="45"/>
        <v/>
      </c>
      <c r="J438" s="25" t="str">
        <f t="shared" si="46"/>
        <v/>
      </c>
      <c r="K438" s="24" t="str">
        <f t="shared" si="47"/>
        <v/>
      </c>
      <c r="L438" s="24" t="str">
        <f t="shared" si="48"/>
        <v/>
      </c>
    </row>
    <row r="439" spans="1:12" x14ac:dyDescent="0.25">
      <c r="A439" s="24">
        <f t="shared" si="42"/>
        <v>438</v>
      </c>
      <c r="B439" s="25" t="str">
        <f>IF($A439&gt;nrows,"",IF(col_user=0,"",INDEX('Paste Export'!$A$2:$BZ$1001,$A439,col_user)))</f>
        <v/>
      </c>
      <c r="C439" s="24" t="str">
        <f>IF($A439&gt;nrows,"",IF(col_days=0,0,N(INDEX('Paste Export'!$A$2:$BZ$1001,$A439,col_days))))</f>
        <v/>
      </c>
      <c r="D439" s="24" t="str">
        <f>IF($A439&gt;nrows,"",IF(col_prompts=0,0,N(INDEX('Paste Export'!$A$2:$BZ$1001,$A439,col_prompts))))</f>
        <v/>
      </c>
      <c r="E439" s="24" t="str">
        <f>IF($A439&gt;nrows,"",IF(col_web=0,0,N(INDEX('Paste Export'!$A$2:$BZ$1001,$A439,col_web))))</f>
        <v/>
      </c>
      <c r="F439" s="26" t="str">
        <f t="shared" si="43"/>
        <v/>
      </c>
      <c r="G439" s="27" t="str">
        <f t="shared" si="44"/>
        <v/>
      </c>
      <c r="H439" s="24" t="str">
        <f>IF($A439&gt;nrows,"",IF(col_s1=0,0,--(LEN(INDEX('Paste Export'!$A$2:$BZ$1001,$A439,col_s1))&gt;0))+IF(col_s2=0,0,--(LEN(INDEX('Paste Export'!$A$2:$BZ$1001,$A439,col_s2))&gt;0))+IF(col_s3=0,0,--(LEN(INDEX('Paste Export'!$A$2:$BZ$1001,$A439,col_s3))&gt;0))+IF(col_s4=0,0,--(LEN(INDEX('Paste Export'!$A$2:$BZ$1001,$A439,col_s4))&gt;0))+IF(col_s5=0,0,--(LEN(INDEX('Paste Export'!$A$2:$BZ$1001,$A439,col_s5))&gt;0))+IF(col_s6=0,0,--(LEN(INDEX('Paste Export'!$A$2:$BZ$1001,$A439,col_s6))&gt;0))+IF(col_s7=0,0,--(LEN(INDEX('Paste Export'!$A$2:$BZ$1001,$A439,col_s7))&gt;0))+IF(col_s8=0,0,--(LEN(INDEX('Paste Export'!$A$2:$BZ$1001,$A439,col_s8))&gt;0)))</f>
        <v/>
      </c>
      <c r="I439" s="25" t="str">
        <f t="shared" si="45"/>
        <v/>
      </c>
      <c r="J439" s="25" t="str">
        <f t="shared" si="46"/>
        <v/>
      </c>
      <c r="K439" s="24" t="str">
        <f t="shared" si="47"/>
        <v/>
      </c>
      <c r="L439" s="24" t="str">
        <f t="shared" si="48"/>
        <v/>
      </c>
    </row>
    <row r="440" spans="1:12" x14ac:dyDescent="0.25">
      <c r="A440" s="24">
        <f t="shared" si="42"/>
        <v>439</v>
      </c>
      <c r="B440" s="25" t="str">
        <f>IF($A440&gt;nrows,"",IF(col_user=0,"",INDEX('Paste Export'!$A$2:$BZ$1001,$A440,col_user)))</f>
        <v/>
      </c>
      <c r="C440" s="24" t="str">
        <f>IF($A440&gt;nrows,"",IF(col_days=0,0,N(INDEX('Paste Export'!$A$2:$BZ$1001,$A440,col_days))))</f>
        <v/>
      </c>
      <c r="D440" s="24" t="str">
        <f>IF($A440&gt;nrows,"",IF(col_prompts=0,0,N(INDEX('Paste Export'!$A$2:$BZ$1001,$A440,col_prompts))))</f>
        <v/>
      </c>
      <c r="E440" s="24" t="str">
        <f>IF($A440&gt;nrows,"",IF(col_web=0,0,N(INDEX('Paste Export'!$A$2:$BZ$1001,$A440,col_web))))</f>
        <v/>
      </c>
      <c r="F440" s="26" t="str">
        <f t="shared" si="43"/>
        <v/>
      </c>
      <c r="G440" s="27" t="str">
        <f t="shared" si="44"/>
        <v/>
      </c>
      <c r="H440" s="24" t="str">
        <f>IF($A440&gt;nrows,"",IF(col_s1=0,0,--(LEN(INDEX('Paste Export'!$A$2:$BZ$1001,$A440,col_s1))&gt;0))+IF(col_s2=0,0,--(LEN(INDEX('Paste Export'!$A$2:$BZ$1001,$A440,col_s2))&gt;0))+IF(col_s3=0,0,--(LEN(INDEX('Paste Export'!$A$2:$BZ$1001,$A440,col_s3))&gt;0))+IF(col_s4=0,0,--(LEN(INDEX('Paste Export'!$A$2:$BZ$1001,$A440,col_s4))&gt;0))+IF(col_s5=0,0,--(LEN(INDEX('Paste Export'!$A$2:$BZ$1001,$A440,col_s5))&gt;0))+IF(col_s6=0,0,--(LEN(INDEX('Paste Export'!$A$2:$BZ$1001,$A440,col_s6))&gt;0))+IF(col_s7=0,0,--(LEN(INDEX('Paste Export'!$A$2:$BZ$1001,$A440,col_s7))&gt;0))+IF(col_s8=0,0,--(LEN(INDEX('Paste Export'!$A$2:$BZ$1001,$A440,col_s8))&gt;0)))</f>
        <v/>
      </c>
      <c r="I440" s="25" t="str">
        <f t="shared" si="45"/>
        <v/>
      </c>
      <c r="J440" s="25" t="str">
        <f t="shared" si="46"/>
        <v/>
      </c>
      <c r="K440" s="24" t="str">
        <f t="shared" si="47"/>
        <v/>
      </c>
      <c r="L440" s="24" t="str">
        <f t="shared" si="48"/>
        <v/>
      </c>
    </row>
    <row r="441" spans="1:12" x14ac:dyDescent="0.25">
      <c r="A441" s="24">
        <f t="shared" si="42"/>
        <v>440</v>
      </c>
      <c r="B441" s="25" t="str">
        <f>IF($A441&gt;nrows,"",IF(col_user=0,"",INDEX('Paste Export'!$A$2:$BZ$1001,$A441,col_user)))</f>
        <v/>
      </c>
      <c r="C441" s="24" t="str">
        <f>IF($A441&gt;nrows,"",IF(col_days=0,0,N(INDEX('Paste Export'!$A$2:$BZ$1001,$A441,col_days))))</f>
        <v/>
      </c>
      <c r="D441" s="24" t="str">
        <f>IF($A441&gt;nrows,"",IF(col_prompts=0,0,N(INDEX('Paste Export'!$A$2:$BZ$1001,$A441,col_prompts))))</f>
        <v/>
      </c>
      <c r="E441" s="24" t="str">
        <f>IF($A441&gt;nrows,"",IF(col_web=0,0,N(INDEX('Paste Export'!$A$2:$BZ$1001,$A441,col_web))))</f>
        <v/>
      </c>
      <c r="F441" s="26" t="str">
        <f t="shared" si="43"/>
        <v/>
      </c>
      <c r="G441" s="27" t="str">
        <f t="shared" si="44"/>
        <v/>
      </c>
      <c r="H441" s="24" t="str">
        <f>IF($A441&gt;nrows,"",IF(col_s1=0,0,--(LEN(INDEX('Paste Export'!$A$2:$BZ$1001,$A441,col_s1))&gt;0))+IF(col_s2=0,0,--(LEN(INDEX('Paste Export'!$A$2:$BZ$1001,$A441,col_s2))&gt;0))+IF(col_s3=0,0,--(LEN(INDEX('Paste Export'!$A$2:$BZ$1001,$A441,col_s3))&gt;0))+IF(col_s4=0,0,--(LEN(INDEX('Paste Export'!$A$2:$BZ$1001,$A441,col_s4))&gt;0))+IF(col_s5=0,0,--(LEN(INDEX('Paste Export'!$A$2:$BZ$1001,$A441,col_s5))&gt;0))+IF(col_s6=0,0,--(LEN(INDEX('Paste Export'!$A$2:$BZ$1001,$A441,col_s6))&gt;0))+IF(col_s7=0,0,--(LEN(INDEX('Paste Export'!$A$2:$BZ$1001,$A441,col_s7))&gt;0))+IF(col_s8=0,0,--(LEN(INDEX('Paste Export'!$A$2:$BZ$1001,$A441,col_s8))&gt;0)))</f>
        <v/>
      </c>
      <c r="I441" s="25" t="str">
        <f t="shared" si="45"/>
        <v/>
      </c>
      <c r="J441" s="25" t="str">
        <f t="shared" si="46"/>
        <v/>
      </c>
      <c r="K441" s="24" t="str">
        <f t="shared" si="47"/>
        <v/>
      </c>
      <c r="L441" s="24" t="str">
        <f t="shared" si="48"/>
        <v/>
      </c>
    </row>
    <row r="442" spans="1:12" x14ac:dyDescent="0.25">
      <c r="A442" s="24">
        <f t="shared" si="42"/>
        <v>441</v>
      </c>
      <c r="B442" s="25" t="str">
        <f>IF($A442&gt;nrows,"",IF(col_user=0,"",INDEX('Paste Export'!$A$2:$BZ$1001,$A442,col_user)))</f>
        <v/>
      </c>
      <c r="C442" s="24" t="str">
        <f>IF($A442&gt;nrows,"",IF(col_days=0,0,N(INDEX('Paste Export'!$A$2:$BZ$1001,$A442,col_days))))</f>
        <v/>
      </c>
      <c r="D442" s="24" t="str">
        <f>IF($A442&gt;nrows,"",IF(col_prompts=0,0,N(INDEX('Paste Export'!$A$2:$BZ$1001,$A442,col_prompts))))</f>
        <v/>
      </c>
      <c r="E442" s="24" t="str">
        <f>IF($A442&gt;nrows,"",IF(col_web=0,0,N(INDEX('Paste Export'!$A$2:$BZ$1001,$A442,col_web))))</f>
        <v/>
      </c>
      <c r="F442" s="26" t="str">
        <f t="shared" si="43"/>
        <v/>
      </c>
      <c r="G442" s="27" t="str">
        <f t="shared" si="44"/>
        <v/>
      </c>
      <c r="H442" s="24" t="str">
        <f>IF($A442&gt;nrows,"",IF(col_s1=0,0,--(LEN(INDEX('Paste Export'!$A$2:$BZ$1001,$A442,col_s1))&gt;0))+IF(col_s2=0,0,--(LEN(INDEX('Paste Export'!$A$2:$BZ$1001,$A442,col_s2))&gt;0))+IF(col_s3=0,0,--(LEN(INDEX('Paste Export'!$A$2:$BZ$1001,$A442,col_s3))&gt;0))+IF(col_s4=0,0,--(LEN(INDEX('Paste Export'!$A$2:$BZ$1001,$A442,col_s4))&gt;0))+IF(col_s5=0,0,--(LEN(INDEX('Paste Export'!$A$2:$BZ$1001,$A442,col_s5))&gt;0))+IF(col_s6=0,0,--(LEN(INDEX('Paste Export'!$A$2:$BZ$1001,$A442,col_s6))&gt;0))+IF(col_s7=0,0,--(LEN(INDEX('Paste Export'!$A$2:$BZ$1001,$A442,col_s7))&gt;0))+IF(col_s8=0,0,--(LEN(INDEX('Paste Export'!$A$2:$BZ$1001,$A442,col_s8))&gt;0)))</f>
        <v/>
      </c>
      <c r="I442" s="25" t="str">
        <f t="shared" si="45"/>
        <v/>
      </c>
      <c r="J442" s="25" t="str">
        <f t="shared" si="46"/>
        <v/>
      </c>
      <c r="K442" s="24" t="str">
        <f t="shared" si="47"/>
        <v/>
      </c>
      <c r="L442" s="24" t="str">
        <f t="shared" si="48"/>
        <v/>
      </c>
    </row>
    <row r="443" spans="1:12" x14ac:dyDescent="0.25">
      <c r="A443" s="24">
        <f t="shared" si="42"/>
        <v>442</v>
      </c>
      <c r="B443" s="25" t="str">
        <f>IF($A443&gt;nrows,"",IF(col_user=0,"",INDEX('Paste Export'!$A$2:$BZ$1001,$A443,col_user)))</f>
        <v/>
      </c>
      <c r="C443" s="24" t="str">
        <f>IF($A443&gt;nrows,"",IF(col_days=0,0,N(INDEX('Paste Export'!$A$2:$BZ$1001,$A443,col_days))))</f>
        <v/>
      </c>
      <c r="D443" s="24" t="str">
        <f>IF($A443&gt;nrows,"",IF(col_prompts=0,0,N(INDEX('Paste Export'!$A$2:$BZ$1001,$A443,col_prompts))))</f>
        <v/>
      </c>
      <c r="E443" s="24" t="str">
        <f>IF($A443&gt;nrows,"",IF(col_web=0,0,N(INDEX('Paste Export'!$A$2:$BZ$1001,$A443,col_web))))</f>
        <v/>
      </c>
      <c r="F443" s="26" t="str">
        <f t="shared" si="43"/>
        <v/>
      </c>
      <c r="G443" s="27" t="str">
        <f t="shared" si="44"/>
        <v/>
      </c>
      <c r="H443" s="24" t="str">
        <f>IF($A443&gt;nrows,"",IF(col_s1=0,0,--(LEN(INDEX('Paste Export'!$A$2:$BZ$1001,$A443,col_s1))&gt;0))+IF(col_s2=0,0,--(LEN(INDEX('Paste Export'!$A$2:$BZ$1001,$A443,col_s2))&gt;0))+IF(col_s3=0,0,--(LEN(INDEX('Paste Export'!$A$2:$BZ$1001,$A443,col_s3))&gt;0))+IF(col_s4=0,0,--(LEN(INDEX('Paste Export'!$A$2:$BZ$1001,$A443,col_s4))&gt;0))+IF(col_s5=0,0,--(LEN(INDEX('Paste Export'!$A$2:$BZ$1001,$A443,col_s5))&gt;0))+IF(col_s6=0,0,--(LEN(INDEX('Paste Export'!$A$2:$BZ$1001,$A443,col_s6))&gt;0))+IF(col_s7=0,0,--(LEN(INDEX('Paste Export'!$A$2:$BZ$1001,$A443,col_s7))&gt;0))+IF(col_s8=0,0,--(LEN(INDEX('Paste Export'!$A$2:$BZ$1001,$A443,col_s8))&gt;0)))</f>
        <v/>
      </c>
      <c r="I443" s="25" t="str">
        <f t="shared" si="45"/>
        <v/>
      </c>
      <c r="J443" s="25" t="str">
        <f t="shared" si="46"/>
        <v/>
      </c>
      <c r="K443" s="24" t="str">
        <f t="shared" si="47"/>
        <v/>
      </c>
      <c r="L443" s="24" t="str">
        <f t="shared" si="48"/>
        <v/>
      </c>
    </row>
    <row r="444" spans="1:12" x14ac:dyDescent="0.25">
      <c r="A444" s="24">
        <f t="shared" si="42"/>
        <v>443</v>
      </c>
      <c r="B444" s="25" t="str">
        <f>IF($A444&gt;nrows,"",IF(col_user=0,"",INDEX('Paste Export'!$A$2:$BZ$1001,$A444,col_user)))</f>
        <v/>
      </c>
      <c r="C444" s="24" t="str">
        <f>IF($A444&gt;nrows,"",IF(col_days=0,0,N(INDEX('Paste Export'!$A$2:$BZ$1001,$A444,col_days))))</f>
        <v/>
      </c>
      <c r="D444" s="24" t="str">
        <f>IF($A444&gt;nrows,"",IF(col_prompts=0,0,N(INDEX('Paste Export'!$A$2:$BZ$1001,$A444,col_prompts))))</f>
        <v/>
      </c>
      <c r="E444" s="24" t="str">
        <f>IF($A444&gt;nrows,"",IF(col_web=0,0,N(INDEX('Paste Export'!$A$2:$BZ$1001,$A444,col_web))))</f>
        <v/>
      </c>
      <c r="F444" s="26" t="str">
        <f t="shared" si="43"/>
        <v/>
      </c>
      <c r="G444" s="27" t="str">
        <f t="shared" si="44"/>
        <v/>
      </c>
      <c r="H444" s="24" t="str">
        <f>IF($A444&gt;nrows,"",IF(col_s1=0,0,--(LEN(INDEX('Paste Export'!$A$2:$BZ$1001,$A444,col_s1))&gt;0))+IF(col_s2=0,0,--(LEN(INDEX('Paste Export'!$A$2:$BZ$1001,$A444,col_s2))&gt;0))+IF(col_s3=0,0,--(LEN(INDEX('Paste Export'!$A$2:$BZ$1001,$A444,col_s3))&gt;0))+IF(col_s4=0,0,--(LEN(INDEX('Paste Export'!$A$2:$BZ$1001,$A444,col_s4))&gt;0))+IF(col_s5=0,0,--(LEN(INDEX('Paste Export'!$A$2:$BZ$1001,$A444,col_s5))&gt;0))+IF(col_s6=0,0,--(LEN(INDEX('Paste Export'!$A$2:$BZ$1001,$A444,col_s6))&gt;0))+IF(col_s7=0,0,--(LEN(INDEX('Paste Export'!$A$2:$BZ$1001,$A444,col_s7))&gt;0))+IF(col_s8=0,0,--(LEN(INDEX('Paste Export'!$A$2:$BZ$1001,$A444,col_s8))&gt;0)))</f>
        <v/>
      </c>
      <c r="I444" s="25" t="str">
        <f t="shared" si="45"/>
        <v/>
      </c>
      <c r="J444" s="25" t="str">
        <f t="shared" si="46"/>
        <v/>
      </c>
      <c r="K444" s="24" t="str">
        <f t="shared" si="47"/>
        <v/>
      </c>
      <c r="L444" s="24" t="str">
        <f t="shared" si="48"/>
        <v/>
      </c>
    </row>
    <row r="445" spans="1:12" x14ac:dyDescent="0.25">
      <c r="A445" s="24">
        <f t="shared" si="42"/>
        <v>444</v>
      </c>
      <c r="B445" s="25" t="str">
        <f>IF($A445&gt;nrows,"",IF(col_user=0,"",INDEX('Paste Export'!$A$2:$BZ$1001,$A445,col_user)))</f>
        <v/>
      </c>
      <c r="C445" s="24" t="str">
        <f>IF($A445&gt;nrows,"",IF(col_days=0,0,N(INDEX('Paste Export'!$A$2:$BZ$1001,$A445,col_days))))</f>
        <v/>
      </c>
      <c r="D445" s="24" t="str">
        <f>IF($A445&gt;nrows,"",IF(col_prompts=0,0,N(INDEX('Paste Export'!$A$2:$BZ$1001,$A445,col_prompts))))</f>
        <v/>
      </c>
      <c r="E445" s="24" t="str">
        <f>IF($A445&gt;nrows,"",IF(col_web=0,0,N(INDEX('Paste Export'!$A$2:$BZ$1001,$A445,col_web))))</f>
        <v/>
      </c>
      <c r="F445" s="26" t="str">
        <f t="shared" si="43"/>
        <v/>
      </c>
      <c r="G445" s="27" t="str">
        <f t="shared" si="44"/>
        <v/>
      </c>
      <c r="H445" s="24" t="str">
        <f>IF($A445&gt;nrows,"",IF(col_s1=0,0,--(LEN(INDEX('Paste Export'!$A$2:$BZ$1001,$A445,col_s1))&gt;0))+IF(col_s2=0,0,--(LEN(INDEX('Paste Export'!$A$2:$BZ$1001,$A445,col_s2))&gt;0))+IF(col_s3=0,0,--(LEN(INDEX('Paste Export'!$A$2:$BZ$1001,$A445,col_s3))&gt;0))+IF(col_s4=0,0,--(LEN(INDEX('Paste Export'!$A$2:$BZ$1001,$A445,col_s4))&gt;0))+IF(col_s5=0,0,--(LEN(INDEX('Paste Export'!$A$2:$BZ$1001,$A445,col_s5))&gt;0))+IF(col_s6=0,0,--(LEN(INDEX('Paste Export'!$A$2:$BZ$1001,$A445,col_s6))&gt;0))+IF(col_s7=0,0,--(LEN(INDEX('Paste Export'!$A$2:$BZ$1001,$A445,col_s7))&gt;0))+IF(col_s8=0,0,--(LEN(INDEX('Paste Export'!$A$2:$BZ$1001,$A445,col_s8))&gt;0)))</f>
        <v/>
      </c>
      <c r="I445" s="25" t="str">
        <f t="shared" si="45"/>
        <v/>
      </c>
      <c r="J445" s="25" t="str">
        <f t="shared" si="46"/>
        <v/>
      </c>
      <c r="K445" s="24" t="str">
        <f t="shared" si="47"/>
        <v/>
      </c>
      <c r="L445" s="24" t="str">
        <f t="shared" si="48"/>
        <v/>
      </c>
    </row>
    <row r="446" spans="1:12" x14ac:dyDescent="0.25">
      <c r="A446" s="24">
        <f t="shared" si="42"/>
        <v>445</v>
      </c>
      <c r="B446" s="25" t="str">
        <f>IF($A446&gt;nrows,"",IF(col_user=0,"",INDEX('Paste Export'!$A$2:$BZ$1001,$A446,col_user)))</f>
        <v/>
      </c>
      <c r="C446" s="24" t="str">
        <f>IF($A446&gt;nrows,"",IF(col_days=0,0,N(INDEX('Paste Export'!$A$2:$BZ$1001,$A446,col_days))))</f>
        <v/>
      </c>
      <c r="D446" s="24" t="str">
        <f>IF($A446&gt;nrows,"",IF(col_prompts=0,0,N(INDEX('Paste Export'!$A$2:$BZ$1001,$A446,col_prompts))))</f>
        <v/>
      </c>
      <c r="E446" s="24" t="str">
        <f>IF($A446&gt;nrows,"",IF(col_web=0,0,N(INDEX('Paste Export'!$A$2:$BZ$1001,$A446,col_web))))</f>
        <v/>
      </c>
      <c r="F446" s="26" t="str">
        <f t="shared" si="43"/>
        <v/>
      </c>
      <c r="G446" s="27" t="str">
        <f t="shared" si="44"/>
        <v/>
      </c>
      <c r="H446" s="24" t="str">
        <f>IF($A446&gt;nrows,"",IF(col_s1=0,0,--(LEN(INDEX('Paste Export'!$A$2:$BZ$1001,$A446,col_s1))&gt;0))+IF(col_s2=0,0,--(LEN(INDEX('Paste Export'!$A$2:$BZ$1001,$A446,col_s2))&gt;0))+IF(col_s3=0,0,--(LEN(INDEX('Paste Export'!$A$2:$BZ$1001,$A446,col_s3))&gt;0))+IF(col_s4=0,0,--(LEN(INDEX('Paste Export'!$A$2:$BZ$1001,$A446,col_s4))&gt;0))+IF(col_s5=0,0,--(LEN(INDEX('Paste Export'!$A$2:$BZ$1001,$A446,col_s5))&gt;0))+IF(col_s6=0,0,--(LEN(INDEX('Paste Export'!$A$2:$BZ$1001,$A446,col_s6))&gt;0))+IF(col_s7=0,0,--(LEN(INDEX('Paste Export'!$A$2:$BZ$1001,$A446,col_s7))&gt;0))+IF(col_s8=0,0,--(LEN(INDEX('Paste Export'!$A$2:$BZ$1001,$A446,col_s8))&gt;0)))</f>
        <v/>
      </c>
      <c r="I446" s="25" t="str">
        <f t="shared" si="45"/>
        <v/>
      </c>
      <c r="J446" s="25" t="str">
        <f t="shared" si="46"/>
        <v/>
      </c>
      <c r="K446" s="24" t="str">
        <f t="shared" si="47"/>
        <v/>
      </c>
      <c r="L446" s="24" t="str">
        <f t="shared" si="48"/>
        <v/>
      </c>
    </row>
    <row r="447" spans="1:12" x14ac:dyDescent="0.25">
      <c r="A447" s="24">
        <f t="shared" si="42"/>
        <v>446</v>
      </c>
      <c r="B447" s="25" t="str">
        <f>IF($A447&gt;nrows,"",IF(col_user=0,"",INDEX('Paste Export'!$A$2:$BZ$1001,$A447,col_user)))</f>
        <v/>
      </c>
      <c r="C447" s="24" t="str">
        <f>IF($A447&gt;nrows,"",IF(col_days=0,0,N(INDEX('Paste Export'!$A$2:$BZ$1001,$A447,col_days))))</f>
        <v/>
      </c>
      <c r="D447" s="24" t="str">
        <f>IF($A447&gt;nrows,"",IF(col_prompts=0,0,N(INDEX('Paste Export'!$A$2:$BZ$1001,$A447,col_prompts))))</f>
        <v/>
      </c>
      <c r="E447" s="24" t="str">
        <f>IF($A447&gt;nrows,"",IF(col_web=0,0,N(INDEX('Paste Export'!$A$2:$BZ$1001,$A447,col_web))))</f>
        <v/>
      </c>
      <c r="F447" s="26" t="str">
        <f t="shared" si="43"/>
        <v/>
      </c>
      <c r="G447" s="27" t="str">
        <f t="shared" si="44"/>
        <v/>
      </c>
      <c r="H447" s="24" t="str">
        <f>IF($A447&gt;nrows,"",IF(col_s1=0,0,--(LEN(INDEX('Paste Export'!$A$2:$BZ$1001,$A447,col_s1))&gt;0))+IF(col_s2=0,0,--(LEN(INDEX('Paste Export'!$A$2:$BZ$1001,$A447,col_s2))&gt;0))+IF(col_s3=0,0,--(LEN(INDEX('Paste Export'!$A$2:$BZ$1001,$A447,col_s3))&gt;0))+IF(col_s4=0,0,--(LEN(INDEX('Paste Export'!$A$2:$BZ$1001,$A447,col_s4))&gt;0))+IF(col_s5=0,0,--(LEN(INDEX('Paste Export'!$A$2:$BZ$1001,$A447,col_s5))&gt;0))+IF(col_s6=0,0,--(LEN(INDEX('Paste Export'!$A$2:$BZ$1001,$A447,col_s6))&gt;0))+IF(col_s7=0,0,--(LEN(INDEX('Paste Export'!$A$2:$BZ$1001,$A447,col_s7))&gt;0))+IF(col_s8=0,0,--(LEN(INDEX('Paste Export'!$A$2:$BZ$1001,$A447,col_s8))&gt;0)))</f>
        <v/>
      </c>
      <c r="I447" s="25" t="str">
        <f t="shared" si="45"/>
        <v/>
      </c>
      <c r="J447" s="25" t="str">
        <f t="shared" si="46"/>
        <v/>
      </c>
      <c r="K447" s="24" t="str">
        <f t="shared" si="47"/>
        <v/>
      </c>
      <c r="L447" s="24" t="str">
        <f t="shared" si="48"/>
        <v/>
      </c>
    </row>
    <row r="448" spans="1:12" x14ac:dyDescent="0.25">
      <c r="A448" s="24">
        <f t="shared" si="42"/>
        <v>447</v>
      </c>
      <c r="B448" s="25" t="str">
        <f>IF($A448&gt;nrows,"",IF(col_user=0,"",INDEX('Paste Export'!$A$2:$BZ$1001,$A448,col_user)))</f>
        <v/>
      </c>
      <c r="C448" s="24" t="str">
        <f>IF($A448&gt;nrows,"",IF(col_days=0,0,N(INDEX('Paste Export'!$A$2:$BZ$1001,$A448,col_days))))</f>
        <v/>
      </c>
      <c r="D448" s="24" t="str">
        <f>IF($A448&gt;nrows,"",IF(col_prompts=0,0,N(INDEX('Paste Export'!$A$2:$BZ$1001,$A448,col_prompts))))</f>
        <v/>
      </c>
      <c r="E448" s="24" t="str">
        <f>IF($A448&gt;nrows,"",IF(col_web=0,0,N(INDEX('Paste Export'!$A$2:$BZ$1001,$A448,col_web))))</f>
        <v/>
      </c>
      <c r="F448" s="26" t="str">
        <f t="shared" si="43"/>
        <v/>
      </c>
      <c r="G448" s="27" t="str">
        <f t="shared" si="44"/>
        <v/>
      </c>
      <c r="H448" s="24" t="str">
        <f>IF($A448&gt;nrows,"",IF(col_s1=0,0,--(LEN(INDEX('Paste Export'!$A$2:$BZ$1001,$A448,col_s1))&gt;0))+IF(col_s2=0,0,--(LEN(INDEX('Paste Export'!$A$2:$BZ$1001,$A448,col_s2))&gt;0))+IF(col_s3=0,0,--(LEN(INDEX('Paste Export'!$A$2:$BZ$1001,$A448,col_s3))&gt;0))+IF(col_s4=0,0,--(LEN(INDEX('Paste Export'!$A$2:$BZ$1001,$A448,col_s4))&gt;0))+IF(col_s5=0,0,--(LEN(INDEX('Paste Export'!$A$2:$BZ$1001,$A448,col_s5))&gt;0))+IF(col_s6=0,0,--(LEN(INDEX('Paste Export'!$A$2:$BZ$1001,$A448,col_s6))&gt;0))+IF(col_s7=0,0,--(LEN(INDEX('Paste Export'!$A$2:$BZ$1001,$A448,col_s7))&gt;0))+IF(col_s8=0,0,--(LEN(INDEX('Paste Export'!$A$2:$BZ$1001,$A448,col_s8))&gt;0)))</f>
        <v/>
      </c>
      <c r="I448" s="25" t="str">
        <f t="shared" si="45"/>
        <v/>
      </c>
      <c r="J448" s="25" t="str">
        <f t="shared" si="46"/>
        <v/>
      </c>
      <c r="K448" s="24" t="str">
        <f t="shared" si="47"/>
        <v/>
      </c>
      <c r="L448" s="24" t="str">
        <f t="shared" si="48"/>
        <v/>
      </c>
    </row>
    <row r="449" spans="1:12" x14ac:dyDescent="0.25">
      <c r="A449" s="24">
        <f t="shared" si="42"/>
        <v>448</v>
      </c>
      <c r="B449" s="25" t="str">
        <f>IF($A449&gt;nrows,"",IF(col_user=0,"",INDEX('Paste Export'!$A$2:$BZ$1001,$A449,col_user)))</f>
        <v/>
      </c>
      <c r="C449" s="24" t="str">
        <f>IF($A449&gt;nrows,"",IF(col_days=0,0,N(INDEX('Paste Export'!$A$2:$BZ$1001,$A449,col_days))))</f>
        <v/>
      </c>
      <c r="D449" s="24" t="str">
        <f>IF($A449&gt;nrows,"",IF(col_prompts=0,0,N(INDEX('Paste Export'!$A$2:$BZ$1001,$A449,col_prompts))))</f>
        <v/>
      </c>
      <c r="E449" s="24" t="str">
        <f>IF($A449&gt;nrows,"",IF(col_web=0,0,N(INDEX('Paste Export'!$A$2:$BZ$1001,$A449,col_web))))</f>
        <v/>
      </c>
      <c r="F449" s="26" t="str">
        <f t="shared" si="43"/>
        <v/>
      </c>
      <c r="G449" s="27" t="str">
        <f t="shared" si="44"/>
        <v/>
      </c>
      <c r="H449" s="24" t="str">
        <f>IF($A449&gt;nrows,"",IF(col_s1=0,0,--(LEN(INDEX('Paste Export'!$A$2:$BZ$1001,$A449,col_s1))&gt;0))+IF(col_s2=0,0,--(LEN(INDEX('Paste Export'!$A$2:$BZ$1001,$A449,col_s2))&gt;0))+IF(col_s3=0,0,--(LEN(INDEX('Paste Export'!$A$2:$BZ$1001,$A449,col_s3))&gt;0))+IF(col_s4=0,0,--(LEN(INDEX('Paste Export'!$A$2:$BZ$1001,$A449,col_s4))&gt;0))+IF(col_s5=0,0,--(LEN(INDEX('Paste Export'!$A$2:$BZ$1001,$A449,col_s5))&gt;0))+IF(col_s6=0,0,--(LEN(INDEX('Paste Export'!$A$2:$BZ$1001,$A449,col_s6))&gt;0))+IF(col_s7=0,0,--(LEN(INDEX('Paste Export'!$A$2:$BZ$1001,$A449,col_s7))&gt;0))+IF(col_s8=0,0,--(LEN(INDEX('Paste Export'!$A$2:$BZ$1001,$A449,col_s8))&gt;0)))</f>
        <v/>
      </c>
      <c r="I449" s="25" t="str">
        <f t="shared" si="45"/>
        <v/>
      </c>
      <c r="J449" s="25" t="str">
        <f t="shared" si="46"/>
        <v/>
      </c>
      <c r="K449" s="24" t="str">
        <f t="shared" si="47"/>
        <v/>
      </c>
      <c r="L449" s="24" t="str">
        <f t="shared" si="48"/>
        <v/>
      </c>
    </row>
    <row r="450" spans="1:12" x14ac:dyDescent="0.25">
      <c r="A450" s="24">
        <f t="shared" ref="A450:A513" si="49">ROW()-1</f>
        <v>449</v>
      </c>
      <c r="B450" s="25" t="str">
        <f>IF($A450&gt;nrows,"",IF(col_user=0,"",INDEX('Paste Export'!$A$2:$BZ$1001,$A450,col_user)))</f>
        <v/>
      </c>
      <c r="C450" s="24" t="str">
        <f>IF($A450&gt;nrows,"",IF(col_days=0,0,N(INDEX('Paste Export'!$A$2:$BZ$1001,$A450,col_days))))</f>
        <v/>
      </c>
      <c r="D450" s="24" t="str">
        <f>IF($A450&gt;nrows,"",IF(col_prompts=0,0,N(INDEX('Paste Export'!$A$2:$BZ$1001,$A450,col_prompts))))</f>
        <v/>
      </c>
      <c r="E450" s="24" t="str">
        <f>IF($A450&gt;nrows,"",IF(col_web=0,0,N(INDEX('Paste Export'!$A$2:$BZ$1001,$A450,col_web))))</f>
        <v/>
      </c>
      <c r="F450" s="26" t="str">
        <f t="shared" ref="F450:F513" si="50">IF($A450&gt;nrows,"",IFERROR($D450/$C450,0))</f>
        <v/>
      </c>
      <c r="G450" s="27" t="str">
        <f t="shared" ref="G450:G513" si="51">IF($A450&gt;nrows,"",IFERROR($E450/$D450,""))</f>
        <v/>
      </c>
      <c r="H450" s="24" t="str">
        <f>IF($A450&gt;nrows,"",IF(col_s1=0,0,--(LEN(INDEX('Paste Export'!$A$2:$BZ$1001,$A450,col_s1))&gt;0))+IF(col_s2=0,0,--(LEN(INDEX('Paste Export'!$A$2:$BZ$1001,$A450,col_s2))&gt;0))+IF(col_s3=0,0,--(LEN(INDEX('Paste Export'!$A$2:$BZ$1001,$A450,col_s3))&gt;0))+IF(col_s4=0,0,--(LEN(INDEX('Paste Export'!$A$2:$BZ$1001,$A450,col_s4))&gt;0))+IF(col_s5=0,0,--(LEN(INDEX('Paste Export'!$A$2:$BZ$1001,$A450,col_s5))&gt;0))+IF(col_s6=0,0,--(LEN(INDEX('Paste Export'!$A$2:$BZ$1001,$A450,col_s6))&gt;0))+IF(col_s7=0,0,--(LEN(INDEX('Paste Export'!$A$2:$BZ$1001,$A450,col_s7))&gt;0))+IF(col_s8=0,0,--(LEN(INDEX('Paste Export'!$A$2:$BZ$1001,$A450,col_s8))&gt;0)))</f>
        <v/>
      </c>
      <c r="I450" s="25" t="str">
        <f t="shared" ref="I450:I513" si="52">IF($A450&gt;nrows,"",IF($C450&gt;=freq_line,IF($D450&gt;=depth_line,"Embedded","Loyal but shallow"),IF($D450&gt;=depth_line,"Project-driven","Drifting")))</f>
        <v/>
      </c>
      <c r="J450" s="25" t="str">
        <f t="shared" ref="J450:J513" si="53">IF($A450&gt;nrows,"",IF($I450="Drifting",IF($H450&gt;=3,"tried and stopped","never started"),""))</f>
        <v/>
      </c>
      <c r="K450" s="24" t="str">
        <f t="shared" ref="K450:K513" si="54">IF($A450&gt;nrows,"",MAX($D450,1))</f>
        <v/>
      </c>
      <c r="L450" s="24" t="str">
        <f t="shared" ref="L450:L513" si="55">IF($A450&gt;nrows,"",IF(AND($C450=0,$D450=0),1,0))</f>
        <v/>
      </c>
    </row>
    <row r="451" spans="1:12" x14ac:dyDescent="0.25">
      <c r="A451" s="24">
        <f t="shared" si="49"/>
        <v>450</v>
      </c>
      <c r="B451" s="25" t="str">
        <f>IF($A451&gt;nrows,"",IF(col_user=0,"",INDEX('Paste Export'!$A$2:$BZ$1001,$A451,col_user)))</f>
        <v/>
      </c>
      <c r="C451" s="24" t="str">
        <f>IF($A451&gt;nrows,"",IF(col_days=0,0,N(INDEX('Paste Export'!$A$2:$BZ$1001,$A451,col_days))))</f>
        <v/>
      </c>
      <c r="D451" s="24" t="str">
        <f>IF($A451&gt;nrows,"",IF(col_prompts=0,0,N(INDEX('Paste Export'!$A$2:$BZ$1001,$A451,col_prompts))))</f>
        <v/>
      </c>
      <c r="E451" s="24" t="str">
        <f>IF($A451&gt;nrows,"",IF(col_web=0,0,N(INDEX('Paste Export'!$A$2:$BZ$1001,$A451,col_web))))</f>
        <v/>
      </c>
      <c r="F451" s="26" t="str">
        <f t="shared" si="50"/>
        <v/>
      </c>
      <c r="G451" s="27" t="str">
        <f t="shared" si="51"/>
        <v/>
      </c>
      <c r="H451" s="24" t="str">
        <f>IF($A451&gt;nrows,"",IF(col_s1=0,0,--(LEN(INDEX('Paste Export'!$A$2:$BZ$1001,$A451,col_s1))&gt;0))+IF(col_s2=0,0,--(LEN(INDEX('Paste Export'!$A$2:$BZ$1001,$A451,col_s2))&gt;0))+IF(col_s3=0,0,--(LEN(INDEX('Paste Export'!$A$2:$BZ$1001,$A451,col_s3))&gt;0))+IF(col_s4=0,0,--(LEN(INDEX('Paste Export'!$A$2:$BZ$1001,$A451,col_s4))&gt;0))+IF(col_s5=0,0,--(LEN(INDEX('Paste Export'!$A$2:$BZ$1001,$A451,col_s5))&gt;0))+IF(col_s6=0,0,--(LEN(INDEX('Paste Export'!$A$2:$BZ$1001,$A451,col_s6))&gt;0))+IF(col_s7=0,0,--(LEN(INDEX('Paste Export'!$A$2:$BZ$1001,$A451,col_s7))&gt;0))+IF(col_s8=0,0,--(LEN(INDEX('Paste Export'!$A$2:$BZ$1001,$A451,col_s8))&gt;0)))</f>
        <v/>
      </c>
      <c r="I451" s="25" t="str">
        <f t="shared" si="52"/>
        <v/>
      </c>
      <c r="J451" s="25" t="str">
        <f t="shared" si="53"/>
        <v/>
      </c>
      <c r="K451" s="24" t="str">
        <f t="shared" si="54"/>
        <v/>
      </c>
      <c r="L451" s="24" t="str">
        <f t="shared" si="55"/>
        <v/>
      </c>
    </row>
    <row r="452" spans="1:12" x14ac:dyDescent="0.25">
      <c r="A452" s="24">
        <f t="shared" si="49"/>
        <v>451</v>
      </c>
      <c r="B452" s="25" t="str">
        <f>IF($A452&gt;nrows,"",IF(col_user=0,"",INDEX('Paste Export'!$A$2:$BZ$1001,$A452,col_user)))</f>
        <v/>
      </c>
      <c r="C452" s="24" t="str">
        <f>IF($A452&gt;nrows,"",IF(col_days=0,0,N(INDEX('Paste Export'!$A$2:$BZ$1001,$A452,col_days))))</f>
        <v/>
      </c>
      <c r="D452" s="24" t="str">
        <f>IF($A452&gt;nrows,"",IF(col_prompts=0,0,N(INDEX('Paste Export'!$A$2:$BZ$1001,$A452,col_prompts))))</f>
        <v/>
      </c>
      <c r="E452" s="24" t="str">
        <f>IF($A452&gt;nrows,"",IF(col_web=0,0,N(INDEX('Paste Export'!$A$2:$BZ$1001,$A452,col_web))))</f>
        <v/>
      </c>
      <c r="F452" s="26" t="str">
        <f t="shared" si="50"/>
        <v/>
      </c>
      <c r="G452" s="27" t="str">
        <f t="shared" si="51"/>
        <v/>
      </c>
      <c r="H452" s="24" t="str">
        <f>IF($A452&gt;nrows,"",IF(col_s1=0,0,--(LEN(INDEX('Paste Export'!$A$2:$BZ$1001,$A452,col_s1))&gt;0))+IF(col_s2=0,0,--(LEN(INDEX('Paste Export'!$A$2:$BZ$1001,$A452,col_s2))&gt;0))+IF(col_s3=0,0,--(LEN(INDEX('Paste Export'!$A$2:$BZ$1001,$A452,col_s3))&gt;0))+IF(col_s4=0,0,--(LEN(INDEX('Paste Export'!$A$2:$BZ$1001,$A452,col_s4))&gt;0))+IF(col_s5=0,0,--(LEN(INDEX('Paste Export'!$A$2:$BZ$1001,$A452,col_s5))&gt;0))+IF(col_s6=0,0,--(LEN(INDEX('Paste Export'!$A$2:$BZ$1001,$A452,col_s6))&gt;0))+IF(col_s7=0,0,--(LEN(INDEX('Paste Export'!$A$2:$BZ$1001,$A452,col_s7))&gt;0))+IF(col_s8=0,0,--(LEN(INDEX('Paste Export'!$A$2:$BZ$1001,$A452,col_s8))&gt;0)))</f>
        <v/>
      </c>
      <c r="I452" s="25" t="str">
        <f t="shared" si="52"/>
        <v/>
      </c>
      <c r="J452" s="25" t="str">
        <f t="shared" si="53"/>
        <v/>
      </c>
      <c r="K452" s="24" t="str">
        <f t="shared" si="54"/>
        <v/>
      </c>
      <c r="L452" s="24" t="str">
        <f t="shared" si="55"/>
        <v/>
      </c>
    </row>
    <row r="453" spans="1:12" x14ac:dyDescent="0.25">
      <c r="A453" s="24">
        <f t="shared" si="49"/>
        <v>452</v>
      </c>
      <c r="B453" s="25" t="str">
        <f>IF($A453&gt;nrows,"",IF(col_user=0,"",INDEX('Paste Export'!$A$2:$BZ$1001,$A453,col_user)))</f>
        <v/>
      </c>
      <c r="C453" s="24" t="str">
        <f>IF($A453&gt;nrows,"",IF(col_days=0,0,N(INDEX('Paste Export'!$A$2:$BZ$1001,$A453,col_days))))</f>
        <v/>
      </c>
      <c r="D453" s="24" t="str">
        <f>IF($A453&gt;nrows,"",IF(col_prompts=0,0,N(INDEX('Paste Export'!$A$2:$BZ$1001,$A453,col_prompts))))</f>
        <v/>
      </c>
      <c r="E453" s="24" t="str">
        <f>IF($A453&gt;nrows,"",IF(col_web=0,0,N(INDEX('Paste Export'!$A$2:$BZ$1001,$A453,col_web))))</f>
        <v/>
      </c>
      <c r="F453" s="26" t="str">
        <f t="shared" si="50"/>
        <v/>
      </c>
      <c r="G453" s="27" t="str">
        <f t="shared" si="51"/>
        <v/>
      </c>
      <c r="H453" s="24" t="str">
        <f>IF($A453&gt;nrows,"",IF(col_s1=0,0,--(LEN(INDEX('Paste Export'!$A$2:$BZ$1001,$A453,col_s1))&gt;0))+IF(col_s2=0,0,--(LEN(INDEX('Paste Export'!$A$2:$BZ$1001,$A453,col_s2))&gt;0))+IF(col_s3=0,0,--(LEN(INDEX('Paste Export'!$A$2:$BZ$1001,$A453,col_s3))&gt;0))+IF(col_s4=0,0,--(LEN(INDEX('Paste Export'!$A$2:$BZ$1001,$A453,col_s4))&gt;0))+IF(col_s5=0,0,--(LEN(INDEX('Paste Export'!$A$2:$BZ$1001,$A453,col_s5))&gt;0))+IF(col_s6=0,0,--(LEN(INDEX('Paste Export'!$A$2:$BZ$1001,$A453,col_s6))&gt;0))+IF(col_s7=0,0,--(LEN(INDEX('Paste Export'!$A$2:$BZ$1001,$A453,col_s7))&gt;0))+IF(col_s8=0,0,--(LEN(INDEX('Paste Export'!$A$2:$BZ$1001,$A453,col_s8))&gt;0)))</f>
        <v/>
      </c>
      <c r="I453" s="25" t="str">
        <f t="shared" si="52"/>
        <v/>
      </c>
      <c r="J453" s="25" t="str">
        <f t="shared" si="53"/>
        <v/>
      </c>
      <c r="K453" s="24" t="str">
        <f t="shared" si="54"/>
        <v/>
      </c>
      <c r="L453" s="24" t="str">
        <f t="shared" si="55"/>
        <v/>
      </c>
    </row>
    <row r="454" spans="1:12" x14ac:dyDescent="0.25">
      <c r="A454" s="24">
        <f t="shared" si="49"/>
        <v>453</v>
      </c>
      <c r="B454" s="25" t="str">
        <f>IF($A454&gt;nrows,"",IF(col_user=0,"",INDEX('Paste Export'!$A$2:$BZ$1001,$A454,col_user)))</f>
        <v/>
      </c>
      <c r="C454" s="24" t="str">
        <f>IF($A454&gt;nrows,"",IF(col_days=0,0,N(INDEX('Paste Export'!$A$2:$BZ$1001,$A454,col_days))))</f>
        <v/>
      </c>
      <c r="D454" s="24" t="str">
        <f>IF($A454&gt;nrows,"",IF(col_prompts=0,0,N(INDEX('Paste Export'!$A$2:$BZ$1001,$A454,col_prompts))))</f>
        <v/>
      </c>
      <c r="E454" s="24" t="str">
        <f>IF($A454&gt;nrows,"",IF(col_web=0,0,N(INDEX('Paste Export'!$A$2:$BZ$1001,$A454,col_web))))</f>
        <v/>
      </c>
      <c r="F454" s="26" t="str">
        <f t="shared" si="50"/>
        <v/>
      </c>
      <c r="G454" s="27" t="str">
        <f t="shared" si="51"/>
        <v/>
      </c>
      <c r="H454" s="24" t="str">
        <f>IF($A454&gt;nrows,"",IF(col_s1=0,0,--(LEN(INDEX('Paste Export'!$A$2:$BZ$1001,$A454,col_s1))&gt;0))+IF(col_s2=0,0,--(LEN(INDEX('Paste Export'!$A$2:$BZ$1001,$A454,col_s2))&gt;0))+IF(col_s3=0,0,--(LEN(INDEX('Paste Export'!$A$2:$BZ$1001,$A454,col_s3))&gt;0))+IF(col_s4=0,0,--(LEN(INDEX('Paste Export'!$A$2:$BZ$1001,$A454,col_s4))&gt;0))+IF(col_s5=0,0,--(LEN(INDEX('Paste Export'!$A$2:$BZ$1001,$A454,col_s5))&gt;0))+IF(col_s6=0,0,--(LEN(INDEX('Paste Export'!$A$2:$BZ$1001,$A454,col_s6))&gt;0))+IF(col_s7=0,0,--(LEN(INDEX('Paste Export'!$A$2:$BZ$1001,$A454,col_s7))&gt;0))+IF(col_s8=0,0,--(LEN(INDEX('Paste Export'!$A$2:$BZ$1001,$A454,col_s8))&gt;0)))</f>
        <v/>
      </c>
      <c r="I454" s="25" t="str">
        <f t="shared" si="52"/>
        <v/>
      </c>
      <c r="J454" s="25" t="str">
        <f t="shared" si="53"/>
        <v/>
      </c>
      <c r="K454" s="24" t="str">
        <f t="shared" si="54"/>
        <v/>
      </c>
      <c r="L454" s="24" t="str">
        <f t="shared" si="55"/>
        <v/>
      </c>
    </row>
    <row r="455" spans="1:12" x14ac:dyDescent="0.25">
      <c r="A455" s="24">
        <f t="shared" si="49"/>
        <v>454</v>
      </c>
      <c r="B455" s="25" t="str">
        <f>IF($A455&gt;nrows,"",IF(col_user=0,"",INDEX('Paste Export'!$A$2:$BZ$1001,$A455,col_user)))</f>
        <v/>
      </c>
      <c r="C455" s="24" t="str">
        <f>IF($A455&gt;nrows,"",IF(col_days=0,0,N(INDEX('Paste Export'!$A$2:$BZ$1001,$A455,col_days))))</f>
        <v/>
      </c>
      <c r="D455" s="24" t="str">
        <f>IF($A455&gt;nrows,"",IF(col_prompts=0,0,N(INDEX('Paste Export'!$A$2:$BZ$1001,$A455,col_prompts))))</f>
        <v/>
      </c>
      <c r="E455" s="24" t="str">
        <f>IF($A455&gt;nrows,"",IF(col_web=0,0,N(INDEX('Paste Export'!$A$2:$BZ$1001,$A455,col_web))))</f>
        <v/>
      </c>
      <c r="F455" s="26" t="str">
        <f t="shared" si="50"/>
        <v/>
      </c>
      <c r="G455" s="27" t="str">
        <f t="shared" si="51"/>
        <v/>
      </c>
      <c r="H455" s="24" t="str">
        <f>IF($A455&gt;nrows,"",IF(col_s1=0,0,--(LEN(INDEX('Paste Export'!$A$2:$BZ$1001,$A455,col_s1))&gt;0))+IF(col_s2=0,0,--(LEN(INDEX('Paste Export'!$A$2:$BZ$1001,$A455,col_s2))&gt;0))+IF(col_s3=0,0,--(LEN(INDEX('Paste Export'!$A$2:$BZ$1001,$A455,col_s3))&gt;0))+IF(col_s4=0,0,--(LEN(INDEX('Paste Export'!$A$2:$BZ$1001,$A455,col_s4))&gt;0))+IF(col_s5=0,0,--(LEN(INDEX('Paste Export'!$A$2:$BZ$1001,$A455,col_s5))&gt;0))+IF(col_s6=0,0,--(LEN(INDEX('Paste Export'!$A$2:$BZ$1001,$A455,col_s6))&gt;0))+IF(col_s7=0,0,--(LEN(INDEX('Paste Export'!$A$2:$BZ$1001,$A455,col_s7))&gt;0))+IF(col_s8=0,0,--(LEN(INDEX('Paste Export'!$A$2:$BZ$1001,$A455,col_s8))&gt;0)))</f>
        <v/>
      </c>
      <c r="I455" s="25" t="str">
        <f t="shared" si="52"/>
        <v/>
      </c>
      <c r="J455" s="25" t="str">
        <f t="shared" si="53"/>
        <v/>
      </c>
      <c r="K455" s="24" t="str">
        <f t="shared" si="54"/>
        <v/>
      </c>
      <c r="L455" s="24" t="str">
        <f t="shared" si="55"/>
        <v/>
      </c>
    </row>
    <row r="456" spans="1:12" x14ac:dyDescent="0.25">
      <c r="A456" s="24">
        <f t="shared" si="49"/>
        <v>455</v>
      </c>
      <c r="B456" s="25" t="str">
        <f>IF($A456&gt;nrows,"",IF(col_user=0,"",INDEX('Paste Export'!$A$2:$BZ$1001,$A456,col_user)))</f>
        <v/>
      </c>
      <c r="C456" s="24" t="str">
        <f>IF($A456&gt;nrows,"",IF(col_days=0,0,N(INDEX('Paste Export'!$A$2:$BZ$1001,$A456,col_days))))</f>
        <v/>
      </c>
      <c r="D456" s="24" t="str">
        <f>IF($A456&gt;nrows,"",IF(col_prompts=0,0,N(INDEX('Paste Export'!$A$2:$BZ$1001,$A456,col_prompts))))</f>
        <v/>
      </c>
      <c r="E456" s="24" t="str">
        <f>IF($A456&gt;nrows,"",IF(col_web=0,0,N(INDEX('Paste Export'!$A$2:$BZ$1001,$A456,col_web))))</f>
        <v/>
      </c>
      <c r="F456" s="26" t="str">
        <f t="shared" si="50"/>
        <v/>
      </c>
      <c r="G456" s="27" t="str">
        <f t="shared" si="51"/>
        <v/>
      </c>
      <c r="H456" s="24" t="str">
        <f>IF($A456&gt;nrows,"",IF(col_s1=0,0,--(LEN(INDEX('Paste Export'!$A$2:$BZ$1001,$A456,col_s1))&gt;0))+IF(col_s2=0,0,--(LEN(INDEX('Paste Export'!$A$2:$BZ$1001,$A456,col_s2))&gt;0))+IF(col_s3=0,0,--(LEN(INDEX('Paste Export'!$A$2:$BZ$1001,$A456,col_s3))&gt;0))+IF(col_s4=0,0,--(LEN(INDEX('Paste Export'!$A$2:$BZ$1001,$A456,col_s4))&gt;0))+IF(col_s5=0,0,--(LEN(INDEX('Paste Export'!$A$2:$BZ$1001,$A456,col_s5))&gt;0))+IF(col_s6=0,0,--(LEN(INDEX('Paste Export'!$A$2:$BZ$1001,$A456,col_s6))&gt;0))+IF(col_s7=0,0,--(LEN(INDEX('Paste Export'!$A$2:$BZ$1001,$A456,col_s7))&gt;0))+IF(col_s8=0,0,--(LEN(INDEX('Paste Export'!$A$2:$BZ$1001,$A456,col_s8))&gt;0)))</f>
        <v/>
      </c>
      <c r="I456" s="25" t="str">
        <f t="shared" si="52"/>
        <v/>
      </c>
      <c r="J456" s="25" t="str">
        <f t="shared" si="53"/>
        <v/>
      </c>
      <c r="K456" s="24" t="str">
        <f t="shared" si="54"/>
        <v/>
      </c>
      <c r="L456" s="24" t="str">
        <f t="shared" si="55"/>
        <v/>
      </c>
    </row>
    <row r="457" spans="1:12" x14ac:dyDescent="0.25">
      <c r="A457" s="24">
        <f t="shared" si="49"/>
        <v>456</v>
      </c>
      <c r="B457" s="25" t="str">
        <f>IF($A457&gt;nrows,"",IF(col_user=0,"",INDEX('Paste Export'!$A$2:$BZ$1001,$A457,col_user)))</f>
        <v/>
      </c>
      <c r="C457" s="24" t="str">
        <f>IF($A457&gt;nrows,"",IF(col_days=0,0,N(INDEX('Paste Export'!$A$2:$BZ$1001,$A457,col_days))))</f>
        <v/>
      </c>
      <c r="D457" s="24" t="str">
        <f>IF($A457&gt;nrows,"",IF(col_prompts=0,0,N(INDEX('Paste Export'!$A$2:$BZ$1001,$A457,col_prompts))))</f>
        <v/>
      </c>
      <c r="E457" s="24" t="str">
        <f>IF($A457&gt;nrows,"",IF(col_web=0,0,N(INDEX('Paste Export'!$A$2:$BZ$1001,$A457,col_web))))</f>
        <v/>
      </c>
      <c r="F457" s="26" t="str">
        <f t="shared" si="50"/>
        <v/>
      </c>
      <c r="G457" s="27" t="str">
        <f t="shared" si="51"/>
        <v/>
      </c>
      <c r="H457" s="24" t="str">
        <f>IF($A457&gt;nrows,"",IF(col_s1=0,0,--(LEN(INDEX('Paste Export'!$A$2:$BZ$1001,$A457,col_s1))&gt;0))+IF(col_s2=0,0,--(LEN(INDEX('Paste Export'!$A$2:$BZ$1001,$A457,col_s2))&gt;0))+IF(col_s3=0,0,--(LEN(INDEX('Paste Export'!$A$2:$BZ$1001,$A457,col_s3))&gt;0))+IF(col_s4=0,0,--(LEN(INDEX('Paste Export'!$A$2:$BZ$1001,$A457,col_s4))&gt;0))+IF(col_s5=0,0,--(LEN(INDEX('Paste Export'!$A$2:$BZ$1001,$A457,col_s5))&gt;0))+IF(col_s6=0,0,--(LEN(INDEX('Paste Export'!$A$2:$BZ$1001,$A457,col_s6))&gt;0))+IF(col_s7=0,0,--(LEN(INDEX('Paste Export'!$A$2:$BZ$1001,$A457,col_s7))&gt;0))+IF(col_s8=0,0,--(LEN(INDEX('Paste Export'!$A$2:$BZ$1001,$A457,col_s8))&gt;0)))</f>
        <v/>
      </c>
      <c r="I457" s="25" t="str">
        <f t="shared" si="52"/>
        <v/>
      </c>
      <c r="J457" s="25" t="str">
        <f t="shared" si="53"/>
        <v/>
      </c>
      <c r="K457" s="24" t="str">
        <f t="shared" si="54"/>
        <v/>
      </c>
      <c r="L457" s="24" t="str">
        <f t="shared" si="55"/>
        <v/>
      </c>
    </row>
    <row r="458" spans="1:12" x14ac:dyDescent="0.25">
      <c r="A458" s="24">
        <f t="shared" si="49"/>
        <v>457</v>
      </c>
      <c r="B458" s="25" t="str">
        <f>IF($A458&gt;nrows,"",IF(col_user=0,"",INDEX('Paste Export'!$A$2:$BZ$1001,$A458,col_user)))</f>
        <v/>
      </c>
      <c r="C458" s="24" t="str">
        <f>IF($A458&gt;nrows,"",IF(col_days=0,0,N(INDEX('Paste Export'!$A$2:$BZ$1001,$A458,col_days))))</f>
        <v/>
      </c>
      <c r="D458" s="24" t="str">
        <f>IF($A458&gt;nrows,"",IF(col_prompts=0,0,N(INDEX('Paste Export'!$A$2:$BZ$1001,$A458,col_prompts))))</f>
        <v/>
      </c>
      <c r="E458" s="24" t="str">
        <f>IF($A458&gt;nrows,"",IF(col_web=0,0,N(INDEX('Paste Export'!$A$2:$BZ$1001,$A458,col_web))))</f>
        <v/>
      </c>
      <c r="F458" s="26" t="str">
        <f t="shared" si="50"/>
        <v/>
      </c>
      <c r="G458" s="27" t="str">
        <f t="shared" si="51"/>
        <v/>
      </c>
      <c r="H458" s="24" t="str">
        <f>IF($A458&gt;nrows,"",IF(col_s1=0,0,--(LEN(INDEX('Paste Export'!$A$2:$BZ$1001,$A458,col_s1))&gt;0))+IF(col_s2=0,0,--(LEN(INDEX('Paste Export'!$A$2:$BZ$1001,$A458,col_s2))&gt;0))+IF(col_s3=0,0,--(LEN(INDEX('Paste Export'!$A$2:$BZ$1001,$A458,col_s3))&gt;0))+IF(col_s4=0,0,--(LEN(INDEX('Paste Export'!$A$2:$BZ$1001,$A458,col_s4))&gt;0))+IF(col_s5=0,0,--(LEN(INDEX('Paste Export'!$A$2:$BZ$1001,$A458,col_s5))&gt;0))+IF(col_s6=0,0,--(LEN(INDEX('Paste Export'!$A$2:$BZ$1001,$A458,col_s6))&gt;0))+IF(col_s7=0,0,--(LEN(INDEX('Paste Export'!$A$2:$BZ$1001,$A458,col_s7))&gt;0))+IF(col_s8=0,0,--(LEN(INDEX('Paste Export'!$A$2:$BZ$1001,$A458,col_s8))&gt;0)))</f>
        <v/>
      </c>
      <c r="I458" s="25" t="str">
        <f t="shared" si="52"/>
        <v/>
      </c>
      <c r="J458" s="25" t="str">
        <f t="shared" si="53"/>
        <v/>
      </c>
      <c r="K458" s="24" t="str">
        <f t="shared" si="54"/>
        <v/>
      </c>
      <c r="L458" s="24" t="str">
        <f t="shared" si="55"/>
        <v/>
      </c>
    </row>
    <row r="459" spans="1:12" x14ac:dyDescent="0.25">
      <c r="A459" s="24">
        <f t="shared" si="49"/>
        <v>458</v>
      </c>
      <c r="B459" s="25" t="str">
        <f>IF($A459&gt;nrows,"",IF(col_user=0,"",INDEX('Paste Export'!$A$2:$BZ$1001,$A459,col_user)))</f>
        <v/>
      </c>
      <c r="C459" s="24" t="str">
        <f>IF($A459&gt;nrows,"",IF(col_days=0,0,N(INDEX('Paste Export'!$A$2:$BZ$1001,$A459,col_days))))</f>
        <v/>
      </c>
      <c r="D459" s="24" t="str">
        <f>IF($A459&gt;nrows,"",IF(col_prompts=0,0,N(INDEX('Paste Export'!$A$2:$BZ$1001,$A459,col_prompts))))</f>
        <v/>
      </c>
      <c r="E459" s="24" t="str">
        <f>IF($A459&gt;nrows,"",IF(col_web=0,0,N(INDEX('Paste Export'!$A$2:$BZ$1001,$A459,col_web))))</f>
        <v/>
      </c>
      <c r="F459" s="26" t="str">
        <f t="shared" si="50"/>
        <v/>
      </c>
      <c r="G459" s="27" t="str">
        <f t="shared" si="51"/>
        <v/>
      </c>
      <c r="H459" s="24" t="str">
        <f>IF($A459&gt;nrows,"",IF(col_s1=0,0,--(LEN(INDEX('Paste Export'!$A$2:$BZ$1001,$A459,col_s1))&gt;0))+IF(col_s2=0,0,--(LEN(INDEX('Paste Export'!$A$2:$BZ$1001,$A459,col_s2))&gt;0))+IF(col_s3=0,0,--(LEN(INDEX('Paste Export'!$A$2:$BZ$1001,$A459,col_s3))&gt;0))+IF(col_s4=0,0,--(LEN(INDEX('Paste Export'!$A$2:$BZ$1001,$A459,col_s4))&gt;0))+IF(col_s5=0,0,--(LEN(INDEX('Paste Export'!$A$2:$BZ$1001,$A459,col_s5))&gt;0))+IF(col_s6=0,0,--(LEN(INDEX('Paste Export'!$A$2:$BZ$1001,$A459,col_s6))&gt;0))+IF(col_s7=0,0,--(LEN(INDEX('Paste Export'!$A$2:$BZ$1001,$A459,col_s7))&gt;0))+IF(col_s8=0,0,--(LEN(INDEX('Paste Export'!$A$2:$BZ$1001,$A459,col_s8))&gt;0)))</f>
        <v/>
      </c>
      <c r="I459" s="25" t="str">
        <f t="shared" si="52"/>
        <v/>
      </c>
      <c r="J459" s="25" t="str">
        <f t="shared" si="53"/>
        <v/>
      </c>
      <c r="K459" s="24" t="str">
        <f t="shared" si="54"/>
        <v/>
      </c>
      <c r="L459" s="24" t="str">
        <f t="shared" si="55"/>
        <v/>
      </c>
    </row>
    <row r="460" spans="1:12" x14ac:dyDescent="0.25">
      <c r="A460" s="24">
        <f t="shared" si="49"/>
        <v>459</v>
      </c>
      <c r="B460" s="25" t="str">
        <f>IF($A460&gt;nrows,"",IF(col_user=0,"",INDEX('Paste Export'!$A$2:$BZ$1001,$A460,col_user)))</f>
        <v/>
      </c>
      <c r="C460" s="24" t="str">
        <f>IF($A460&gt;nrows,"",IF(col_days=0,0,N(INDEX('Paste Export'!$A$2:$BZ$1001,$A460,col_days))))</f>
        <v/>
      </c>
      <c r="D460" s="24" t="str">
        <f>IF($A460&gt;nrows,"",IF(col_prompts=0,0,N(INDEX('Paste Export'!$A$2:$BZ$1001,$A460,col_prompts))))</f>
        <v/>
      </c>
      <c r="E460" s="24" t="str">
        <f>IF($A460&gt;nrows,"",IF(col_web=0,0,N(INDEX('Paste Export'!$A$2:$BZ$1001,$A460,col_web))))</f>
        <v/>
      </c>
      <c r="F460" s="26" t="str">
        <f t="shared" si="50"/>
        <v/>
      </c>
      <c r="G460" s="27" t="str">
        <f t="shared" si="51"/>
        <v/>
      </c>
      <c r="H460" s="24" t="str">
        <f>IF($A460&gt;nrows,"",IF(col_s1=0,0,--(LEN(INDEX('Paste Export'!$A$2:$BZ$1001,$A460,col_s1))&gt;0))+IF(col_s2=0,0,--(LEN(INDEX('Paste Export'!$A$2:$BZ$1001,$A460,col_s2))&gt;0))+IF(col_s3=0,0,--(LEN(INDEX('Paste Export'!$A$2:$BZ$1001,$A460,col_s3))&gt;0))+IF(col_s4=0,0,--(LEN(INDEX('Paste Export'!$A$2:$BZ$1001,$A460,col_s4))&gt;0))+IF(col_s5=0,0,--(LEN(INDEX('Paste Export'!$A$2:$BZ$1001,$A460,col_s5))&gt;0))+IF(col_s6=0,0,--(LEN(INDEX('Paste Export'!$A$2:$BZ$1001,$A460,col_s6))&gt;0))+IF(col_s7=0,0,--(LEN(INDEX('Paste Export'!$A$2:$BZ$1001,$A460,col_s7))&gt;0))+IF(col_s8=0,0,--(LEN(INDEX('Paste Export'!$A$2:$BZ$1001,$A460,col_s8))&gt;0)))</f>
        <v/>
      </c>
      <c r="I460" s="25" t="str">
        <f t="shared" si="52"/>
        <v/>
      </c>
      <c r="J460" s="25" t="str">
        <f t="shared" si="53"/>
        <v/>
      </c>
      <c r="K460" s="24" t="str">
        <f t="shared" si="54"/>
        <v/>
      </c>
      <c r="L460" s="24" t="str">
        <f t="shared" si="55"/>
        <v/>
      </c>
    </row>
    <row r="461" spans="1:12" x14ac:dyDescent="0.25">
      <c r="A461" s="24">
        <f t="shared" si="49"/>
        <v>460</v>
      </c>
      <c r="B461" s="25" t="str">
        <f>IF($A461&gt;nrows,"",IF(col_user=0,"",INDEX('Paste Export'!$A$2:$BZ$1001,$A461,col_user)))</f>
        <v/>
      </c>
      <c r="C461" s="24" t="str">
        <f>IF($A461&gt;nrows,"",IF(col_days=0,0,N(INDEX('Paste Export'!$A$2:$BZ$1001,$A461,col_days))))</f>
        <v/>
      </c>
      <c r="D461" s="24" t="str">
        <f>IF($A461&gt;nrows,"",IF(col_prompts=0,0,N(INDEX('Paste Export'!$A$2:$BZ$1001,$A461,col_prompts))))</f>
        <v/>
      </c>
      <c r="E461" s="24" t="str">
        <f>IF($A461&gt;nrows,"",IF(col_web=0,0,N(INDEX('Paste Export'!$A$2:$BZ$1001,$A461,col_web))))</f>
        <v/>
      </c>
      <c r="F461" s="26" t="str">
        <f t="shared" si="50"/>
        <v/>
      </c>
      <c r="G461" s="27" t="str">
        <f t="shared" si="51"/>
        <v/>
      </c>
      <c r="H461" s="24" t="str">
        <f>IF($A461&gt;nrows,"",IF(col_s1=0,0,--(LEN(INDEX('Paste Export'!$A$2:$BZ$1001,$A461,col_s1))&gt;0))+IF(col_s2=0,0,--(LEN(INDEX('Paste Export'!$A$2:$BZ$1001,$A461,col_s2))&gt;0))+IF(col_s3=0,0,--(LEN(INDEX('Paste Export'!$A$2:$BZ$1001,$A461,col_s3))&gt;0))+IF(col_s4=0,0,--(LEN(INDEX('Paste Export'!$A$2:$BZ$1001,$A461,col_s4))&gt;0))+IF(col_s5=0,0,--(LEN(INDEX('Paste Export'!$A$2:$BZ$1001,$A461,col_s5))&gt;0))+IF(col_s6=0,0,--(LEN(INDEX('Paste Export'!$A$2:$BZ$1001,$A461,col_s6))&gt;0))+IF(col_s7=0,0,--(LEN(INDEX('Paste Export'!$A$2:$BZ$1001,$A461,col_s7))&gt;0))+IF(col_s8=0,0,--(LEN(INDEX('Paste Export'!$A$2:$BZ$1001,$A461,col_s8))&gt;0)))</f>
        <v/>
      </c>
      <c r="I461" s="25" t="str">
        <f t="shared" si="52"/>
        <v/>
      </c>
      <c r="J461" s="25" t="str">
        <f t="shared" si="53"/>
        <v/>
      </c>
      <c r="K461" s="24" t="str">
        <f t="shared" si="54"/>
        <v/>
      </c>
      <c r="L461" s="24" t="str">
        <f t="shared" si="55"/>
        <v/>
      </c>
    </row>
    <row r="462" spans="1:12" x14ac:dyDescent="0.25">
      <c r="A462" s="24">
        <f t="shared" si="49"/>
        <v>461</v>
      </c>
      <c r="B462" s="25" t="str">
        <f>IF($A462&gt;nrows,"",IF(col_user=0,"",INDEX('Paste Export'!$A$2:$BZ$1001,$A462,col_user)))</f>
        <v/>
      </c>
      <c r="C462" s="24" t="str">
        <f>IF($A462&gt;nrows,"",IF(col_days=0,0,N(INDEX('Paste Export'!$A$2:$BZ$1001,$A462,col_days))))</f>
        <v/>
      </c>
      <c r="D462" s="24" t="str">
        <f>IF($A462&gt;nrows,"",IF(col_prompts=0,0,N(INDEX('Paste Export'!$A$2:$BZ$1001,$A462,col_prompts))))</f>
        <v/>
      </c>
      <c r="E462" s="24" t="str">
        <f>IF($A462&gt;nrows,"",IF(col_web=0,0,N(INDEX('Paste Export'!$A$2:$BZ$1001,$A462,col_web))))</f>
        <v/>
      </c>
      <c r="F462" s="26" t="str">
        <f t="shared" si="50"/>
        <v/>
      </c>
      <c r="G462" s="27" t="str">
        <f t="shared" si="51"/>
        <v/>
      </c>
      <c r="H462" s="24" t="str">
        <f>IF($A462&gt;nrows,"",IF(col_s1=0,0,--(LEN(INDEX('Paste Export'!$A$2:$BZ$1001,$A462,col_s1))&gt;0))+IF(col_s2=0,0,--(LEN(INDEX('Paste Export'!$A$2:$BZ$1001,$A462,col_s2))&gt;0))+IF(col_s3=0,0,--(LEN(INDEX('Paste Export'!$A$2:$BZ$1001,$A462,col_s3))&gt;0))+IF(col_s4=0,0,--(LEN(INDEX('Paste Export'!$A$2:$BZ$1001,$A462,col_s4))&gt;0))+IF(col_s5=0,0,--(LEN(INDEX('Paste Export'!$A$2:$BZ$1001,$A462,col_s5))&gt;0))+IF(col_s6=0,0,--(LEN(INDEX('Paste Export'!$A$2:$BZ$1001,$A462,col_s6))&gt;0))+IF(col_s7=0,0,--(LEN(INDEX('Paste Export'!$A$2:$BZ$1001,$A462,col_s7))&gt;0))+IF(col_s8=0,0,--(LEN(INDEX('Paste Export'!$A$2:$BZ$1001,$A462,col_s8))&gt;0)))</f>
        <v/>
      </c>
      <c r="I462" s="25" t="str">
        <f t="shared" si="52"/>
        <v/>
      </c>
      <c r="J462" s="25" t="str">
        <f t="shared" si="53"/>
        <v/>
      </c>
      <c r="K462" s="24" t="str">
        <f t="shared" si="54"/>
        <v/>
      </c>
      <c r="L462" s="24" t="str">
        <f t="shared" si="55"/>
        <v/>
      </c>
    </row>
    <row r="463" spans="1:12" x14ac:dyDescent="0.25">
      <c r="A463" s="24">
        <f t="shared" si="49"/>
        <v>462</v>
      </c>
      <c r="B463" s="25" t="str">
        <f>IF($A463&gt;nrows,"",IF(col_user=0,"",INDEX('Paste Export'!$A$2:$BZ$1001,$A463,col_user)))</f>
        <v/>
      </c>
      <c r="C463" s="24" t="str">
        <f>IF($A463&gt;nrows,"",IF(col_days=0,0,N(INDEX('Paste Export'!$A$2:$BZ$1001,$A463,col_days))))</f>
        <v/>
      </c>
      <c r="D463" s="24" t="str">
        <f>IF($A463&gt;nrows,"",IF(col_prompts=0,0,N(INDEX('Paste Export'!$A$2:$BZ$1001,$A463,col_prompts))))</f>
        <v/>
      </c>
      <c r="E463" s="24" t="str">
        <f>IF($A463&gt;nrows,"",IF(col_web=0,0,N(INDEX('Paste Export'!$A$2:$BZ$1001,$A463,col_web))))</f>
        <v/>
      </c>
      <c r="F463" s="26" t="str">
        <f t="shared" si="50"/>
        <v/>
      </c>
      <c r="G463" s="27" t="str">
        <f t="shared" si="51"/>
        <v/>
      </c>
      <c r="H463" s="24" t="str">
        <f>IF($A463&gt;nrows,"",IF(col_s1=0,0,--(LEN(INDEX('Paste Export'!$A$2:$BZ$1001,$A463,col_s1))&gt;0))+IF(col_s2=0,0,--(LEN(INDEX('Paste Export'!$A$2:$BZ$1001,$A463,col_s2))&gt;0))+IF(col_s3=0,0,--(LEN(INDEX('Paste Export'!$A$2:$BZ$1001,$A463,col_s3))&gt;0))+IF(col_s4=0,0,--(LEN(INDEX('Paste Export'!$A$2:$BZ$1001,$A463,col_s4))&gt;0))+IF(col_s5=0,0,--(LEN(INDEX('Paste Export'!$A$2:$BZ$1001,$A463,col_s5))&gt;0))+IF(col_s6=0,0,--(LEN(INDEX('Paste Export'!$A$2:$BZ$1001,$A463,col_s6))&gt;0))+IF(col_s7=0,0,--(LEN(INDEX('Paste Export'!$A$2:$BZ$1001,$A463,col_s7))&gt;0))+IF(col_s8=0,0,--(LEN(INDEX('Paste Export'!$A$2:$BZ$1001,$A463,col_s8))&gt;0)))</f>
        <v/>
      </c>
      <c r="I463" s="25" t="str">
        <f t="shared" si="52"/>
        <v/>
      </c>
      <c r="J463" s="25" t="str">
        <f t="shared" si="53"/>
        <v/>
      </c>
      <c r="K463" s="24" t="str">
        <f t="shared" si="54"/>
        <v/>
      </c>
      <c r="L463" s="24" t="str">
        <f t="shared" si="55"/>
        <v/>
      </c>
    </row>
    <row r="464" spans="1:12" x14ac:dyDescent="0.25">
      <c r="A464" s="24">
        <f t="shared" si="49"/>
        <v>463</v>
      </c>
      <c r="B464" s="25" t="str">
        <f>IF($A464&gt;nrows,"",IF(col_user=0,"",INDEX('Paste Export'!$A$2:$BZ$1001,$A464,col_user)))</f>
        <v/>
      </c>
      <c r="C464" s="24" t="str">
        <f>IF($A464&gt;nrows,"",IF(col_days=0,0,N(INDEX('Paste Export'!$A$2:$BZ$1001,$A464,col_days))))</f>
        <v/>
      </c>
      <c r="D464" s="24" t="str">
        <f>IF($A464&gt;nrows,"",IF(col_prompts=0,0,N(INDEX('Paste Export'!$A$2:$BZ$1001,$A464,col_prompts))))</f>
        <v/>
      </c>
      <c r="E464" s="24" t="str">
        <f>IF($A464&gt;nrows,"",IF(col_web=0,0,N(INDEX('Paste Export'!$A$2:$BZ$1001,$A464,col_web))))</f>
        <v/>
      </c>
      <c r="F464" s="26" t="str">
        <f t="shared" si="50"/>
        <v/>
      </c>
      <c r="G464" s="27" t="str">
        <f t="shared" si="51"/>
        <v/>
      </c>
      <c r="H464" s="24" t="str">
        <f>IF($A464&gt;nrows,"",IF(col_s1=0,0,--(LEN(INDEX('Paste Export'!$A$2:$BZ$1001,$A464,col_s1))&gt;0))+IF(col_s2=0,0,--(LEN(INDEX('Paste Export'!$A$2:$BZ$1001,$A464,col_s2))&gt;0))+IF(col_s3=0,0,--(LEN(INDEX('Paste Export'!$A$2:$BZ$1001,$A464,col_s3))&gt;0))+IF(col_s4=0,0,--(LEN(INDEX('Paste Export'!$A$2:$BZ$1001,$A464,col_s4))&gt;0))+IF(col_s5=0,0,--(LEN(INDEX('Paste Export'!$A$2:$BZ$1001,$A464,col_s5))&gt;0))+IF(col_s6=0,0,--(LEN(INDEX('Paste Export'!$A$2:$BZ$1001,$A464,col_s6))&gt;0))+IF(col_s7=0,0,--(LEN(INDEX('Paste Export'!$A$2:$BZ$1001,$A464,col_s7))&gt;0))+IF(col_s8=0,0,--(LEN(INDEX('Paste Export'!$A$2:$BZ$1001,$A464,col_s8))&gt;0)))</f>
        <v/>
      </c>
      <c r="I464" s="25" t="str">
        <f t="shared" si="52"/>
        <v/>
      </c>
      <c r="J464" s="25" t="str">
        <f t="shared" si="53"/>
        <v/>
      </c>
      <c r="K464" s="24" t="str">
        <f t="shared" si="54"/>
        <v/>
      </c>
      <c r="L464" s="24" t="str">
        <f t="shared" si="55"/>
        <v/>
      </c>
    </row>
    <row r="465" spans="1:12" x14ac:dyDescent="0.25">
      <c r="A465" s="24">
        <f t="shared" si="49"/>
        <v>464</v>
      </c>
      <c r="B465" s="25" t="str">
        <f>IF($A465&gt;nrows,"",IF(col_user=0,"",INDEX('Paste Export'!$A$2:$BZ$1001,$A465,col_user)))</f>
        <v/>
      </c>
      <c r="C465" s="24" t="str">
        <f>IF($A465&gt;nrows,"",IF(col_days=0,0,N(INDEX('Paste Export'!$A$2:$BZ$1001,$A465,col_days))))</f>
        <v/>
      </c>
      <c r="D465" s="24" t="str">
        <f>IF($A465&gt;nrows,"",IF(col_prompts=0,0,N(INDEX('Paste Export'!$A$2:$BZ$1001,$A465,col_prompts))))</f>
        <v/>
      </c>
      <c r="E465" s="24" t="str">
        <f>IF($A465&gt;nrows,"",IF(col_web=0,0,N(INDEX('Paste Export'!$A$2:$BZ$1001,$A465,col_web))))</f>
        <v/>
      </c>
      <c r="F465" s="26" t="str">
        <f t="shared" si="50"/>
        <v/>
      </c>
      <c r="G465" s="27" t="str">
        <f t="shared" si="51"/>
        <v/>
      </c>
      <c r="H465" s="24" t="str">
        <f>IF($A465&gt;nrows,"",IF(col_s1=0,0,--(LEN(INDEX('Paste Export'!$A$2:$BZ$1001,$A465,col_s1))&gt;0))+IF(col_s2=0,0,--(LEN(INDEX('Paste Export'!$A$2:$BZ$1001,$A465,col_s2))&gt;0))+IF(col_s3=0,0,--(LEN(INDEX('Paste Export'!$A$2:$BZ$1001,$A465,col_s3))&gt;0))+IF(col_s4=0,0,--(LEN(INDEX('Paste Export'!$A$2:$BZ$1001,$A465,col_s4))&gt;0))+IF(col_s5=0,0,--(LEN(INDEX('Paste Export'!$A$2:$BZ$1001,$A465,col_s5))&gt;0))+IF(col_s6=0,0,--(LEN(INDEX('Paste Export'!$A$2:$BZ$1001,$A465,col_s6))&gt;0))+IF(col_s7=0,0,--(LEN(INDEX('Paste Export'!$A$2:$BZ$1001,$A465,col_s7))&gt;0))+IF(col_s8=0,0,--(LEN(INDEX('Paste Export'!$A$2:$BZ$1001,$A465,col_s8))&gt;0)))</f>
        <v/>
      </c>
      <c r="I465" s="25" t="str">
        <f t="shared" si="52"/>
        <v/>
      </c>
      <c r="J465" s="25" t="str">
        <f t="shared" si="53"/>
        <v/>
      </c>
      <c r="K465" s="24" t="str">
        <f t="shared" si="54"/>
        <v/>
      </c>
      <c r="L465" s="24" t="str">
        <f t="shared" si="55"/>
        <v/>
      </c>
    </row>
    <row r="466" spans="1:12" x14ac:dyDescent="0.25">
      <c r="A466" s="24">
        <f t="shared" si="49"/>
        <v>465</v>
      </c>
      <c r="B466" s="25" t="str">
        <f>IF($A466&gt;nrows,"",IF(col_user=0,"",INDEX('Paste Export'!$A$2:$BZ$1001,$A466,col_user)))</f>
        <v/>
      </c>
      <c r="C466" s="24" t="str">
        <f>IF($A466&gt;nrows,"",IF(col_days=0,0,N(INDEX('Paste Export'!$A$2:$BZ$1001,$A466,col_days))))</f>
        <v/>
      </c>
      <c r="D466" s="24" t="str">
        <f>IF($A466&gt;nrows,"",IF(col_prompts=0,0,N(INDEX('Paste Export'!$A$2:$BZ$1001,$A466,col_prompts))))</f>
        <v/>
      </c>
      <c r="E466" s="24" t="str">
        <f>IF($A466&gt;nrows,"",IF(col_web=0,0,N(INDEX('Paste Export'!$A$2:$BZ$1001,$A466,col_web))))</f>
        <v/>
      </c>
      <c r="F466" s="26" t="str">
        <f t="shared" si="50"/>
        <v/>
      </c>
      <c r="G466" s="27" t="str">
        <f t="shared" si="51"/>
        <v/>
      </c>
      <c r="H466" s="24" t="str">
        <f>IF($A466&gt;nrows,"",IF(col_s1=0,0,--(LEN(INDEX('Paste Export'!$A$2:$BZ$1001,$A466,col_s1))&gt;0))+IF(col_s2=0,0,--(LEN(INDEX('Paste Export'!$A$2:$BZ$1001,$A466,col_s2))&gt;0))+IF(col_s3=0,0,--(LEN(INDEX('Paste Export'!$A$2:$BZ$1001,$A466,col_s3))&gt;0))+IF(col_s4=0,0,--(LEN(INDEX('Paste Export'!$A$2:$BZ$1001,$A466,col_s4))&gt;0))+IF(col_s5=0,0,--(LEN(INDEX('Paste Export'!$A$2:$BZ$1001,$A466,col_s5))&gt;0))+IF(col_s6=0,0,--(LEN(INDEX('Paste Export'!$A$2:$BZ$1001,$A466,col_s6))&gt;0))+IF(col_s7=0,0,--(LEN(INDEX('Paste Export'!$A$2:$BZ$1001,$A466,col_s7))&gt;0))+IF(col_s8=0,0,--(LEN(INDEX('Paste Export'!$A$2:$BZ$1001,$A466,col_s8))&gt;0)))</f>
        <v/>
      </c>
      <c r="I466" s="25" t="str">
        <f t="shared" si="52"/>
        <v/>
      </c>
      <c r="J466" s="25" t="str">
        <f t="shared" si="53"/>
        <v/>
      </c>
      <c r="K466" s="24" t="str">
        <f t="shared" si="54"/>
        <v/>
      </c>
      <c r="L466" s="24" t="str">
        <f t="shared" si="55"/>
        <v/>
      </c>
    </row>
    <row r="467" spans="1:12" x14ac:dyDescent="0.25">
      <c r="A467" s="24">
        <f t="shared" si="49"/>
        <v>466</v>
      </c>
      <c r="B467" s="25" t="str">
        <f>IF($A467&gt;nrows,"",IF(col_user=0,"",INDEX('Paste Export'!$A$2:$BZ$1001,$A467,col_user)))</f>
        <v/>
      </c>
      <c r="C467" s="24" t="str">
        <f>IF($A467&gt;nrows,"",IF(col_days=0,0,N(INDEX('Paste Export'!$A$2:$BZ$1001,$A467,col_days))))</f>
        <v/>
      </c>
      <c r="D467" s="24" t="str">
        <f>IF($A467&gt;nrows,"",IF(col_prompts=0,0,N(INDEX('Paste Export'!$A$2:$BZ$1001,$A467,col_prompts))))</f>
        <v/>
      </c>
      <c r="E467" s="24" t="str">
        <f>IF($A467&gt;nrows,"",IF(col_web=0,0,N(INDEX('Paste Export'!$A$2:$BZ$1001,$A467,col_web))))</f>
        <v/>
      </c>
      <c r="F467" s="26" t="str">
        <f t="shared" si="50"/>
        <v/>
      </c>
      <c r="G467" s="27" t="str">
        <f t="shared" si="51"/>
        <v/>
      </c>
      <c r="H467" s="24" t="str">
        <f>IF($A467&gt;nrows,"",IF(col_s1=0,0,--(LEN(INDEX('Paste Export'!$A$2:$BZ$1001,$A467,col_s1))&gt;0))+IF(col_s2=0,0,--(LEN(INDEX('Paste Export'!$A$2:$BZ$1001,$A467,col_s2))&gt;0))+IF(col_s3=0,0,--(LEN(INDEX('Paste Export'!$A$2:$BZ$1001,$A467,col_s3))&gt;0))+IF(col_s4=0,0,--(LEN(INDEX('Paste Export'!$A$2:$BZ$1001,$A467,col_s4))&gt;0))+IF(col_s5=0,0,--(LEN(INDEX('Paste Export'!$A$2:$BZ$1001,$A467,col_s5))&gt;0))+IF(col_s6=0,0,--(LEN(INDEX('Paste Export'!$A$2:$BZ$1001,$A467,col_s6))&gt;0))+IF(col_s7=0,0,--(LEN(INDEX('Paste Export'!$A$2:$BZ$1001,$A467,col_s7))&gt;0))+IF(col_s8=0,0,--(LEN(INDEX('Paste Export'!$A$2:$BZ$1001,$A467,col_s8))&gt;0)))</f>
        <v/>
      </c>
      <c r="I467" s="25" t="str">
        <f t="shared" si="52"/>
        <v/>
      </c>
      <c r="J467" s="25" t="str">
        <f t="shared" si="53"/>
        <v/>
      </c>
      <c r="K467" s="24" t="str">
        <f t="shared" si="54"/>
        <v/>
      </c>
      <c r="L467" s="24" t="str">
        <f t="shared" si="55"/>
        <v/>
      </c>
    </row>
    <row r="468" spans="1:12" x14ac:dyDescent="0.25">
      <c r="A468" s="24">
        <f t="shared" si="49"/>
        <v>467</v>
      </c>
      <c r="B468" s="25" t="str">
        <f>IF($A468&gt;nrows,"",IF(col_user=0,"",INDEX('Paste Export'!$A$2:$BZ$1001,$A468,col_user)))</f>
        <v/>
      </c>
      <c r="C468" s="24" t="str">
        <f>IF($A468&gt;nrows,"",IF(col_days=0,0,N(INDEX('Paste Export'!$A$2:$BZ$1001,$A468,col_days))))</f>
        <v/>
      </c>
      <c r="D468" s="24" t="str">
        <f>IF($A468&gt;nrows,"",IF(col_prompts=0,0,N(INDEX('Paste Export'!$A$2:$BZ$1001,$A468,col_prompts))))</f>
        <v/>
      </c>
      <c r="E468" s="24" t="str">
        <f>IF($A468&gt;nrows,"",IF(col_web=0,0,N(INDEX('Paste Export'!$A$2:$BZ$1001,$A468,col_web))))</f>
        <v/>
      </c>
      <c r="F468" s="26" t="str">
        <f t="shared" si="50"/>
        <v/>
      </c>
      <c r="G468" s="27" t="str">
        <f t="shared" si="51"/>
        <v/>
      </c>
      <c r="H468" s="24" t="str">
        <f>IF($A468&gt;nrows,"",IF(col_s1=0,0,--(LEN(INDEX('Paste Export'!$A$2:$BZ$1001,$A468,col_s1))&gt;0))+IF(col_s2=0,0,--(LEN(INDEX('Paste Export'!$A$2:$BZ$1001,$A468,col_s2))&gt;0))+IF(col_s3=0,0,--(LEN(INDEX('Paste Export'!$A$2:$BZ$1001,$A468,col_s3))&gt;0))+IF(col_s4=0,0,--(LEN(INDEX('Paste Export'!$A$2:$BZ$1001,$A468,col_s4))&gt;0))+IF(col_s5=0,0,--(LEN(INDEX('Paste Export'!$A$2:$BZ$1001,$A468,col_s5))&gt;0))+IF(col_s6=0,0,--(LEN(INDEX('Paste Export'!$A$2:$BZ$1001,$A468,col_s6))&gt;0))+IF(col_s7=0,0,--(LEN(INDEX('Paste Export'!$A$2:$BZ$1001,$A468,col_s7))&gt;0))+IF(col_s8=0,0,--(LEN(INDEX('Paste Export'!$A$2:$BZ$1001,$A468,col_s8))&gt;0)))</f>
        <v/>
      </c>
      <c r="I468" s="25" t="str">
        <f t="shared" si="52"/>
        <v/>
      </c>
      <c r="J468" s="25" t="str">
        <f t="shared" si="53"/>
        <v/>
      </c>
      <c r="K468" s="24" t="str">
        <f t="shared" si="54"/>
        <v/>
      </c>
      <c r="L468" s="24" t="str">
        <f t="shared" si="55"/>
        <v/>
      </c>
    </row>
    <row r="469" spans="1:12" x14ac:dyDescent="0.25">
      <c r="A469" s="24">
        <f t="shared" si="49"/>
        <v>468</v>
      </c>
      <c r="B469" s="25" t="str">
        <f>IF($A469&gt;nrows,"",IF(col_user=0,"",INDEX('Paste Export'!$A$2:$BZ$1001,$A469,col_user)))</f>
        <v/>
      </c>
      <c r="C469" s="24" t="str">
        <f>IF($A469&gt;nrows,"",IF(col_days=0,0,N(INDEX('Paste Export'!$A$2:$BZ$1001,$A469,col_days))))</f>
        <v/>
      </c>
      <c r="D469" s="24" t="str">
        <f>IF($A469&gt;nrows,"",IF(col_prompts=0,0,N(INDEX('Paste Export'!$A$2:$BZ$1001,$A469,col_prompts))))</f>
        <v/>
      </c>
      <c r="E469" s="24" t="str">
        <f>IF($A469&gt;nrows,"",IF(col_web=0,0,N(INDEX('Paste Export'!$A$2:$BZ$1001,$A469,col_web))))</f>
        <v/>
      </c>
      <c r="F469" s="26" t="str">
        <f t="shared" si="50"/>
        <v/>
      </c>
      <c r="G469" s="27" t="str">
        <f t="shared" si="51"/>
        <v/>
      </c>
      <c r="H469" s="24" t="str">
        <f>IF($A469&gt;nrows,"",IF(col_s1=0,0,--(LEN(INDEX('Paste Export'!$A$2:$BZ$1001,$A469,col_s1))&gt;0))+IF(col_s2=0,0,--(LEN(INDEX('Paste Export'!$A$2:$BZ$1001,$A469,col_s2))&gt;0))+IF(col_s3=0,0,--(LEN(INDEX('Paste Export'!$A$2:$BZ$1001,$A469,col_s3))&gt;0))+IF(col_s4=0,0,--(LEN(INDEX('Paste Export'!$A$2:$BZ$1001,$A469,col_s4))&gt;0))+IF(col_s5=0,0,--(LEN(INDEX('Paste Export'!$A$2:$BZ$1001,$A469,col_s5))&gt;0))+IF(col_s6=0,0,--(LEN(INDEX('Paste Export'!$A$2:$BZ$1001,$A469,col_s6))&gt;0))+IF(col_s7=0,0,--(LEN(INDEX('Paste Export'!$A$2:$BZ$1001,$A469,col_s7))&gt;0))+IF(col_s8=0,0,--(LEN(INDEX('Paste Export'!$A$2:$BZ$1001,$A469,col_s8))&gt;0)))</f>
        <v/>
      </c>
      <c r="I469" s="25" t="str">
        <f t="shared" si="52"/>
        <v/>
      </c>
      <c r="J469" s="25" t="str">
        <f t="shared" si="53"/>
        <v/>
      </c>
      <c r="K469" s="24" t="str">
        <f t="shared" si="54"/>
        <v/>
      </c>
      <c r="L469" s="24" t="str">
        <f t="shared" si="55"/>
        <v/>
      </c>
    </row>
    <row r="470" spans="1:12" x14ac:dyDescent="0.25">
      <c r="A470" s="24">
        <f t="shared" si="49"/>
        <v>469</v>
      </c>
      <c r="B470" s="25" t="str">
        <f>IF($A470&gt;nrows,"",IF(col_user=0,"",INDEX('Paste Export'!$A$2:$BZ$1001,$A470,col_user)))</f>
        <v/>
      </c>
      <c r="C470" s="24" t="str">
        <f>IF($A470&gt;nrows,"",IF(col_days=0,0,N(INDEX('Paste Export'!$A$2:$BZ$1001,$A470,col_days))))</f>
        <v/>
      </c>
      <c r="D470" s="24" t="str">
        <f>IF($A470&gt;nrows,"",IF(col_prompts=0,0,N(INDEX('Paste Export'!$A$2:$BZ$1001,$A470,col_prompts))))</f>
        <v/>
      </c>
      <c r="E470" s="24" t="str">
        <f>IF($A470&gt;nrows,"",IF(col_web=0,0,N(INDEX('Paste Export'!$A$2:$BZ$1001,$A470,col_web))))</f>
        <v/>
      </c>
      <c r="F470" s="26" t="str">
        <f t="shared" si="50"/>
        <v/>
      </c>
      <c r="G470" s="27" t="str">
        <f t="shared" si="51"/>
        <v/>
      </c>
      <c r="H470" s="24" t="str">
        <f>IF($A470&gt;nrows,"",IF(col_s1=0,0,--(LEN(INDEX('Paste Export'!$A$2:$BZ$1001,$A470,col_s1))&gt;0))+IF(col_s2=0,0,--(LEN(INDEX('Paste Export'!$A$2:$BZ$1001,$A470,col_s2))&gt;0))+IF(col_s3=0,0,--(LEN(INDEX('Paste Export'!$A$2:$BZ$1001,$A470,col_s3))&gt;0))+IF(col_s4=0,0,--(LEN(INDEX('Paste Export'!$A$2:$BZ$1001,$A470,col_s4))&gt;0))+IF(col_s5=0,0,--(LEN(INDEX('Paste Export'!$A$2:$BZ$1001,$A470,col_s5))&gt;0))+IF(col_s6=0,0,--(LEN(INDEX('Paste Export'!$A$2:$BZ$1001,$A470,col_s6))&gt;0))+IF(col_s7=0,0,--(LEN(INDEX('Paste Export'!$A$2:$BZ$1001,$A470,col_s7))&gt;0))+IF(col_s8=0,0,--(LEN(INDEX('Paste Export'!$A$2:$BZ$1001,$A470,col_s8))&gt;0)))</f>
        <v/>
      </c>
      <c r="I470" s="25" t="str">
        <f t="shared" si="52"/>
        <v/>
      </c>
      <c r="J470" s="25" t="str">
        <f t="shared" si="53"/>
        <v/>
      </c>
      <c r="K470" s="24" t="str">
        <f t="shared" si="54"/>
        <v/>
      </c>
      <c r="L470" s="24" t="str">
        <f t="shared" si="55"/>
        <v/>
      </c>
    </row>
    <row r="471" spans="1:12" x14ac:dyDescent="0.25">
      <c r="A471" s="24">
        <f t="shared" si="49"/>
        <v>470</v>
      </c>
      <c r="B471" s="25" t="str">
        <f>IF($A471&gt;nrows,"",IF(col_user=0,"",INDEX('Paste Export'!$A$2:$BZ$1001,$A471,col_user)))</f>
        <v/>
      </c>
      <c r="C471" s="24" t="str">
        <f>IF($A471&gt;nrows,"",IF(col_days=0,0,N(INDEX('Paste Export'!$A$2:$BZ$1001,$A471,col_days))))</f>
        <v/>
      </c>
      <c r="D471" s="24" t="str">
        <f>IF($A471&gt;nrows,"",IF(col_prompts=0,0,N(INDEX('Paste Export'!$A$2:$BZ$1001,$A471,col_prompts))))</f>
        <v/>
      </c>
      <c r="E471" s="24" t="str">
        <f>IF($A471&gt;nrows,"",IF(col_web=0,0,N(INDEX('Paste Export'!$A$2:$BZ$1001,$A471,col_web))))</f>
        <v/>
      </c>
      <c r="F471" s="26" t="str">
        <f t="shared" si="50"/>
        <v/>
      </c>
      <c r="G471" s="27" t="str">
        <f t="shared" si="51"/>
        <v/>
      </c>
      <c r="H471" s="24" t="str">
        <f>IF($A471&gt;nrows,"",IF(col_s1=0,0,--(LEN(INDEX('Paste Export'!$A$2:$BZ$1001,$A471,col_s1))&gt;0))+IF(col_s2=0,0,--(LEN(INDEX('Paste Export'!$A$2:$BZ$1001,$A471,col_s2))&gt;0))+IF(col_s3=0,0,--(LEN(INDEX('Paste Export'!$A$2:$BZ$1001,$A471,col_s3))&gt;0))+IF(col_s4=0,0,--(LEN(INDEX('Paste Export'!$A$2:$BZ$1001,$A471,col_s4))&gt;0))+IF(col_s5=0,0,--(LEN(INDEX('Paste Export'!$A$2:$BZ$1001,$A471,col_s5))&gt;0))+IF(col_s6=0,0,--(LEN(INDEX('Paste Export'!$A$2:$BZ$1001,$A471,col_s6))&gt;0))+IF(col_s7=0,0,--(LEN(INDEX('Paste Export'!$A$2:$BZ$1001,$A471,col_s7))&gt;0))+IF(col_s8=0,0,--(LEN(INDEX('Paste Export'!$A$2:$BZ$1001,$A471,col_s8))&gt;0)))</f>
        <v/>
      </c>
      <c r="I471" s="25" t="str">
        <f t="shared" si="52"/>
        <v/>
      </c>
      <c r="J471" s="25" t="str">
        <f t="shared" si="53"/>
        <v/>
      </c>
      <c r="K471" s="24" t="str">
        <f t="shared" si="54"/>
        <v/>
      </c>
      <c r="L471" s="24" t="str">
        <f t="shared" si="55"/>
        <v/>
      </c>
    </row>
    <row r="472" spans="1:12" x14ac:dyDescent="0.25">
      <c r="A472" s="24">
        <f t="shared" si="49"/>
        <v>471</v>
      </c>
      <c r="B472" s="25" t="str">
        <f>IF($A472&gt;nrows,"",IF(col_user=0,"",INDEX('Paste Export'!$A$2:$BZ$1001,$A472,col_user)))</f>
        <v/>
      </c>
      <c r="C472" s="24" t="str">
        <f>IF($A472&gt;nrows,"",IF(col_days=0,0,N(INDEX('Paste Export'!$A$2:$BZ$1001,$A472,col_days))))</f>
        <v/>
      </c>
      <c r="D472" s="24" t="str">
        <f>IF($A472&gt;nrows,"",IF(col_prompts=0,0,N(INDEX('Paste Export'!$A$2:$BZ$1001,$A472,col_prompts))))</f>
        <v/>
      </c>
      <c r="E472" s="24" t="str">
        <f>IF($A472&gt;nrows,"",IF(col_web=0,0,N(INDEX('Paste Export'!$A$2:$BZ$1001,$A472,col_web))))</f>
        <v/>
      </c>
      <c r="F472" s="26" t="str">
        <f t="shared" si="50"/>
        <v/>
      </c>
      <c r="G472" s="27" t="str">
        <f t="shared" si="51"/>
        <v/>
      </c>
      <c r="H472" s="24" t="str">
        <f>IF($A472&gt;nrows,"",IF(col_s1=0,0,--(LEN(INDEX('Paste Export'!$A$2:$BZ$1001,$A472,col_s1))&gt;0))+IF(col_s2=0,0,--(LEN(INDEX('Paste Export'!$A$2:$BZ$1001,$A472,col_s2))&gt;0))+IF(col_s3=0,0,--(LEN(INDEX('Paste Export'!$A$2:$BZ$1001,$A472,col_s3))&gt;0))+IF(col_s4=0,0,--(LEN(INDEX('Paste Export'!$A$2:$BZ$1001,$A472,col_s4))&gt;0))+IF(col_s5=0,0,--(LEN(INDEX('Paste Export'!$A$2:$BZ$1001,$A472,col_s5))&gt;0))+IF(col_s6=0,0,--(LEN(INDEX('Paste Export'!$A$2:$BZ$1001,$A472,col_s6))&gt;0))+IF(col_s7=0,0,--(LEN(INDEX('Paste Export'!$A$2:$BZ$1001,$A472,col_s7))&gt;0))+IF(col_s8=0,0,--(LEN(INDEX('Paste Export'!$A$2:$BZ$1001,$A472,col_s8))&gt;0)))</f>
        <v/>
      </c>
      <c r="I472" s="25" t="str">
        <f t="shared" si="52"/>
        <v/>
      </c>
      <c r="J472" s="25" t="str">
        <f t="shared" si="53"/>
        <v/>
      </c>
      <c r="K472" s="24" t="str">
        <f t="shared" si="54"/>
        <v/>
      </c>
      <c r="L472" s="24" t="str">
        <f t="shared" si="55"/>
        <v/>
      </c>
    </row>
    <row r="473" spans="1:12" x14ac:dyDescent="0.25">
      <c r="A473" s="24">
        <f t="shared" si="49"/>
        <v>472</v>
      </c>
      <c r="B473" s="25" t="str">
        <f>IF($A473&gt;nrows,"",IF(col_user=0,"",INDEX('Paste Export'!$A$2:$BZ$1001,$A473,col_user)))</f>
        <v/>
      </c>
      <c r="C473" s="24" t="str">
        <f>IF($A473&gt;nrows,"",IF(col_days=0,0,N(INDEX('Paste Export'!$A$2:$BZ$1001,$A473,col_days))))</f>
        <v/>
      </c>
      <c r="D473" s="24" t="str">
        <f>IF($A473&gt;nrows,"",IF(col_prompts=0,0,N(INDEX('Paste Export'!$A$2:$BZ$1001,$A473,col_prompts))))</f>
        <v/>
      </c>
      <c r="E473" s="24" t="str">
        <f>IF($A473&gt;nrows,"",IF(col_web=0,0,N(INDEX('Paste Export'!$A$2:$BZ$1001,$A473,col_web))))</f>
        <v/>
      </c>
      <c r="F473" s="26" t="str">
        <f t="shared" si="50"/>
        <v/>
      </c>
      <c r="G473" s="27" t="str">
        <f t="shared" si="51"/>
        <v/>
      </c>
      <c r="H473" s="24" t="str">
        <f>IF($A473&gt;nrows,"",IF(col_s1=0,0,--(LEN(INDEX('Paste Export'!$A$2:$BZ$1001,$A473,col_s1))&gt;0))+IF(col_s2=0,0,--(LEN(INDEX('Paste Export'!$A$2:$BZ$1001,$A473,col_s2))&gt;0))+IF(col_s3=0,0,--(LEN(INDEX('Paste Export'!$A$2:$BZ$1001,$A473,col_s3))&gt;0))+IF(col_s4=0,0,--(LEN(INDEX('Paste Export'!$A$2:$BZ$1001,$A473,col_s4))&gt;0))+IF(col_s5=0,0,--(LEN(INDEX('Paste Export'!$A$2:$BZ$1001,$A473,col_s5))&gt;0))+IF(col_s6=0,0,--(LEN(INDEX('Paste Export'!$A$2:$BZ$1001,$A473,col_s6))&gt;0))+IF(col_s7=0,0,--(LEN(INDEX('Paste Export'!$A$2:$BZ$1001,$A473,col_s7))&gt;0))+IF(col_s8=0,0,--(LEN(INDEX('Paste Export'!$A$2:$BZ$1001,$A473,col_s8))&gt;0)))</f>
        <v/>
      </c>
      <c r="I473" s="25" t="str">
        <f t="shared" si="52"/>
        <v/>
      </c>
      <c r="J473" s="25" t="str">
        <f t="shared" si="53"/>
        <v/>
      </c>
      <c r="K473" s="24" t="str">
        <f t="shared" si="54"/>
        <v/>
      </c>
      <c r="L473" s="24" t="str">
        <f t="shared" si="55"/>
        <v/>
      </c>
    </row>
    <row r="474" spans="1:12" x14ac:dyDescent="0.25">
      <c r="A474" s="24">
        <f t="shared" si="49"/>
        <v>473</v>
      </c>
      <c r="B474" s="25" t="str">
        <f>IF($A474&gt;nrows,"",IF(col_user=0,"",INDEX('Paste Export'!$A$2:$BZ$1001,$A474,col_user)))</f>
        <v/>
      </c>
      <c r="C474" s="24" t="str">
        <f>IF($A474&gt;nrows,"",IF(col_days=0,0,N(INDEX('Paste Export'!$A$2:$BZ$1001,$A474,col_days))))</f>
        <v/>
      </c>
      <c r="D474" s="24" t="str">
        <f>IF($A474&gt;nrows,"",IF(col_prompts=0,0,N(INDEX('Paste Export'!$A$2:$BZ$1001,$A474,col_prompts))))</f>
        <v/>
      </c>
      <c r="E474" s="24" t="str">
        <f>IF($A474&gt;nrows,"",IF(col_web=0,0,N(INDEX('Paste Export'!$A$2:$BZ$1001,$A474,col_web))))</f>
        <v/>
      </c>
      <c r="F474" s="26" t="str">
        <f t="shared" si="50"/>
        <v/>
      </c>
      <c r="G474" s="27" t="str">
        <f t="shared" si="51"/>
        <v/>
      </c>
      <c r="H474" s="24" t="str">
        <f>IF($A474&gt;nrows,"",IF(col_s1=0,0,--(LEN(INDEX('Paste Export'!$A$2:$BZ$1001,$A474,col_s1))&gt;0))+IF(col_s2=0,0,--(LEN(INDEX('Paste Export'!$A$2:$BZ$1001,$A474,col_s2))&gt;0))+IF(col_s3=0,0,--(LEN(INDEX('Paste Export'!$A$2:$BZ$1001,$A474,col_s3))&gt;0))+IF(col_s4=0,0,--(LEN(INDEX('Paste Export'!$A$2:$BZ$1001,$A474,col_s4))&gt;0))+IF(col_s5=0,0,--(LEN(INDEX('Paste Export'!$A$2:$BZ$1001,$A474,col_s5))&gt;0))+IF(col_s6=0,0,--(LEN(INDEX('Paste Export'!$A$2:$BZ$1001,$A474,col_s6))&gt;0))+IF(col_s7=0,0,--(LEN(INDEX('Paste Export'!$A$2:$BZ$1001,$A474,col_s7))&gt;0))+IF(col_s8=0,0,--(LEN(INDEX('Paste Export'!$A$2:$BZ$1001,$A474,col_s8))&gt;0)))</f>
        <v/>
      </c>
      <c r="I474" s="25" t="str">
        <f t="shared" si="52"/>
        <v/>
      </c>
      <c r="J474" s="25" t="str">
        <f t="shared" si="53"/>
        <v/>
      </c>
      <c r="K474" s="24" t="str">
        <f t="shared" si="54"/>
        <v/>
      </c>
      <c r="L474" s="24" t="str">
        <f t="shared" si="55"/>
        <v/>
      </c>
    </row>
    <row r="475" spans="1:12" x14ac:dyDescent="0.25">
      <c r="A475" s="24">
        <f t="shared" si="49"/>
        <v>474</v>
      </c>
      <c r="B475" s="25" t="str">
        <f>IF($A475&gt;nrows,"",IF(col_user=0,"",INDEX('Paste Export'!$A$2:$BZ$1001,$A475,col_user)))</f>
        <v/>
      </c>
      <c r="C475" s="24" t="str">
        <f>IF($A475&gt;nrows,"",IF(col_days=0,0,N(INDEX('Paste Export'!$A$2:$BZ$1001,$A475,col_days))))</f>
        <v/>
      </c>
      <c r="D475" s="24" t="str">
        <f>IF($A475&gt;nrows,"",IF(col_prompts=0,0,N(INDEX('Paste Export'!$A$2:$BZ$1001,$A475,col_prompts))))</f>
        <v/>
      </c>
      <c r="E475" s="24" t="str">
        <f>IF($A475&gt;nrows,"",IF(col_web=0,0,N(INDEX('Paste Export'!$A$2:$BZ$1001,$A475,col_web))))</f>
        <v/>
      </c>
      <c r="F475" s="26" t="str">
        <f t="shared" si="50"/>
        <v/>
      </c>
      <c r="G475" s="27" t="str">
        <f t="shared" si="51"/>
        <v/>
      </c>
      <c r="H475" s="24" t="str">
        <f>IF($A475&gt;nrows,"",IF(col_s1=0,0,--(LEN(INDEX('Paste Export'!$A$2:$BZ$1001,$A475,col_s1))&gt;0))+IF(col_s2=0,0,--(LEN(INDEX('Paste Export'!$A$2:$BZ$1001,$A475,col_s2))&gt;0))+IF(col_s3=0,0,--(LEN(INDEX('Paste Export'!$A$2:$BZ$1001,$A475,col_s3))&gt;0))+IF(col_s4=0,0,--(LEN(INDEX('Paste Export'!$A$2:$BZ$1001,$A475,col_s4))&gt;0))+IF(col_s5=0,0,--(LEN(INDEX('Paste Export'!$A$2:$BZ$1001,$A475,col_s5))&gt;0))+IF(col_s6=0,0,--(LEN(INDEX('Paste Export'!$A$2:$BZ$1001,$A475,col_s6))&gt;0))+IF(col_s7=0,0,--(LEN(INDEX('Paste Export'!$A$2:$BZ$1001,$A475,col_s7))&gt;0))+IF(col_s8=0,0,--(LEN(INDEX('Paste Export'!$A$2:$BZ$1001,$A475,col_s8))&gt;0)))</f>
        <v/>
      </c>
      <c r="I475" s="25" t="str">
        <f t="shared" si="52"/>
        <v/>
      </c>
      <c r="J475" s="25" t="str">
        <f t="shared" si="53"/>
        <v/>
      </c>
      <c r="K475" s="24" t="str">
        <f t="shared" si="54"/>
        <v/>
      </c>
      <c r="L475" s="24" t="str">
        <f t="shared" si="55"/>
        <v/>
      </c>
    </row>
    <row r="476" spans="1:12" x14ac:dyDescent="0.25">
      <c r="A476" s="24">
        <f t="shared" si="49"/>
        <v>475</v>
      </c>
      <c r="B476" s="25" t="str">
        <f>IF($A476&gt;nrows,"",IF(col_user=0,"",INDEX('Paste Export'!$A$2:$BZ$1001,$A476,col_user)))</f>
        <v/>
      </c>
      <c r="C476" s="24" t="str">
        <f>IF($A476&gt;nrows,"",IF(col_days=0,0,N(INDEX('Paste Export'!$A$2:$BZ$1001,$A476,col_days))))</f>
        <v/>
      </c>
      <c r="D476" s="24" t="str">
        <f>IF($A476&gt;nrows,"",IF(col_prompts=0,0,N(INDEX('Paste Export'!$A$2:$BZ$1001,$A476,col_prompts))))</f>
        <v/>
      </c>
      <c r="E476" s="24" t="str">
        <f>IF($A476&gt;nrows,"",IF(col_web=0,0,N(INDEX('Paste Export'!$A$2:$BZ$1001,$A476,col_web))))</f>
        <v/>
      </c>
      <c r="F476" s="26" t="str">
        <f t="shared" si="50"/>
        <v/>
      </c>
      <c r="G476" s="27" t="str">
        <f t="shared" si="51"/>
        <v/>
      </c>
      <c r="H476" s="24" t="str">
        <f>IF($A476&gt;nrows,"",IF(col_s1=0,0,--(LEN(INDEX('Paste Export'!$A$2:$BZ$1001,$A476,col_s1))&gt;0))+IF(col_s2=0,0,--(LEN(INDEX('Paste Export'!$A$2:$BZ$1001,$A476,col_s2))&gt;0))+IF(col_s3=0,0,--(LEN(INDEX('Paste Export'!$A$2:$BZ$1001,$A476,col_s3))&gt;0))+IF(col_s4=0,0,--(LEN(INDEX('Paste Export'!$A$2:$BZ$1001,$A476,col_s4))&gt;0))+IF(col_s5=0,0,--(LEN(INDEX('Paste Export'!$A$2:$BZ$1001,$A476,col_s5))&gt;0))+IF(col_s6=0,0,--(LEN(INDEX('Paste Export'!$A$2:$BZ$1001,$A476,col_s6))&gt;0))+IF(col_s7=0,0,--(LEN(INDEX('Paste Export'!$A$2:$BZ$1001,$A476,col_s7))&gt;0))+IF(col_s8=0,0,--(LEN(INDEX('Paste Export'!$A$2:$BZ$1001,$A476,col_s8))&gt;0)))</f>
        <v/>
      </c>
      <c r="I476" s="25" t="str">
        <f t="shared" si="52"/>
        <v/>
      </c>
      <c r="J476" s="25" t="str">
        <f t="shared" si="53"/>
        <v/>
      </c>
      <c r="K476" s="24" t="str">
        <f t="shared" si="54"/>
        <v/>
      </c>
      <c r="L476" s="24" t="str">
        <f t="shared" si="55"/>
        <v/>
      </c>
    </row>
    <row r="477" spans="1:12" x14ac:dyDescent="0.25">
      <c r="A477" s="24">
        <f t="shared" si="49"/>
        <v>476</v>
      </c>
      <c r="B477" s="25" t="str">
        <f>IF($A477&gt;nrows,"",IF(col_user=0,"",INDEX('Paste Export'!$A$2:$BZ$1001,$A477,col_user)))</f>
        <v/>
      </c>
      <c r="C477" s="24" t="str">
        <f>IF($A477&gt;nrows,"",IF(col_days=0,0,N(INDEX('Paste Export'!$A$2:$BZ$1001,$A477,col_days))))</f>
        <v/>
      </c>
      <c r="D477" s="24" t="str">
        <f>IF($A477&gt;nrows,"",IF(col_prompts=0,0,N(INDEX('Paste Export'!$A$2:$BZ$1001,$A477,col_prompts))))</f>
        <v/>
      </c>
      <c r="E477" s="24" t="str">
        <f>IF($A477&gt;nrows,"",IF(col_web=0,0,N(INDEX('Paste Export'!$A$2:$BZ$1001,$A477,col_web))))</f>
        <v/>
      </c>
      <c r="F477" s="26" t="str">
        <f t="shared" si="50"/>
        <v/>
      </c>
      <c r="G477" s="27" t="str">
        <f t="shared" si="51"/>
        <v/>
      </c>
      <c r="H477" s="24" t="str">
        <f>IF($A477&gt;nrows,"",IF(col_s1=0,0,--(LEN(INDEX('Paste Export'!$A$2:$BZ$1001,$A477,col_s1))&gt;0))+IF(col_s2=0,0,--(LEN(INDEX('Paste Export'!$A$2:$BZ$1001,$A477,col_s2))&gt;0))+IF(col_s3=0,0,--(LEN(INDEX('Paste Export'!$A$2:$BZ$1001,$A477,col_s3))&gt;0))+IF(col_s4=0,0,--(LEN(INDEX('Paste Export'!$A$2:$BZ$1001,$A477,col_s4))&gt;0))+IF(col_s5=0,0,--(LEN(INDEX('Paste Export'!$A$2:$BZ$1001,$A477,col_s5))&gt;0))+IF(col_s6=0,0,--(LEN(INDEX('Paste Export'!$A$2:$BZ$1001,$A477,col_s6))&gt;0))+IF(col_s7=0,0,--(LEN(INDEX('Paste Export'!$A$2:$BZ$1001,$A477,col_s7))&gt;0))+IF(col_s8=0,0,--(LEN(INDEX('Paste Export'!$A$2:$BZ$1001,$A477,col_s8))&gt;0)))</f>
        <v/>
      </c>
      <c r="I477" s="25" t="str">
        <f t="shared" si="52"/>
        <v/>
      </c>
      <c r="J477" s="25" t="str">
        <f t="shared" si="53"/>
        <v/>
      </c>
      <c r="K477" s="24" t="str">
        <f t="shared" si="54"/>
        <v/>
      </c>
      <c r="L477" s="24" t="str">
        <f t="shared" si="55"/>
        <v/>
      </c>
    </row>
    <row r="478" spans="1:12" x14ac:dyDescent="0.25">
      <c r="A478" s="24">
        <f t="shared" si="49"/>
        <v>477</v>
      </c>
      <c r="B478" s="25" t="str">
        <f>IF($A478&gt;nrows,"",IF(col_user=0,"",INDEX('Paste Export'!$A$2:$BZ$1001,$A478,col_user)))</f>
        <v/>
      </c>
      <c r="C478" s="24" t="str">
        <f>IF($A478&gt;nrows,"",IF(col_days=0,0,N(INDEX('Paste Export'!$A$2:$BZ$1001,$A478,col_days))))</f>
        <v/>
      </c>
      <c r="D478" s="24" t="str">
        <f>IF($A478&gt;nrows,"",IF(col_prompts=0,0,N(INDEX('Paste Export'!$A$2:$BZ$1001,$A478,col_prompts))))</f>
        <v/>
      </c>
      <c r="E478" s="24" t="str">
        <f>IF($A478&gt;nrows,"",IF(col_web=0,0,N(INDEX('Paste Export'!$A$2:$BZ$1001,$A478,col_web))))</f>
        <v/>
      </c>
      <c r="F478" s="26" t="str">
        <f t="shared" si="50"/>
        <v/>
      </c>
      <c r="G478" s="27" t="str">
        <f t="shared" si="51"/>
        <v/>
      </c>
      <c r="H478" s="24" t="str">
        <f>IF($A478&gt;nrows,"",IF(col_s1=0,0,--(LEN(INDEX('Paste Export'!$A$2:$BZ$1001,$A478,col_s1))&gt;0))+IF(col_s2=0,0,--(LEN(INDEX('Paste Export'!$A$2:$BZ$1001,$A478,col_s2))&gt;0))+IF(col_s3=0,0,--(LEN(INDEX('Paste Export'!$A$2:$BZ$1001,$A478,col_s3))&gt;0))+IF(col_s4=0,0,--(LEN(INDEX('Paste Export'!$A$2:$BZ$1001,$A478,col_s4))&gt;0))+IF(col_s5=0,0,--(LEN(INDEX('Paste Export'!$A$2:$BZ$1001,$A478,col_s5))&gt;0))+IF(col_s6=0,0,--(LEN(INDEX('Paste Export'!$A$2:$BZ$1001,$A478,col_s6))&gt;0))+IF(col_s7=0,0,--(LEN(INDEX('Paste Export'!$A$2:$BZ$1001,$A478,col_s7))&gt;0))+IF(col_s8=0,0,--(LEN(INDEX('Paste Export'!$A$2:$BZ$1001,$A478,col_s8))&gt;0)))</f>
        <v/>
      </c>
      <c r="I478" s="25" t="str">
        <f t="shared" si="52"/>
        <v/>
      </c>
      <c r="J478" s="25" t="str">
        <f t="shared" si="53"/>
        <v/>
      </c>
      <c r="K478" s="24" t="str">
        <f t="shared" si="54"/>
        <v/>
      </c>
      <c r="L478" s="24" t="str">
        <f t="shared" si="55"/>
        <v/>
      </c>
    </row>
    <row r="479" spans="1:12" x14ac:dyDescent="0.25">
      <c r="A479" s="24">
        <f t="shared" si="49"/>
        <v>478</v>
      </c>
      <c r="B479" s="25" t="str">
        <f>IF($A479&gt;nrows,"",IF(col_user=0,"",INDEX('Paste Export'!$A$2:$BZ$1001,$A479,col_user)))</f>
        <v/>
      </c>
      <c r="C479" s="24" t="str">
        <f>IF($A479&gt;nrows,"",IF(col_days=0,0,N(INDEX('Paste Export'!$A$2:$BZ$1001,$A479,col_days))))</f>
        <v/>
      </c>
      <c r="D479" s="24" t="str">
        <f>IF($A479&gt;nrows,"",IF(col_prompts=0,0,N(INDEX('Paste Export'!$A$2:$BZ$1001,$A479,col_prompts))))</f>
        <v/>
      </c>
      <c r="E479" s="24" t="str">
        <f>IF($A479&gt;nrows,"",IF(col_web=0,0,N(INDEX('Paste Export'!$A$2:$BZ$1001,$A479,col_web))))</f>
        <v/>
      </c>
      <c r="F479" s="26" t="str">
        <f t="shared" si="50"/>
        <v/>
      </c>
      <c r="G479" s="27" t="str">
        <f t="shared" si="51"/>
        <v/>
      </c>
      <c r="H479" s="24" t="str">
        <f>IF($A479&gt;nrows,"",IF(col_s1=0,0,--(LEN(INDEX('Paste Export'!$A$2:$BZ$1001,$A479,col_s1))&gt;0))+IF(col_s2=0,0,--(LEN(INDEX('Paste Export'!$A$2:$BZ$1001,$A479,col_s2))&gt;0))+IF(col_s3=0,0,--(LEN(INDEX('Paste Export'!$A$2:$BZ$1001,$A479,col_s3))&gt;0))+IF(col_s4=0,0,--(LEN(INDEX('Paste Export'!$A$2:$BZ$1001,$A479,col_s4))&gt;0))+IF(col_s5=0,0,--(LEN(INDEX('Paste Export'!$A$2:$BZ$1001,$A479,col_s5))&gt;0))+IF(col_s6=0,0,--(LEN(INDEX('Paste Export'!$A$2:$BZ$1001,$A479,col_s6))&gt;0))+IF(col_s7=0,0,--(LEN(INDEX('Paste Export'!$A$2:$BZ$1001,$A479,col_s7))&gt;0))+IF(col_s8=0,0,--(LEN(INDEX('Paste Export'!$A$2:$BZ$1001,$A479,col_s8))&gt;0)))</f>
        <v/>
      </c>
      <c r="I479" s="25" t="str">
        <f t="shared" si="52"/>
        <v/>
      </c>
      <c r="J479" s="25" t="str">
        <f t="shared" si="53"/>
        <v/>
      </c>
      <c r="K479" s="24" t="str">
        <f t="shared" si="54"/>
        <v/>
      </c>
      <c r="L479" s="24" t="str">
        <f t="shared" si="55"/>
        <v/>
      </c>
    </row>
    <row r="480" spans="1:12" x14ac:dyDescent="0.25">
      <c r="A480" s="24">
        <f t="shared" si="49"/>
        <v>479</v>
      </c>
      <c r="B480" s="25" t="str">
        <f>IF($A480&gt;nrows,"",IF(col_user=0,"",INDEX('Paste Export'!$A$2:$BZ$1001,$A480,col_user)))</f>
        <v/>
      </c>
      <c r="C480" s="24" t="str">
        <f>IF($A480&gt;nrows,"",IF(col_days=0,0,N(INDEX('Paste Export'!$A$2:$BZ$1001,$A480,col_days))))</f>
        <v/>
      </c>
      <c r="D480" s="24" t="str">
        <f>IF($A480&gt;nrows,"",IF(col_prompts=0,0,N(INDEX('Paste Export'!$A$2:$BZ$1001,$A480,col_prompts))))</f>
        <v/>
      </c>
      <c r="E480" s="24" t="str">
        <f>IF($A480&gt;nrows,"",IF(col_web=0,0,N(INDEX('Paste Export'!$A$2:$BZ$1001,$A480,col_web))))</f>
        <v/>
      </c>
      <c r="F480" s="26" t="str">
        <f t="shared" si="50"/>
        <v/>
      </c>
      <c r="G480" s="27" t="str">
        <f t="shared" si="51"/>
        <v/>
      </c>
      <c r="H480" s="24" t="str">
        <f>IF($A480&gt;nrows,"",IF(col_s1=0,0,--(LEN(INDEX('Paste Export'!$A$2:$BZ$1001,$A480,col_s1))&gt;0))+IF(col_s2=0,0,--(LEN(INDEX('Paste Export'!$A$2:$BZ$1001,$A480,col_s2))&gt;0))+IF(col_s3=0,0,--(LEN(INDEX('Paste Export'!$A$2:$BZ$1001,$A480,col_s3))&gt;0))+IF(col_s4=0,0,--(LEN(INDEX('Paste Export'!$A$2:$BZ$1001,$A480,col_s4))&gt;0))+IF(col_s5=0,0,--(LEN(INDEX('Paste Export'!$A$2:$BZ$1001,$A480,col_s5))&gt;0))+IF(col_s6=0,0,--(LEN(INDEX('Paste Export'!$A$2:$BZ$1001,$A480,col_s6))&gt;0))+IF(col_s7=0,0,--(LEN(INDEX('Paste Export'!$A$2:$BZ$1001,$A480,col_s7))&gt;0))+IF(col_s8=0,0,--(LEN(INDEX('Paste Export'!$A$2:$BZ$1001,$A480,col_s8))&gt;0)))</f>
        <v/>
      </c>
      <c r="I480" s="25" t="str">
        <f t="shared" si="52"/>
        <v/>
      </c>
      <c r="J480" s="25" t="str">
        <f t="shared" si="53"/>
        <v/>
      </c>
      <c r="K480" s="24" t="str">
        <f t="shared" si="54"/>
        <v/>
      </c>
      <c r="L480" s="24" t="str">
        <f t="shared" si="55"/>
        <v/>
      </c>
    </row>
    <row r="481" spans="1:12" x14ac:dyDescent="0.25">
      <c r="A481" s="24">
        <f t="shared" si="49"/>
        <v>480</v>
      </c>
      <c r="B481" s="25" t="str">
        <f>IF($A481&gt;nrows,"",IF(col_user=0,"",INDEX('Paste Export'!$A$2:$BZ$1001,$A481,col_user)))</f>
        <v/>
      </c>
      <c r="C481" s="24" t="str">
        <f>IF($A481&gt;nrows,"",IF(col_days=0,0,N(INDEX('Paste Export'!$A$2:$BZ$1001,$A481,col_days))))</f>
        <v/>
      </c>
      <c r="D481" s="24" t="str">
        <f>IF($A481&gt;nrows,"",IF(col_prompts=0,0,N(INDEX('Paste Export'!$A$2:$BZ$1001,$A481,col_prompts))))</f>
        <v/>
      </c>
      <c r="E481" s="24" t="str">
        <f>IF($A481&gt;nrows,"",IF(col_web=0,0,N(INDEX('Paste Export'!$A$2:$BZ$1001,$A481,col_web))))</f>
        <v/>
      </c>
      <c r="F481" s="26" t="str">
        <f t="shared" si="50"/>
        <v/>
      </c>
      <c r="G481" s="27" t="str">
        <f t="shared" si="51"/>
        <v/>
      </c>
      <c r="H481" s="24" t="str">
        <f>IF($A481&gt;nrows,"",IF(col_s1=0,0,--(LEN(INDEX('Paste Export'!$A$2:$BZ$1001,$A481,col_s1))&gt;0))+IF(col_s2=0,0,--(LEN(INDEX('Paste Export'!$A$2:$BZ$1001,$A481,col_s2))&gt;0))+IF(col_s3=0,0,--(LEN(INDEX('Paste Export'!$A$2:$BZ$1001,$A481,col_s3))&gt;0))+IF(col_s4=0,0,--(LEN(INDEX('Paste Export'!$A$2:$BZ$1001,$A481,col_s4))&gt;0))+IF(col_s5=0,0,--(LEN(INDEX('Paste Export'!$A$2:$BZ$1001,$A481,col_s5))&gt;0))+IF(col_s6=0,0,--(LEN(INDEX('Paste Export'!$A$2:$BZ$1001,$A481,col_s6))&gt;0))+IF(col_s7=0,0,--(LEN(INDEX('Paste Export'!$A$2:$BZ$1001,$A481,col_s7))&gt;0))+IF(col_s8=0,0,--(LEN(INDEX('Paste Export'!$A$2:$BZ$1001,$A481,col_s8))&gt;0)))</f>
        <v/>
      </c>
      <c r="I481" s="25" t="str">
        <f t="shared" si="52"/>
        <v/>
      </c>
      <c r="J481" s="25" t="str">
        <f t="shared" si="53"/>
        <v/>
      </c>
      <c r="K481" s="24" t="str">
        <f t="shared" si="54"/>
        <v/>
      </c>
      <c r="L481" s="24" t="str">
        <f t="shared" si="55"/>
        <v/>
      </c>
    </row>
    <row r="482" spans="1:12" x14ac:dyDescent="0.25">
      <c r="A482" s="24">
        <f t="shared" si="49"/>
        <v>481</v>
      </c>
      <c r="B482" s="25" t="str">
        <f>IF($A482&gt;nrows,"",IF(col_user=0,"",INDEX('Paste Export'!$A$2:$BZ$1001,$A482,col_user)))</f>
        <v/>
      </c>
      <c r="C482" s="24" t="str">
        <f>IF($A482&gt;nrows,"",IF(col_days=0,0,N(INDEX('Paste Export'!$A$2:$BZ$1001,$A482,col_days))))</f>
        <v/>
      </c>
      <c r="D482" s="24" t="str">
        <f>IF($A482&gt;nrows,"",IF(col_prompts=0,0,N(INDEX('Paste Export'!$A$2:$BZ$1001,$A482,col_prompts))))</f>
        <v/>
      </c>
      <c r="E482" s="24" t="str">
        <f>IF($A482&gt;nrows,"",IF(col_web=0,0,N(INDEX('Paste Export'!$A$2:$BZ$1001,$A482,col_web))))</f>
        <v/>
      </c>
      <c r="F482" s="26" t="str">
        <f t="shared" si="50"/>
        <v/>
      </c>
      <c r="G482" s="27" t="str">
        <f t="shared" si="51"/>
        <v/>
      </c>
      <c r="H482" s="24" t="str">
        <f>IF($A482&gt;nrows,"",IF(col_s1=0,0,--(LEN(INDEX('Paste Export'!$A$2:$BZ$1001,$A482,col_s1))&gt;0))+IF(col_s2=0,0,--(LEN(INDEX('Paste Export'!$A$2:$BZ$1001,$A482,col_s2))&gt;0))+IF(col_s3=0,0,--(LEN(INDEX('Paste Export'!$A$2:$BZ$1001,$A482,col_s3))&gt;0))+IF(col_s4=0,0,--(LEN(INDEX('Paste Export'!$A$2:$BZ$1001,$A482,col_s4))&gt;0))+IF(col_s5=0,0,--(LEN(INDEX('Paste Export'!$A$2:$BZ$1001,$A482,col_s5))&gt;0))+IF(col_s6=0,0,--(LEN(INDEX('Paste Export'!$A$2:$BZ$1001,$A482,col_s6))&gt;0))+IF(col_s7=0,0,--(LEN(INDEX('Paste Export'!$A$2:$BZ$1001,$A482,col_s7))&gt;0))+IF(col_s8=0,0,--(LEN(INDEX('Paste Export'!$A$2:$BZ$1001,$A482,col_s8))&gt;0)))</f>
        <v/>
      </c>
      <c r="I482" s="25" t="str">
        <f t="shared" si="52"/>
        <v/>
      </c>
      <c r="J482" s="25" t="str">
        <f t="shared" si="53"/>
        <v/>
      </c>
      <c r="K482" s="24" t="str">
        <f t="shared" si="54"/>
        <v/>
      </c>
      <c r="L482" s="24" t="str">
        <f t="shared" si="55"/>
        <v/>
      </c>
    </row>
    <row r="483" spans="1:12" x14ac:dyDescent="0.25">
      <c r="A483" s="24">
        <f t="shared" si="49"/>
        <v>482</v>
      </c>
      <c r="B483" s="25" t="str">
        <f>IF($A483&gt;nrows,"",IF(col_user=0,"",INDEX('Paste Export'!$A$2:$BZ$1001,$A483,col_user)))</f>
        <v/>
      </c>
      <c r="C483" s="24" t="str">
        <f>IF($A483&gt;nrows,"",IF(col_days=0,0,N(INDEX('Paste Export'!$A$2:$BZ$1001,$A483,col_days))))</f>
        <v/>
      </c>
      <c r="D483" s="24" t="str">
        <f>IF($A483&gt;nrows,"",IF(col_prompts=0,0,N(INDEX('Paste Export'!$A$2:$BZ$1001,$A483,col_prompts))))</f>
        <v/>
      </c>
      <c r="E483" s="24" t="str">
        <f>IF($A483&gt;nrows,"",IF(col_web=0,0,N(INDEX('Paste Export'!$A$2:$BZ$1001,$A483,col_web))))</f>
        <v/>
      </c>
      <c r="F483" s="26" t="str">
        <f t="shared" si="50"/>
        <v/>
      </c>
      <c r="G483" s="27" t="str">
        <f t="shared" si="51"/>
        <v/>
      </c>
      <c r="H483" s="24" t="str">
        <f>IF($A483&gt;nrows,"",IF(col_s1=0,0,--(LEN(INDEX('Paste Export'!$A$2:$BZ$1001,$A483,col_s1))&gt;0))+IF(col_s2=0,0,--(LEN(INDEX('Paste Export'!$A$2:$BZ$1001,$A483,col_s2))&gt;0))+IF(col_s3=0,0,--(LEN(INDEX('Paste Export'!$A$2:$BZ$1001,$A483,col_s3))&gt;0))+IF(col_s4=0,0,--(LEN(INDEX('Paste Export'!$A$2:$BZ$1001,$A483,col_s4))&gt;0))+IF(col_s5=0,0,--(LEN(INDEX('Paste Export'!$A$2:$BZ$1001,$A483,col_s5))&gt;0))+IF(col_s6=0,0,--(LEN(INDEX('Paste Export'!$A$2:$BZ$1001,$A483,col_s6))&gt;0))+IF(col_s7=0,0,--(LEN(INDEX('Paste Export'!$A$2:$BZ$1001,$A483,col_s7))&gt;0))+IF(col_s8=0,0,--(LEN(INDEX('Paste Export'!$A$2:$BZ$1001,$A483,col_s8))&gt;0)))</f>
        <v/>
      </c>
      <c r="I483" s="25" t="str">
        <f t="shared" si="52"/>
        <v/>
      </c>
      <c r="J483" s="25" t="str">
        <f t="shared" si="53"/>
        <v/>
      </c>
      <c r="K483" s="24" t="str">
        <f t="shared" si="54"/>
        <v/>
      </c>
      <c r="L483" s="24" t="str">
        <f t="shared" si="55"/>
        <v/>
      </c>
    </row>
    <row r="484" spans="1:12" x14ac:dyDescent="0.25">
      <c r="A484" s="24">
        <f t="shared" si="49"/>
        <v>483</v>
      </c>
      <c r="B484" s="25" t="str">
        <f>IF($A484&gt;nrows,"",IF(col_user=0,"",INDEX('Paste Export'!$A$2:$BZ$1001,$A484,col_user)))</f>
        <v/>
      </c>
      <c r="C484" s="24" t="str">
        <f>IF($A484&gt;nrows,"",IF(col_days=0,0,N(INDEX('Paste Export'!$A$2:$BZ$1001,$A484,col_days))))</f>
        <v/>
      </c>
      <c r="D484" s="24" t="str">
        <f>IF($A484&gt;nrows,"",IF(col_prompts=0,0,N(INDEX('Paste Export'!$A$2:$BZ$1001,$A484,col_prompts))))</f>
        <v/>
      </c>
      <c r="E484" s="24" t="str">
        <f>IF($A484&gt;nrows,"",IF(col_web=0,0,N(INDEX('Paste Export'!$A$2:$BZ$1001,$A484,col_web))))</f>
        <v/>
      </c>
      <c r="F484" s="26" t="str">
        <f t="shared" si="50"/>
        <v/>
      </c>
      <c r="G484" s="27" t="str">
        <f t="shared" si="51"/>
        <v/>
      </c>
      <c r="H484" s="24" t="str">
        <f>IF($A484&gt;nrows,"",IF(col_s1=0,0,--(LEN(INDEX('Paste Export'!$A$2:$BZ$1001,$A484,col_s1))&gt;0))+IF(col_s2=0,0,--(LEN(INDEX('Paste Export'!$A$2:$BZ$1001,$A484,col_s2))&gt;0))+IF(col_s3=0,0,--(LEN(INDEX('Paste Export'!$A$2:$BZ$1001,$A484,col_s3))&gt;0))+IF(col_s4=0,0,--(LEN(INDEX('Paste Export'!$A$2:$BZ$1001,$A484,col_s4))&gt;0))+IF(col_s5=0,0,--(LEN(INDEX('Paste Export'!$A$2:$BZ$1001,$A484,col_s5))&gt;0))+IF(col_s6=0,0,--(LEN(INDEX('Paste Export'!$A$2:$BZ$1001,$A484,col_s6))&gt;0))+IF(col_s7=0,0,--(LEN(INDEX('Paste Export'!$A$2:$BZ$1001,$A484,col_s7))&gt;0))+IF(col_s8=0,0,--(LEN(INDEX('Paste Export'!$A$2:$BZ$1001,$A484,col_s8))&gt;0)))</f>
        <v/>
      </c>
      <c r="I484" s="25" t="str">
        <f t="shared" si="52"/>
        <v/>
      </c>
      <c r="J484" s="25" t="str">
        <f t="shared" si="53"/>
        <v/>
      </c>
      <c r="K484" s="24" t="str">
        <f t="shared" si="54"/>
        <v/>
      </c>
      <c r="L484" s="24" t="str">
        <f t="shared" si="55"/>
        <v/>
      </c>
    </row>
    <row r="485" spans="1:12" x14ac:dyDescent="0.25">
      <c r="A485" s="24">
        <f t="shared" si="49"/>
        <v>484</v>
      </c>
      <c r="B485" s="25" t="str">
        <f>IF($A485&gt;nrows,"",IF(col_user=0,"",INDEX('Paste Export'!$A$2:$BZ$1001,$A485,col_user)))</f>
        <v/>
      </c>
      <c r="C485" s="24" t="str">
        <f>IF($A485&gt;nrows,"",IF(col_days=0,0,N(INDEX('Paste Export'!$A$2:$BZ$1001,$A485,col_days))))</f>
        <v/>
      </c>
      <c r="D485" s="24" t="str">
        <f>IF($A485&gt;nrows,"",IF(col_prompts=0,0,N(INDEX('Paste Export'!$A$2:$BZ$1001,$A485,col_prompts))))</f>
        <v/>
      </c>
      <c r="E485" s="24" t="str">
        <f>IF($A485&gt;nrows,"",IF(col_web=0,0,N(INDEX('Paste Export'!$A$2:$BZ$1001,$A485,col_web))))</f>
        <v/>
      </c>
      <c r="F485" s="26" t="str">
        <f t="shared" si="50"/>
        <v/>
      </c>
      <c r="G485" s="27" t="str">
        <f t="shared" si="51"/>
        <v/>
      </c>
      <c r="H485" s="24" t="str">
        <f>IF($A485&gt;nrows,"",IF(col_s1=0,0,--(LEN(INDEX('Paste Export'!$A$2:$BZ$1001,$A485,col_s1))&gt;0))+IF(col_s2=0,0,--(LEN(INDEX('Paste Export'!$A$2:$BZ$1001,$A485,col_s2))&gt;0))+IF(col_s3=0,0,--(LEN(INDEX('Paste Export'!$A$2:$BZ$1001,$A485,col_s3))&gt;0))+IF(col_s4=0,0,--(LEN(INDEX('Paste Export'!$A$2:$BZ$1001,$A485,col_s4))&gt;0))+IF(col_s5=0,0,--(LEN(INDEX('Paste Export'!$A$2:$BZ$1001,$A485,col_s5))&gt;0))+IF(col_s6=0,0,--(LEN(INDEX('Paste Export'!$A$2:$BZ$1001,$A485,col_s6))&gt;0))+IF(col_s7=0,0,--(LEN(INDEX('Paste Export'!$A$2:$BZ$1001,$A485,col_s7))&gt;0))+IF(col_s8=0,0,--(LEN(INDEX('Paste Export'!$A$2:$BZ$1001,$A485,col_s8))&gt;0)))</f>
        <v/>
      </c>
      <c r="I485" s="25" t="str">
        <f t="shared" si="52"/>
        <v/>
      </c>
      <c r="J485" s="25" t="str">
        <f t="shared" si="53"/>
        <v/>
      </c>
      <c r="K485" s="24" t="str">
        <f t="shared" si="54"/>
        <v/>
      </c>
      <c r="L485" s="24" t="str">
        <f t="shared" si="55"/>
        <v/>
      </c>
    </row>
    <row r="486" spans="1:12" x14ac:dyDescent="0.25">
      <c r="A486" s="24">
        <f t="shared" si="49"/>
        <v>485</v>
      </c>
      <c r="B486" s="25" t="str">
        <f>IF($A486&gt;nrows,"",IF(col_user=0,"",INDEX('Paste Export'!$A$2:$BZ$1001,$A486,col_user)))</f>
        <v/>
      </c>
      <c r="C486" s="24" t="str">
        <f>IF($A486&gt;nrows,"",IF(col_days=0,0,N(INDEX('Paste Export'!$A$2:$BZ$1001,$A486,col_days))))</f>
        <v/>
      </c>
      <c r="D486" s="24" t="str">
        <f>IF($A486&gt;nrows,"",IF(col_prompts=0,0,N(INDEX('Paste Export'!$A$2:$BZ$1001,$A486,col_prompts))))</f>
        <v/>
      </c>
      <c r="E486" s="24" t="str">
        <f>IF($A486&gt;nrows,"",IF(col_web=0,0,N(INDEX('Paste Export'!$A$2:$BZ$1001,$A486,col_web))))</f>
        <v/>
      </c>
      <c r="F486" s="26" t="str">
        <f t="shared" si="50"/>
        <v/>
      </c>
      <c r="G486" s="27" t="str">
        <f t="shared" si="51"/>
        <v/>
      </c>
      <c r="H486" s="24" t="str">
        <f>IF($A486&gt;nrows,"",IF(col_s1=0,0,--(LEN(INDEX('Paste Export'!$A$2:$BZ$1001,$A486,col_s1))&gt;0))+IF(col_s2=0,0,--(LEN(INDEX('Paste Export'!$A$2:$BZ$1001,$A486,col_s2))&gt;0))+IF(col_s3=0,0,--(LEN(INDEX('Paste Export'!$A$2:$BZ$1001,$A486,col_s3))&gt;0))+IF(col_s4=0,0,--(LEN(INDEX('Paste Export'!$A$2:$BZ$1001,$A486,col_s4))&gt;0))+IF(col_s5=0,0,--(LEN(INDEX('Paste Export'!$A$2:$BZ$1001,$A486,col_s5))&gt;0))+IF(col_s6=0,0,--(LEN(INDEX('Paste Export'!$A$2:$BZ$1001,$A486,col_s6))&gt;0))+IF(col_s7=0,0,--(LEN(INDEX('Paste Export'!$A$2:$BZ$1001,$A486,col_s7))&gt;0))+IF(col_s8=0,0,--(LEN(INDEX('Paste Export'!$A$2:$BZ$1001,$A486,col_s8))&gt;0)))</f>
        <v/>
      </c>
      <c r="I486" s="25" t="str">
        <f t="shared" si="52"/>
        <v/>
      </c>
      <c r="J486" s="25" t="str">
        <f t="shared" si="53"/>
        <v/>
      </c>
      <c r="K486" s="24" t="str">
        <f t="shared" si="54"/>
        <v/>
      </c>
      <c r="L486" s="24" t="str">
        <f t="shared" si="55"/>
        <v/>
      </c>
    </row>
    <row r="487" spans="1:12" x14ac:dyDescent="0.25">
      <c r="A487" s="24">
        <f t="shared" si="49"/>
        <v>486</v>
      </c>
      <c r="B487" s="25" t="str">
        <f>IF($A487&gt;nrows,"",IF(col_user=0,"",INDEX('Paste Export'!$A$2:$BZ$1001,$A487,col_user)))</f>
        <v/>
      </c>
      <c r="C487" s="24" t="str">
        <f>IF($A487&gt;nrows,"",IF(col_days=0,0,N(INDEX('Paste Export'!$A$2:$BZ$1001,$A487,col_days))))</f>
        <v/>
      </c>
      <c r="D487" s="24" t="str">
        <f>IF($A487&gt;nrows,"",IF(col_prompts=0,0,N(INDEX('Paste Export'!$A$2:$BZ$1001,$A487,col_prompts))))</f>
        <v/>
      </c>
      <c r="E487" s="24" t="str">
        <f>IF($A487&gt;nrows,"",IF(col_web=0,0,N(INDEX('Paste Export'!$A$2:$BZ$1001,$A487,col_web))))</f>
        <v/>
      </c>
      <c r="F487" s="26" t="str">
        <f t="shared" si="50"/>
        <v/>
      </c>
      <c r="G487" s="27" t="str">
        <f t="shared" si="51"/>
        <v/>
      </c>
      <c r="H487" s="24" t="str">
        <f>IF($A487&gt;nrows,"",IF(col_s1=0,0,--(LEN(INDEX('Paste Export'!$A$2:$BZ$1001,$A487,col_s1))&gt;0))+IF(col_s2=0,0,--(LEN(INDEX('Paste Export'!$A$2:$BZ$1001,$A487,col_s2))&gt;0))+IF(col_s3=0,0,--(LEN(INDEX('Paste Export'!$A$2:$BZ$1001,$A487,col_s3))&gt;0))+IF(col_s4=0,0,--(LEN(INDEX('Paste Export'!$A$2:$BZ$1001,$A487,col_s4))&gt;0))+IF(col_s5=0,0,--(LEN(INDEX('Paste Export'!$A$2:$BZ$1001,$A487,col_s5))&gt;0))+IF(col_s6=0,0,--(LEN(INDEX('Paste Export'!$A$2:$BZ$1001,$A487,col_s6))&gt;0))+IF(col_s7=0,0,--(LEN(INDEX('Paste Export'!$A$2:$BZ$1001,$A487,col_s7))&gt;0))+IF(col_s8=0,0,--(LEN(INDEX('Paste Export'!$A$2:$BZ$1001,$A487,col_s8))&gt;0)))</f>
        <v/>
      </c>
      <c r="I487" s="25" t="str">
        <f t="shared" si="52"/>
        <v/>
      </c>
      <c r="J487" s="25" t="str">
        <f t="shared" si="53"/>
        <v/>
      </c>
      <c r="K487" s="24" t="str">
        <f t="shared" si="54"/>
        <v/>
      </c>
      <c r="L487" s="24" t="str">
        <f t="shared" si="55"/>
        <v/>
      </c>
    </row>
    <row r="488" spans="1:12" x14ac:dyDescent="0.25">
      <c r="A488" s="24">
        <f t="shared" si="49"/>
        <v>487</v>
      </c>
      <c r="B488" s="25" t="str">
        <f>IF($A488&gt;nrows,"",IF(col_user=0,"",INDEX('Paste Export'!$A$2:$BZ$1001,$A488,col_user)))</f>
        <v/>
      </c>
      <c r="C488" s="24" t="str">
        <f>IF($A488&gt;nrows,"",IF(col_days=0,0,N(INDEX('Paste Export'!$A$2:$BZ$1001,$A488,col_days))))</f>
        <v/>
      </c>
      <c r="D488" s="24" t="str">
        <f>IF($A488&gt;nrows,"",IF(col_prompts=0,0,N(INDEX('Paste Export'!$A$2:$BZ$1001,$A488,col_prompts))))</f>
        <v/>
      </c>
      <c r="E488" s="24" t="str">
        <f>IF($A488&gt;nrows,"",IF(col_web=0,0,N(INDEX('Paste Export'!$A$2:$BZ$1001,$A488,col_web))))</f>
        <v/>
      </c>
      <c r="F488" s="26" t="str">
        <f t="shared" si="50"/>
        <v/>
      </c>
      <c r="G488" s="27" t="str">
        <f t="shared" si="51"/>
        <v/>
      </c>
      <c r="H488" s="24" t="str">
        <f>IF($A488&gt;nrows,"",IF(col_s1=0,0,--(LEN(INDEX('Paste Export'!$A$2:$BZ$1001,$A488,col_s1))&gt;0))+IF(col_s2=0,0,--(LEN(INDEX('Paste Export'!$A$2:$BZ$1001,$A488,col_s2))&gt;0))+IF(col_s3=0,0,--(LEN(INDEX('Paste Export'!$A$2:$BZ$1001,$A488,col_s3))&gt;0))+IF(col_s4=0,0,--(LEN(INDEX('Paste Export'!$A$2:$BZ$1001,$A488,col_s4))&gt;0))+IF(col_s5=0,0,--(LEN(INDEX('Paste Export'!$A$2:$BZ$1001,$A488,col_s5))&gt;0))+IF(col_s6=0,0,--(LEN(INDEX('Paste Export'!$A$2:$BZ$1001,$A488,col_s6))&gt;0))+IF(col_s7=0,0,--(LEN(INDEX('Paste Export'!$A$2:$BZ$1001,$A488,col_s7))&gt;0))+IF(col_s8=0,0,--(LEN(INDEX('Paste Export'!$A$2:$BZ$1001,$A488,col_s8))&gt;0)))</f>
        <v/>
      </c>
      <c r="I488" s="25" t="str">
        <f t="shared" si="52"/>
        <v/>
      </c>
      <c r="J488" s="25" t="str">
        <f t="shared" si="53"/>
        <v/>
      </c>
      <c r="K488" s="24" t="str">
        <f t="shared" si="54"/>
        <v/>
      </c>
      <c r="L488" s="24" t="str">
        <f t="shared" si="55"/>
        <v/>
      </c>
    </row>
    <row r="489" spans="1:12" x14ac:dyDescent="0.25">
      <c r="A489" s="24">
        <f t="shared" si="49"/>
        <v>488</v>
      </c>
      <c r="B489" s="25" t="str">
        <f>IF($A489&gt;nrows,"",IF(col_user=0,"",INDEX('Paste Export'!$A$2:$BZ$1001,$A489,col_user)))</f>
        <v/>
      </c>
      <c r="C489" s="24" t="str">
        <f>IF($A489&gt;nrows,"",IF(col_days=0,0,N(INDEX('Paste Export'!$A$2:$BZ$1001,$A489,col_days))))</f>
        <v/>
      </c>
      <c r="D489" s="24" t="str">
        <f>IF($A489&gt;nrows,"",IF(col_prompts=0,0,N(INDEX('Paste Export'!$A$2:$BZ$1001,$A489,col_prompts))))</f>
        <v/>
      </c>
      <c r="E489" s="24" t="str">
        <f>IF($A489&gt;nrows,"",IF(col_web=0,0,N(INDEX('Paste Export'!$A$2:$BZ$1001,$A489,col_web))))</f>
        <v/>
      </c>
      <c r="F489" s="26" t="str">
        <f t="shared" si="50"/>
        <v/>
      </c>
      <c r="G489" s="27" t="str">
        <f t="shared" si="51"/>
        <v/>
      </c>
      <c r="H489" s="24" t="str">
        <f>IF($A489&gt;nrows,"",IF(col_s1=0,0,--(LEN(INDEX('Paste Export'!$A$2:$BZ$1001,$A489,col_s1))&gt;0))+IF(col_s2=0,0,--(LEN(INDEX('Paste Export'!$A$2:$BZ$1001,$A489,col_s2))&gt;0))+IF(col_s3=0,0,--(LEN(INDEX('Paste Export'!$A$2:$BZ$1001,$A489,col_s3))&gt;0))+IF(col_s4=0,0,--(LEN(INDEX('Paste Export'!$A$2:$BZ$1001,$A489,col_s4))&gt;0))+IF(col_s5=0,0,--(LEN(INDEX('Paste Export'!$A$2:$BZ$1001,$A489,col_s5))&gt;0))+IF(col_s6=0,0,--(LEN(INDEX('Paste Export'!$A$2:$BZ$1001,$A489,col_s6))&gt;0))+IF(col_s7=0,0,--(LEN(INDEX('Paste Export'!$A$2:$BZ$1001,$A489,col_s7))&gt;0))+IF(col_s8=0,0,--(LEN(INDEX('Paste Export'!$A$2:$BZ$1001,$A489,col_s8))&gt;0)))</f>
        <v/>
      </c>
      <c r="I489" s="25" t="str">
        <f t="shared" si="52"/>
        <v/>
      </c>
      <c r="J489" s="25" t="str">
        <f t="shared" si="53"/>
        <v/>
      </c>
      <c r="K489" s="24" t="str">
        <f t="shared" si="54"/>
        <v/>
      </c>
      <c r="L489" s="24" t="str">
        <f t="shared" si="55"/>
        <v/>
      </c>
    </row>
    <row r="490" spans="1:12" x14ac:dyDescent="0.25">
      <c r="A490" s="24">
        <f t="shared" si="49"/>
        <v>489</v>
      </c>
      <c r="B490" s="25" t="str">
        <f>IF($A490&gt;nrows,"",IF(col_user=0,"",INDEX('Paste Export'!$A$2:$BZ$1001,$A490,col_user)))</f>
        <v/>
      </c>
      <c r="C490" s="24" t="str">
        <f>IF($A490&gt;nrows,"",IF(col_days=0,0,N(INDEX('Paste Export'!$A$2:$BZ$1001,$A490,col_days))))</f>
        <v/>
      </c>
      <c r="D490" s="24" t="str">
        <f>IF($A490&gt;nrows,"",IF(col_prompts=0,0,N(INDEX('Paste Export'!$A$2:$BZ$1001,$A490,col_prompts))))</f>
        <v/>
      </c>
      <c r="E490" s="24" t="str">
        <f>IF($A490&gt;nrows,"",IF(col_web=0,0,N(INDEX('Paste Export'!$A$2:$BZ$1001,$A490,col_web))))</f>
        <v/>
      </c>
      <c r="F490" s="26" t="str">
        <f t="shared" si="50"/>
        <v/>
      </c>
      <c r="G490" s="27" t="str">
        <f t="shared" si="51"/>
        <v/>
      </c>
      <c r="H490" s="24" t="str">
        <f>IF($A490&gt;nrows,"",IF(col_s1=0,0,--(LEN(INDEX('Paste Export'!$A$2:$BZ$1001,$A490,col_s1))&gt;0))+IF(col_s2=0,0,--(LEN(INDEX('Paste Export'!$A$2:$BZ$1001,$A490,col_s2))&gt;0))+IF(col_s3=0,0,--(LEN(INDEX('Paste Export'!$A$2:$BZ$1001,$A490,col_s3))&gt;0))+IF(col_s4=0,0,--(LEN(INDEX('Paste Export'!$A$2:$BZ$1001,$A490,col_s4))&gt;0))+IF(col_s5=0,0,--(LEN(INDEX('Paste Export'!$A$2:$BZ$1001,$A490,col_s5))&gt;0))+IF(col_s6=0,0,--(LEN(INDEX('Paste Export'!$A$2:$BZ$1001,$A490,col_s6))&gt;0))+IF(col_s7=0,0,--(LEN(INDEX('Paste Export'!$A$2:$BZ$1001,$A490,col_s7))&gt;0))+IF(col_s8=0,0,--(LEN(INDEX('Paste Export'!$A$2:$BZ$1001,$A490,col_s8))&gt;0)))</f>
        <v/>
      </c>
      <c r="I490" s="25" t="str">
        <f t="shared" si="52"/>
        <v/>
      </c>
      <c r="J490" s="25" t="str">
        <f t="shared" si="53"/>
        <v/>
      </c>
      <c r="K490" s="24" t="str">
        <f t="shared" si="54"/>
        <v/>
      </c>
      <c r="L490" s="24" t="str">
        <f t="shared" si="55"/>
        <v/>
      </c>
    </row>
    <row r="491" spans="1:12" x14ac:dyDescent="0.25">
      <c r="A491" s="24">
        <f t="shared" si="49"/>
        <v>490</v>
      </c>
      <c r="B491" s="25" t="str">
        <f>IF($A491&gt;nrows,"",IF(col_user=0,"",INDEX('Paste Export'!$A$2:$BZ$1001,$A491,col_user)))</f>
        <v/>
      </c>
      <c r="C491" s="24" t="str">
        <f>IF($A491&gt;nrows,"",IF(col_days=0,0,N(INDEX('Paste Export'!$A$2:$BZ$1001,$A491,col_days))))</f>
        <v/>
      </c>
      <c r="D491" s="24" t="str">
        <f>IF($A491&gt;nrows,"",IF(col_prompts=0,0,N(INDEX('Paste Export'!$A$2:$BZ$1001,$A491,col_prompts))))</f>
        <v/>
      </c>
      <c r="E491" s="24" t="str">
        <f>IF($A491&gt;nrows,"",IF(col_web=0,0,N(INDEX('Paste Export'!$A$2:$BZ$1001,$A491,col_web))))</f>
        <v/>
      </c>
      <c r="F491" s="26" t="str">
        <f t="shared" si="50"/>
        <v/>
      </c>
      <c r="G491" s="27" t="str">
        <f t="shared" si="51"/>
        <v/>
      </c>
      <c r="H491" s="24" t="str">
        <f>IF($A491&gt;nrows,"",IF(col_s1=0,0,--(LEN(INDEX('Paste Export'!$A$2:$BZ$1001,$A491,col_s1))&gt;0))+IF(col_s2=0,0,--(LEN(INDEX('Paste Export'!$A$2:$BZ$1001,$A491,col_s2))&gt;0))+IF(col_s3=0,0,--(LEN(INDEX('Paste Export'!$A$2:$BZ$1001,$A491,col_s3))&gt;0))+IF(col_s4=0,0,--(LEN(INDEX('Paste Export'!$A$2:$BZ$1001,$A491,col_s4))&gt;0))+IF(col_s5=0,0,--(LEN(INDEX('Paste Export'!$A$2:$BZ$1001,$A491,col_s5))&gt;0))+IF(col_s6=0,0,--(LEN(INDEX('Paste Export'!$A$2:$BZ$1001,$A491,col_s6))&gt;0))+IF(col_s7=0,0,--(LEN(INDEX('Paste Export'!$A$2:$BZ$1001,$A491,col_s7))&gt;0))+IF(col_s8=0,0,--(LEN(INDEX('Paste Export'!$A$2:$BZ$1001,$A491,col_s8))&gt;0)))</f>
        <v/>
      </c>
      <c r="I491" s="25" t="str">
        <f t="shared" si="52"/>
        <v/>
      </c>
      <c r="J491" s="25" t="str">
        <f t="shared" si="53"/>
        <v/>
      </c>
      <c r="K491" s="24" t="str">
        <f t="shared" si="54"/>
        <v/>
      </c>
      <c r="L491" s="24" t="str">
        <f t="shared" si="55"/>
        <v/>
      </c>
    </row>
    <row r="492" spans="1:12" x14ac:dyDescent="0.25">
      <c r="A492" s="24">
        <f t="shared" si="49"/>
        <v>491</v>
      </c>
      <c r="B492" s="25" t="str">
        <f>IF($A492&gt;nrows,"",IF(col_user=0,"",INDEX('Paste Export'!$A$2:$BZ$1001,$A492,col_user)))</f>
        <v/>
      </c>
      <c r="C492" s="24" t="str">
        <f>IF($A492&gt;nrows,"",IF(col_days=0,0,N(INDEX('Paste Export'!$A$2:$BZ$1001,$A492,col_days))))</f>
        <v/>
      </c>
      <c r="D492" s="24" t="str">
        <f>IF($A492&gt;nrows,"",IF(col_prompts=0,0,N(INDEX('Paste Export'!$A$2:$BZ$1001,$A492,col_prompts))))</f>
        <v/>
      </c>
      <c r="E492" s="24" t="str">
        <f>IF($A492&gt;nrows,"",IF(col_web=0,0,N(INDEX('Paste Export'!$A$2:$BZ$1001,$A492,col_web))))</f>
        <v/>
      </c>
      <c r="F492" s="26" t="str">
        <f t="shared" si="50"/>
        <v/>
      </c>
      <c r="G492" s="27" t="str">
        <f t="shared" si="51"/>
        <v/>
      </c>
      <c r="H492" s="24" t="str">
        <f>IF($A492&gt;nrows,"",IF(col_s1=0,0,--(LEN(INDEX('Paste Export'!$A$2:$BZ$1001,$A492,col_s1))&gt;0))+IF(col_s2=0,0,--(LEN(INDEX('Paste Export'!$A$2:$BZ$1001,$A492,col_s2))&gt;0))+IF(col_s3=0,0,--(LEN(INDEX('Paste Export'!$A$2:$BZ$1001,$A492,col_s3))&gt;0))+IF(col_s4=0,0,--(LEN(INDEX('Paste Export'!$A$2:$BZ$1001,$A492,col_s4))&gt;0))+IF(col_s5=0,0,--(LEN(INDEX('Paste Export'!$A$2:$BZ$1001,$A492,col_s5))&gt;0))+IF(col_s6=0,0,--(LEN(INDEX('Paste Export'!$A$2:$BZ$1001,$A492,col_s6))&gt;0))+IF(col_s7=0,0,--(LEN(INDEX('Paste Export'!$A$2:$BZ$1001,$A492,col_s7))&gt;0))+IF(col_s8=0,0,--(LEN(INDEX('Paste Export'!$A$2:$BZ$1001,$A492,col_s8))&gt;0)))</f>
        <v/>
      </c>
      <c r="I492" s="25" t="str">
        <f t="shared" si="52"/>
        <v/>
      </c>
      <c r="J492" s="25" t="str">
        <f t="shared" si="53"/>
        <v/>
      </c>
      <c r="K492" s="24" t="str">
        <f t="shared" si="54"/>
        <v/>
      </c>
      <c r="L492" s="24" t="str">
        <f t="shared" si="55"/>
        <v/>
      </c>
    </row>
    <row r="493" spans="1:12" x14ac:dyDescent="0.25">
      <c r="A493" s="24">
        <f t="shared" si="49"/>
        <v>492</v>
      </c>
      <c r="B493" s="25" t="str">
        <f>IF($A493&gt;nrows,"",IF(col_user=0,"",INDEX('Paste Export'!$A$2:$BZ$1001,$A493,col_user)))</f>
        <v/>
      </c>
      <c r="C493" s="24" t="str">
        <f>IF($A493&gt;nrows,"",IF(col_days=0,0,N(INDEX('Paste Export'!$A$2:$BZ$1001,$A493,col_days))))</f>
        <v/>
      </c>
      <c r="D493" s="24" t="str">
        <f>IF($A493&gt;nrows,"",IF(col_prompts=0,0,N(INDEX('Paste Export'!$A$2:$BZ$1001,$A493,col_prompts))))</f>
        <v/>
      </c>
      <c r="E493" s="24" t="str">
        <f>IF($A493&gt;nrows,"",IF(col_web=0,0,N(INDEX('Paste Export'!$A$2:$BZ$1001,$A493,col_web))))</f>
        <v/>
      </c>
      <c r="F493" s="26" t="str">
        <f t="shared" si="50"/>
        <v/>
      </c>
      <c r="G493" s="27" t="str">
        <f t="shared" si="51"/>
        <v/>
      </c>
      <c r="H493" s="24" t="str">
        <f>IF($A493&gt;nrows,"",IF(col_s1=0,0,--(LEN(INDEX('Paste Export'!$A$2:$BZ$1001,$A493,col_s1))&gt;0))+IF(col_s2=0,0,--(LEN(INDEX('Paste Export'!$A$2:$BZ$1001,$A493,col_s2))&gt;0))+IF(col_s3=0,0,--(LEN(INDEX('Paste Export'!$A$2:$BZ$1001,$A493,col_s3))&gt;0))+IF(col_s4=0,0,--(LEN(INDEX('Paste Export'!$A$2:$BZ$1001,$A493,col_s4))&gt;0))+IF(col_s5=0,0,--(LEN(INDEX('Paste Export'!$A$2:$BZ$1001,$A493,col_s5))&gt;0))+IF(col_s6=0,0,--(LEN(INDEX('Paste Export'!$A$2:$BZ$1001,$A493,col_s6))&gt;0))+IF(col_s7=0,0,--(LEN(INDEX('Paste Export'!$A$2:$BZ$1001,$A493,col_s7))&gt;0))+IF(col_s8=0,0,--(LEN(INDEX('Paste Export'!$A$2:$BZ$1001,$A493,col_s8))&gt;0)))</f>
        <v/>
      </c>
      <c r="I493" s="25" t="str">
        <f t="shared" si="52"/>
        <v/>
      </c>
      <c r="J493" s="25" t="str">
        <f t="shared" si="53"/>
        <v/>
      </c>
      <c r="K493" s="24" t="str">
        <f t="shared" si="54"/>
        <v/>
      </c>
      <c r="L493" s="24" t="str">
        <f t="shared" si="55"/>
        <v/>
      </c>
    </row>
    <row r="494" spans="1:12" x14ac:dyDescent="0.25">
      <c r="A494" s="24">
        <f t="shared" si="49"/>
        <v>493</v>
      </c>
      <c r="B494" s="25" t="str">
        <f>IF($A494&gt;nrows,"",IF(col_user=0,"",INDEX('Paste Export'!$A$2:$BZ$1001,$A494,col_user)))</f>
        <v/>
      </c>
      <c r="C494" s="24" t="str">
        <f>IF($A494&gt;nrows,"",IF(col_days=0,0,N(INDEX('Paste Export'!$A$2:$BZ$1001,$A494,col_days))))</f>
        <v/>
      </c>
      <c r="D494" s="24" t="str">
        <f>IF($A494&gt;nrows,"",IF(col_prompts=0,0,N(INDEX('Paste Export'!$A$2:$BZ$1001,$A494,col_prompts))))</f>
        <v/>
      </c>
      <c r="E494" s="24" t="str">
        <f>IF($A494&gt;nrows,"",IF(col_web=0,0,N(INDEX('Paste Export'!$A$2:$BZ$1001,$A494,col_web))))</f>
        <v/>
      </c>
      <c r="F494" s="26" t="str">
        <f t="shared" si="50"/>
        <v/>
      </c>
      <c r="G494" s="27" t="str">
        <f t="shared" si="51"/>
        <v/>
      </c>
      <c r="H494" s="24" t="str">
        <f>IF($A494&gt;nrows,"",IF(col_s1=0,0,--(LEN(INDEX('Paste Export'!$A$2:$BZ$1001,$A494,col_s1))&gt;0))+IF(col_s2=0,0,--(LEN(INDEX('Paste Export'!$A$2:$BZ$1001,$A494,col_s2))&gt;0))+IF(col_s3=0,0,--(LEN(INDEX('Paste Export'!$A$2:$BZ$1001,$A494,col_s3))&gt;0))+IF(col_s4=0,0,--(LEN(INDEX('Paste Export'!$A$2:$BZ$1001,$A494,col_s4))&gt;0))+IF(col_s5=0,0,--(LEN(INDEX('Paste Export'!$A$2:$BZ$1001,$A494,col_s5))&gt;0))+IF(col_s6=0,0,--(LEN(INDEX('Paste Export'!$A$2:$BZ$1001,$A494,col_s6))&gt;0))+IF(col_s7=0,0,--(LEN(INDEX('Paste Export'!$A$2:$BZ$1001,$A494,col_s7))&gt;0))+IF(col_s8=0,0,--(LEN(INDEX('Paste Export'!$A$2:$BZ$1001,$A494,col_s8))&gt;0)))</f>
        <v/>
      </c>
      <c r="I494" s="25" t="str">
        <f t="shared" si="52"/>
        <v/>
      </c>
      <c r="J494" s="25" t="str">
        <f t="shared" si="53"/>
        <v/>
      </c>
      <c r="K494" s="24" t="str">
        <f t="shared" si="54"/>
        <v/>
      </c>
      <c r="L494" s="24" t="str">
        <f t="shared" si="55"/>
        <v/>
      </c>
    </row>
    <row r="495" spans="1:12" x14ac:dyDescent="0.25">
      <c r="A495" s="24">
        <f t="shared" si="49"/>
        <v>494</v>
      </c>
      <c r="B495" s="25" t="str">
        <f>IF($A495&gt;nrows,"",IF(col_user=0,"",INDEX('Paste Export'!$A$2:$BZ$1001,$A495,col_user)))</f>
        <v/>
      </c>
      <c r="C495" s="24" t="str">
        <f>IF($A495&gt;nrows,"",IF(col_days=0,0,N(INDEX('Paste Export'!$A$2:$BZ$1001,$A495,col_days))))</f>
        <v/>
      </c>
      <c r="D495" s="24" t="str">
        <f>IF($A495&gt;nrows,"",IF(col_prompts=0,0,N(INDEX('Paste Export'!$A$2:$BZ$1001,$A495,col_prompts))))</f>
        <v/>
      </c>
      <c r="E495" s="24" t="str">
        <f>IF($A495&gt;nrows,"",IF(col_web=0,0,N(INDEX('Paste Export'!$A$2:$BZ$1001,$A495,col_web))))</f>
        <v/>
      </c>
      <c r="F495" s="26" t="str">
        <f t="shared" si="50"/>
        <v/>
      </c>
      <c r="G495" s="27" t="str">
        <f t="shared" si="51"/>
        <v/>
      </c>
      <c r="H495" s="24" t="str">
        <f>IF($A495&gt;nrows,"",IF(col_s1=0,0,--(LEN(INDEX('Paste Export'!$A$2:$BZ$1001,$A495,col_s1))&gt;0))+IF(col_s2=0,0,--(LEN(INDEX('Paste Export'!$A$2:$BZ$1001,$A495,col_s2))&gt;0))+IF(col_s3=0,0,--(LEN(INDEX('Paste Export'!$A$2:$BZ$1001,$A495,col_s3))&gt;0))+IF(col_s4=0,0,--(LEN(INDEX('Paste Export'!$A$2:$BZ$1001,$A495,col_s4))&gt;0))+IF(col_s5=0,0,--(LEN(INDEX('Paste Export'!$A$2:$BZ$1001,$A495,col_s5))&gt;0))+IF(col_s6=0,0,--(LEN(INDEX('Paste Export'!$A$2:$BZ$1001,$A495,col_s6))&gt;0))+IF(col_s7=0,0,--(LEN(INDEX('Paste Export'!$A$2:$BZ$1001,$A495,col_s7))&gt;0))+IF(col_s8=0,0,--(LEN(INDEX('Paste Export'!$A$2:$BZ$1001,$A495,col_s8))&gt;0)))</f>
        <v/>
      </c>
      <c r="I495" s="25" t="str">
        <f t="shared" si="52"/>
        <v/>
      </c>
      <c r="J495" s="25" t="str">
        <f t="shared" si="53"/>
        <v/>
      </c>
      <c r="K495" s="24" t="str">
        <f t="shared" si="54"/>
        <v/>
      </c>
      <c r="L495" s="24" t="str">
        <f t="shared" si="55"/>
        <v/>
      </c>
    </row>
    <row r="496" spans="1:12" x14ac:dyDescent="0.25">
      <c r="A496" s="24">
        <f t="shared" si="49"/>
        <v>495</v>
      </c>
      <c r="B496" s="25" t="str">
        <f>IF($A496&gt;nrows,"",IF(col_user=0,"",INDEX('Paste Export'!$A$2:$BZ$1001,$A496,col_user)))</f>
        <v/>
      </c>
      <c r="C496" s="24" t="str">
        <f>IF($A496&gt;nrows,"",IF(col_days=0,0,N(INDEX('Paste Export'!$A$2:$BZ$1001,$A496,col_days))))</f>
        <v/>
      </c>
      <c r="D496" s="24" t="str">
        <f>IF($A496&gt;nrows,"",IF(col_prompts=0,0,N(INDEX('Paste Export'!$A$2:$BZ$1001,$A496,col_prompts))))</f>
        <v/>
      </c>
      <c r="E496" s="24" t="str">
        <f>IF($A496&gt;nrows,"",IF(col_web=0,0,N(INDEX('Paste Export'!$A$2:$BZ$1001,$A496,col_web))))</f>
        <v/>
      </c>
      <c r="F496" s="26" t="str">
        <f t="shared" si="50"/>
        <v/>
      </c>
      <c r="G496" s="27" t="str">
        <f t="shared" si="51"/>
        <v/>
      </c>
      <c r="H496" s="24" t="str">
        <f>IF($A496&gt;nrows,"",IF(col_s1=0,0,--(LEN(INDEX('Paste Export'!$A$2:$BZ$1001,$A496,col_s1))&gt;0))+IF(col_s2=0,0,--(LEN(INDEX('Paste Export'!$A$2:$BZ$1001,$A496,col_s2))&gt;0))+IF(col_s3=0,0,--(LEN(INDEX('Paste Export'!$A$2:$BZ$1001,$A496,col_s3))&gt;0))+IF(col_s4=0,0,--(LEN(INDEX('Paste Export'!$A$2:$BZ$1001,$A496,col_s4))&gt;0))+IF(col_s5=0,0,--(LEN(INDEX('Paste Export'!$A$2:$BZ$1001,$A496,col_s5))&gt;0))+IF(col_s6=0,0,--(LEN(INDEX('Paste Export'!$A$2:$BZ$1001,$A496,col_s6))&gt;0))+IF(col_s7=0,0,--(LEN(INDEX('Paste Export'!$A$2:$BZ$1001,$A496,col_s7))&gt;0))+IF(col_s8=0,0,--(LEN(INDEX('Paste Export'!$A$2:$BZ$1001,$A496,col_s8))&gt;0)))</f>
        <v/>
      </c>
      <c r="I496" s="25" t="str">
        <f t="shared" si="52"/>
        <v/>
      </c>
      <c r="J496" s="25" t="str">
        <f t="shared" si="53"/>
        <v/>
      </c>
      <c r="K496" s="24" t="str">
        <f t="shared" si="54"/>
        <v/>
      </c>
      <c r="L496" s="24" t="str">
        <f t="shared" si="55"/>
        <v/>
      </c>
    </row>
    <row r="497" spans="1:12" x14ac:dyDescent="0.25">
      <c r="A497" s="24">
        <f t="shared" si="49"/>
        <v>496</v>
      </c>
      <c r="B497" s="25" t="str">
        <f>IF($A497&gt;nrows,"",IF(col_user=0,"",INDEX('Paste Export'!$A$2:$BZ$1001,$A497,col_user)))</f>
        <v/>
      </c>
      <c r="C497" s="24" t="str">
        <f>IF($A497&gt;nrows,"",IF(col_days=0,0,N(INDEX('Paste Export'!$A$2:$BZ$1001,$A497,col_days))))</f>
        <v/>
      </c>
      <c r="D497" s="24" t="str">
        <f>IF($A497&gt;nrows,"",IF(col_prompts=0,0,N(INDEX('Paste Export'!$A$2:$BZ$1001,$A497,col_prompts))))</f>
        <v/>
      </c>
      <c r="E497" s="24" t="str">
        <f>IF($A497&gt;nrows,"",IF(col_web=0,0,N(INDEX('Paste Export'!$A$2:$BZ$1001,$A497,col_web))))</f>
        <v/>
      </c>
      <c r="F497" s="26" t="str">
        <f t="shared" si="50"/>
        <v/>
      </c>
      <c r="G497" s="27" t="str">
        <f t="shared" si="51"/>
        <v/>
      </c>
      <c r="H497" s="24" t="str">
        <f>IF($A497&gt;nrows,"",IF(col_s1=0,0,--(LEN(INDEX('Paste Export'!$A$2:$BZ$1001,$A497,col_s1))&gt;0))+IF(col_s2=0,0,--(LEN(INDEX('Paste Export'!$A$2:$BZ$1001,$A497,col_s2))&gt;0))+IF(col_s3=0,0,--(LEN(INDEX('Paste Export'!$A$2:$BZ$1001,$A497,col_s3))&gt;0))+IF(col_s4=0,0,--(LEN(INDEX('Paste Export'!$A$2:$BZ$1001,$A497,col_s4))&gt;0))+IF(col_s5=0,0,--(LEN(INDEX('Paste Export'!$A$2:$BZ$1001,$A497,col_s5))&gt;0))+IF(col_s6=0,0,--(LEN(INDEX('Paste Export'!$A$2:$BZ$1001,$A497,col_s6))&gt;0))+IF(col_s7=0,0,--(LEN(INDEX('Paste Export'!$A$2:$BZ$1001,$A497,col_s7))&gt;0))+IF(col_s8=0,0,--(LEN(INDEX('Paste Export'!$A$2:$BZ$1001,$A497,col_s8))&gt;0)))</f>
        <v/>
      </c>
      <c r="I497" s="25" t="str">
        <f t="shared" si="52"/>
        <v/>
      </c>
      <c r="J497" s="25" t="str">
        <f t="shared" si="53"/>
        <v/>
      </c>
      <c r="K497" s="24" t="str">
        <f t="shared" si="54"/>
        <v/>
      </c>
      <c r="L497" s="24" t="str">
        <f t="shared" si="55"/>
        <v/>
      </c>
    </row>
    <row r="498" spans="1:12" x14ac:dyDescent="0.25">
      <c r="A498" s="24">
        <f t="shared" si="49"/>
        <v>497</v>
      </c>
      <c r="B498" s="25" t="str">
        <f>IF($A498&gt;nrows,"",IF(col_user=0,"",INDEX('Paste Export'!$A$2:$BZ$1001,$A498,col_user)))</f>
        <v/>
      </c>
      <c r="C498" s="24" t="str">
        <f>IF($A498&gt;nrows,"",IF(col_days=0,0,N(INDEX('Paste Export'!$A$2:$BZ$1001,$A498,col_days))))</f>
        <v/>
      </c>
      <c r="D498" s="24" t="str">
        <f>IF($A498&gt;nrows,"",IF(col_prompts=0,0,N(INDEX('Paste Export'!$A$2:$BZ$1001,$A498,col_prompts))))</f>
        <v/>
      </c>
      <c r="E498" s="24" t="str">
        <f>IF($A498&gt;nrows,"",IF(col_web=0,0,N(INDEX('Paste Export'!$A$2:$BZ$1001,$A498,col_web))))</f>
        <v/>
      </c>
      <c r="F498" s="26" t="str">
        <f t="shared" si="50"/>
        <v/>
      </c>
      <c r="G498" s="27" t="str">
        <f t="shared" si="51"/>
        <v/>
      </c>
      <c r="H498" s="24" t="str">
        <f>IF($A498&gt;nrows,"",IF(col_s1=0,0,--(LEN(INDEX('Paste Export'!$A$2:$BZ$1001,$A498,col_s1))&gt;0))+IF(col_s2=0,0,--(LEN(INDEX('Paste Export'!$A$2:$BZ$1001,$A498,col_s2))&gt;0))+IF(col_s3=0,0,--(LEN(INDEX('Paste Export'!$A$2:$BZ$1001,$A498,col_s3))&gt;0))+IF(col_s4=0,0,--(LEN(INDEX('Paste Export'!$A$2:$BZ$1001,$A498,col_s4))&gt;0))+IF(col_s5=0,0,--(LEN(INDEX('Paste Export'!$A$2:$BZ$1001,$A498,col_s5))&gt;0))+IF(col_s6=0,0,--(LEN(INDEX('Paste Export'!$A$2:$BZ$1001,$A498,col_s6))&gt;0))+IF(col_s7=0,0,--(LEN(INDEX('Paste Export'!$A$2:$BZ$1001,$A498,col_s7))&gt;0))+IF(col_s8=0,0,--(LEN(INDEX('Paste Export'!$A$2:$BZ$1001,$A498,col_s8))&gt;0)))</f>
        <v/>
      </c>
      <c r="I498" s="25" t="str">
        <f t="shared" si="52"/>
        <v/>
      </c>
      <c r="J498" s="25" t="str">
        <f t="shared" si="53"/>
        <v/>
      </c>
      <c r="K498" s="24" t="str">
        <f t="shared" si="54"/>
        <v/>
      </c>
      <c r="L498" s="24" t="str">
        <f t="shared" si="55"/>
        <v/>
      </c>
    </row>
    <row r="499" spans="1:12" x14ac:dyDescent="0.25">
      <c r="A499" s="24">
        <f t="shared" si="49"/>
        <v>498</v>
      </c>
      <c r="B499" s="25" t="str">
        <f>IF($A499&gt;nrows,"",IF(col_user=0,"",INDEX('Paste Export'!$A$2:$BZ$1001,$A499,col_user)))</f>
        <v/>
      </c>
      <c r="C499" s="24" t="str">
        <f>IF($A499&gt;nrows,"",IF(col_days=0,0,N(INDEX('Paste Export'!$A$2:$BZ$1001,$A499,col_days))))</f>
        <v/>
      </c>
      <c r="D499" s="24" t="str">
        <f>IF($A499&gt;nrows,"",IF(col_prompts=0,0,N(INDEX('Paste Export'!$A$2:$BZ$1001,$A499,col_prompts))))</f>
        <v/>
      </c>
      <c r="E499" s="24" t="str">
        <f>IF($A499&gt;nrows,"",IF(col_web=0,0,N(INDEX('Paste Export'!$A$2:$BZ$1001,$A499,col_web))))</f>
        <v/>
      </c>
      <c r="F499" s="26" t="str">
        <f t="shared" si="50"/>
        <v/>
      </c>
      <c r="G499" s="27" t="str">
        <f t="shared" si="51"/>
        <v/>
      </c>
      <c r="H499" s="24" t="str">
        <f>IF($A499&gt;nrows,"",IF(col_s1=0,0,--(LEN(INDEX('Paste Export'!$A$2:$BZ$1001,$A499,col_s1))&gt;0))+IF(col_s2=0,0,--(LEN(INDEX('Paste Export'!$A$2:$BZ$1001,$A499,col_s2))&gt;0))+IF(col_s3=0,0,--(LEN(INDEX('Paste Export'!$A$2:$BZ$1001,$A499,col_s3))&gt;0))+IF(col_s4=0,0,--(LEN(INDEX('Paste Export'!$A$2:$BZ$1001,$A499,col_s4))&gt;0))+IF(col_s5=0,0,--(LEN(INDEX('Paste Export'!$A$2:$BZ$1001,$A499,col_s5))&gt;0))+IF(col_s6=0,0,--(LEN(INDEX('Paste Export'!$A$2:$BZ$1001,$A499,col_s6))&gt;0))+IF(col_s7=0,0,--(LEN(INDEX('Paste Export'!$A$2:$BZ$1001,$A499,col_s7))&gt;0))+IF(col_s8=0,0,--(LEN(INDEX('Paste Export'!$A$2:$BZ$1001,$A499,col_s8))&gt;0)))</f>
        <v/>
      </c>
      <c r="I499" s="25" t="str">
        <f t="shared" si="52"/>
        <v/>
      </c>
      <c r="J499" s="25" t="str">
        <f t="shared" si="53"/>
        <v/>
      </c>
      <c r="K499" s="24" t="str">
        <f t="shared" si="54"/>
        <v/>
      </c>
      <c r="L499" s="24" t="str">
        <f t="shared" si="55"/>
        <v/>
      </c>
    </row>
    <row r="500" spans="1:12" x14ac:dyDescent="0.25">
      <c r="A500" s="24">
        <f t="shared" si="49"/>
        <v>499</v>
      </c>
      <c r="B500" s="25" t="str">
        <f>IF($A500&gt;nrows,"",IF(col_user=0,"",INDEX('Paste Export'!$A$2:$BZ$1001,$A500,col_user)))</f>
        <v/>
      </c>
      <c r="C500" s="24" t="str">
        <f>IF($A500&gt;nrows,"",IF(col_days=0,0,N(INDEX('Paste Export'!$A$2:$BZ$1001,$A500,col_days))))</f>
        <v/>
      </c>
      <c r="D500" s="24" t="str">
        <f>IF($A500&gt;nrows,"",IF(col_prompts=0,0,N(INDEX('Paste Export'!$A$2:$BZ$1001,$A500,col_prompts))))</f>
        <v/>
      </c>
      <c r="E500" s="24" t="str">
        <f>IF($A500&gt;nrows,"",IF(col_web=0,0,N(INDEX('Paste Export'!$A$2:$BZ$1001,$A500,col_web))))</f>
        <v/>
      </c>
      <c r="F500" s="26" t="str">
        <f t="shared" si="50"/>
        <v/>
      </c>
      <c r="G500" s="27" t="str">
        <f t="shared" si="51"/>
        <v/>
      </c>
      <c r="H500" s="24" t="str">
        <f>IF($A500&gt;nrows,"",IF(col_s1=0,0,--(LEN(INDEX('Paste Export'!$A$2:$BZ$1001,$A500,col_s1))&gt;0))+IF(col_s2=0,0,--(LEN(INDEX('Paste Export'!$A$2:$BZ$1001,$A500,col_s2))&gt;0))+IF(col_s3=0,0,--(LEN(INDEX('Paste Export'!$A$2:$BZ$1001,$A500,col_s3))&gt;0))+IF(col_s4=0,0,--(LEN(INDEX('Paste Export'!$A$2:$BZ$1001,$A500,col_s4))&gt;0))+IF(col_s5=0,0,--(LEN(INDEX('Paste Export'!$A$2:$BZ$1001,$A500,col_s5))&gt;0))+IF(col_s6=0,0,--(LEN(INDEX('Paste Export'!$A$2:$BZ$1001,$A500,col_s6))&gt;0))+IF(col_s7=0,0,--(LEN(INDEX('Paste Export'!$A$2:$BZ$1001,$A500,col_s7))&gt;0))+IF(col_s8=0,0,--(LEN(INDEX('Paste Export'!$A$2:$BZ$1001,$A500,col_s8))&gt;0)))</f>
        <v/>
      </c>
      <c r="I500" s="25" t="str">
        <f t="shared" si="52"/>
        <v/>
      </c>
      <c r="J500" s="25" t="str">
        <f t="shared" si="53"/>
        <v/>
      </c>
      <c r="K500" s="24" t="str">
        <f t="shared" si="54"/>
        <v/>
      </c>
      <c r="L500" s="24" t="str">
        <f t="shared" si="55"/>
        <v/>
      </c>
    </row>
    <row r="501" spans="1:12" x14ac:dyDescent="0.25">
      <c r="A501" s="24">
        <f t="shared" si="49"/>
        <v>500</v>
      </c>
      <c r="B501" s="25" t="str">
        <f>IF($A501&gt;nrows,"",IF(col_user=0,"",INDEX('Paste Export'!$A$2:$BZ$1001,$A501,col_user)))</f>
        <v/>
      </c>
      <c r="C501" s="24" t="str">
        <f>IF($A501&gt;nrows,"",IF(col_days=0,0,N(INDEX('Paste Export'!$A$2:$BZ$1001,$A501,col_days))))</f>
        <v/>
      </c>
      <c r="D501" s="24" t="str">
        <f>IF($A501&gt;nrows,"",IF(col_prompts=0,0,N(INDEX('Paste Export'!$A$2:$BZ$1001,$A501,col_prompts))))</f>
        <v/>
      </c>
      <c r="E501" s="24" t="str">
        <f>IF($A501&gt;nrows,"",IF(col_web=0,0,N(INDEX('Paste Export'!$A$2:$BZ$1001,$A501,col_web))))</f>
        <v/>
      </c>
      <c r="F501" s="26" t="str">
        <f t="shared" si="50"/>
        <v/>
      </c>
      <c r="G501" s="27" t="str">
        <f t="shared" si="51"/>
        <v/>
      </c>
      <c r="H501" s="24" t="str">
        <f>IF($A501&gt;nrows,"",IF(col_s1=0,0,--(LEN(INDEX('Paste Export'!$A$2:$BZ$1001,$A501,col_s1))&gt;0))+IF(col_s2=0,0,--(LEN(INDEX('Paste Export'!$A$2:$BZ$1001,$A501,col_s2))&gt;0))+IF(col_s3=0,0,--(LEN(INDEX('Paste Export'!$A$2:$BZ$1001,$A501,col_s3))&gt;0))+IF(col_s4=0,0,--(LEN(INDEX('Paste Export'!$A$2:$BZ$1001,$A501,col_s4))&gt;0))+IF(col_s5=0,0,--(LEN(INDEX('Paste Export'!$A$2:$BZ$1001,$A501,col_s5))&gt;0))+IF(col_s6=0,0,--(LEN(INDEX('Paste Export'!$A$2:$BZ$1001,$A501,col_s6))&gt;0))+IF(col_s7=0,0,--(LEN(INDEX('Paste Export'!$A$2:$BZ$1001,$A501,col_s7))&gt;0))+IF(col_s8=0,0,--(LEN(INDEX('Paste Export'!$A$2:$BZ$1001,$A501,col_s8))&gt;0)))</f>
        <v/>
      </c>
      <c r="I501" s="25" t="str">
        <f t="shared" si="52"/>
        <v/>
      </c>
      <c r="J501" s="25" t="str">
        <f t="shared" si="53"/>
        <v/>
      </c>
      <c r="K501" s="24" t="str">
        <f t="shared" si="54"/>
        <v/>
      </c>
      <c r="L501" s="24" t="str">
        <f t="shared" si="55"/>
        <v/>
      </c>
    </row>
    <row r="502" spans="1:12" x14ac:dyDescent="0.25">
      <c r="A502" s="24">
        <f t="shared" si="49"/>
        <v>501</v>
      </c>
      <c r="B502" s="25" t="str">
        <f>IF($A502&gt;nrows,"",IF(col_user=0,"",INDEX('Paste Export'!$A$2:$BZ$1001,$A502,col_user)))</f>
        <v/>
      </c>
      <c r="C502" s="24" t="str">
        <f>IF($A502&gt;nrows,"",IF(col_days=0,0,N(INDEX('Paste Export'!$A$2:$BZ$1001,$A502,col_days))))</f>
        <v/>
      </c>
      <c r="D502" s="24" t="str">
        <f>IF($A502&gt;nrows,"",IF(col_prompts=0,0,N(INDEX('Paste Export'!$A$2:$BZ$1001,$A502,col_prompts))))</f>
        <v/>
      </c>
      <c r="E502" s="24" t="str">
        <f>IF($A502&gt;nrows,"",IF(col_web=0,0,N(INDEX('Paste Export'!$A$2:$BZ$1001,$A502,col_web))))</f>
        <v/>
      </c>
      <c r="F502" s="26" t="str">
        <f t="shared" si="50"/>
        <v/>
      </c>
      <c r="G502" s="27" t="str">
        <f t="shared" si="51"/>
        <v/>
      </c>
      <c r="H502" s="24" t="str">
        <f>IF($A502&gt;nrows,"",IF(col_s1=0,0,--(LEN(INDEX('Paste Export'!$A$2:$BZ$1001,$A502,col_s1))&gt;0))+IF(col_s2=0,0,--(LEN(INDEX('Paste Export'!$A$2:$BZ$1001,$A502,col_s2))&gt;0))+IF(col_s3=0,0,--(LEN(INDEX('Paste Export'!$A$2:$BZ$1001,$A502,col_s3))&gt;0))+IF(col_s4=0,0,--(LEN(INDEX('Paste Export'!$A$2:$BZ$1001,$A502,col_s4))&gt;0))+IF(col_s5=0,0,--(LEN(INDEX('Paste Export'!$A$2:$BZ$1001,$A502,col_s5))&gt;0))+IF(col_s6=0,0,--(LEN(INDEX('Paste Export'!$A$2:$BZ$1001,$A502,col_s6))&gt;0))+IF(col_s7=0,0,--(LEN(INDEX('Paste Export'!$A$2:$BZ$1001,$A502,col_s7))&gt;0))+IF(col_s8=0,0,--(LEN(INDEX('Paste Export'!$A$2:$BZ$1001,$A502,col_s8))&gt;0)))</f>
        <v/>
      </c>
      <c r="I502" s="25" t="str">
        <f t="shared" si="52"/>
        <v/>
      </c>
      <c r="J502" s="25" t="str">
        <f t="shared" si="53"/>
        <v/>
      </c>
      <c r="K502" s="24" t="str">
        <f t="shared" si="54"/>
        <v/>
      </c>
      <c r="L502" s="24" t="str">
        <f t="shared" si="55"/>
        <v/>
      </c>
    </row>
    <row r="503" spans="1:12" x14ac:dyDescent="0.25">
      <c r="A503" s="24">
        <f t="shared" si="49"/>
        <v>502</v>
      </c>
      <c r="B503" s="25" t="str">
        <f>IF($A503&gt;nrows,"",IF(col_user=0,"",INDEX('Paste Export'!$A$2:$BZ$1001,$A503,col_user)))</f>
        <v/>
      </c>
      <c r="C503" s="24" t="str">
        <f>IF($A503&gt;nrows,"",IF(col_days=0,0,N(INDEX('Paste Export'!$A$2:$BZ$1001,$A503,col_days))))</f>
        <v/>
      </c>
      <c r="D503" s="24" t="str">
        <f>IF($A503&gt;nrows,"",IF(col_prompts=0,0,N(INDEX('Paste Export'!$A$2:$BZ$1001,$A503,col_prompts))))</f>
        <v/>
      </c>
      <c r="E503" s="24" t="str">
        <f>IF($A503&gt;nrows,"",IF(col_web=0,0,N(INDEX('Paste Export'!$A$2:$BZ$1001,$A503,col_web))))</f>
        <v/>
      </c>
      <c r="F503" s="26" t="str">
        <f t="shared" si="50"/>
        <v/>
      </c>
      <c r="G503" s="27" t="str">
        <f t="shared" si="51"/>
        <v/>
      </c>
      <c r="H503" s="24" t="str">
        <f>IF($A503&gt;nrows,"",IF(col_s1=0,0,--(LEN(INDEX('Paste Export'!$A$2:$BZ$1001,$A503,col_s1))&gt;0))+IF(col_s2=0,0,--(LEN(INDEX('Paste Export'!$A$2:$BZ$1001,$A503,col_s2))&gt;0))+IF(col_s3=0,0,--(LEN(INDEX('Paste Export'!$A$2:$BZ$1001,$A503,col_s3))&gt;0))+IF(col_s4=0,0,--(LEN(INDEX('Paste Export'!$A$2:$BZ$1001,$A503,col_s4))&gt;0))+IF(col_s5=0,0,--(LEN(INDEX('Paste Export'!$A$2:$BZ$1001,$A503,col_s5))&gt;0))+IF(col_s6=0,0,--(LEN(INDEX('Paste Export'!$A$2:$BZ$1001,$A503,col_s6))&gt;0))+IF(col_s7=0,0,--(LEN(INDEX('Paste Export'!$A$2:$BZ$1001,$A503,col_s7))&gt;0))+IF(col_s8=0,0,--(LEN(INDEX('Paste Export'!$A$2:$BZ$1001,$A503,col_s8))&gt;0)))</f>
        <v/>
      </c>
      <c r="I503" s="25" t="str">
        <f t="shared" si="52"/>
        <v/>
      </c>
      <c r="J503" s="25" t="str">
        <f t="shared" si="53"/>
        <v/>
      </c>
      <c r="K503" s="24" t="str">
        <f t="shared" si="54"/>
        <v/>
      </c>
      <c r="L503" s="24" t="str">
        <f t="shared" si="55"/>
        <v/>
      </c>
    </row>
    <row r="504" spans="1:12" x14ac:dyDescent="0.25">
      <c r="A504" s="24">
        <f t="shared" si="49"/>
        <v>503</v>
      </c>
      <c r="B504" s="25" t="str">
        <f>IF($A504&gt;nrows,"",IF(col_user=0,"",INDEX('Paste Export'!$A$2:$BZ$1001,$A504,col_user)))</f>
        <v/>
      </c>
      <c r="C504" s="24" t="str">
        <f>IF($A504&gt;nrows,"",IF(col_days=0,0,N(INDEX('Paste Export'!$A$2:$BZ$1001,$A504,col_days))))</f>
        <v/>
      </c>
      <c r="D504" s="24" t="str">
        <f>IF($A504&gt;nrows,"",IF(col_prompts=0,0,N(INDEX('Paste Export'!$A$2:$BZ$1001,$A504,col_prompts))))</f>
        <v/>
      </c>
      <c r="E504" s="24" t="str">
        <f>IF($A504&gt;nrows,"",IF(col_web=0,0,N(INDEX('Paste Export'!$A$2:$BZ$1001,$A504,col_web))))</f>
        <v/>
      </c>
      <c r="F504" s="26" t="str">
        <f t="shared" si="50"/>
        <v/>
      </c>
      <c r="G504" s="27" t="str">
        <f t="shared" si="51"/>
        <v/>
      </c>
      <c r="H504" s="24" t="str">
        <f>IF($A504&gt;nrows,"",IF(col_s1=0,0,--(LEN(INDEX('Paste Export'!$A$2:$BZ$1001,$A504,col_s1))&gt;0))+IF(col_s2=0,0,--(LEN(INDEX('Paste Export'!$A$2:$BZ$1001,$A504,col_s2))&gt;0))+IF(col_s3=0,0,--(LEN(INDEX('Paste Export'!$A$2:$BZ$1001,$A504,col_s3))&gt;0))+IF(col_s4=0,0,--(LEN(INDEX('Paste Export'!$A$2:$BZ$1001,$A504,col_s4))&gt;0))+IF(col_s5=0,0,--(LEN(INDEX('Paste Export'!$A$2:$BZ$1001,$A504,col_s5))&gt;0))+IF(col_s6=0,0,--(LEN(INDEX('Paste Export'!$A$2:$BZ$1001,$A504,col_s6))&gt;0))+IF(col_s7=0,0,--(LEN(INDEX('Paste Export'!$A$2:$BZ$1001,$A504,col_s7))&gt;0))+IF(col_s8=0,0,--(LEN(INDEX('Paste Export'!$A$2:$BZ$1001,$A504,col_s8))&gt;0)))</f>
        <v/>
      </c>
      <c r="I504" s="25" t="str">
        <f t="shared" si="52"/>
        <v/>
      </c>
      <c r="J504" s="25" t="str">
        <f t="shared" si="53"/>
        <v/>
      </c>
      <c r="K504" s="24" t="str">
        <f t="shared" si="54"/>
        <v/>
      </c>
      <c r="L504" s="24" t="str">
        <f t="shared" si="55"/>
        <v/>
      </c>
    </row>
    <row r="505" spans="1:12" x14ac:dyDescent="0.25">
      <c r="A505" s="24">
        <f t="shared" si="49"/>
        <v>504</v>
      </c>
      <c r="B505" s="25" t="str">
        <f>IF($A505&gt;nrows,"",IF(col_user=0,"",INDEX('Paste Export'!$A$2:$BZ$1001,$A505,col_user)))</f>
        <v/>
      </c>
      <c r="C505" s="24" t="str">
        <f>IF($A505&gt;nrows,"",IF(col_days=0,0,N(INDEX('Paste Export'!$A$2:$BZ$1001,$A505,col_days))))</f>
        <v/>
      </c>
      <c r="D505" s="24" t="str">
        <f>IF($A505&gt;nrows,"",IF(col_prompts=0,0,N(INDEX('Paste Export'!$A$2:$BZ$1001,$A505,col_prompts))))</f>
        <v/>
      </c>
      <c r="E505" s="24" t="str">
        <f>IF($A505&gt;nrows,"",IF(col_web=0,0,N(INDEX('Paste Export'!$A$2:$BZ$1001,$A505,col_web))))</f>
        <v/>
      </c>
      <c r="F505" s="26" t="str">
        <f t="shared" si="50"/>
        <v/>
      </c>
      <c r="G505" s="27" t="str">
        <f t="shared" si="51"/>
        <v/>
      </c>
      <c r="H505" s="24" t="str">
        <f>IF($A505&gt;nrows,"",IF(col_s1=0,0,--(LEN(INDEX('Paste Export'!$A$2:$BZ$1001,$A505,col_s1))&gt;0))+IF(col_s2=0,0,--(LEN(INDEX('Paste Export'!$A$2:$BZ$1001,$A505,col_s2))&gt;0))+IF(col_s3=0,0,--(LEN(INDEX('Paste Export'!$A$2:$BZ$1001,$A505,col_s3))&gt;0))+IF(col_s4=0,0,--(LEN(INDEX('Paste Export'!$A$2:$BZ$1001,$A505,col_s4))&gt;0))+IF(col_s5=0,0,--(LEN(INDEX('Paste Export'!$A$2:$BZ$1001,$A505,col_s5))&gt;0))+IF(col_s6=0,0,--(LEN(INDEX('Paste Export'!$A$2:$BZ$1001,$A505,col_s6))&gt;0))+IF(col_s7=0,0,--(LEN(INDEX('Paste Export'!$A$2:$BZ$1001,$A505,col_s7))&gt;0))+IF(col_s8=0,0,--(LEN(INDEX('Paste Export'!$A$2:$BZ$1001,$A505,col_s8))&gt;0)))</f>
        <v/>
      </c>
      <c r="I505" s="25" t="str">
        <f t="shared" si="52"/>
        <v/>
      </c>
      <c r="J505" s="25" t="str">
        <f t="shared" si="53"/>
        <v/>
      </c>
      <c r="K505" s="24" t="str">
        <f t="shared" si="54"/>
        <v/>
      </c>
      <c r="L505" s="24" t="str">
        <f t="shared" si="55"/>
        <v/>
      </c>
    </row>
    <row r="506" spans="1:12" x14ac:dyDescent="0.25">
      <c r="A506" s="24">
        <f t="shared" si="49"/>
        <v>505</v>
      </c>
      <c r="B506" s="25" t="str">
        <f>IF($A506&gt;nrows,"",IF(col_user=0,"",INDEX('Paste Export'!$A$2:$BZ$1001,$A506,col_user)))</f>
        <v/>
      </c>
      <c r="C506" s="24" t="str">
        <f>IF($A506&gt;nrows,"",IF(col_days=0,0,N(INDEX('Paste Export'!$A$2:$BZ$1001,$A506,col_days))))</f>
        <v/>
      </c>
      <c r="D506" s="24" t="str">
        <f>IF($A506&gt;nrows,"",IF(col_prompts=0,0,N(INDEX('Paste Export'!$A$2:$BZ$1001,$A506,col_prompts))))</f>
        <v/>
      </c>
      <c r="E506" s="24" t="str">
        <f>IF($A506&gt;nrows,"",IF(col_web=0,0,N(INDEX('Paste Export'!$A$2:$BZ$1001,$A506,col_web))))</f>
        <v/>
      </c>
      <c r="F506" s="26" t="str">
        <f t="shared" si="50"/>
        <v/>
      </c>
      <c r="G506" s="27" t="str">
        <f t="shared" si="51"/>
        <v/>
      </c>
      <c r="H506" s="24" t="str">
        <f>IF($A506&gt;nrows,"",IF(col_s1=0,0,--(LEN(INDEX('Paste Export'!$A$2:$BZ$1001,$A506,col_s1))&gt;0))+IF(col_s2=0,0,--(LEN(INDEX('Paste Export'!$A$2:$BZ$1001,$A506,col_s2))&gt;0))+IF(col_s3=0,0,--(LEN(INDEX('Paste Export'!$A$2:$BZ$1001,$A506,col_s3))&gt;0))+IF(col_s4=0,0,--(LEN(INDEX('Paste Export'!$A$2:$BZ$1001,$A506,col_s4))&gt;0))+IF(col_s5=0,0,--(LEN(INDEX('Paste Export'!$A$2:$BZ$1001,$A506,col_s5))&gt;0))+IF(col_s6=0,0,--(LEN(INDEX('Paste Export'!$A$2:$BZ$1001,$A506,col_s6))&gt;0))+IF(col_s7=0,0,--(LEN(INDEX('Paste Export'!$A$2:$BZ$1001,$A506,col_s7))&gt;0))+IF(col_s8=0,0,--(LEN(INDEX('Paste Export'!$A$2:$BZ$1001,$A506,col_s8))&gt;0)))</f>
        <v/>
      </c>
      <c r="I506" s="25" t="str">
        <f t="shared" si="52"/>
        <v/>
      </c>
      <c r="J506" s="25" t="str">
        <f t="shared" si="53"/>
        <v/>
      </c>
      <c r="K506" s="24" t="str">
        <f t="shared" si="54"/>
        <v/>
      </c>
      <c r="L506" s="24" t="str">
        <f t="shared" si="55"/>
        <v/>
      </c>
    </row>
    <row r="507" spans="1:12" x14ac:dyDescent="0.25">
      <c r="A507" s="24">
        <f t="shared" si="49"/>
        <v>506</v>
      </c>
      <c r="B507" s="25" t="str">
        <f>IF($A507&gt;nrows,"",IF(col_user=0,"",INDEX('Paste Export'!$A$2:$BZ$1001,$A507,col_user)))</f>
        <v/>
      </c>
      <c r="C507" s="24" t="str">
        <f>IF($A507&gt;nrows,"",IF(col_days=0,0,N(INDEX('Paste Export'!$A$2:$BZ$1001,$A507,col_days))))</f>
        <v/>
      </c>
      <c r="D507" s="24" t="str">
        <f>IF($A507&gt;nrows,"",IF(col_prompts=0,0,N(INDEX('Paste Export'!$A$2:$BZ$1001,$A507,col_prompts))))</f>
        <v/>
      </c>
      <c r="E507" s="24" t="str">
        <f>IF($A507&gt;nrows,"",IF(col_web=0,0,N(INDEX('Paste Export'!$A$2:$BZ$1001,$A507,col_web))))</f>
        <v/>
      </c>
      <c r="F507" s="26" t="str">
        <f t="shared" si="50"/>
        <v/>
      </c>
      <c r="G507" s="27" t="str">
        <f t="shared" si="51"/>
        <v/>
      </c>
      <c r="H507" s="24" t="str">
        <f>IF($A507&gt;nrows,"",IF(col_s1=0,0,--(LEN(INDEX('Paste Export'!$A$2:$BZ$1001,$A507,col_s1))&gt;0))+IF(col_s2=0,0,--(LEN(INDEX('Paste Export'!$A$2:$BZ$1001,$A507,col_s2))&gt;0))+IF(col_s3=0,0,--(LEN(INDEX('Paste Export'!$A$2:$BZ$1001,$A507,col_s3))&gt;0))+IF(col_s4=0,0,--(LEN(INDEX('Paste Export'!$A$2:$BZ$1001,$A507,col_s4))&gt;0))+IF(col_s5=0,0,--(LEN(INDEX('Paste Export'!$A$2:$BZ$1001,$A507,col_s5))&gt;0))+IF(col_s6=0,0,--(LEN(INDEX('Paste Export'!$A$2:$BZ$1001,$A507,col_s6))&gt;0))+IF(col_s7=0,0,--(LEN(INDEX('Paste Export'!$A$2:$BZ$1001,$A507,col_s7))&gt;0))+IF(col_s8=0,0,--(LEN(INDEX('Paste Export'!$A$2:$BZ$1001,$A507,col_s8))&gt;0)))</f>
        <v/>
      </c>
      <c r="I507" s="25" t="str">
        <f t="shared" si="52"/>
        <v/>
      </c>
      <c r="J507" s="25" t="str">
        <f t="shared" si="53"/>
        <v/>
      </c>
      <c r="K507" s="24" t="str">
        <f t="shared" si="54"/>
        <v/>
      </c>
      <c r="L507" s="24" t="str">
        <f t="shared" si="55"/>
        <v/>
      </c>
    </row>
    <row r="508" spans="1:12" x14ac:dyDescent="0.25">
      <c r="A508" s="24">
        <f t="shared" si="49"/>
        <v>507</v>
      </c>
      <c r="B508" s="25" t="str">
        <f>IF($A508&gt;nrows,"",IF(col_user=0,"",INDEX('Paste Export'!$A$2:$BZ$1001,$A508,col_user)))</f>
        <v/>
      </c>
      <c r="C508" s="24" t="str">
        <f>IF($A508&gt;nrows,"",IF(col_days=0,0,N(INDEX('Paste Export'!$A$2:$BZ$1001,$A508,col_days))))</f>
        <v/>
      </c>
      <c r="D508" s="24" t="str">
        <f>IF($A508&gt;nrows,"",IF(col_prompts=0,0,N(INDEX('Paste Export'!$A$2:$BZ$1001,$A508,col_prompts))))</f>
        <v/>
      </c>
      <c r="E508" s="24" t="str">
        <f>IF($A508&gt;nrows,"",IF(col_web=0,0,N(INDEX('Paste Export'!$A$2:$BZ$1001,$A508,col_web))))</f>
        <v/>
      </c>
      <c r="F508" s="26" t="str">
        <f t="shared" si="50"/>
        <v/>
      </c>
      <c r="G508" s="27" t="str">
        <f t="shared" si="51"/>
        <v/>
      </c>
      <c r="H508" s="24" t="str">
        <f>IF($A508&gt;nrows,"",IF(col_s1=0,0,--(LEN(INDEX('Paste Export'!$A$2:$BZ$1001,$A508,col_s1))&gt;0))+IF(col_s2=0,0,--(LEN(INDEX('Paste Export'!$A$2:$BZ$1001,$A508,col_s2))&gt;0))+IF(col_s3=0,0,--(LEN(INDEX('Paste Export'!$A$2:$BZ$1001,$A508,col_s3))&gt;0))+IF(col_s4=0,0,--(LEN(INDEX('Paste Export'!$A$2:$BZ$1001,$A508,col_s4))&gt;0))+IF(col_s5=0,0,--(LEN(INDEX('Paste Export'!$A$2:$BZ$1001,$A508,col_s5))&gt;0))+IF(col_s6=0,0,--(LEN(INDEX('Paste Export'!$A$2:$BZ$1001,$A508,col_s6))&gt;0))+IF(col_s7=0,0,--(LEN(INDEX('Paste Export'!$A$2:$BZ$1001,$A508,col_s7))&gt;0))+IF(col_s8=0,0,--(LEN(INDEX('Paste Export'!$A$2:$BZ$1001,$A508,col_s8))&gt;0)))</f>
        <v/>
      </c>
      <c r="I508" s="25" t="str">
        <f t="shared" si="52"/>
        <v/>
      </c>
      <c r="J508" s="25" t="str">
        <f t="shared" si="53"/>
        <v/>
      </c>
      <c r="K508" s="24" t="str">
        <f t="shared" si="54"/>
        <v/>
      </c>
      <c r="L508" s="24" t="str">
        <f t="shared" si="55"/>
        <v/>
      </c>
    </row>
    <row r="509" spans="1:12" x14ac:dyDescent="0.25">
      <c r="A509" s="24">
        <f t="shared" si="49"/>
        <v>508</v>
      </c>
      <c r="B509" s="25" t="str">
        <f>IF($A509&gt;nrows,"",IF(col_user=0,"",INDEX('Paste Export'!$A$2:$BZ$1001,$A509,col_user)))</f>
        <v/>
      </c>
      <c r="C509" s="24" t="str">
        <f>IF($A509&gt;nrows,"",IF(col_days=0,0,N(INDEX('Paste Export'!$A$2:$BZ$1001,$A509,col_days))))</f>
        <v/>
      </c>
      <c r="D509" s="24" t="str">
        <f>IF($A509&gt;nrows,"",IF(col_prompts=0,0,N(INDEX('Paste Export'!$A$2:$BZ$1001,$A509,col_prompts))))</f>
        <v/>
      </c>
      <c r="E509" s="24" t="str">
        <f>IF($A509&gt;nrows,"",IF(col_web=0,0,N(INDEX('Paste Export'!$A$2:$BZ$1001,$A509,col_web))))</f>
        <v/>
      </c>
      <c r="F509" s="26" t="str">
        <f t="shared" si="50"/>
        <v/>
      </c>
      <c r="G509" s="27" t="str">
        <f t="shared" si="51"/>
        <v/>
      </c>
      <c r="H509" s="24" t="str">
        <f>IF($A509&gt;nrows,"",IF(col_s1=0,0,--(LEN(INDEX('Paste Export'!$A$2:$BZ$1001,$A509,col_s1))&gt;0))+IF(col_s2=0,0,--(LEN(INDEX('Paste Export'!$A$2:$BZ$1001,$A509,col_s2))&gt;0))+IF(col_s3=0,0,--(LEN(INDEX('Paste Export'!$A$2:$BZ$1001,$A509,col_s3))&gt;0))+IF(col_s4=0,0,--(LEN(INDEX('Paste Export'!$A$2:$BZ$1001,$A509,col_s4))&gt;0))+IF(col_s5=0,0,--(LEN(INDEX('Paste Export'!$A$2:$BZ$1001,$A509,col_s5))&gt;0))+IF(col_s6=0,0,--(LEN(INDEX('Paste Export'!$A$2:$BZ$1001,$A509,col_s6))&gt;0))+IF(col_s7=0,0,--(LEN(INDEX('Paste Export'!$A$2:$BZ$1001,$A509,col_s7))&gt;0))+IF(col_s8=0,0,--(LEN(INDEX('Paste Export'!$A$2:$BZ$1001,$A509,col_s8))&gt;0)))</f>
        <v/>
      </c>
      <c r="I509" s="25" t="str">
        <f t="shared" si="52"/>
        <v/>
      </c>
      <c r="J509" s="25" t="str">
        <f t="shared" si="53"/>
        <v/>
      </c>
      <c r="K509" s="24" t="str">
        <f t="shared" si="54"/>
        <v/>
      </c>
      <c r="L509" s="24" t="str">
        <f t="shared" si="55"/>
        <v/>
      </c>
    </row>
    <row r="510" spans="1:12" x14ac:dyDescent="0.25">
      <c r="A510" s="24">
        <f t="shared" si="49"/>
        <v>509</v>
      </c>
      <c r="B510" s="25" t="str">
        <f>IF($A510&gt;nrows,"",IF(col_user=0,"",INDEX('Paste Export'!$A$2:$BZ$1001,$A510,col_user)))</f>
        <v/>
      </c>
      <c r="C510" s="24" t="str">
        <f>IF($A510&gt;nrows,"",IF(col_days=0,0,N(INDEX('Paste Export'!$A$2:$BZ$1001,$A510,col_days))))</f>
        <v/>
      </c>
      <c r="D510" s="24" t="str">
        <f>IF($A510&gt;nrows,"",IF(col_prompts=0,0,N(INDEX('Paste Export'!$A$2:$BZ$1001,$A510,col_prompts))))</f>
        <v/>
      </c>
      <c r="E510" s="24" t="str">
        <f>IF($A510&gt;nrows,"",IF(col_web=0,0,N(INDEX('Paste Export'!$A$2:$BZ$1001,$A510,col_web))))</f>
        <v/>
      </c>
      <c r="F510" s="26" t="str">
        <f t="shared" si="50"/>
        <v/>
      </c>
      <c r="G510" s="27" t="str">
        <f t="shared" si="51"/>
        <v/>
      </c>
      <c r="H510" s="24" t="str">
        <f>IF($A510&gt;nrows,"",IF(col_s1=0,0,--(LEN(INDEX('Paste Export'!$A$2:$BZ$1001,$A510,col_s1))&gt;0))+IF(col_s2=0,0,--(LEN(INDEX('Paste Export'!$A$2:$BZ$1001,$A510,col_s2))&gt;0))+IF(col_s3=0,0,--(LEN(INDEX('Paste Export'!$A$2:$BZ$1001,$A510,col_s3))&gt;0))+IF(col_s4=0,0,--(LEN(INDEX('Paste Export'!$A$2:$BZ$1001,$A510,col_s4))&gt;0))+IF(col_s5=0,0,--(LEN(INDEX('Paste Export'!$A$2:$BZ$1001,$A510,col_s5))&gt;0))+IF(col_s6=0,0,--(LEN(INDEX('Paste Export'!$A$2:$BZ$1001,$A510,col_s6))&gt;0))+IF(col_s7=0,0,--(LEN(INDEX('Paste Export'!$A$2:$BZ$1001,$A510,col_s7))&gt;0))+IF(col_s8=0,0,--(LEN(INDEX('Paste Export'!$A$2:$BZ$1001,$A510,col_s8))&gt;0)))</f>
        <v/>
      </c>
      <c r="I510" s="25" t="str">
        <f t="shared" si="52"/>
        <v/>
      </c>
      <c r="J510" s="25" t="str">
        <f t="shared" si="53"/>
        <v/>
      </c>
      <c r="K510" s="24" t="str">
        <f t="shared" si="54"/>
        <v/>
      </c>
      <c r="L510" s="24" t="str">
        <f t="shared" si="55"/>
        <v/>
      </c>
    </row>
    <row r="511" spans="1:12" x14ac:dyDescent="0.25">
      <c r="A511" s="24">
        <f t="shared" si="49"/>
        <v>510</v>
      </c>
      <c r="B511" s="25" t="str">
        <f>IF($A511&gt;nrows,"",IF(col_user=0,"",INDEX('Paste Export'!$A$2:$BZ$1001,$A511,col_user)))</f>
        <v/>
      </c>
      <c r="C511" s="24" t="str">
        <f>IF($A511&gt;nrows,"",IF(col_days=0,0,N(INDEX('Paste Export'!$A$2:$BZ$1001,$A511,col_days))))</f>
        <v/>
      </c>
      <c r="D511" s="24" t="str">
        <f>IF($A511&gt;nrows,"",IF(col_prompts=0,0,N(INDEX('Paste Export'!$A$2:$BZ$1001,$A511,col_prompts))))</f>
        <v/>
      </c>
      <c r="E511" s="24" t="str">
        <f>IF($A511&gt;nrows,"",IF(col_web=0,0,N(INDEX('Paste Export'!$A$2:$BZ$1001,$A511,col_web))))</f>
        <v/>
      </c>
      <c r="F511" s="26" t="str">
        <f t="shared" si="50"/>
        <v/>
      </c>
      <c r="G511" s="27" t="str">
        <f t="shared" si="51"/>
        <v/>
      </c>
      <c r="H511" s="24" t="str">
        <f>IF($A511&gt;nrows,"",IF(col_s1=0,0,--(LEN(INDEX('Paste Export'!$A$2:$BZ$1001,$A511,col_s1))&gt;0))+IF(col_s2=0,0,--(LEN(INDEX('Paste Export'!$A$2:$BZ$1001,$A511,col_s2))&gt;0))+IF(col_s3=0,0,--(LEN(INDEX('Paste Export'!$A$2:$BZ$1001,$A511,col_s3))&gt;0))+IF(col_s4=0,0,--(LEN(INDEX('Paste Export'!$A$2:$BZ$1001,$A511,col_s4))&gt;0))+IF(col_s5=0,0,--(LEN(INDEX('Paste Export'!$A$2:$BZ$1001,$A511,col_s5))&gt;0))+IF(col_s6=0,0,--(LEN(INDEX('Paste Export'!$A$2:$BZ$1001,$A511,col_s6))&gt;0))+IF(col_s7=0,0,--(LEN(INDEX('Paste Export'!$A$2:$BZ$1001,$A511,col_s7))&gt;0))+IF(col_s8=0,0,--(LEN(INDEX('Paste Export'!$A$2:$BZ$1001,$A511,col_s8))&gt;0)))</f>
        <v/>
      </c>
      <c r="I511" s="25" t="str">
        <f t="shared" si="52"/>
        <v/>
      </c>
      <c r="J511" s="25" t="str">
        <f t="shared" si="53"/>
        <v/>
      </c>
      <c r="K511" s="24" t="str">
        <f t="shared" si="54"/>
        <v/>
      </c>
      <c r="L511" s="24" t="str">
        <f t="shared" si="55"/>
        <v/>
      </c>
    </row>
    <row r="512" spans="1:12" x14ac:dyDescent="0.25">
      <c r="A512" s="24">
        <f t="shared" si="49"/>
        <v>511</v>
      </c>
      <c r="B512" s="25" t="str">
        <f>IF($A512&gt;nrows,"",IF(col_user=0,"",INDEX('Paste Export'!$A$2:$BZ$1001,$A512,col_user)))</f>
        <v/>
      </c>
      <c r="C512" s="24" t="str">
        <f>IF($A512&gt;nrows,"",IF(col_days=0,0,N(INDEX('Paste Export'!$A$2:$BZ$1001,$A512,col_days))))</f>
        <v/>
      </c>
      <c r="D512" s="24" t="str">
        <f>IF($A512&gt;nrows,"",IF(col_prompts=0,0,N(INDEX('Paste Export'!$A$2:$BZ$1001,$A512,col_prompts))))</f>
        <v/>
      </c>
      <c r="E512" s="24" t="str">
        <f>IF($A512&gt;nrows,"",IF(col_web=0,0,N(INDEX('Paste Export'!$A$2:$BZ$1001,$A512,col_web))))</f>
        <v/>
      </c>
      <c r="F512" s="26" t="str">
        <f t="shared" si="50"/>
        <v/>
      </c>
      <c r="G512" s="27" t="str">
        <f t="shared" si="51"/>
        <v/>
      </c>
      <c r="H512" s="24" t="str">
        <f>IF($A512&gt;nrows,"",IF(col_s1=0,0,--(LEN(INDEX('Paste Export'!$A$2:$BZ$1001,$A512,col_s1))&gt;0))+IF(col_s2=0,0,--(LEN(INDEX('Paste Export'!$A$2:$BZ$1001,$A512,col_s2))&gt;0))+IF(col_s3=0,0,--(LEN(INDEX('Paste Export'!$A$2:$BZ$1001,$A512,col_s3))&gt;0))+IF(col_s4=0,0,--(LEN(INDEX('Paste Export'!$A$2:$BZ$1001,$A512,col_s4))&gt;0))+IF(col_s5=0,0,--(LEN(INDEX('Paste Export'!$A$2:$BZ$1001,$A512,col_s5))&gt;0))+IF(col_s6=0,0,--(LEN(INDEX('Paste Export'!$A$2:$BZ$1001,$A512,col_s6))&gt;0))+IF(col_s7=0,0,--(LEN(INDEX('Paste Export'!$A$2:$BZ$1001,$A512,col_s7))&gt;0))+IF(col_s8=0,0,--(LEN(INDEX('Paste Export'!$A$2:$BZ$1001,$A512,col_s8))&gt;0)))</f>
        <v/>
      </c>
      <c r="I512" s="25" t="str">
        <f t="shared" si="52"/>
        <v/>
      </c>
      <c r="J512" s="25" t="str">
        <f t="shared" si="53"/>
        <v/>
      </c>
      <c r="K512" s="24" t="str">
        <f t="shared" si="54"/>
        <v/>
      </c>
      <c r="L512" s="24" t="str">
        <f t="shared" si="55"/>
        <v/>
      </c>
    </row>
    <row r="513" spans="1:12" x14ac:dyDescent="0.25">
      <c r="A513" s="24">
        <f t="shared" si="49"/>
        <v>512</v>
      </c>
      <c r="B513" s="25" t="str">
        <f>IF($A513&gt;nrows,"",IF(col_user=0,"",INDEX('Paste Export'!$A$2:$BZ$1001,$A513,col_user)))</f>
        <v/>
      </c>
      <c r="C513" s="24" t="str">
        <f>IF($A513&gt;nrows,"",IF(col_days=0,0,N(INDEX('Paste Export'!$A$2:$BZ$1001,$A513,col_days))))</f>
        <v/>
      </c>
      <c r="D513" s="24" t="str">
        <f>IF($A513&gt;nrows,"",IF(col_prompts=0,0,N(INDEX('Paste Export'!$A$2:$BZ$1001,$A513,col_prompts))))</f>
        <v/>
      </c>
      <c r="E513" s="24" t="str">
        <f>IF($A513&gt;nrows,"",IF(col_web=0,0,N(INDEX('Paste Export'!$A$2:$BZ$1001,$A513,col_web))))</f>
        <v/>
      </c>
      <c r="F513" s="26" t="str">
        <f t="shared" si="50"/>
        <v/>
      </c>
      <c r="G513" s="27" t="str">
        <f t="shared" si="51"/>
        <v/>
      </c>
      <c r="H513" s="24" t="str">
        <f>IF($A513&gt;nrows,"",IF(col_s1=0,0,--(LEN(INDEX('Paste Export'!$A$2:$BZ$1001,$A513,col_s1))&gt;0))+IF(col_s2=0,0,--(LEN(INDEX('Paste Export'!$A$2:$BZ$1001,$A513,col_s2))&gt;0))+IF(col_s3=0,0,--(LEN(INDEX('Paste Export'!$A$2:$BZ$1001,$A513,col_s3))&gt;0))+IF(col_s4=0,0,--(LEN(INDEX('Paste Export'!$A$2:$BZ$1001,$A513,col_s4))&gt;0))+IF(col_s5=0,0,--(LEN(INDEX('Paste Export'!$A$2:$BZ$1001,$A513,col_s5))&gt;0))+IF(col_s6=0,0,--(LEN(INDEX('Paste Export'!$A$2:$BZ$1001,$A513,col_s6))&gt;0))+IF(col_s7=0,0,--(LEN(INDEX('Paste Export'!$A$2:$BZ$1001,$A513,col_s7))&gt;0))+IF(col_s8=0,0,--(LEN(INDEX('Paste Export'!$A$2:$BZ$1001,$A513,col_s8))&gt;0)))</f>
        <v/>
      </c>
      <c r="I513" s="25" t="str">
        <f t="shared" si="52"/>
        <v/>
      </c>
      <c r="J513" s="25" t="str">
        <f t="shared" si="53"/>
        <v/>
      </c>
      <c r="K513" s="24" t="str">
        <f t="shared" si="54"/>
        <v/>
      </c>
      <c r="L513" s="24" t="str">
        <f t="shared" si="55"/>
        <v/>
      </c>
    </row>
    <row r="514" spans="1:12" x14ac:dyDescent="0.25">
      <c r="A514" s="24">
        <f t="shared" ref="A514:A577" si="56">ROW()-1</f>
        <v>513</v>
      </c>
      <c r="B514" s="25" t="str">
        <f>IF($A514&gt;nrows,"",IF(col_user=0,"",INDEX('Paste Export'!$A$2:$BZ$1001,$A514,col_user)))</f>
        <v/>
      </c>
      <c r="C514" s="24" t="str">
        <f>IF($A514&gt;nrows,"",IF(col_days=0,0,N(INDEX('Paste Export'!$A$2:$BZ$1001,$A514,col_days))))</f>
        <v/>
      </c>
      <c r="D514" s="24" t="str">
        <f>IF($A514&gt;nrows,"",IF(col_prompts=0,0,N(INDEX('Paste Export'!$A$2:$BZ$1001,$A514,col_prompts))))</f>
        <v/>
      </c>
      <c r="E514" s="24" t="str">
        <f>IF($A514&gt;nrows,"",IF(col_web=0,0,N(INDEX('Paste Export'!$A$2:$BZ$1001,$A514,col_web))))</f>
        <v/>
      </c>
      <c r="F514" s="26" t="str">
        <f t="shared" ref="F514:F577" si="57">IF($A514&gt;nrows,"",IFERROR($D514/$C514,0))</f>
        <v/>
      </c>
      <c r="G514" s="27" t="str">
        <f t="shared" ref="G514:G577" si="58">IF($A514&gt;nrows,"",IFERROR($E514/$D514,""))</f>
        <v/>
      </c>
      <c r="H514" s="24" t="str">
        <f>IF($A514&gt;nrows,"",IF(col_s1=0,0,--(LEN(INDEX('Paste Export'!$A$2:$BZ$1001,$A514,col_s1))&gt;0))+IF(col_s2=0,0,--(LEN(INDEX('Paste Export'!$A$2:$BZ$1001,$A514,col_s2))&gt;0))+IF(col_s3=0,0,--(LEN(INDEX('Paste Export'!$A$2:$BZ$1001,$A514,col_s3))&gt;0))+IF(col_s4=0,0,--(LEN(INDEX('Paste Export'!$A$2:$BZ$1001,$A514,col_s4))&gt;0))+IF(col_s5=0,0,--(LEN(INDEX('Paste Export'!$A$2:$BZ$1001,$A514,col_s5))&gt;0))+IF(col_s6=0,0,--(LEN(INDEX('Paste Export'!$A$2:$BZ$1001,$A514,col_s6))&gt;0))+IF(col_s7=0,0,--(LEN(INDEX('Paste Export'!$A$2:$BZ$1001,$A514,col_s7))&gt;0))+IF(col_s8=0,0,--(LEN(INDEX('Paste Export'!$A$2:$BZ$1001,$A514,col_s8))&gt;0)))</f>
        <v/>
      </c>
      <c r="I514" s="25" t="str">
        <f t="shared" ref="I514:I577" si="59">IF($A514&gt;nrows,"",IF($C514&gt;=freq_line,IF($D514&gt;=depth_line,"Embedded","Loyal but shallow"),IF($D514&gt;=depth_line,"Project-driven","Drifting")))</f>
        <v/>
      </c>
      <c r="J514" s="25" t="str">
        <f t="shared" ref="J514:J577" si="60">IF($A514&gt;nrows,"",IF($I514="Drifting",IF($H514&gt;=3,"tried and stopped","never started"),""))</f>
        <v/>
      </c>
      <c r="K514" s="24" t="str">
        <f t="shared" ref="K514:K577" si="61">IF($A514&gt;nrows,"",MAX($D514,1))</f>
        <v/>
      </c>
      <c r="L514" s="24" t="str">
        <f t="shared" ref="L514:L577" si="62">IF($A514&gt;nrows,"",IF(AND($C514=0,$D514=0),1,0))</f>
        <v/>
      </c>
    </row>
    <row r="515" spans="1:12" x14ac:dyDescent="0.25">
      <c r="A515" s="24">
        <f t="shared" si="56"/>
        <v>514</v>
      </c>
      <c r="B515" s="25" t="str">
        <f>IF($A515&gt;nrows,"",IF(col_user=0,"",INDEX('Paste Export'!$A$2:$BZ$1001,$A515,col_user)))</f>
        <v/>
      </c>
      <c r="C515" s="24" t="str">
        <f>IF($A515&gt;nrows,"",IF(col_days=0,0,N(INDEX('Paste Export'!$A$2:$BZ$1001,$A515,col_days))))</f>
        <v/>
      </c>
      <c r="D515" s="24" t="str">
        <f>IF($A515&gt;nrows,"",IF(col_prompts=0,0,N(INDEX('Paste Export'!$A$2:$BZ$1001,$A515,col_prompts))))</f>
        <v/>
      </c>
      <c r="E515" s="24" t="str">
        <f>IF($A515&gt;nrows,"",IF(col_web=0,0,N(INDEX('Paste Export'!$A$2:$BZ$1001,$A515,col_web))))</f>
        <v/>
      </c>
      <c r="F515" s="26" t="str">
        <f t="shared" si="57"/>
        <v/>
      </c>
      <c r="G515" s="27" t="str">
        <f t="shared" si="58"/>
        <v/>
      </c>
      <c r="H515" s="24" t="str">
        <f>IF($A515&gt;nrows,"",IF(col_s1=0,0,--(LEN(INDEX('Paste Export'!$A$2:$BZ$1001,$A515,col_s1))&gt;0))+IF(col_s2=0,0,--(LEN(INDEX('Paste Export'!$A$2:$BZ$1001,$A515,col_s2))&gt;0))+IF(col_s3=0,0,--(LEN(INDEX('Paste Export'!$A$2:$BZ$1001,$A515,col_s3))&gt;0))+IF(col_s4=0,0,--(LEN(INDEX('Paste Export'!$A$2:$BZ$1001,$A515,col_s4))&gt;0))+IF(col_s5=0,0,--(LEN(INDEX('Paste Export'!$A$2:$BZ$1001,$A515,col_s5))&gt;0))+IF(col_s6=0,0,--(LEN(INDEX('Paste Export'!$A$2:$BZ$1001,$A515,col_s6))&gt;0))+IF(col_s7=0,0,--(LEN(INDEX('Paste Export'!$A$2:$BZ$1001,$A515,col_s7))&gt;0))+IF(col_s8=0,0,--(LEN(INDEX('Paste Export'!$A$2:$BZ$1001,$A515,col_s8))&gt;0)))</f>
        <v/>
      </c>
      <c r="I515" s="25" t="str">
        <f t="shared" si="59"/>
        <v/>
      </c>
      <c r="J515" s="25" t="str">
        <f t="shared" si="60"/>
        <v/>
      </c>
      <c r="K515" s="24" t="str">
        <f t="shared" si="61"/>
        <v/>
      </c>
      <c r="L515" s="24" t="str">
        <f t="shared" si="62"/>
        <v/>
      </c>
    </row>
    <row r="516" spans="1:12" x14ac:dyDescent="0.25">
      <c r="A516" s="24">
        <f t="shared" si="56"/>
        <v>515</v>
      </c>
      <c r="B516" s="25" t="str">
        <f>IF($A516&gt;nrows,"",IF(col_user=0,"",INDEX('Paste Export'!$A$2:$BZ$1001,$A516,col_user)))</f>
        <v/>
      </c>
      <c r="C516" s="24" t="str">
        <f>IF($A516&gt;nrows,"",IF(col_days=0,0,N(INDEX('Paste Export'!$A$2:$BZ$1001,$A516,col_days))))</f>
        <v/>
      </c>
      <c r="D516" s="24" t="str">
        <f>IF($A516&gt;nrows,"",IF(col_prompts=0,0,N(INDEX('Paste Export'!$A$2:$BZ$1001,$A516,col_prompts))))</f>
        <v/>
      </c>
      <c r="E516" s="24" t="str">
        <f>IF($A516&gt;nrows,"",IF(col_web=0,0,N(INDEX('Paste Export'!$A$2:$BZ$1001,$A516,col_web))))</f>
        <v/>
      </c>
      <c r="F516" s="26" t="str">
        <f t="shared" si="57"/>
        <v/>
      </c>
      <c r="G516" s="27" t="str">
        <f t="shared" si="58"/>
        <v/>
      </c>
      <c r="H516" s="24" t="str">
        <f>IF($A516&gt;nrows,"",IF(col_s1=0,0,--(LEN(INDEX('Paste Export'!$A$2:$BZ$1001,$A516,col_s1))&gt;0))+IF(col_s2=0,0,--(LEN(INDEX('Paste Export'!$A$2:$BZ$1001,$A516,col_s2))&gt;0))+IF(col_s3=0,0,--(LEN(INDEX('Paste Export'!$A$2:$BZ$1001,$A516,col_s3))&gt;0))+IF(col_s4=0,0,--(LEN(INDEX('Paste Export'!$A$2:$BZ$1001,$A516,col_s4))&gt;0))+IF(col_s5=0,0,--(LEN(INDEX('Paste Export'!$A$2:$BZ$1001,$A516,col_s5))&gt;0))+IF(col_s6=0,0,--(LEN(INDEX('Paste Export'!$A$2:$BZ$1001,$A516,col_s6))&gt;0))+IF(col_s7=0,0,--(LEN(INDEX('Paste Export'!$A$2:$BZ$1001,$A516,col_s7))&gt;0))+IF(col_s8=0,0,--(LEN(INDEX('Paste Export'!$A$2:$BZ$1001,$A516,col_s8))&gt;0)))</f>
        <v/>
      </c>
      <c r="I516" s="25" t="str">
        <f t="shared" si="59"/>
        <v/>
      </c>
      <c r="J516" s="25" t="str">
        <f t="shared" si="60"/>
        <v/>
      </c>
      <c r="K516" s="24" t="str">
        <f t="shared" si="61"/>
        <v/>
      </c>
      <c r="L516" s="24" t="str">
        <f t="shared" si="62"/>
        <v/>
      </c>
    </row>
    <row r="517" spans="1:12" x14ac:dyDescent="0.25">
      <c r="A517" s="24">
        <f t="shared" si="56"/>
        <v>516</v>
      </c>
      <c r="B517" s="25" t="str">
        <f>IF($A517&gt;nrows,"",IF(col_user=0,"",INDEX('Paste Export'!$A$2:$BZ$1001,$A517,col_user)))</f>
        <v/>
      </c>
      <c r="C517" s="24" t="str">
        <f>IF($A517&gt;nrows,"",IF(col_days=0,0,N(INDEX('Paste Export'!$A$2:$BZ$1001,$A517,col_days))))</f>
        <v/>
      </c>
      <c r="D517" s="24" t="str">
        <f>IF($A517&gt;nrows,"",IF(col_prompts=0,0,N(INDEX('Paste Export'!$A$2:$BZ$1001,$A517,col_prompts))))</f>
        <v/>
      </c>
      <c r="E517" s="24" t="str">
        <f>IF($A517&gt;nrows,"",IF(col_web=0,0,N(INDEX('Paste Export'!$A$2:$BZ$1001,$A517,col_web))))</f>
        <v/>
      </c>
      <c r="F517" s="26" t="str">
        <f t="shared" si="57"/>
        <v/>
      </c>
      <c r="G517" s="27" t="str">
        <f t="shared" si="58"/>
        <v/>
      </c>
      <c r="H517" s="24" t="str">
        <f>IF($A517&gt;nrows,"",IF(col_s1=0,0,--(LEN(INDEX('Paste Export'!$A$2:$BZ$1001,$A517,col_s1))&gt;0))+IF(col_s2=0,0,--(LEN(INDEX('Paste Export'!$A$2:$BZ$1001,$A517,col_s2))&gt;0))+IF(col_s3=0,0,--(LEN(INDEX('Paste Export'!$A$2:$BZ$1001,$A517,col_s3))&gt;0))+IF(col_s4=0,0,--(LEN(INDEX('Paste Export'!$A$2:$BZ$1001,$A517,col_s4))&gt;0))+IF(col_s5=0,0,--(LEN(INDEX('Paste Export'!$A$2:$BZ$1001,$A517,col_s5))&gt;0))+IF(col_s6=0,0,--(LEN(INDEX('Paste Export'!$A$2:$BZ$1001,$A517,col_s6))&gt;0))+IF(col_s7=0,0,--(LEN(INDEX('Paste Export'!$A$2:$BZ$1001,$A517,col_s7))&gt;0))+IF(col_s8=0,0,--(LEN(INDEX('Paste Export'!$A$2:$BZ$1001,$A517,col_s8))&gt;0)))</f>
        <v/>
      </c>
      <c r="I517" s="25" t="str">
        <f t="shared" si="59"/>
        <v/>
      </c>
      <c r="J517" s="25" t="str">
        <f t="shared" si="60"/>
        <v/>
      </c>
      <c r="K517" s="24" t="str">
        <f t="shared" si="61"/>
        <v/>
      </c>
      <c r="L517" s="24" t="str">
        <f t="shared" si="62"/>
        <v/>
      </c>
    </row>
    <row r="518" spans="1:12" x14ac:dyDescent="0.25">
      <c r="A518" s="24">
        <f t="shared" si="56"/>
        <v>517</v>
      </c>
      <c r="B518" s="25" t="str">
        <f>IF($A518&gt;nrows,"",IF(col_user=0,"",INDEX('Paste Export'!$A$2:$BZ$1001,$A518,col_user)))</f>
        <v/>
      </c>
      <c r="C518" s="24" t="str">
        <f>IF($A518&gt;nrows,"",IF(col_days=0,0,N(INDEX('Paste Export'!$A$2:$BZ$1001,$A518,col_days))))</f>
        <v/>
      </c>
      <c r="D518" s="24" t="str">
        <f>IF($A518&gt;nrows,"",IF(col_prompts=0,0,N(INDEX('Paste Export'!$A$2:$BZ$1001,$A518,col_prompts))))</f>
        <v/>
      </c>
      <c r="E518" s="24" t="str">
        <f>IF($A518&gt;nrows,"",IF(col_web=0,0,N(INDEX('Paste Export'!$A$2:$BZ$1001,$A518,col_web))))</f>
        <v/>
      </c>
      <c r="F518" s="26" t="str">
        <f t="shared" si="57"/>
        <v/>
      </c>
      <c r="G518" s="27" t="str">
        <f t="shared" si="58"/>
        <v/>
      </c>
      <c r="H518" s="24" t="str">
        <f>IF($A518&gt;nrows,"",IF(col_s1=0,0,--(LEN(INDEX('Paste Export'!$A$2:$BZ$1001,$A518,col_s1))&gt;0))+IF(col_s2=0,0,--(LEN(INDEX('Paste Export'!$A$2:$BZ$1001,$A518,col_s2))&gt;0))+IF(col_s3=0,0,--(LEN(INDEX('Paste Export'!$A$2:$BZ$1001,$A518,col_s3))&gt;0))+IF(col_s4=0,0,--(LEN(INDEX('Paste Export'!$A$2:$BZ$1001,$A518,col_s4))&gt;0))+IF(col_s5=0,0,--(LEN(INDEX('Paste Export'!$A$2:$BZ$1001,$A518,col_s5))&gt;0))+IF(col_s6=0,0,--(LEN(INDEX('Paste Export'!$A$2:$BZ$1001,$A518,col_s6))&gt;0))+IF(col_s7=0,0,--(LEN(INDEX('Paste Export'!$A$2:$BZ$1001,$A518,col_s7))&gt;0))+IF(col_s8=0,0,--(LEN(INDEX('Paste Export'!$A$2:$BZ$1001,$A518,col_s8))&gt;0)))</f>
        <v/>
      </c>
      <c r="I518" s="25" t="str">
        <f t="shared" si="59"/>
        <v/>
      </c>
      <c r="J518" s="25" t="str">
        <f t="shared" si="60"/>
        <v/>
      </c>
      <c r="K518" s="24" t="str">
        <f t="shared" si="61"/>
        <v/>
      </c>
      <c r="L518" s="24" t="str">
        <f t="shared" si="62"/>
        <v/>
      </c>
    </row>
    <row r="519" spans="1:12" x14ac:dyDescent="0.25">
      <c r="A519" s="24">
        <f t="shared" si="56"/>
        <v>518</v>
      </c>
      <c r="B519" s="25" t="str">
        <f>IF($A519&gt;nrows,"",IF(col_user=0,"",INDEX('Paste Export'!$A$2:$BZ$1001,$A519,col_user)))</f>
        <v/>
      </c>
      <c r="C519" s="24" t="str">
        <f>IF($A519&gt;nrows,"",IF(col_days=0,0,N(INDEX('Paste Export'!$A$2:$BZ$1001,$A519,col_days))))</f>
        <v/>
      </c>
      <c r="D519" s="24" t="str">
        <f>IF($A519&gt;nrows,"",IF(col_prompts=0,0,N(INDEX('Paste Export'!$A$2:$BZ$1001,$A519,col_prompts))))</f>
        <v/>
      </c>
      <c r="E519" s="24" t="str">
        <f>IF($A519&gt;nrows,"",IF(col_web=0,0,N(INDEX('Paste Export'!$A$2:$BZ$1001,$A519,col_web))))</f>
        <v/>
      </c>
      <c r="F519" s="26" t="str">
        <f t="shared" si="57"/>
        <v/>
      </c>
      <c r="G519" s="27" t="str">
        <f t="shared" si="58"/>
        <v/>
      </c>
      <c r="H519" s="24" t="str">
        <f>IF($A519&gt;nrows,"",IF(col_s1=0,0,--(LEN(INDEX('Paste Export'!$A$2:$BZ$1001,$A519,col_s1))&gt;0))+IF(col_s2=0,0,--(LEN(INDEX('Paste Export'!$A$2:$BZ$1001,$A519,col_s2))&gt;0))+IF(col_s3=0,0,--(LEN(INDEX('Paste Export'!$A$2:$BZ$1001,$A519,col_s3))&gt;0))+IF(col_s4=0,0,--(LEN(INDEX('Paste Export'!$A$2:$BZ$1001,$A519,col_s4))&gt;0))+IF(col_s5=0,0,--(LEN(INDEX('Paste Export'!$A$2:$BZ$1001,$A519,col_s5))&gt;0))+IF(col_s6=0,0,--(LEN(INDEX('Paste Export'!$A$2:$BZ$1001,$A519,col_s6))&gt;0))+IF(col_s7=0,0,--(LEN(INDEX('Paste Export'!$A$2:$BZ$1001,$A519,col_s7))&gt;0))+IF(col_s8=0,0,--(LEN(INDEX('Paste Export'!$A$2:$BZ$1001,$A519,col_s8))&gt;0)))</f>
        <v/>
      </c>
      <c r="I519" s="25" t="str">
        <f t="shared" si="59"/>
        <v/>
      </c>
      <c r="J519" s="25" t="str">
        <f t="shared" si="60"/>
        <v/>
      </c>
      <c r="K519" s="24" t="str">
        <f t="shared" si="61"/>
        <v/>
      </c>
      <c r="L519" s="24" t="str">
        <f t="shared" si="62"/>
        <v/>
      </c>
    </row>
    <row r="520" spans="1:12" x14ac:dyDescent="0.25">
      <c r="A520" s="24">
        <f t="shared" si="56"/>
        <v>519</v>
      </c>
      <c r="B520" s="25" t="str">
        <f>IF($A520&gt;nrows,"",IF(col_user=0,"",INDEX('Paste Export'!$A$2:$BZ$1001,$A520,col_user)))</f>
        <v/>
      </c>
      <c r="C520" s="24" t="str">
        <f>IF($A520&gt;nrows,"",IF(col_days=0,0,N(INDEX('Paste Export'!$A$2:$BZ$1001,$A520,col_days))))</f>
        <v/>
      </c>
      <c r="D520" s="24" t="str">
        <f>IF($A520&gt;nrows,"",IF(col_prompts=0,0,N(INDEX('Paste Export'!$A$2:$BZ$1001,$A520,col_prompts))))</f>
        <v/>
      </c>
      <c r="E520" s="24" t="str">
        <f>IF($A520&gt;nrows,"",IF(col_web=0,0,N(INDEX('Paste Export'!$A$2:$BZ$1001,$A520,col_web))))</f>
        <v/>
      </c>
      <c r="F520" s="26" t="str">
        <f t="shared" si="57"/>
        <v/>
      </c>
      <c r="G520" s="27" t="str">
        <f t="shared" si="58"/>
        <v/>
      </c>
      <c r="H520" s="24" t="str">
        <f>IF($A520&gt;nrows,"",IF(col_s1=0,0,--(LEN(INDEX('Paste Export'!$A$2:$BZ$1001,$A520,col_s1))&gt;0))+IF(col_s2=0,0,--(LEN(INDEX('Paste Export'!$A$2:$BZ$1001,$A520,col_s2))&gt;0))+IF(col_s3=0,0,--(LEN(INDEX('Paste Export'!$A$2:$BZ$1001,$A520,col_s3))&gt;0))+IF(col_s4=0,0,--(LEN(INDEX('Paste Export'!$A$2:$BZ$1001,$A520,col_s4))&gt;0))+IF(col_s5=0,0,--(LEN(INDEX('Paste Export'!$A$2:$BZ$1001,$A520,col_s5))&gt;0))+IF(col_s6=0,0,--(LEN(INDEX('Paste Export'!$A$2:$BZ$1001,$A520,col_s6))&gt;0))+IF(col_s7=0,0,--(LEN(INDEX('Paste Export'!$A$2:$BZ$1001,$A520,col_s7))&gt;0))+IF(col_s8=0,0,--(LEN(INDEX('Paste Export'!$A$2:$BZ$1001,$A520,col_s8))&gt;0)))</f>
        <v/>
      </c>
      <c r="I520" s="25" t="str">
        <f t="shared" si="59"/>
        <v/>
      </c>
      <c r="J520" s="25" t="str">
        <f t="shared" si="60"/>
        <v/>
      </c>
      <c r="K520" s="24" t="str">
        <f t="shared" si="61"/>
        <v/>
      </c>
      <c r="L520" s="24" t="str">
        <f t="shared" si="62"/>
        <v/>
      </c>
    </row>
    <row r="521" spans="1:12" x14ac:dyDescent="0.25">
      <c r="A521" s="24">
        <f t="shared" si="56"/>
        <v>520</v>
      </c>
      <c r="B521" s="25" t="str">
        <f>IF($A521&gt;nrows,"",IF(col_user=0,"",INDEX('Paste Export'!$A$2:$BZ$1001,$A521,col_user)))</f>
        <v/>
      </c>
      <c r="C521" s="24" t="str">
        <f>IF($A521&gt;nrows,"",IF(col_days=0,0,N(INDEX('Paste Export'!$A$2:$BZ$1001,$A521,col_days))))</f>
        <v/>
      </c>
      <c r="D521" s="24" t="str">
        <f>IF($A521&gt;nrows,"",IF(col_prompts=0,0,N(INDEX('Paste Export'!$A$2:$BZ$1001,$A521,col_prompts))))</f>
        <v/>
      </c>
      <c r="E521" s="24" t="str">
        <f>IF($A521&gt;nrows,"",IF(col_web=0,0,N(INDEX('Paste Export'!$A$2:$BZ$1001,$A521,col_web))))</f>
        <v/>
      </c>
      <c r="F521" s="26" t="str">
        <f t="shared" si="57"/>
        <v/>
      </c>
      <c r="G521" s="27" t="str">
        <f t="shared" si="58"/>
        <v/>
      </c>
      <c r="H521" s="24" t="str">
        <f>IF($A521&gt;nrows,"",IF(col_s1=0,0,--(LEN(INDEX('Paste Export'!$A$2:$BZ$1001,$A521,col_s1))&gt;0))+IF(col_s2=0,0,--(LEN(INDEX('Paste Export'!$A$2:$BZ$1001,$A521,col_s2))&gt;0))+IF(col_s3=0,0,--(LEN(INDEX('Paste Export'!$A$2:$BZ$1001,$A521,col_s3))&gt;0))+IF(col_s4=0,0,--(LEN(INDEX('Paste Export'!$A$2:$BZ$1001,$A521,col_s4))&gt;0))+IF(col_s5=0,0,--(LEN(INDEX('Paste Export'!$A$2:$BZ$1001,$A521,col_s5))&gt;0))+IF(col_s6=0,0,--(LEN(INDEX('Paste Export'!$A$2:$BZ$1001,$A521,col_s6))&gt;0))+IF(col_s7=0,0,--(LEN(INDEX('Paste Export'!$A$2:$BZ$1001,$A521,col_s7))&gt;0))+IF(col_s8=0,0,--(LEN(INDEX('Paste Export'!$A$2:$BZ$1001,$A521,col_s8))&gt;0)))</f>
        <v/>
      </c>
      <c r="I521" s="25" t="str">
        <f t="shared" si="59"/>
        <v/>
      </c>
      <c r="J521" s="25" t="str">
        <f t="shared" si="60"/>
        <v/>
      </c>
      <c r="K521" s="24" t="str">
        <f t="shared" si="61"/>
        <v/>
      </c>
      <c r="L521" s="24" t="str">
        <f t="shared" si="62"/>
        <v/>
      </c>
    </row>
    <row r="522" spans="1:12" x14ac:dyDescent="0.25">
      <c r="A522" s="24">
        <f t="shared" si="56"/>
        <v>521</v>
      </c>
      <c r="B522" s="25" t="str">
        <f>IF($A522&gt;nrows,"",IF(col_user=0,"",INDEX('Paste Export'!$A$2:$BZ$1001,$A522,col_user)))</f>
        <v/>
      </c>
      <c r="C522" s="24" t="str">
        <f>IF($A522&gt;nrows,"",IF(col_days=0,0,N(INDEX('Paste Export'!$A$2:$BZ$1001,$A522,col_days))))</f>
        <v/>
      </c>
      <c r="D522" s="24" t="str">
        <f>IF($A522&gt;nrows,"",IF(col_prompts=0,0,N(INDEX('Paste Export'!$A$2:$BZ$1001,$A522,col_prompts))))</f>
        <v/>
      </c>
      <c r="E522" s="24" t="str">
        <f>IF($A522&gt;nrows,"",IF(col_web=0,0,N(INDEX('Paste Export'!$A$2:$BZ$1001,$A522,col_web))))</f>
        <v/>
      </c>
      <c r="F522" s="26" t="str">
        <f t="shared" si="57"/>
        <v/>
      </c>
      <c r="G522" s="27" t="str">
        <f t="shared" si="58"/>
        <v/>
      </c>
      <c r="H522" s="24" t="str">
        <f>IF($A522&gt;nrows,"",IF(col_s1=0,0,--(LEN(INDEX('Paste Export'!$A$2:$BZ$1001,$A522,col_s1))&gt;0))+IF(col_s2=0,0,--(LEN(INDEX('Paste Export'!$A$2:$BZ$1001,$A522,col_s2))&gt;0))+IF(col_s3=0,0,--(LEN(INDEX('Paste Export'!$A$2:$BZ$1001,$A522,col_s3))&gt;0))+IF(col_s4=0,0,--(LEN(INDEX('Paste Export'!$A$2:$BZ$1001,$A522,col_s4))&gt;0))+IF(col_s5=0,0,--(LEN(INDEX('Paste Export'!$A$2:$BZ$1001,$A522,col_s5))&gt;0))+IF(col_s6=0,0,--(LEN(INDEX('Paste Export'!$A$2:$BZ$1001,$A522,col_s6))&gt;0))+IF(col_s7=0,0,--(LEN(INDEX('Paste Export'!$A$2:$BZ$1001,$A522,col_s7))&gt;0))+IF(col_s8=0,0,--(LEN(INDEX('Paste Export'!$A$2:$BZ$1001,$A522,col_s8))&gt;0)))</f>
        <v/>
      </c>
      <c r="I522" s="25" t="str">
        <f t="shared" si="59"/>
        <v/>
      </c>
      <c r="J522" s="25" t="str">
        <f t="shared" si="60"/>
        <v/>
      </c>
      <c r="K522" s="24" t="str">
        <f t="shared" si="61"/>
        <v/>
      </c>
      <c r="L522" s="24" t="str">
        <f t="shared" si="62"/>
        <v/>
      </c>
    </row>
    <row r="523" spans="1:12" x14ac:dyDescent="0.25">
      <c r="A523" s="24">
        <f t="shared" si="56"/>
        <v>522</v>
      </c>
      <c r="B523" s="25" t="str">
        <f>IF($A523&gt;nrows,"",IF(col_user=0,"",INDEX('Paste Export'!$A$2:$BZ$1001,$A523,col_user)))</f>
        <v/>
      </c>
      <c r="C523" s="24" t="str">
        <f>IF($A523&gt;nrows,"",IF(col_days=0,0,N(INDEX('Paste Export'!$A$2:$BZ$1001,$A523,col_days))))</f>
        <v/>
      </c>
      <c r="D523" s="24" t="str">
        <f>IF($A523&gt;nrows,"",IF(col_prompts=0,0,N(INDEX('Paste Export'!$A$2:$BZ$1001,$A523,col_prompts))))</f>
        <v/>
      </c>
      <c r="E523" s="24" t="str">
        <f>IF($A523&gt;nrows,"",IF(col_web=0,0,N(INDEX('Paste Export'!$A$2:$BZ$1001,$A523,col_web))))</f>
        <v/>
      </c>
      <c r="F523" s="26" t="str">
        <f t="shared" si="57"/>
        <v/>
      </c>
      <c r="G523" s="27" t="str">
        <f t="shared" si="58"/>
        <v/>
      </c>
      <c r="H523" s="24" t="str">
        <f>IF($A523&gt;nrows,"",IF(col_s1=0,0,--(LEN(INDEX('Paste Export'!$A$2:$BZ$1001,$A523,col_s1))&gt;0))+IF(col_s2=0,0,--(LEN(INDEX('Paste Export'!$A$2:$BZ$1001,$A523,col_s2))&gt;0))+IF(col_s3=0,0,--(LEN(INDEX('Paste Export'!$A$2:$BZ$1001,$A523,col_s3))&gt;0))+IF(col_s4=0,0,--(LEN(INDEX('Paste Export'!$A$2:$BZ$1001,$A523,col_s4))&gt;0))+IF(col_s5=0,0,--(LEN(INDEX('Paste Export'!$A$2:$BZ$1001,$A523,col_s5))&gt;0))+IF(col_s6=0,0,--(LEN(INDEX('Paste Export'!$A$2:$BZ$1001,$A523,col_s6))&gt;0))+IF(col_s7=0,0,--(LEN(INDEX('Paste Export'!$A$2:$BZ$1001,$A523,col_s7))&gt;0))+IF(col_s8=0,0,--(LEN(INDEX('Paste Export'!$A$2:$BZ$1001,$A523,col_s8))&gt;0)))</f>
        <v/>
      </c>
      <c r="I523" s="25" t="str">
        <f t="shared" si="59"/>
        <v/>
      </c>
      <c r="J523" s="25" t="str">
        <f t="shared" si="60"/>
        <v/>
      </c>
      <c r="K523" s="24" t="str">
        <f t="shared" si="61"/>
        <v/>
      </c>
      <c r="L523" s="24" t="str">
        <f t="shared" si="62"/>
        <v/>
      </c>
    </row>
    <row r="524" spans="1:12" x14ac:dyDescent="0.25">
      <c r="A524" s="24">
        <f t="shared" si="56"/>
        <v>523</v>
      </c>
      <c r="B524" s="25" t="str">
        <f>IF($A524&gt;nrows,"",IF(col_user=0,"",INDEX('Paste Export'!$A$2:$BZ$1001,$A524,col_user)))</f>
        <v/>
      </c>
      <c r="C524" s="24" t="str">
        <f>IF($A524&gt;nrows,"",IF(col_days=0,0,N(INDEX('Paste Export'!$A$2:$BZ$1001,$A524,col_days))))</f>
        <v/>
      </c>
      <c r="D524" s="24" t="str">
        <f>IF($A524&gt;nrows,"",IF(col_prompts=0,0,N(INDEX('Paste Export'!$A$2:$BZ$1001,$A524,col_prompts))))</f>
        <v/>
      </c>
      <c r="E524" s="24" t="str">
        <f>IF($A524&gt;nrows,"",IF(col_web=0,0,N(INDEX('Paste Export'!$A$2:$BZ$1001,$A524,col_web))))</f>
        <v/>
      </c>
      <c r="F524" s="26" t="str">
        <f t="shared" si="57"/>
        <v/>
      </c>
      <c r="G524" s="27" t="str">
        <f t="shared" si="58"/>
        <v/>
      </c>
      <c r="H524" s="24" t="str">
        <f>IF($A524&gt;nrows,"",IF(col_s1=0,0,--(LEN(INDEX('Paste Export'!$A$2:$BZ$1001,$A524,col_s1))&gt;0))+IF(col_s2=0,0,--(LEN(INDEX('Paste Export'!$A$2:$BZ$1001,$A524,col_s2))&gt;0))+IF(col_s3=0,0,--(LEN(INDEX('Paste Export'!$A$2:$BZ$1001,$A524,col_s3))&gt;0))+IF(col_s4=0,0,--(LEN(INDEX('Paste Export'!$A$2:$BZ$1001,$A524,col_s4))&gt;0))+IF(col_s5=0,0,--(LEN(INDEX('Paste Export'!$A$2:$BZ$1001,$A524,col_s5))&gt;0))+IF(col_s6=0,0,--(LEN(INDEX('Paste Export'!$A$2:$BZ$1001,$A524,col_s6))&gt;0))+IF(col_s7=0,0,--(LEN(INDEX('Paste Export'!$A$2:$BZ$1001,$A524,col_s7))&gt;0))+IF(col_s8=0,0,--(LEN(INDEX('Paste Export'!$A$2:$BZ$1001,$A524,col_s8))&gt;0)))</f>
        <v/>
      </c>
      <c r="I524" s="25" t="str">
        <f t="shared" si="59"/>
        <v/>
      </c>
      <c r="J524" s="25" t="str">
        <f t="shared" si="60"/>
        <v/>
      </c>
      <c r="K524" s="24" t="str">
        <f t="shared" si="61"/>
        <v/>
      </c>
      <c r="L524" s="24" t="str">
        <f t="shared" si="62"/>
        <v/>
      </c>
    </row>
    <row r="525" spans="1:12" x14ac:dyDescent="0.25">
      <c r="A525" s="24">
        <f t="shared" si="56"/>
        <v>524</v>
      </c>
      <c r="B525" s="25" t="str">
        <f>IF($A525&gt;nrows,"",IF(col_user=0,"",INDEX('Paste Export'!$A$2:$BZ$1001,$A525,col_user)))</f>
        <v/>
      </c>
      <c r="C525" s="24" t="str">
        <f>IF($A525&gt;nrows,"",IF(col_days=0,0,N(INDEX('Paste Export'!$A$2:$BZ$1001,$A525,col_days))))</f>
        <v/>
      </c>
      <c r="D525" s="24" t="str">
        <f>IF($A525&gt;nrows,"",IF(col_prompts=0,0,N(INDEX('Paste Export'!$A$2:$BZ$1001,$A525,col_prompts))))</f>
        <v/>
      </c>
      <c r="E525" s="24" t="str">
        <f>IF($A525&gt;nrows,"",IF(col_web=0,0,N(INDEX('Paste Export'!$A$2:$BZ$1001,$A525,col_web))))</f>
        <v/>
      </c>
      <c r="F525" s="26" t="str">
        <f t="shared" si="57"/>
        <v/>
      </c>
      <c r="G525" s="27" t="str">
        <f t="shared" si="58"/>
        <v/>
      </c>
      <c r="H525" s="24" t="str">
        <f>IF($A525&gt;nrows,"",IF(col_s1=0,0,--(LEN(INDEX('Paste Export'!$A$2:$BZ$1001,$A525,col_s1))&gt;0))+IF(col_s2=0,0,--(LEN(INDEX('Paste Export'!$A$2:$BZ$1001,$A525,col_s2))&gt;0))+IF(col_s3=0,0,--(LEN(INDEX('Paste Export'!$A$2:$BZ$1001,$A525,col_s3))&gt;0))+IF(col_s4=0,0,--(LEN(INDEX('Paste Export'!$A$2:$BZ$1001,$A525,col_s4))&gt;0))+IF(col_s5=0,0,--(LEN(INDEX('Paste Export'!$A$2:$BZ$1001,$A525,col_s5))&gt;0))+IF(col_s6=0,0,--(LEN(INDEX('Paste Export'!$A$2:$BZ$1001,$A525,col_s6))&gt;0))+IF(col_s7=0,0,--(LEN(INDEX('Paste Export'!$A$2:$BZ$1001,$A525,col_s7))&gt;0))+IF(col_s8=0,0,--(LEN(INDEX('Paste Export'!$A$2:$BZ$1001,$A525,col_s8))&gt;0)))</f>
        <v/>
      </c>
      <c r="I525" s="25" t="str">
        <f t="shared" si="59"/>
        <v/>
      </c>
      <c r="J525" s="25" t="str">
        <f t="shared" si="60"/>
        <v/>
      </c>
      <c r="K525" s="24" t="str">
        <f t="shared" si="61"/>
        <v/>
      </c>
      <c r="L525" s="24" t="str">
        <f t="shared" si="62"/>
        <v/>
      </c>
    </row>
    <row r="526" spans="1:12" x14ac:dyDescent="0.25">
      <c r="A526" s="24">
        <f t="shared" si="56"/>
        <v>525</v>
      </c>
      <c r="B526" s="25" t="str">
        <f>IF($A526&gt;nrows,"",IF(col_user=0,"",INDEX('Paste Export'!$A$2:$BZ$1001,$A526,col_user)))</f>
        <v/>
      </c>
      <c r="C526" s="24" t="str">
        <f>IF($A526&gt;nrows,"",IF(col_days=0,0,N(INDEX('Paste Export'!$A$2:$BZ$1001,$A526,col_days))))</f>
        <v/>
      </c>
      <c r="D526" s="24" t="str">
        <f>IF($A526&gt;nrows,"",IF(col_prompts=0,0,N(INDEX('Paste Export'!$A$2:$BZ$1001,$A526,col_prompts))))</f>
        <v/>
      </c>
      <c r="E526" s="24" t="str">
        <f>IF($A526&gt;nrows,"",IF(col_web=0,0,N(INDEX('Paste Export'!$A$2:$BZ$1001,$A526,col_web))))</f>
        <v/>
      </c>
      <c r="F526" s="26" t="str">
        <f t="shared" si="57"/>
        <v/>
      </c>
      <c r="G526" s="27" t="str">
        <f t="shared" si="58"/>
        <v/>
      </c>
      <c r="H526" s="24" t="str">
        <f>IF($A526&gt;nrows,"",IF(col_s1=0,0,--(LEN(INDEX('Paste Export'!$A$2:$BZ$1001,$A526,col_s1))&gt;0))+IF(col_s2=0,0,--(LEN(INDEX('Paste Export'!$A$2:$BZ$1001,$A526,col_s2))&gt;0))+IF(col_s3=0,0,--(LEN(INDEX('Paste Export'!$A$2:$BZ$1001,$A526,col_s3))&gt;0))+IF(col_s4=0,0,--(LEN(INDEX('Paste Export'!$A$2:$BZ$1001,$A526,col_s4))&gt;0))+IF(col_s5=0,0,--(LEN(INDEX('Paste Export'!$A$2:$BZ$1001,$A526,col_s5))&gt;0))+IF(col_s6=0,0,--(LEN(INDEX('Paste Export'!$A$2:$BZ$1001,$A526,col_s6))&gt;0))+IF(col_s7=0,0,--(LEN(INDEX('Paste Export'!$A$2:$BZ$1001,$A526,col_s7))&gt;0))+IF(col_s8=0,0,--(LEN(INDEX('Paste Export'!$A$2:$BZ$1001,$A526,col_s8))&gt;0)))</f>
        <v/>
      </c>
      <c r="I526" s="25" t="str">
        <f t="shared" si="59"/>
        <v/>
      </c>
      <c r="J526" s="25" t="str">
        <f t="shared" si="60"/>
        <v/>
      </c>
      <c r="K526" s="24" t="str">
        <f t="shared" si="61"/>
        <v/>
      </c>
      <c r="L526" s="24" t="str">
        <f t="shared" si="62"/>
        <v/>
      </c>
    </row>
    <row r="527" spans="1:12" x14ac:dyDescent="0.25">
      <c r="A527" s="24">
        <f t="shared" si="56"/>
        <v>526</v>
      </c>
      <c r="B527" s="25" t="str">
        <f>IF($A527&gt;nrows,"",IF(col_user=0,"",INDEX('Paste Export'!$A$2:$BZ$1001,$A527,col_user)))</f>
        <v/>
      </c>
      <c r="C527" s="24" t="str">
        <f>IF($A527&gt;nrows,"",IF(col_days=0,0,N(INDEX('Paste Export'!$A$2:$BZ$1001,$A527,col_days))))</f>
        <v/>
      </c>
      <c r="D527" s="24" t="str">
        <f>IF($A527&gt;nrows,"",IF(col_prompts=0,0,N(INDEX('Paste Export'!$A$2:$BZ$1001,$A527,col_prompts))))</f>
        <v/>
      </c>
      <c r="E527" s="24" t="str">
        <f>IF($A527&gt;nrows,"",IF(col_web=0,0,N(INDEX('Paste Export'!$A$2:$BZ$1001,$A527,col_web))))</f>
        <v/>
      </c>
      <c r="F527" s="26" t="str">
        <f t="shared" si="57"/>
        <v/>
      </c>
      <c r="G527" s="27" t="str">
        <f t="shared" si="58"/>
        <v/>
      </c>
      <c r="H527" s="24" t="str">
        <f>IF($A527&gt;nrows,"",IF(col_s1=0,0,--(LEN(INDEX('Paste Export'!$A$2:$BZ$1001,$A527,col_s1))&gt;0))+IF(col_s2=0,0,--(LEN(INDEX('Paste Export'!$A$2:$BZ$1001,$A527,col_s2))&gt;0))+IF(col_s3=0,0,--(LEN(INDEX('Paste Export'!$A$2:$BZ$1001,$A527,col_s3))&gt;0))+IF(col_s4=0,0,--(LEN(INDEX('Paste Export'!$A$2:$BZ$1001,$A527,col_s4))&gt;0))+IF(col_s5=0,0,--(LEN(INDEX('Paste Export'!$A$2:$BZ$1001,$A527,col_s5))&gt;0))+IF(col_s6=0,0,--(LEN(INDEX('Paste Export'!$A$2:$BZ$1001,$A527,col_s6))&gt;0))+IF(col_s7=0,0,--(LEN(INDEX('Paste Export'!$A$2:$BZ$1001,$A527,col_s7))&gt;0))+IF(col_s8=0,0,--(LEN(INDEX('Paste Export'!$A$2:$BZ$1001,$A527,col_s8))&gt;0)))</f>
        <v/>
      </c>
      <c r="I527" s="25" t="str">
        <f t="shared" si="59"/>
        <v/>
      </c>
      <c r="J527" s="25" t="str">
        <f t="shared" si="60"/>
        <v/>
      </c>
      <c r="K527" s="24" t="str">
        <f t="shared" si="61"/>
        <v/>
      </c>
      <c r="L527" s="24" t="str">
        <f t="shared" si="62"/>
        <v/>
      </c>
    </row>
    <row r="528" spans="1:12" x14ac:dyDescent="0.25">
      <c r="A528" s="24">
        <f t="shared" si="56"/>
        <v>527</v>
      </c>
      <c r="B528" s="25" t="str">
        <f>IF($A528&gt;nrows,"",IF(col_user=0,"",INDEX('Paste Export'!$A$2:$BZ$1001,$A528,col_user)))</f>
        <v/>
      </c>
      <c r="C528" s="24" t="str">
        <f>IF($A528&gt;nrows,"",IF(col_days=0,0,N(INDEX('Paste Export'!$A$2:$BZ$1001,$A528,col_days))))</f>
        <v/>
      </c>
      <c r="D528" s="24" t="str">
        <f>IF($A528&gt;nrows,"",IF(col_prompts=0,0,N(INDEX('Paste Export'!$A$2:$BZ$1001,$A528,col_prompts))))</f>
        <v/>
      </c>
      <c r="E528" s="24" t="str">
        <f>IF($A528&gt;nrows,"",IF(col_web=0,0,N(INDEX('Paste Export'!$A$2:$BZ$1001,$A528,col_web))))</f>
        <v/>
      </c>
      <c r="F528" s="26" t="str">
        <f t="shared" si="57"/>
        <v/>
      </c>
      <c r="G528" s="27" t="str">
        <f t="shared" si="58"/>
        <v/>
      </c>
      <c r="H528" s="24" t="str">
        <f>IF($A528&gt;nrows,"",IF(col_s1=0,0,--(LEN(INDEX('Paste Export'!$A$2:$BZ$1001,$A528,col_s1))&gt;0))+IF(col_s2=0,0,--(LEN(INDEX('Paste Export'!$A$2:$BZ$1001,$A528,col_s2))&gt;0))+IF(col_s3=0,0,--(LEN(INDEX('Paste Export'!$A$2:$BZ$1001,$A528,col_s3))&gt;0))+IF(col_s4=0,0,--(LEN(INDEX('Paste Export'!$A$2:$BZ$1001,$A528,col_s4))&gt;0))+IF(col_s5=0,0,--(LEN(INDEX('Paste Export'!$A$2:$BZ$1001,$A528,col_s5))&gt;0))+IF(col_s6=0,0,--(LEN(INDEX('Paste Export'!$A$2:$BZ$1001,$A528,col_s6))&gt;0))+IF(col_s7=0,0,--(LEN(INDEX('Paste Export'!$A$2:$BZ$1001,$A528,col_s7))&gt;0))+IF(col_s8=0,0,--(LEN(INDEX('Paste Export'!$A$2:$BZ$1001,$A528,col_s8))&gt;0)))</f>
        <v/>
      </c>
      <c r="I528" s="25" t="str">
        <f t="shared" si="59"/>
        <v/>
      </c>
      <c r="J528" s="25" t="str">
        <f t="shared" si="60"/>
        <v/>
      </c>
      <c r="K528" s="24" t="str">
        <f t="shared" si="61"/>
        <v/>
      </c>
      <c r="L528" s="24" t="str">
        <f t="shared" si="62"/>
        <v/>
      </c>
    </row>
    <row r="529" spans="1:12" x14ac:dyDescent="0.25">
      <c r="A529" s="24">
        <f t="shared" si="56"/>
        <v>528</v>
      </c>
      <c r="B529" s="25" t="str">
        <f>IF($A529&gt;nrows,"",IF(col_user=0,"",INDEX('Paste Export'!$A$2:$BZ$1001,$A529,col_user)))</f>
        <v/>
      </c>
      <c r="C529" s="24" t="str">
        <f>IF($A529&gt;nrows,"",IF(col_days=0,0,N(INDEX('Paste Export'!$A$2:$BZ$1001,$A529,col_days))))</f>
        <v/>
      </c>
      <c r="D529" s="24" t="str">
        <f>IF($A529&gt;nrows,"",IF(col_prompts=0,0,N(INDEX('Paste Export'!$A$2:$BZ$1001,$A529,col_prompts))))</f>
        <v/>
      </c>
      <c r="E529" s="24" t="str">
        <f>IF($A529&gt;nrows,"",IF(col_web=0,0,N(INDEX('Paste Export'!$A$2:$BZ$1001,$A529,col_web))))</f>
        <v/>
      </c>
      <c r="F529" s="26" t="str">
        <f t="shared" si="57"/>
        <v/>
      </c>
      <c r="G529" s="27" t="str">
        <f t="shared" si="58"/>
        <v/>
      </c>
      <c r="H529" s="24" t="str">
        <f>IF($A529&gt;nrows,"",IF(col_s1=0,0,--(LEN(INDEX('Paste Export'!$A$2:$BZ$1001,$A529,col_s1))&gt;0))+IF(col_s2=0,0,--(LEN(INDEX('Paste Export'!$A$2:$BZ$1001,$A529,col_s2))&gt;0))+IF(col_s3=0,0,--(LEN(INDEX('Paste Export'!$A$2:$BZ$1001,$A529,col_s3))&gt;0))+IF(col_s4=0,0,--(LEN(INDEX('Paste Export'!$A$2:$BZ$1001,$A529,col_s4))&gt;0))+IF(col_s5=0,0,--(LEN(INDEX('Paste Export'!$A$2:$BZ$1001,$A529,col_s5))&gt;0))+IF(col_s6=0,0,--(LEN(INDEX('Paste Export'!$A$2:$BZ$1001,$A529,col_s6))&gt;0))+IF(col_s7=0,0,--(LEN(INDEX('Paste Export'!$A$2:$BZ$1001,$A529,col_s7))&gt;0))+IF(col_s8=0,0,--(LEN(INDEX('Paste Export'!$A$2:$BZ$1001,$A529,col_s8))&gt;0)))</f>
        <v/>
      </c>
      <c r="I529" s="25" t="str">
        <f t="shared" si="59"/>
        <v/>
      </c>
      <c r="J529" s="25" t="str">
        <f t="shared" si="60"/>
        <v/>
      </c>
      <c r="K529" s="24" t="str">
        <f t="shared" si="61"/>
        <v/>
      </c>
      <c r="L529" s="24" t="str">
        <f t="shared" si="62"/>
        <v/>
      </c>
    </row>
    <row r="530" spans="1:12" x14ac:dyDescent="0.25">
      <c r="A530" s="24">
        <f t="shared" si="56"/>
        <v>529</v>
      </c>
      <c r="B530" s="25" t="str">
        <f>IF($A530&gt;nrows,"",IF(col_user=0,"",INDEX('Paste Export'!$A$2:$BZ$1001,$A530,col_user)))</f>
        <v/>
      </c>
      <c r="C530" s="24" t="str">
        <f>IF($A530&gt;nrows,"",IF(col_days=0,0,N(INDEX('Paste Export'!$A$2:$BZ$1001,$A530,col_days))))</f>
        <v/>
      </c>
      <c r="D530" s="24" t="str">
        <f>IF($A530&gt;nrows,"",IF(col_prompts=0,0,N(INDEX('Paste Export'!$A$2:$BZ$1001,$A530,col_prompts))))</f>
        <v/>
      </c>
      <c r="E530" s="24" t="str">
        <f>IF($A530&gt;nrows,"",IF(col_web=0,0,N(INDEX('Paste Export'!$A$2:$BZ$1001,$A530,col_web))))</f>
        <v/>
      </c>
      <c r="F530" s="26" t="str">
        <f t="shared" si="57"/>
        <v/>
      </c>
      <c r="G530" s="27" t="str">
        <f t="shared" si="58"/>
        <v/>
      </c>
      <c r="H530" s="24" t="str">
        <f>IF($A530&gt;nrows,"",IF(col_s1=0,0,--(LEN(INDEX('Paste Export'!$A$2:$BZ$1001,$A530,col_s1))&gt;0))+IF(col_s2=0,0,--(LEN(INDEX('Paste Export'!$A$2:$BZ$1001,$A530,col_s2))&gt;0))+IF(col_s3=0,0,--(LEN(INDEX('Paste Export'!$A$2:$BZ$1001,$A530,col_s3))&gt;0))+IF(col_s4=0,0,--(LEN(INDEX('Paste Export'!$A$2:$BZ$1001,$A530,col_s4))&gt;0))+IF(col_s5=0,0,--(LEN(INDEX('Paste Export'!$A$2:$BZ$1001,$A530,col_s5))&gt;0))+IF(col_s6=0,0,--(LEN(INDEX('Paste Export'!$A$2:$BZ$1001,$A530,col_s6))&gt;0))+IF(col_s7=0,0,--(LEN(INDEX('Paste Export'!$A$2:$BZ$1001,$A530,col_s7))&gt;0))+IF(col_s8=0,0,--(LEN(INDEX('Paste Export'!$A$2:$BZ$1001,$A530,col_s8))&gt;0)))</f>
        <v/>
      </c>
      <c r="I530" s="25" t="str">
        <f t="shared" si="59"/>
        <v/>
      </c>
      <c r="J530" s="25" t="str">
        <f t="shared" si="60"/>
        <v/>
      </c>
      <c r="K530" s="24" t="str">
        <f t="shared" si="61"/>
        <v/>
      </c>
      <c r="L530" s="24" t="str">
        <f t="shared" si="62"/>
        <v/>
      </c>
    </row>
    <row r="531" spans="1:12" x14ac:dyDescent="0.25">
      <c r="A531" s="24">
        <f t="shared" si="56"/>
        <v>530</v>
      </c>
      <c r="B531" s="25" t="str">
        <f>IF($A531&gt;nrows,"",IF(col_user=0,"",INDEX('Paste Export'!$A$2:$BZ$1001,$A531,col_user)))</f>
        <v/>
      </c>
      <c r="C531" s="24" t="str">
        <f>IF($A531&gt;nrows,"",IF(col_days=0,0,N(INDEX('Paste Export'!$A$2:$BZ$1001,$A531,col_days))))</f>
        <v/>
      </c>
      <c r="D531" s="24" t="str">
        <f>IF($A531&gt;nrows,"",IF(col_prompts=0,0,N(INDEX('Paste Export'!$A$2:$BZ$1001,$A531,col_prompts))))</f>
        <v/>
      </c>
      <c r="E531" s="24" t="str">
        <f>IF($A531&gt;nrows,"",IF(col_web=0,0,N(INDEX('Paste Export'!$A$2:$BZ$1001,$A531,col_web))))</f>
        <v/>
      </c>
      <c r="F531" s="26" t="str">
        <f t="shared" si="57"/>
        <v/>
      </c>
      <c r="G531" s="27" t="str">
        <f t="shared" si="58"/>
        <v/>
      </c>
      <c r="H531" s="24" t="str">
        <f>IF($A531&gt;nrows,"",IF(col_s1=0,0,--(LEN(INDEX('Paste Export'!$A$2:$BZ$1001,$A531,col_s1))&gt;0))+IF(col_s2=0,0,--(LEN(INDEX('Paste Export'!$A$2:$BZ$1001,$A531,col_s2))&gt;0))+IF(col_s3=0,0,--(LEN(INDEX('Paste Export'!$A$2:$BZ$1001,$A531,col_s3))&gt;0))+IF(col_s4=0,0,--(LEN(INDEX('Paste Export'!$A$2:$BZ$1001,$A531,col_s4))&gt;0))+IF(col_s5=0,0,--(LEN(INDEX('Paste Export'!$A$2:$BZ$1001,$A531,col_s5))&gt;0))+IF(col_s6=0,0,--(LEN(INDEX('Paste Export'!$A$2:$BZ$1001,$A531,col_s6))&gt;0))+IF(col_s7=0,0,--(LEN(INDEX('Paste Export'!$A$2:$BZ$1001,$A531,col_s7))&gt;0))+IF(col_s8=0,0,--(LEN(INDEX('Paste Export'!$A$2:$BZ$1001,$A531,col_s8))&gt;0)))</f>
        <v/>
      </c>
      <c r="I531" s="25" t="str">
        <f t="shared" si="59"/>
        <v/>
      </c>
      <c r="J531" s="25" t="str">
        <f t="shared" si="60"/>
        <v/>
      </c>
      <c r="K531" s="24" t="str">
        <f t="shared" si="61"/>
        <v/>
      </c>
      <c r="L531" s="24" t="str">
        <f t="shared" si="62"/>
        <v/>
      </c>
    </row>
    <row r="532" spans="1:12" x14ac:dyDescent="0.25">
      <c r="A532" s="24">
        <f t="shared" si="56"/>
        <v>531</v>
      </c>
      <c r="B532" s="25" t="str">
        <f>IF($A532&gt;nrows,"",IF(col_user=0,"",INDEX('Paste Export'!$A$2:$BZ$1001,$A532,col_user)))</f>
        <v/>
      </c>
      <c r="C532" s="24" t="str">
        <f>IF($A532&gt;nrows,"",IF(col_days=0,0,N(INDEX('Paste Export'!$A$2:$BZ$1001,$A532,col_days))))</f>
        <v/>
      </c>
      <c r="D532" s="24" t="str">
        <f>IF($A532&gt;nrows,"",IF(col_prompts=0,0,N(INDEX('Paste Export'!$A$2:$BZ$1001,$A532,col_prompts))))</f>
        <v/>
      </c>
      <c r="E532" s="24" t="str">
        <f>IF($A532&gt;nrows,"",IF(col_web=0,0,N(INDEX('Paste Export'!$A$2:$BZ$1001,$A532,col_web))))</f>
        <v/>
      </c>
      <c r="F532" s="26" t="str">
        <f t="shared" si="57"/>
        <v/>
      </c>
      <c r="G532" s="27" t="str">
        <f t="shared" si="58"/>
        <v/>
      </c>
      <c r="H532" s="24" t="str">
        <f>IF($A532&gt;nrows,"",IF(col_s1=0,0,--(LEN(INDEX('Paste Export'!$A$2:$BZ$1001,$A532,col_s1))&gt;0))+IF(col_s2=0,0,--(LEN(INDEX('Paste Export'!$A$2:$BZ$1001,$A532,col_s2))&gt;0))+IF(col_s3=0,0,--(LEN(INDEX('Paste Export'!$A$2:$BZ$1001,$A532,col_s3))&gt;0))+IF(col_s4=0,0,--(LEN(INDEX('Paste Export'!$A$2:$BZ$1001,$A532,col_s4))&gt;0))+IF(col_s5=0,0,--(LEN(INDEX('Paste Export'!$A$2:$BZ$1001,$A532,col_s5))&gt;0))+IF(col_s6=0,0,--(LEN(INDEX('Paste Export'!$A$2:$BZ$1001,$A532,col_s6))&gt;0))+IF(col_s7=0,0,--(LEN(INDEX('Paste Export'!$A$2:$BZ$1001,$A532,col_s7))&gt;0))+IF(col_s8=0,0,--(LEN(INDEX('Paste Export'!$A$2:$BZ$1001,$A532,col_s8))&gt;0)))</f>
        <v/>
      </c>
      <c r="I532" s="25" t="str">
        <f t="shared" si="59"/>
        <v/>
      </c>
      <c r="J532" s="25" t="str">
        <f t="shared" si="60"/>
        <v/>
      </c>
      <c r="K532" s="24" t="str">
        <f t="shared" si="61"/>
        <v/>
      </c>
      <c r="L532" s="24" t="str">
        <f t="shared" si="62"/>
        <v/>
      </c>
    </row>
    <row r="533" spans="1:12" x14ac:dyDescent="0.25">
      <c r="A533" s="24">
        <f t="shared" si="56"/>
        <v>532</v>
      </c>
      <c r="B533" s="25" t="str">
        <f>IF($A533&gt;nrows,"",IF(col_user=0,"",INDEX('Paste Export'!$A$2:$BZ$1001,$A533,col_user)))</f>
        <v/>
      </c>
      <c r="C533" s="24" t="str">
        <f>IF($A533&gt;nrows,"",IF(col_days=0,0,N(INDEX('Paste Export'!$A$2:$BZ$1001,$A533,col_days))))</f>
        <v/>
      </c>
      <c r="D533" s="24" t="str">
        <f>IF($A533&gt;nrows,"",IF(col_prompts=0,0,N(INDEX('Paste Export'!$A$2:$BZ$1001,$A533,col_prompts))))</f>
        <v/>
      </c>
      <c r="E533" s="24" t="str">
        <f>IF($A533&gt;nrows,"",IF(col_web=0,0,N(INDEX('Paste Export'!$A$2:$BZ$1001,$A533,col_web))))</f>
        <v/>
      </c>
      <c r="F533" s="26" t="str">
        <f t="shared" si="57"/>
        <v/>
      </c>
      <c r="G533" s="27" t="str">
        <f t="shared" si="58"/>
        <v/>
      </c>
      <c r="H533" s="24" t="str">
        <f>IF($A533&gt;nrows,"",IF(col_s1=0,0,--(LEN(INDEX('Paste Export'!$A$2:$BZ$1001,$A533,col_s1))&gt;0))+IF(col_s2=0,0,--(LEN(INDEX('Paste Export'!$A$2:$BZ$1001,$A533,col_s2))&gt;0))+IF(col_s3=0,0,--(LEN(INDEX('Paste Export'!$A$2:$BZ$1001,$A533,col_s3))&gt;0))+IF(col_s4=0,0,--(LEN(INDEX('Paste Export'!$A$2:$BZ$1001,$A533,col_s4))&gt;0))+IF(col_s5=0,0,--(LEN(INDEX('Paste Export'!$A$2:$BZ$1001,$A533,col_s5))&gt;0))+IF(col_s6=0,0,--(LEN(INDEX('Paste Export'!$A$2:$BZ$1001,$A533,col_s6))&gt;0))+IF(col_s7=0,0,--(LEN(INDEX('Paste Export'!$A$2:$BZ$1001,$A533,col_s7))&gt;0))+IF(col_s8=0,0,--(LEN(INDEX('Paste Export'!$A$2:$BZ$1001,$A533,col_s8))&gt;0)))</f>
        <v/>
      </c>
      <c r="I533" s="25" t="str">
        <f t="shared" si="59"/>
        <v/>
      </c>
      <c r="J533" s="25" t="str">
        <f t="shared" si="60"/>
        <v/>
      </c>
      <c r="K533" s="24" t="str">
        <f t="shared" si="61"/>
        <v/>
      </c>
      <c r="L533" s="24" t="str">
        <f t="shared" si="62"/>
        <v/>
      </c>
    </row>
    <row r="534" spans="1:12" x14ac:dyDescent="0.25">
      <c r="A534" s="24">
        <f t="shared" si="56"/>
        <v>533</v>
      </c>
      <c r="B534" s="25" t="str">
        <f>IF($A534&gt;nrows,"",IF(col_user=0,"",INDEX('Paste Export'!$A$2:$BZ$1001,$A534,col_user)))</f>
        <v/>
      </c>
      <c r="C534" s="24" t="str">
        <f>IF($A534&gt;nrows,"",IF(col_days=0,0,N(INDEX('Paste Export'!$A$2:$BZ$1001,$A534,col_days))))</f>
        <v/>
      </c>
      <c r="D534" s="24" t="str">
        <f>IF($A534&gt;nrows,"",IF(col_prompts=0,0,N(INDEX('Paste Export'!$A$2:$BZ$1001,$A534,col_prompts))))</f>
        <v/>
      </c>
      <c r="E534" s="24" t="str">
        <f>IF($A534&gt;nrows,"",IF(col_web=0,0,N(INDEX('Paste Export'!$A$2:$BZ$1001,$A534,col_web))))</f>
        <v/>
      </c>
      <c r="F534" s="26" t="str">
        <f t="shared" si="57"/>
        <v/>
      </c>
      <c r="G534" s="27" t="str">
        <f t="shared" si="58"/>
        <v/>
      </c>
      <c r="H534" s="24" t="str">
        <f>IF($A534&gt;nrows,"",IF(col_s1=0,0,--(LEN(INDEX('Paste Export'!$A$2:$BZ$1001,$A534,col_s1))&gt;0))+IF(col_s2=0,0,--(LEN(INDEX('Paste Export'!$A$2:$BZ$1001,$A534,col_s2))&gt;0))+IF(col_s3=0,0,--(LEN(INDEX('Paste Export'!$A$2:$BZ$1001,$A534,col_s3))&gt;0))+IF(col_s4=0,0,--(LEN(INDEX('Paste Export'!$A$2:$BZ$1001,$A534,col_s4))&gt;0))+IF(col_s5=0,0,--(LEN(INDEX('Paste Export'!$A$2:$BZ$1001,$A534,col_s5))&gt;0))+IF(col_s6=0,0,--(LEN(INDEX('Paste Export'!$A$2:$BZ$1001,$A534,col_s6))&gt;0))+IF(col_s7=0,0,--(LEN(INDEX('Paste Export'!$A$2:$BZ$1001,$A534,col_s7))&gt;0))+IF(col_s8=0,0,--(LEN(INDEX('Paste Export'!$A$2:$BZ$1001,$A534,col_s8))&gt;0)))</f>
        <v/>
      </c>
      <c r="I534" s="25" t="str">
        <f t="shared" si="59"/>
        <v/>
      </c>
      <c r="J534" s="25" t="str">
        <f t="shared" si="60"/>
        <v/>
      </c>
      <c r="K534" s="24" t="str">
        <f t="shared" si="61"/>
        <v/>
      </c>
      <c r="L534" s="24" t="str">
        <f t="shared" si="62"/>
        <v/>
      </c>
    </row>
    <row r="535" spans="1:12" x14ac:dyDescent="0.25">
      <c r="A535" s="24">
        <f t="shared" si="56"/>
        <v>534</v>
      </c>
      <c r="B535" s="25" t="str">
        <f>IF($A535&gt;nrows,"",IF(col_user=0,"",INDEX('Paste Export'!$A$2:$BZ$1001,$A535,col_user)))</f>
        <v/>
      </c>
      <c r="C535" s="24" t="str">
        <f>IF($A535&gt;nrows,"",IF(col_days=0,0,N(INDEX('Paste Export'!$A$2:$BZ$1001,$A535,col_days))))</f>
        <v/>
      </c>
      <c r="D535" s="24" t="str">
        <f>IF($A535&gt;nrows,"",IF(col_prompts=0,0,N(INDEX('Paste Export'!$A$2:$BZ$1001,$A535,col_prompts))))</f>
        <v/>
      </c>
      <c r="E535" s="24" t="str">
        <f>IF($A535&gt;nrows,"",IF(col_web=0,0,N(INDEX('Paste Export'!$A$2:$BZ$1001,$A535,col_web))))</f>
        <v/>
      </c>
      <c r="F535" s="26" t="str">
        <f t="shared" si="57"/>
        <v/>
      </c>
      <c r="G535" s="27" t="str">
        <f t="shared" si="58"/>
        <v/>
      </c>
      <c r="H535" s="24" t="str">
        <f>IF($A535&gt;nrows,"",IF(col_s1=0,0,--(LEN(INDEX('Paste Export'!$A$2:$BZ$1001,$A535,col_s1))&gt;0))+IF(col_s2=0,0,--(LEN(INDEX('Paste Export'!$A$2:$BZ$1001,$A535,col_s2))&gt;0))+IF(col_s3=0,0,--(LEN(INDEX('Paste Export'!$A$2:$BZ$1001,$A535,col_s3))&gt;0))+IF(col_s4=0,0,--(LEN(INDEX('Paste Export'!$A$2:$BZ$1001,$A535,col_s4))&gt;0))+IF(col_s5=0,0,--(LEN(INDEX('Paste Export'!$A$2:$BZ$1001,$A535,col_s5))&gt;0))+IF(col_s6=0,0,--(LEN(INDEX('Paste Export'!$A$2:$BZ$1001,$A535,col_s6))&gt;0))+IF(col_s7=0,0,--(LEN(INDEX('Paste Export'!$A$2:$BZ$1001,$A535,col_s7))&gt;0))+IF(col_s8=0,0,--(LEN(INDEX('Paste Export'!$A$2:$BZ$1001,$A535,col_s8))&gt;0)))</f>
        <v/>
      </c>
      <c r="I535" s="25" t="str">
        <f t="shared" si="59"/>
        <v/>
      </c>
      <c r="J535" s="25" t="str">
        <f t="shared" si="60"/>
        <v/>
      </c>
      <c r="K535" s="24" t="str">
        <f t="shared" si="61"/>
        <v/>
      </c>
      <c r="L535" s="24" t="str">
        <f t="shared" si="62"/>
        <v/>
      </c>
    </row>
    <row r="536" spans="1:12" x14ac:dyDescent="0.25">
      <c r="A536" s="24">
        <f t="shared" si="56"/>
        <v>535</v>
      </c>
      <c r="B536" s="25" t="str">
        <f>IF($A536&gt;nrows,"",IF(col_user=0,"",INDEX('Paste Export'!$A$2:$BZ$1001,$A536,col_user)))</f>
        <v/>
      </c>
      <c r="C536" s="24" t="str">
        <f>IF($A536&gt;nrows,"",IF(col_days=0,0,N(INDEX('Paste Export'!$A$2:$BZ$1001,$A536,col_days))))</f>
        <v/>
      </c>
      <c r="D536" s="24" t="str">
        <f>IF($A536&gt;nrows,"",IF(col_prompts=0,0,N(INDEX('Paste Export'!$A$2:$BZ$1001,$A536,col_prompts))))</f>
        <v/>
      </c>
      <c r="E536" s="24" t="str">
        <f>IF($A536&gt;nrows,"",IF(col_web=0,0,N(INDEX('Paste Export'!$A$2:$BZ$1001,$A536,col_web))))</f>
        <v/>
      </c>
      <c r="F536" s="26" t="str">
        <f t="shared" si="57"/>
        <v/>
      </c>
      <c r="G536" s="27" t="str">
        <f t="shared" si="58"/>
        <v/>
      </c>
      <c r="H536" s="24" t="str">
        <f>IF($A536&gt;nrows,"",IF(col_s1=0,0,--(LEN(INDEX('Paste Export'!$A$2:$BZ$1001,$A536,col_s1))&gt;0))+IF(col_s2=0,0,--(LEN(INDEX('Paste Export'!$A$2:$BZ$1001,$A536,col_s2))&gt;0))+IF(col_s3=0,0,--(LEN(INDEX('Paste Export'!$A$2:$BZ$1001,$A536,col_s3))&gt;0))+IF(col_s4=0,0,--(LEN(INDEX('Paste Export'!$A$2:$BZ$1001,$A536,col_s4))&gt;0))+IF(col_s5=0,0,--(LEN(INDEX('Paste Export'!$A$2:$BZ$1001,$A536,col_s5))&gt;0))+IF(col_s6=0,0,--(LEN(INDEX('Paste Export'!$A$2:$BZ$1001,$A536,col_s6))&gt;0))+IF(col_s7=0,0,--(LEN(INDEX('Paste Export'!$A$2:$BZ$1001,$A536,col_s7))&gt;0))+IF(col_s8=0,0,--(LEN(INDEX('Paste Export'!$A$2:$BZ$1001,$A536,col_s8))&gt;0)))</f>
        <v/>
      </c>
      <c r="I536" s="25" t="str">
        <f t="shared" si="59"/>
        <v/>
      </c>
      <c r="J536" s="25" t="str">
        <f t="shared" si="60"/>
        <v/>
      </c>
      <c r="K536" s="24" t="str">
        <f t="shared" si="61"/>
        <v/>
      </c>
      <c r="L536" s="24" t="str">
        <f t="shared" si="62"/>
        <v/>
      </c>
    </row>
    <row r="537" spans="1:12" x14ac:dyDescent="0.25">
      <c r="A537" s="24">
        <f t="shared" si="56"/>
        <v>536</v>
      </c>
      <c r="B537" s="25" t="str">
        <f>IF($A537&gt;nrows,"",IF(col_user=0,"",INDEX('Paste Export'!$A$2:$BZ$1001,$A537,col_user)))</f>
        <v/>
      </c>
      <c r="C537" s="24" t="str">
        <f>IF($A537&gt;nrows,"",IF(col_days=0,0,N(INDEX('Paste Export'!$A$2:$BZ$1001,$A537,col_days))))</f>
        <v/>
      </c>
      <c r="D537" s="24" t="str">
        <f>IF($A537&gt;nrows,"",IF(col_prompts=0,0,N(INDEX('Paste Export'!$A$2:$BZ$1001,$A537,col_prompts))))</f>
        <v/>
      </c>
      <c r="E537" s="24" t="str">
        <f>IF($A537&gt;nrows,"",IF(col_web=0,0,N(INDEX('Paste Export'!$A$2:$BZ$1001,$A537,col_web))))</f>
        <v/>
      </c>
      <c r="F537" s="26" t="str">
        <f t="shared" si="57"/>
        <v/>
      </c>
      <c r="G537" s="27" t="str">
        <f t="shared" si="58"/>
        <v/>
      </c>
      <c r="H537" s="24" t="str">
        <f>IF($A537&gt;nrows,"",IF(col_s1=0,0,--(LEN(INDEX('Paste Export'!$A$2:$BZ$1001,$A537,col_s1))&gt;0))+IF(col_s2=0,0,--(LEN(INDEX('Paste Export'!$A$2:$BZ$1001,$A537,col_s2))&gt;0))+IF(col_s3=0,0,--(LEN(INDEX('Paste Export'!$A$2:$BZ$1001,$A537,col_s3))&gt;0))+IF(col_s4=0,0,--(LEN(INDEX('Paste Export'!$A$2:$BZ$1001,$A537,col_s4))&gt;0))+IF(col_s5=0,0,--(LEN(INDEX('Paste Export'!$A$2:$BZ$1001,$A537,col_s5))&gt;0))+IF(col_s6=0,0,--(LEN(INDEX('Paste Export'!$A$2:$BZ$1001,$A537,col_s6))&gt;0))+IF(col_s7=0,0,--(LEN(INDEX('Paste Export'!$A$2:$BZ$1001,$A537,col_s7))&gt;0))+IF(col_s8=0,0,--(LEN(INDEX('Paste Export'!$A$2:$BZ$1001,$A537,col_s8))&gt;0)))</f>
        <v/>
      </c>
      <c r="I537" s="25" t="str">
        <f t="shared" si="59"/>
        <v/>
      </c>
      <c r="J537" s="25" t="str">
        <f t="shared" si="60"/>
        <v/>
      </c>
      <c r="K537" s="24" t="str">
        <f t="shared" si="61"/>
        <v/>
      </c>
      <c r="L537" s="24" t="str">
        <f t="shared" si="62"/>
        <v/>
      </c>
    </row>
    <row r="538" spans="1:12" x14ac:dyDescent="0.25">
      <c r="A538" s="24">
        <f t="shared" si="56"/>
        <v>537</v>
      </c>
      <c r="B538" s="25" t="str">
        <f>IF($A538&gt;nrows,"",IF(col_user=0,"",INDEX('Paste Export'!$A$2:$BZ$1001,$A538,col_user)))</f>
        <v/>
      </c>
      <c r="C538" s="24" t="str">
        <f>IF($A538&gt;nrows,"",IF(col_days=0,0,N(INDEX('Paste Export'!$A$2:$BZ$1001,$A538,col_days))))</f>
        <v/>
      </c>
      <c r="D538" s="24" t="str">
        <f>IF($A538&gt;nrows,"",IF(col_prompts=0,0,N(INDEX('Paste Export'!$A$2:$BZ$1001,$A538,col_prompts))))</f>
        <v/>
      </c>
      <c r="E538" s="24" t="str">
        <f>IF($A538&gt;nrows,"",IF(col_web=0,0,N(INDEX('Paste Export'!$A$2:$BZ$1001,$A538,col_web))))</f>
        <v/>
      </c>
      <c r="F538" s="26" t="str">
        <f t="shared" si="57"/>
        <v/>
      </c>
      <c r="G538" s="27" t="str">
        <f t="shared" si="58"/>
        <v/>
      </c>
      <c r="H538" s="24" t="str">
        <f>IF($A538&gt;nrows,"",IF(col_s1=0,0,--(LEN(INDEX('Paste Export'!$A$2:$BZ$1001,$A538,col_s1))&gt;0))+IF(col_s2=0,0,--(LEN(INDEX('Paste Export'!$A$2:$BZ$1001,$A538,col_s2))&gt;0))+IF(col_s3=0,0,--(LEN(INDEX('Paste Export'!$A$2:$BZ$1001,$A538,col_s3))&gt;0))+IF(col_s4=0,0,--(LEN(INDEX('Paste Export'!$A$2:$BZ$1001,$A538,col_s4))&gt;0))+IF(col_s5=0,0,--(LEN(INDEX('Paste Export'!$A$2:$BZ$1001,$A538,col_s5))&gt;0))+IF(col_s6=0,0,--(LEN(INDEX('Paste Export'!$A$2:$BZ$1001,$A538,col_s6))&gt;0))+IF(col_s7=0,0,--(LEN(INDEX('Paste Export'!$A$2:$BZ$1001,$A538,col_s7))&gt;0))+IF(col_s8=0,0,--(LEN(INDEX('Paste Export'!$A$2:$BZ$1001,$A538,col_s8))&gt;0)))</f>
        <v/>
      </c>
      <c r="I538" s="25" t="str">
        <f t="shared" si="59"/>
        <v/>
      </c>
      <c r="J538" s="25" t="str">
        <f t="shared" si="60"/>
        <v/>
      </c>
      <c r="K538" s="24" t="str">
        <f t="shared" si="61"/>
        <v/>
      </c>
      <c r="L538" s="24" t="str">
        <f t="shared" si="62"/>
        <v/>
      </c>
    </row>
    <row r="539" spans="1:12" x14ac:dyDescent="0.25">
      <c r="A539" s="24">
        <f t="shared" si="56"/>
        <v>538</v>
      </c>
      <c r="B539" s="25" t="str">
        <f>IF($A539&gt;nrows,"",IF(col_user=0,"",INDEX('Paste Export'!$A$2:$BZ$1001,$A539,col_user)))</f>
        <v/>
      </c>
      <c r="C539" s="24" t="str">
        <f>IF($A539&gt;nrows,"",IF(col_days=0,0,N(INDEX('Paste Export'!$A$2:$BZ$1001,$A539,col_days))))</f>
        <v/>
      </c>
      <c r="D539" s="24" t="str">
        <f>IF($A539&gt;nrows,"",IF(col_prompts=0,0,N(INDEX('Paste Export'!$A$2:$BZ$1001,$A539,col_prompts))))</f>
        <v/>
      </c>
      <c r="E539" s="24" t="str">
        <f>IF($A539&gt;nrows,"",IF(col_web=0,0,N(INDEX('Paste Export'!$A$2:$BZ$1001,$A539,col_web))))</f>
        <v/>
      </c>
      <c r="F539" s="26" t="str">
        <f t="shared" si="57"/>
        <v/>
      </c>
      <c r="G539" s="27" t="str">
        <f t="shared" si="58"/>
        <v/>
      </c>
      <c r="H539" s="24" t="str">
        <f>IF($A539&gt;nrows,"",IF(col_s1=0,0,--(LEN(INDEX('Paste Export'!$A$2:$BZ$1001,$A539,col_s1))&gt;0))+IF(col_s2=0,0,--(LEN(INDEX('Paste Export'!$A$2:$BZ$1001,$A539,col_s2))&gt;0))+IF(col_s3=0,0,--(LEN(INDEX('Paste Export'!$A$2:$BZ$1001,$A539,col_s3))&gt;0))+IF(col_s4=0,0,--(LEN(INDEX('Paste Export'!$A$2:$BZ$1001,$A539,col_s4))&gt;0))+IF(col_s5=0,0,--(LEN(INDEX('Paste Export'!$A$2:$BZ$1001,$A539,col_s5))&gt;0))+IF(col_s6=0,0,--(LEN(INDEX('Paste Export'!$A$2:$BZ$1001,$A539,col_s6))&gt;0))+IF(col_s7=0,0,--(LEN(INDEX('Paste Export'!$A$2:$BZ$1001,$A539,col_s7))&gt;0))+IF(col_s8=0,0,--(LEN(INDEX('Paste Export'!$A$2:$BZ$1001,$A539,col_s8))&gt;0)))</f>
        <v/>
      </c>
      <c r="I539" s="25" t="str">
        <f t="shared" si="59"/>
        <v/>
      </c>
      <c r="J539" s="25" t="str">
        <f t="shared" si="60"/>
        <v/>
      </c>
      <c r="K539" s="24" t="str">
        <f t="shared" si="61"/>
        <v/>
      </c>
      <c r="L539" s="24" t="str">
        <f t="shared" si="62"/>
        <v/>
      </c>
    </row>
    <row r="540" spans="1:12" x14ac:dyDescent="0.25">
      <c r="A540" s="24">
        <f t="shared" si="56"/>
        <v>539</v>
      </c>
      <c r="B540" s="25" t="str">
        <f>IF($A540&gt;nrows,"",IF(col_user=0,"",INDEX('Paste Export'!$A$2:$BZ$1001,$A540,col_user)))</f>
        <v/>
      </c>
      <c r="C540" s="24" t="str">
        <f>IF($A540&gt;nrows,"",IF(col_days=0,0,N(INDEX('Paste Export'!$A$2:$BZ$1001,$A540,col_days))))</f>
        <v/>
      </c>
      <c r="D540" s="24" t="str">
        <f>IF($A540&gt;nrows,"",IF(col_prompts=0,0,N(INDEX('Paste Export'!$A$2:$BZ$1001,$A540,col_prompts))))</f>
        <v/>
      </c>
      <c r="E540" s="24" t="str">
        <f>IF($A540&gt;nrows,"",IF(col_web=0,0,N(INDEX('Paste Export'!$A$2:$BZ$1001,$A540,col_web))))</f>
        <v/>
      </c>
      <c r="F540" s="26" t="str">
        <f t="shared" si="57"/>
        <v/>
      </c>
      <c r="G540" s="27" t="str">
        <f t="shared" si="58"/>
        <v/>
      </c>
      <c r="H540" s="24" t="str">
        <f>IF($A540&gt;nrows,"",IF(col_s1=0,0,--(LEN(INDEX('Paste Export'!$A$2:$BZ$1001,$A540,col_s1))&gt;0))+IF(col_s2=0,0,--(LEN(INDEX('Paste Export'!$A$2:$BZ$1001,$A540,col_s2))&gt;0))+IF(col_s3=0,0,--(LEN(INDEX('Paste Export'!$A$2:$BZ$1001,$A540,col_s3))&gt;0))+IF(col_s4=0,0,--(LEN(INDEX('Paste Export'!$A$2:$BZ$1001,$A540,col_s4))&gt;0))+IF(col_s5=0,0,--(LEN(INDEX('Paste Export'!$A$2:$BZ$1001,$A540,col_s5))&gt;0))+IF(col_s6=0,0,--(LEN(INDEX('Paste Export'!$A$2:$BZ$1001,$A540,col_s6))&gt;0))+IF(col_s7=0,0,--(LEN(INDEX('Paste Export'!$A$2:$BZ$1001,$A540,col_s7))&gt;0))+IF(col_s8=0,0,--(LEN(INDEX('Paste Export'!$A$2:$BZ$1001,$A540,col_s8))&gt;0)))</f>
        <v/>
      </c>
      <c r="I540" s="25" t="str">
        <f t="shared" si="59"/>
        <v/>
      </c>
      <c r="J540" s="25" t="str">
        <f t="shared" si="60"/>
        <v/>
      </c>
      <c r="K540" s="24" t="str">
        <f t="shared" si="61"/>
        <v/>
      </c>
      <c r="L540" s="24" t="str">
        <f t="shared" si="62"/>
        <v/>
      </c>
    </row>
    <row r="541" spans="1:12" x14ac:dyDescent="0.25">
      <c r="A541" s="24">
        <f t="shared" si="56"/>
        <v>540</v>
      </c>
      <c r="B541" s="25" t="str">
        <f>IF($A541&gt;nrows,"",IF(col_user=0,"",INDEX('Paste Export'!$A$2:$BZ$1001,$A541,col_user)))</f>
        <v/>
      </c>
      <c r="C541" s="24" t="str">
        <f>IF($A541&gt;nrows,"",IF(col_days=0,0,N(INDEX('Paste Export'!$A$2:$BZ$1001,$A541,col_days))))</f>
        <v/>
      </c>
      <c r="D541" s="24" t="str">
        <f>IF($A541&gt;nrows,"",IF(col_prompts=0,0,N(INDEX('Paste Export'!$A$2:$BZ$1001,$A541,col_prompts))))</f>
        <v/>
      </c>
      <c r="E541" s="24" t="str">
        <f>IF($A541&gt;nrows,"",IF(col_web=0,0,N(INDEX('Paste Export'!$A$2:$BZ$1001,$A541,col_web))))</f>
        <v/>
      </c>
      <c r="F541" s="26" t="str">
        <f t="shared" si="57"/>
        <v/>
      </c>
      <c r="G541" s="27" t="str">
        <f t="shared" si="58"/>
        <v/>
      </c>
      <c r="H541" s="24" t="str">
        <f>IF($A541&gt;nrows,"",IF(col_s1=0,0,--(LEN(INDEX('Paste Export'!$A$2:$BZ$1001,$A541,col_s1))&gt;0))+IF(col_s2=0,0,--(LEN(INDEX('Paste Export'!$A$2:$BZ$1001,$A541,col_s2))&gt;0))+IF(col_s3=0,0,--(LEN(INDEX('Paste Export'!$A$2:$BZ$1001,$A541,col_s3))&gt;0))+IF(col_s4=0,0,--(LEN(INDEX('Paste Export'!$A$2:$BZ$1001,$A541,col_s4))&gt;0))+IF(col_s5=0,0,--(LEN(INDEX('Paste Export'!$A$2:$BZ$1001,$A541,col_s5))&gt;0))+IF(col_s6=0,0,--(LEN(INDEX('Paste Export'!$A$2:$BZ$1001,$A541,col_s6))&gt;0))+IF(col_s7=0,0,--(LEN(INDEX('Paste Export'!$A$2:$BZ$1001,$A541,col_s7))&gt;0))+IF(col_s8=0,0,--(LEN(INDEX('Paste Export'!$A$2:$BZ$1001,$A541,col_s8))&gt;0)))</f>
        <v/>
      </c>
      <c r="I541" s="25" t="str">
        <f t="shared" si="59"/>
        <v/>
      </c>
      <c r="J541" s="25" t="str">
        <f t="shared" si="60"/>
        <v/>
      </c>
      <c r="K541" s="24" t="str">
        <f t="shared" si="61"/>
        <v/>
      </c>
      <c r="L541" s="24" t="str">
        <f t="shared" si="62"/>
        <v/>
      </c>
    </row>
    <row r="542" spans="1:12" x14ac:dyDescent="0.25">
      <c r="A542" s="24">
        <f t="shared" si="56"/>
        <v>541</v>
      </c>
      <c r="B542" s="25" t="str">
        <f>IF($A542&gt;nrows,"",IF(col_user=0,"",INDEX('Paste Export'!$A$2:$BZ$1001,$A542,col_user)))</f>
        <v/>
      </c>
      <c r="C542" s="24" t="str">
        <f>IF($A542&gt;nrows,"",IF(col_days=0,0,N(INDEX('Paste Export'!$A$2:$BZ$1001,$A542,col_days))))</f>
        <v/>
      </c>
      <c r="D542" s="24" t="str">
        <f>IF($A542&gt;nrows,"",IF(col_prompts=0,0,N(INDEX('Paste Export'!$A$2:$BZ$1001,$A542,col_prompts))))</f>
        <v/>
      </c>
      <c r="E542" s="24" t="str">
        <f>IF($A542&gt;nrows,"",IF(col_web=0,0,N(INDEX('Paste Export'!$A$2:$BZ$1001,$A542,col_web))))</f>
        <v/>
      </c>
      <c r="F542" s="26" t="str">
        <f t="shared" si="57"/>
        <v/>
      </c>
      <c r="G542" s="27" t="str">
        <f t="shared" si="58"/>
        <v/>
      </c>
      <c r="H542" s="24" t="str">
        <f>IF($A542&gt;nrows,"",IF(col_s1=0,0,--(LEN(INDEX('Paste Export'!$A$2:$BZ$1001,$A542,col_s1))&gt;0))+IF(col_s2=0,0,--(LEN(INDEX('Paste Export'!$A$2:$BZ$1001,$A542,col_s2))&gt;0))+IF(col_s3=0,0,--(LEN(INDEX('Paste Export'!$A$2:$BZ$1001,$A542,col_s3))&gt;0))+IF(col_s4=0,0,--(LEN(INDEX('Paste Export'!$A$2:$BZ$1001,$A542,col_s4))&gt;0))+IF(col_s5=0,0,--(LEN(INDEX('Paste Export'!$A$2:$BZ$1001,$A542,col_s5))&gt;0))+IF(col_s6=0,0,--(LEN(INDEX('Paste Export'!$A$2:$BZ$1001,$A542,col_s6))&gt;0))+IF(col_s7=0,0,--(LEN(INDEX('Paste Export'!$A$2:$BZ$1001,$A542,col_s7))&gt;0))+IF(col_s8=0,0,--(LEN(INDEX('Paste Export'!$A$2:$BZ$1001,$A542,col_s8))&gt;0)))</f>
        <v/>
      </c>
      <c r="I542" s="25" t="str">
        <f t="shared" si="59"/>
        <v/>
      </c>
      <c r="J542" s="25" t="str">
        <f t="shared" si="60"/>
        <v/>
      </c>
      <c r="K542" s="24" t="str">
        <f t="shared" si="61"/>
        <v/>
      </c>
      <c r="L542" s="24" t="str">
        <f t="shared" si="62"/>
        <v/>
      </c>
    </row>
    <row r="543" spans="1:12" x14ac:dyDescent="0.25">
      <c r="A543" s="24">
        <f t="shared" si="56"/>
        <v>542</v>
      </c>
      <c r="B543" s="25" t="str">
        <f>IF($A543&gt;nrows,"",IF(col_user=0,"",INDEX('Paste Export'!$A$2:$BZ$1001,$A543,col_user)))</f>
        <v/>
      </c>
      <c r="C543" s="24" t="str">
        <f>IF($A543&gt;nrows,"",IF(col_days=0,0,N(INDEX('Paste Export'!$A$2:$BZ$1001,$A543,col_days))))</f>
        <v/>
      </c>
      <c r="D543" s="24" t="str">
        <f>IF($A543&gt;nrows,"",IF(col_prompts=0,0,N(INDEX('Paste Export'!$A$2:$BZ$1001,$A543,col_prompts))))</f>
        <v/>
      </c>
      <c r="E543" s="24" t="str">
        <f>IF($A543&gt;nrows,"",IF(col_web=0,0,N(INDEX('Paste Export'!$A$2:$BZ$1001,$A543,col_web))))</f>
        <v/>
      </c>
      <c r="F543" s="26" t="str">
        <f t="shared" si="57"/>
        <v/>
      </c>
      <c r="G543" s="27" t="str">
        <f t="shared" si="58"/>
        <v/>
      </c>
      <c r="H543" s="24" t="str">
        <f>IF($A543&gt;nrows,"",IF(col_s1=0,0,--(LEN(INDEX('Paste Export'!$A$2:$BZ$1001,$A543,col_s1))&gt;0))+IF(col_s2=0,0,--(LEN(INDEX('Paste Export'!$A$2:$BZ$1001,$A543,col_s2))&gt;0))+IF(col_s3=0,0,--(LEN(INDEX('Paste Export'!$A$2:$BZ$1001,$A543,col_s3))&gt;0))+IF(col_s4=0,0,--(LEN(INDEX('Paste Export'!$A$2:$BZ$1001,$A543,col_s4))&gt;0))+IF(col_s5=0,0,--(LEN(INDEX('Paste Export'!$A$2:$BZ$1001,$A543,col_s5))&gt;0))+IF(col_s6=0,0,--(LEN(INDEX('Paste Export'!$A$2:$BZ$1001,$A543,col_s6))&gt;0))+IF(col_s7=0,0,--(LEN(INDEX('Paste Export'!$A$2:$BZ$1001,$A543,col_s7))&gt;0))+IF(col_s8=0,0,--(LEN(INDEX('Paste Export'!$A$2:$BZ$1001,$A543,col_s8))&gt;0)))</f>
        <v/>
      </c>
      <c r="I543" s="25" t="str">
        <f t="shared" si="59"/>
        <v/>
      </c>
      <c r="J543" s="25" t="str">
        <f t="shared" si="60"/>
        <v/>
      </c>
      <c r="K543" s="24" t="str">
        <f t="shared" si="61"/>
        <v/>
      </c>
      <c r="L543" s="24" t="str">
        <f t="shared" si="62"/>
        <v/>
      </c>
    </row>
    <row r="544" spans="1:12" x14ac:dyDescent="0.25">
      <c r="A544" s="24">
        <f t="shared" si="56"/>
        <v>543</v>
      </c>
      <c r="B544" s="25" t="str">
        <f>IF($A544&gt;nrows,"",IF(col_user=0,"",INDEX('Paste Export'!$A$2:$BZ$1001,$A544,col_user)))</f>
        <v/>
      </c>
      <c r="C544" s="24" t="str">
        <f>IF($A544&gt;nrows,"",IF(col_days=0,0,N(INDEX('Paste Export'!$A$2:$BZ$1001,$A544,col_days))))</f>
        <v/>
      </c>
      <c r="D544" s="24" t="str">
        <f>IF($A544&gt;nrows,"",IF(col_prompts=0,0,N(INDEX('Paste Export'!$A$2:$BZ$1001,$A544,col_prompts))))</f>
        <v/>
      </c>
      <c r="E544" s="24" t="str">
        <f>IF($A544&gt;nrows,"",IF(col_web=0,0,N(INDEX('Paste Export'!$A$2:$BZ$1001,$A544,col_web))))</f>
        <v/>
      </c>
      <c r="F544" s="26" t="str">
        <f t="shared" si="57"/>
        <v/>
      </c>
      <c r="G544" s="27" t="str">
        <f t="shared" si="58"/>
        <v/>
      </c>
      <c r="H544" s="24" t="str">
        <f>IF($A544&gt;nrows,"",IF(col_s1=0,0,--(LEN(INDEX('Paste Export'!$A$2:$BZ$1001,$A544,col_s1))&gt;0))+IF(col_s2=0,0,--(LEN(INDEX('Paste Export'!$A$2:$BZ$1001,$A544,col_s2))&gt;0))+IF(col_s3=0,0,--(LEN(INDEX('Paste Export'!$A$2:$BZ$1001,$A544,col_s3))&gt;0))+IF(col_s4=0,0,--(LEN(INDEX('Paste Export'!$A$2:$BZ$1001,$A544,col_s4))&gt;0))+IF(col_s5=0,0,--(LEN(INDEX('Paste Export'!$A$2:$BZ$1001,$A544,col_s5))&gt;0))+IF(col_s6=0,0,--(LEN(INDEX('Paste Export'!$A$2:$BZ$1001,$A544,col_s6))&gt;0))+IF(col_s7=0,0,--(LEN(INDEX('Paste Export'!$A$2:$BZ$1001,$A544,col_s7))&gt;0))+IF(col_s8=0,0,--(LEN(INDEX('Paste Export'!$A$2:$BZ$1001,$A544,col_s8))&gt;0)))</f>
        <v/>
      </c>
      <c r="I544" s="25" t="str">
        <f t="shared" si="59"/>
        <v/>
      </c>
      <c r="J544" s="25" t="str">
        <f t="shared" si="60"/>
        <v/>
      </c>
      <c r="K544" s="24" t="str">
        <f t="shared" si="61"/>
        <v/>
      </c>
      <c r="L544" s="24" t="str">
        <f t="shared" si="62"/>
        <v/>
      </c>
    </row>
    <row r="545" spans="1:12" x14ac:dyDescent="0.25">
      <c r="A545" s="24">
        <f t="shared" si="56"/>
        <v>544</v>
      </c>
      <c r="B545" s="25" t="str">
        <f>IF($A545&gt;nrows,"",IF(col_user=0,"",INDEX('Paste Export'!$A$2:$BZ$1001,$A545,col_user)))</f>
        <v/>
      </c>
      <c r="C545" s="24" t="str">
        <f>IF($A545&gt;nrows,"",IF(col_days=0,0,N(INDEX('Paste Export'!$A$2:$BZ$1001,$A545,col_days))))</f>
        <v/>
      </c>
      <c r="D545" s="24" t="str">
        <f>IF($A545&gt;nrows,"",IF(col_prompts=0,0,N(INDEX('Paste Export'!$A$2:$BZ$1001,$A545,col_prompts))))</f>
        <v/>
      </c>
      <c r="E545" s="24" t="str">
        <f>IF($A545&gt;nrows,"",IF(col_web=0,0,N(INDEX('Paste Export'!$A$2:$BZ$1001,$A545,col_web))))</f>
        <v/>
      </c>
      <c r="F545" s="26" t="str">
        <f t="shared" si="57"/>
        <v/>
      </c>
      <c r="G545" s="27" t="str">
        <f t="shared" si="58"/>
        <v/>
      </c>
      <c r="H545" s="24" t="str">
        <f>IF($A545&gt;nrows,"",IF(col_s1=0,0,--(LEN(INDEX('Paste Export'!$A$2:$BZ$1001,$A545,col_s1))&gt;0))+IF(col_s2=0,0,--(LEN(INDEX('Paste Export'!$A$2:$BZ$1001,$A545,col_s2))&gt;0))+IF(col_s3=0,0,--(LEN(INDEX('Paste Export'!$A$2:$BZ$1001,$A545,col_s3))&gt;0))+IF(col_s4=0,0,--(LEN(INDEX('Paste Export'!$A$2:$BZ$1001,$A545,col_s4))&gt;0))+IF(col_s5=0,0,--(LEN(INDEX('Paste Export'!$A$2:$BZ$1001,$A545,col_s5))&gt;0))+IF(col_s6=0,0,--(LEN(INDEX('Paste Export'!$A$2:$BZ$1001,$A545,col_s6))&gt;0))+IF(col_s7=0,0,--(LEN(INDEX('Paste Export'!$A$2:$BZ$1001,$A545,col_s7))&gt;0))+IF(col_s8=0,0,--(LEN(INDEX('Paste Export'!$A$2:$BZ$1001,$A545,col_s8))&gt;0)))</f>
        <v/>
      </c>
      <c r="I545" s="25" t="str">
        <f t="shared" si="59"/>
        <v/>
      </c>
      <c r="J545" s="25" t="str">
        <f t="shared" si="60"/>
        <v/>
      </c>
      <c r="K545" s="24" t="str">
        <f t="shared" si="61"/>
        <v/>
      </c>
      <c r="L545" s="24" t="str">
        <f t="shared" si="62"/>
        <v/>
      </c>
    </row>
    <row r="546" spans="1:12" x14ac:dyDescent="0.25">
      <c r="A546" s="24">
        <f t="shared" si="56"/>
        <v>545</v>
      </c>
      <c r="B546" s="25" t="str">
        <f>IF($A546&gt;nrows,"",IF(col_user=0,"",INDEX('Paste Export'!$A$2:$BZ$1001,$A546,col_user)))</f>
        <v/>
      </c>
      <c r="C546" s="24" t="str">
        <f>IF($A546&gt;nrows,"",IF(col_days=0,0,N(INDEX('Paste Export'!$A$2:$BZ$1001,$A546,col_days))))</f>
        <v/>
      </c>
      <c r="D546" s="24" t="str">
        <f>IF($A546&gt;nrows,"",IF(col_prompts=0,0,N(INDEX('Paste Export'!$A$2:$BZ$1001,$A546,col_prompts))))</f>
        <v/>
      </c>
      <c r="E546" s="24" t="str">
        <f>IF($A546&gt;nrows,"",IF(col_web=0,0,N(INDEX('Paste Export'!$A$2:$BZ$1001,$A546,col_web))))</f>
        <v/>
      </c>
      <c r="F546" s="26" t="str">
        <f t="shared" si="57"/>
        <v/>
      </c>
      <c r="G546" s="27" t="str">
        <f t="shared" si="58"/>
        <v/>
      </c>
      <c r="H546" s="24" t="str">
        <f>IF($A546&gt;nrows,"",IF(col_s1=0,0,--(LEN(INDEX('Paste Export'!$A$2:$BZ$1001,$A546,col_s1))&gt;0))+IF(col_s2=0,0,--(LEN(INDEX('Paste Export'!$A$2:$BZ$1001,$A546,col_s2))&gt;0))+IF(col_s3=0,0,--(LEN(INDEX('Paste Export'!$A$2:$BZ$1001,$A546,col_s3))&gt;0))+IF(col_s4=0,0,--(LEN(INDEX('Paste Export'!$A$2:$BZ$1001,$A546,col_s4))&gt;0))+IF(col_s5=0,0,--(LEN(INDEX('Paste Export'!$A$2:$BZ$1001,$A546,col_s5))&gt;0))+IF(col_s6=0,0,--(LEN(INDEX('Paste Export'!$A$2:$BZ$1001,$A546,col_s6))&gt;0))+IF(col_s7=0,0,--(LEN(INDEX('Paste Export'!$A$2:$BZ$1001,$A546,col_s7))&gt;0))+IF(col_s8=0,0,--(LEN(INDEX('Paste Export'!$A$2:$BZ$1001,$A546,col_s8))&gt;0)))</f>
        <v/>
      </c>
      <c r="I546" s="25" t="str">
        <f t="shared" si="59"/>
        <v/>
      </c>
      <c r="J546" s="25" t="str">
        <f t="shared" si="60"/>
        <v/>
      </c>
      <c r="K546" s="24" t="str">
        <f t="shared" si="61"/>
        <v/>
      </c>
      <c r="L546" s="24" t="str">
        <f t="shared" si="62"/>
        <v/>
      </c>
    </row>
    <row r="547" spans="1:12" x14ac:dyDescent="0.25">
      <c r="A547" s="24">
        <f t="shared" si="56"/>
        <v>546</v>
      </c>
      <c r="B547" s="25" t="str">
        <f>IF($A547&gt;nrows,"",IF(col_user=0,"",INDEX('Paste Export'!$A$2:$BZ$1001,$A547,col_user)))</f>
        <v/>
      </c>
      <c r="C547" s="24" t="str">
        <f>IF($A547&gt;nrows,"",IF(col_days=0,0,N(INDEX('Paste Export'!$A$2:$BZ$1001,$A547,col_days))))</f>
        <v/>
      </c>
      <c r="D547" s="24" t="str">
        <f>IF($A547&gt;nrows,"",IF(col_prompts=0,0,N(INDEX('Paste Export'!$A$2:$BZ$1001,$A547,col_prompts))))</f>
        <v/>
      </c>
      <c r="E547" s="24" t="str">
        <f>IF($A547&gt;nrows,"",IF(col_web=0,0,N(INDEX('Paste Export'!$A$2:$BZ$1001,$A547,col_web))))</f>
        <v/>
      </c>
      <c r="F547" s="26" t="str">
        <f t="shared" si="57"/>
        <v/>
      </c>
      <c r="G547" s="27" t="str">
        <f t="shared" si="58"/>
        <v/>
      </c>
      <c r="H547" s="24" t="str">
        <f>IF($A547&gt;nrows,"",IF(col_s1=0,0,--(LEN(INDEX('Paste Export'!$A$2:$BZ$1001,$A547,col_s1))&gt;0))+IF(col_s2=0,0,--(LEN(INDEX('Paste Export'!$A$2:$BZ$1001,$A547,col_s2))&gt;0))+IF(col_s3=0,0,--(LEN(INDEX('Paste Export'!$A$2:$BZ$1001,$A547,col_s3))&gt;0))+IF(col_s4=0,0,--(LEN(INDEX('Paste Export'!$A$2:$BZ$1001,$A547,col_s4))&gt;0))+IF(col_s5=0,0,--(LEN(INDEX('Paste Export'!$A$2:$BZ$1001,$A547,col_s5))&gt;0))+IF(col_s6=0,0,--(LEN(INDEX('Paste Export'!$A$2:$BZ$1001,$A547,col_s6))&gt;0))+IF(col_s7=0,0,--(LEN(INDEX('Paste Export'!$A$2:$BZ$1001,$A547,col_s7))&gt;0))+IF(col_s8=0,0,--(LEN(INDEX('Paste Export'!$A$2:$BZ$1001,$A547,col_s8))&gt;0)))</f>
        <v/>
      </c>
      <c r="I547" s="25" t="str">
        <f t="shared" si="59"/>
        <v/>
      </c>
      <c r="J547" s="25" t="str">
        <f t="shared" si="60"/>
        <v/>
      </c>
      <c r="K547" s="24" t="str">
        <f t="shared" si="61"/>
        <v/>
      </c>
      <c r="L547" s="24" t="str">
        <f t="shared" si="62"/>
        <v/>
      </c>
    </row>
    <row r="548" spans="1:12" x14ac:dyDescent="0.25">
      <c r="A548" s="24">
        <f t="shared" si="56"/>
        <v>547</v>
      </c>
      <c r="B548" s="25" t="str">
        <f>IF($A548&gt;nrows,"",IF(col_user=0,"",INDEX('Paste Export'!$A$2:$BZ$1001,$A548,col_user)))</f>
        <v/>
      </c>
      <c r="C548" s="24" t="str">
        <f>IF($A548&gt;nrows,"",IF(col_days=0,0,N(INDEX('Paste Export'!$A$2:$BZ$1001,$A548,col_days))))</f>
        <v/>
      </c>
      <c r="D548" s="24" t="str">
        <f>IF($A548&gt;nrows,"",IF(col_prompts=0,0,N(INDEX('Paste Export'!$A$2:$BZ$1001,$A548,col_prompts))))</f>
        <v/>
      </c>
      <c r="E548" s="24" t="str">
        <f>IF($A548&gt;nrows,"",IF(col_web=0,0,N(INDEX('Paste Export'!$A$2:$BZ$1001,$A548,col_web))))</f>
        <v/>
      </c>
      <c r="F548" s="26" t="str">
        <f t="shared" si="57"/>
        <v/>
      </c>
      <c r="G548" s="27" t="str">
        <f t="shared" si="58"/>
        <v/>
      </c>
      <c r="H548" s="24" t="str">
        <f>IF($A548&gt;nrows,"",IF(col_s1=0,0,--(LEN(INDEX('Paste Export'!$A$2:$BZ$1001,$A548,col_s1))&gt;0))+IF(col_s2=0,0,--(LEN(INDEX('Paste Export'!$A$2:$BZ$1001,$A548,col_s2))&gt;0))+IF(col_s3=0,0,--(LEN(INDEX('Paste Export'!$A$2:$BZ$1001,$A548,col_s3))&gt;0))+IF(col_s4=0,0,--(LEN(INDEX('Paste Export'!$A$2:$BZ$1001,$A548,col_s4))&gt;0))+IF(col_s5=0,0,--(LEN(INDEX('Paste Export'!$A$2:$BZ$1001,$A548,col_s5))&gt;0))+IF(col_s6=0,0,--(LEN(INDEX('Paste Export'!$A$2:$BZ$1001,$A548,col_s6))&gt;0))+IF(col_s7=0,0,--(LEN(INDEX('Paste Export'!$A$2:$BZ$1001,$A548,col_s7))&gt;0))+IF(col_s8=0,0,--(LEN(INDEX('Paste Export'!$A$2:$BZ$1001,$A548,col_s8))&gt;0)))</f>
        <v/>
      </c>
      <c r="I548" s="25" t="str">
        <f t="shared" si="59"/>
        <v/>
      </c>
      <c r="J548" s="25" t="str">
        <f t="shared" si="60"/>
        <v/>
      </c>
      <c r="K548" s="24" t="str">
        <f t="shared" si="61"/>
        <v/>
      </c>
      <c r="L548" s="24" t="str">
        <f t="shared" si="62"/>
        <v/>
      </c>
    </row>
    <row r="549" spans="1:12" x14ac:dyDescent="0.25">
      <c r="A549" s="24">
        <f t="shared" si="56"/>
        <v>548</v>
      </c>
      <c r="B549" s="25" t="str">
        <f>IF($A549&gt;nrows,"",IF(col_user=0,"",INDEX('Paste Export'!$A$2:$BZ$1001,$A549,col_user)))</f>
        <v/>
      </c>
      <c r="C549" s="24" t="str">
        <f>IF($A549&gt;nrows,"",IF(col_days=0,0,N(INDEX('Paste Export'!$A$2:$BZ$1001,$A549,col_days))))</f>
        <v/>
      </c>
      <c r="D549" s="24" t="str">
        <f>IF($A549&gt;nrows,"",IF(col_prompts=0,0,N(INDEX('Paste Export'!$A$2:$BZ$1001,$A549,col_prompts))))</f>
        <v/>
      </c>
      <c r="E549" s="24" t="str">
        <f>IF($A549&gt;nrows,"",IF(col_web=0,0,N(INDEX('Paste Export'!$A$2:$BZ$1001,$A549,col_web))))</f>
        <v/>
      </c>
      <c r="F549" s="26" t="str">
        <f t="shared" si="57"/>
        <v/>
      </c>
      <c r="G549" s="27" t="str">
        <f t="shared" si="58"/>
        <v/>
      </c>
      <c r="H549" s="24" t="str">
        <f>IF($A549&gt;nrows,"",IF(col_s1=0,0,--(LEN(INDEX('Paste Export'!$A$2:$BZ$1001,$A549,col_s1))&gt;0))+IF(col_s2=0,0,--(LEN(INDEX('Paste Export'!$A$2:$BZ$1001,$A549,col_s2))&gt;0))+IF(col_s3=0,0,--(LEN(INDEX('Paste Export'!$A$2:$BZ$1001,$A549,col_s3))&gt;0))+IF(col_s4=0,0,--(LEN(INDEX('Paste Export'!$A$2:$BZ$1001,$A549,col_s4))&gt;0))+IF(col_s5=0,0,--(LEN(INDEX('Paste Export'!$A$2:$BZ$1001,$A549,col_s5))&gt;0))+IF(col_s6=0,0,--(LEN(INDEX('Paste Export'!$A$2:$BZ$1001,$A549,col_s6))&gt;0))+IF(col_s7=0,0,--(LEN(INDEX('Paste Export'!$A$2:$BZ$1001,$A549,col_s7))&gt;0))+IF(col_s8=0,0,--(LEN(INDEX('Paste Export'!$A$2:$BZ$1001,$A549,col_s8))&gt;0)))</f>
        <v/>
      </c>
      <c r="I549" s="25" t="str">
        <f t="shared" si="59"/>
        <v/>
      </c>
      <c r="J549" s="25" t="str">
        <f t="shared" si="60"/>
        <v/>
      </c>
      <c r="K549" s="24" t="str">
        <f t="shared" si="61"/>
        <v/>
      </c>
      <c r="L549" s="24" t="str">
        <f t="shared" si="62"/>
        <v/>
      </c>
    </row>
    <row r="550" spans="1:12" x14ac:dyDescent="0.25">
      <c r="A550" s="24">
        <f t="shared" si="56"/>
        <v>549</v>
      </c>
      <c r="B550" s="25" t="str">
        <f>IF($A550&gt;nrows,"",IF(col_user=0,"",INDEX('Paste Export'!$A$2:$BZ$1001,$A550,col_user)))</f>
        <v/>
      </c>
      <c r="C550" s="24" t="str">
        <f>IF($A550&gt;nrows,"",IF(col_days=0,0,N(INDEX('Paste Export'!$A$2:$BZ$1001,$A550,col_days))))</f>
        <v/>
      </c>
      <c r="D550" s="24" t="str">
        <f>IF($A550&gt;nrows,"",IF(col_prompts=0,0,N(INDEX('Paste Export'!$A$2:$BZ$1001,$A550,col_prompts))))</f>
        <v/>
      </c>
      <c r="E550" s="24" t="str">
        <f>IF($A550&gt;nrows,"",IF(col_web=0,0,N(INDEX('Paste Export'!$A$2:$BZ$1001,$A550,col_web))))</f>
        <v/>
      </c>
      <c r="F550" s="26" t="str">
        <f t="shared" si="57"/>
        <v/>
      </c>
      <c r="G550" s="27" t="str">
        <f t="shared" si="58"/>
        <v/>
      </c>
      <c r="H550" s="24" t="str">
        <f>IF($A550&gt;nrows,"",IF(col_s1=0,0,--(LEN(INDEX('Paste Export'!$A$2:$BZ$1001,$A550,col_s1))&gt;0))+IF(col_s2=0,0,--(LEN(INDEX('Paste Export'!$A$2:$BZ$1001,$A550,col_s2))&gt;0))+IF(col_s3=0,0,--(LEN(INDEX('Paste Export'!$A$2:$BZ$1001,$A550,col_s3))&gt;0))+IF(col_s4=0,0,--(LEN(INDEX('Paste Export'!$A$2:$BZ$1001,$A550,col_s4))&gt;0))+IF(col_s5=0,0,--(LEN(INDEX('Paste Export'!$A$2:$BZ$1001,$A550,col_s5))&gt;0))+IF(col_s6=0,0,--(LEN(INDEX('Paste Export'!$A$2:$BZ$1001,$A550,col_s6))&gt;0))+IF(col_s7=0,0,--(LEN(INDEX('Paste Export'!$A$2:$BZ$1001,$A550,col_s7))&gt;0))+IF(col_s8=0,0,--(LEN(INDEX('Paste Export'!$A$2:$BZ$1001,$A550,col_s8))&gt;0)))</f>
        <v/>
      </c>
      <c r="I550" s="25" t="str">
        <f t="shared" si="59"/>
        <v/>
      </c>
      <c r="J550" s="25" t="str">
        <f t="shared" si="60"/>
        <v/>
      </c>
      <c r="K550" s="24" t="str">
        <f t="shared" si="61"/>
        <v/>
      </c>
      <c r="L550" s="24" t="str">
        <f t="shared" si="62"/>
        <v/>
      </c>
    </row>
    <row r="551" spans="1:12" x14ac:dyDescent="0.25">
      <c r="A551" s="24">
        <f t="shared" si="56"/>
        <v>550</v>
      </c>
      <c r="B551" s="25" t="str">
        <f>IF($A551&gt;nrows,"",IF(col_user=0,"",INDEX('Paste Export'!$A$2:$BZ$1001,$A551,col_user)))</f>
        <v/>
      </c>
      <c r="C551" s="24" t="str">
        <f>IF($A551&gt;nrows,"",IF(col_days=0,0,N(INDEX('Paste Export'!$A$2:$BZ$1001,$A551,col_days))))</f>
        <v/>
      </c>
      <c r="D551" s="24" t="str">
        <f>IF($A551&gt;nrows,"",IF(col_prompts=0,0,N(INDEX('Paste Export'!$A$2:$BZ$1001,$A551,col_prompts))))</f>
        <v/>
      </c>
      <c r="E551" s="24" t="str">
        <f>IF($A551&gt;nrows,"",IF(col_web=0,0,N(INDEX('Paste Export'!$A$2:$BZ$1001,$A551,col_web))))</f>
        <v/>
      </c>
      <c r="F551" s="26" t="str">
        <f t="shared" si="57"/>
        <v/>
      </c>
      <c r="G551" s="27" t="str">
        <f t="shared" si="58"/>
        <v/>
      </c>
      <c r="H551" s="24" t="str">
        <f>IF($A551&gt;nrows,"",IF(col_s1=0,0,--(LEN(INDEX('Paste Export'!$A$2:$BZ$1001,$A551,col_s1))&gt;0))+IF(col_s2=0,0,--(LEN(INDEX('Paste Export'!$A$2:$BZ$1001,$A551,col_s2))&gt;0))+IF(col_s3=0,0,--(LEN(INDEX('Paste Export'!$A$2:$BZ$1001,$A551,col_s3))&gt;0))+IF(col_s4=0,0,--(LEN(INDEX('Paste Export'!$A$2:$BZ$1001,$A551,col_s4))&gt;0))+IF(col_s5=0,0,--(LEN(INDEX('Paste Export'!$A$2:$BZ$1001,$A551,col_s5))&gt;0))+IF(col_s6=0,0,--(LEN(INDEX('Paste Export'!$A$2:$BZ$1001,$A551,col_s6))&gt;0))+IF(col_s7=0,0,--(LEN(INDEX('Paste Export'!$A$2:$BZ$1001,$A551,col_s7))&gt;0))+IF(col_s8=0,0,--(LEN(INDEX('Paste Export'!$A$2:$BZ$1001,$A551,col_s8))&gt;0)))</f>
        <v/>
      </c>
      <c r="I551" s="25" t="str">
        <f t="shared" si="59"/>
        <v/>
      </c>
      <c r="J551" s="25" t="str">
        <f t="shared" si="60"/>
        <v/>
      </c>
      <c r="K551" s="24" t="str">
        <f t="shared" si="61"/>
        <v/>
      </c>
      <c r="L551" s="24" t="str">
        <f t="shared" si="62"/>
        <v/>
      </c>
    </row>
    <row r="552" spans="1:12" x14ac:dyDescent="0.25">
      <c r="A552" s="24">
        <f t="shared" si="56"/>
        <v>551</v>
      </c>
      <c r="B552" s="25" t="str">
        <f>IF($A552&gt;nrows,"",IF(col_user=0,"",INDEX('Paste Export'!$A$2:$BZ$1001,$A552,col_user)))</f>
        <v/>
      </c>
      <c r="C552" s="24" t="str">
        <f>IF($A552&gt;nrows,"",IF(col_days=0,0,N(INDEX('Paste Export'!$A$2:$BZ$1001,$A552,col_days))))</f>
        <v/>
      </c>
      <c r="D552" s="24" t="str">
        <f>IF($A552&gt;nrows,"",IF(col_prompts=0,0,N(INDEX('Paste Export'!$A$2:$BZ$1001,$A552,col_prompts))))</f>
        <v/>
      </c>
      <c r="E552" s="24" t="str">
        <f>IF($A552&gt;nrows,"",IF(col_web=0,0,N(INDEX('Paste Export'!$A$2:$BZ$1001,$A552,col_web))))</f>
        <v/>
      </c>
      <c r="F552" s="26" t="str">
        <f t="shared" si="57"/>
        <v/>
      </c>
      <c r="G552" s="27" t="str">
        <f t="shared" si="58"/>
        <v/>
      </c>
      <c r="H552" s="24" t="str">
        <f>IF($A552&gt;nrows,"",IF(col_s1=0,0,--(LEN(INDEX('Paste Export'!$A$2:$BZ$1001,$A552,col_s1))&gt;0))+IF(col_s2=0,0,--(LEN(INDEX('Paste Export'!$A$2:$BZ$1001,$A552,col_s2))&gt;0))+IF(col_s3=0,0,--(LEN(INDEX('Paste Export'!$A$2:$BZ$1001,$A552,col_s3))&gt;0))+IF(col_s4=0,0,--(LEN(INDEX('Paste Export'!$A$2:$BZ$1001,$A552,col_s4))&gt;0))+IF(col_s5=0,0,--(LEN(INDEX('Paste Export'!$A$2:$BZ$1001,$A552,col_s5))&gt;0))+IF(col_s6=0,0,--(LEN(INDEX('Paste Export'!$A$2:$BZ$1001,$A552,col_s6))&gt;0))+IF(col_s7=0,0,--(LEN(INDEX('Paste Export'!$A$2:$BZ$1001,$A552,col_s7))&gt;0))+IF(col_s8=0,0,--(LEN(INDEX('Paste Export'!$A$2:$BZ$1001,$A552,col_s8))&gt;0)))</f>
        <v/>
      </c>
      <c r="I552" s="25" t="str">
        <f t="shared" si="59"/>
        <v/>
      </c>
      <c r="J552" s="25" t="str">
        <f t="shared" si="60"/>
        <v/>
      </c>
      <c r="K552" s="24" t="str">
        <f t="shared" si="61"/>
        <v/>
      </c>
      <c r="L552" s="24" t="str">
        <f t="shared" si="62"/>
        <v/>
      </c>
    </row>
    <row r="553" spans="1:12" x14ac:dyDescent="0.25">
      <c r="A553" s="24">
        <f t="shared" si="56"/>
        <v>552</v>
      </c>
      <c r="B553" s="25" t="str">
        <f>IF($A553&gt;nrows,"",IF(col_user=0,"",INDEX('Paste Export'!$A$2:$BZ$1001,$A553,col_user)))</f>
        <v/>
      </c>
      <c r="C553" s="24" t="str">
        <f>IF($A553&gt;nrows,"",IF(col_days=0,0,N(INDEX('Paste Export'!$A$2:$BZ$1001,$A553,col_days))))</f>
        <v/>
      </c>
      <c r="D553" s="24" t="str">
        <f>IF($A553&gt;nrows,"",IF(col_prompts=0,0,N(INDEX('Paste Export'!$A$2:$BZ$1001,$A553,col_prompts))))</f>
        <v/>
      </c>
      <c r="E553" s="24" t="str">
        <f>IF($A553&gt;nrows,"",IF(col_web=0,0,N(INDEX('Paste Export'!$A$2:$BZ$1001,$A553,col_web))))</f>
        <v/>
      </c>
      <c r="F553" s="26" t="str">
        <f t="shared" si="57"/>
        <v/>
      </c>
      <c r="G553" s="27" t="str">
        <f t="shared" si="58"/>
        <v/>
      </c>
      <c r="H553" s="24" t="str">
        <f>IF($A553&gt;nrows,"",IF(col_s1=0,0,--(LEN(INDEX('Paste Export'!$A$2:$BZ$1001,$A553,col_s1))&gt;0))+IF(col_s2=0,0,--(LEN(INDEX('Paste Export'!$A$2:$BZ$1001,$A553,col_s2))&gt;0))+IF(col_s3=0,0,--(LEN(INDEX('Paste Export'!$A$2:$BZ$1001,$A553,col_s3))&gt;0))+IF(col_s4=0,0,--(LEN(INDEX('Paste Export'!$A$2:$BZ$1001,$A553,col_s4))&gt;0))+IF(col_s5=0,0,--(LEN(INDEX('Paste Export'!$A$2:$BZ$1001,$A553,col_s5))&gt;0))+IF(col_s6=0,0,--(LEN(INDEX('Paste Export'!$A$2:$BZ$1001,$A553,col_s6))&gt;0))+IF(col_s7=0,0,--(LEN(INDEX('Paste Export'!$A$2:$BZ$1001,$A553,col_s7))&gt;0))+IF(col_s8=0,0,--(LEN(INDEX('Paste Export'!$A$2:$BZ$1001,$A553,col_s8))&gt;0)))</f>
        <v/>
      </c>
      <c r="I553" s="25" t="str">
        <f t="shared" si="59"/>
        <v/>
      </c>
      <c r="J553" s="25" t="str">
        <f t="shared" si="60"/>
        <v/>
      </c>
      <c r="K553" s="24" t="str">
        <f t="shared" si="61"/>
        <v/>
      </c>
      <c r="L553" s="24" t="str">
        <f t="shared" si="62"/>
        <v/>
      </c>
    </row>
    <row r="554" spans="1:12" x14ac:dyDescent="0.25">
      <c r="A554" s="24">
        <f t="shared" si="56"/>
        <v>553</v>
      </c>
      <c r="B554" s="25" t="str">
        <f>IF($A554&gt;nrows,"",IF(col_user=0,"",INDEX('Paste Export'!$A$2:$BZ$1001,$A554,col_user)))</f>
        <v/>
      </c>
      <c r="C554" s="24" t="str">
        <f>IF($A554&gt;nrows,"",IF(col_days=0,0,N(INDEX('Paste Export'!$A$2:$BZ$1001,$A554,col_days))))</f>
        <v/>
      </c>
      <c r="D554" s="24" t="str">
        <f>IF($A554&gt;nrows,"",IF(col_prompts=0,0,N(INDEX('Paste Export'!$A$2:$BZ$1001,$A554,col_prompts))))</f>
        <v/>
      </c>
      <c r="E554" s="24" t="str">
        <f>IF($A554&gt;nrows,"",IF(col_web=0,0,N(INDEX('Paste Export'!$A$2:$BZ$1001,$A554,col_web))))</f>
        <v/>
      </c>
      <c r="F554" s="26" t="str">
        <f t="shared" si="57"/>
        <v/>
      </c>
      <c r="G554" s="27" t="str">
        <f t="shared" si="58"/>
        <v/>
      </c>
      <c r="H554" s="24" t="str">
        <f>IF($A554&gt;nrows,"",IF(col_s1=0,0,--(LEN(INDEX('Paste Export'!$A$2:$BZ$1001,$A554,col_s1))&gt;0))+IF(col_s2=0,0,--(LEN(INDEX('Paste Export'!$A$2:$BZ$1001,$A554,col_s2))&gt;0))+IF(col_s3=0,0,--(LEN(INDEX('Paste Export'!$A$2:$BZ$1001,$A554,col_s3))&gt;0))+IF(col_s4=0,0,--(LEN(INDEX('Paste Export'!$A$2:$BZ$1001,$A554,col_s4))&gt;0))+IF(col_s5=0,0,--(LEN(INDEX('Paste Export'!$A$2:$BZ$1001,$A554,col_s5))&gt;0))+IF(col_s6=0,0,--(LEN(INDEX('Paste Export'!$A$2:$BZ$1001,$A554,col_s6))&gt;0))+IF(col_s7=0,0,--(LEN(INDEX('Paste Export'!$A$2:$BZ$1001,$A554,col_s7))&gt;0))+IF(col_s8=0,0,--(LEN(INDEX('Paste Export'!$A$2:$BZ$1001,$A554,col_s8))&gt;0)))</f>
        <v/>
      </c>
      <c r="I554" s="25" t="str">
        <f t="shared" si="59"/>
        <v/>
      </c>
      <c r="J554" s="25" t="str">
        <f t="shared" si="60"/>
        <v/>
      </c>
      <c r="K554" s="24" t="str">
        <f t="shared" si="61"/>
        <v/>
      </c>
      <c r="L554" s="24" t="str">
        <f t="shared" si="62"/>
        <v/>
      </c>
    </row>
    <row r="555" spans="1:12" x14ac:dyDescent="0.25">
      <c r="A555" s="24">
        <f t="shared" si="56"/>
        <v>554</v>
      </c>
      <c r="B555" s="25" t="str">
        <f>IF($A555&gt;nrows,"",IF(col_user=0,"",INDEX('Paste Export'!$A$2:$BZ$1001,$A555,col_user)))</f>
        <v/>
      </c>
      <c r="C555" s="24" t="str">
        <f>IF($A555&gt;nrows,"",IF(col_days=0,0,N(INDEX('Paste Export'!$A$2:$BZ$1001,$A555,col_days))))</f>
        <v/>
      </c>
      <c r="D555" s="24" t="str">
        <f>IF($A555&gt;nrows,"",IF(col_prompts=0,0,N(INDEX('Paste Export'!$A$2:$BZ$1001,$A555,col_prompts))))</f>
        <v/>
      </c>
      <c r="E555" s="24" t="str">
        <f>IF($A555&gt;nrows,"",IF(col_web=0,0,N(INDEX('Paste Export'!$A$2:$BZ$1001,$A555,col_web))))</f>
        <v/>
      </c>
      <c r="F555" s="26" t="str">
        <f t="shared" si="57"/>
        <v/>
      </c>
      <c r="G555" s="27" t="str">
        <f t="shared" si="58"/>
        <v/>
      </c>
      <c r="H555" s="24" t="str">
        <f>IF($A555&gt;nrows,"",IF(col_s1=0,0,--(LEN(INDEX('Paste Export'!$A$2:$BZ$1001,$A555,col_s1))&gt;0))+IF(col_s2=0,0,--(LEN(INDEX('Paste Export'!$A$2:$BZ$1001,$A555,col_s2))&gt;0))+IF(col_s3=0,0,--(LEN(INDEX('Paste Export'!$A$2:$BZ$1001,$A555,col_s3))&gt;0))+IF(col_s4=0,0,--(LEN(INDEX('Paste Export'!$A$2:$BZ$1001,$A555,col_s4))&gt;0))+IF(col_s5=0,0,--(LEN(INDEX('Paste Export'!$A$2:$BZ$1001,$A555,col_s5))&gt;0))+IF(col_s6=0,0,--(LEN(INDEX('Paste Export'!$A$2:$BZ$1001,$A555,col_s6))&gt;0))+IF(col_s7=0,0,--(LEN(INDEX('Paste Export'!$A$2:$BZ$1001,$A555,col_s7))&gt;0))+IF(col_s8=0,0,--(LEN(INDEX('Paste Export'!$A$2:$BZ$1001,$A555,col_s8))&gt;0)))</f>
        <v/>
      </c>
      <c r="I555" s="25" t="str">
        <f t="shared" si="59"/>
        <v/>
      </c>
      <c r="J555" s="25" t="str">
        <f t="shared" si="60"/>
        <v/>
      </c>
      <c r="K555" s="24" t="str">
        <f t="shared" si="61"/>
        <v/>
      </c>
      <c r="L555" s="24" t="str">
        <f t="shared" si="62"/>
        <v/>
      </c>
    </row>
    <row r="556" spans="1:12" x14ac:dyDescent="0.25">
      <c r="A556" s="24">
        <f t="shared" si="56"/>
        <v>555</v>
      </c>
      <c r="B556" s="25" t="str">
        <f>IF($A556&gt;nrows,"",IF(col_user=0,"",INDEX('Paste Export'!$A$2:$BZ$1001,$A556,col_user)))</f>
        <v/>
      </c>
      <c r="C556" s="24" t="str">
        <f>IF($A556&gt;nrows,"",IF(col_days=0,0,N(INDEX('Paste Export'!$A$2:$BZ$1001,$A556,col_days))))</f>
        <v/>
      </c>
      <c r="D556" s="24" t="str">
        <f>IF($A556&gt;nrows,"",IF(col_prompts=0,0,N(INDEX('Paste Export'!$A$2:$BZ$1001,$A556,col_prompts))))</f>
        <v/>
      </c>
      <c r="E556" s="24" t="str">
        <f>IF($A556&gt;nrows,"",IF(col_web=0,0,N(INDEX('Paste Export'!$A$2:$BZ$1001,$A556,col_web))))</f>
        <v/>
      </c>
      <c r="F556" s="26" t="str">
        <f t="shared" si="57"/>
        <v/>
      </c>
      <c r="G556" s="27" t="str">
        <f t="shared" si="58"/>
        <v/>
      </c>
      <c r="H556" s="24" t="str">
        <f>IF($A556&gt;nrows,"",IF(col_s1=0,0,--(LEN(INDEX('Paste Export'!$A$2:$BZ$1001,$A556,col_s1))&gt;0))+IF(col_s2=0,0,--(LEN(INDEX('Paste Export'!$A$2:$BZ$1001,$A556,col_s2))&gt;0))+IF(col_s3=0,0,--(LEN(INDEX('Paste Export'!$A$2:$BZ$1001,$A556,col_s3))&gt;0))+IF(col_s4=0,0,--(LEN(INDEX('Paste Export'!$A$2:$BZ$1001,$A556,col_s4))&gt;0))+IF(col_s5=0,0,--(LEN(INDEX('Paste Export'!$A$2:$BZ$1001,$A556,col_s5))&gt;0))+IF(col_s6=0,0,--(LEN(INDEX('Paste Export'!$A$2:$BZ$1001,$A556,col_s6))&gt;0))+IF(col_s7=0,0,--(LEN(INDEX('Paste Export'!$A$2:$BZ$1001,$A556,col_s7))&gt;0))+IF(col_s8=0,0,--(LEN(INDEX('Paste Export'!$A$2:$BZ$1001,$A556,col_s8))&gt;0)))</f>
        <v/>
      </c>
      <c r="I556" s="25" t="str">
        <f t="shared" si="59"/>
        <v/>
      </c>
      <c r="J556" s="25" t="str">
        <f t="shared" si="60"/>
        <v/>
      </c>
      <c r="K556" s="24" t="str">
        <f t="shared" si="61"/>
        <v/>
      </c>
      <c r="L556" s="24" t="str">
        <f t="shared" si="62"/>
        <v/>
      </c>
    </row>
    <row r="557" spans="1:12" x14ac:dyDescent="0.25">
      <c r="A557" s="24">
        <f t="shared" si="56"/>
        <v>556</v>
      </c>
      <c r="B557" s="25" t="str">
        <f>IF($A557&gt;nrows,"",IF(col_user=0,"",INDEX('Paste Export'!$A$2:$BZ$1001,$A557,col_user)))</f>
        <v/>
      </c>
      <c r="C557" s="24" t="str">
        <f>IF($A557&gt;nrows,"",IF(col_days=0,0,N(INDEX('Paste Export'!$A$2:$BZ$1001,$A557,col_days))))</f>
        <v/>
      </c>
      <c r="D557" s="24" t="str">
        <f>IF($A557&gt;nrows,"",IF(col_prompts=0,0,N(INDEX('Paste Export'!$A$2:$BZ$1001,$A557,col_prompts))))</f>
        <v/>
      </c>
      <c r="E557" s="24" t="str">
        <f>IF($A557&gt;nrows,"",IF(col_web=0,0,N(INDEX('Paste Export'!$A$2:$BZ$1001,$A557,col_web))))</f>
        <v/>
      </c>
      <c r="F557" s="26" t="str">
        <f t="shared" si="57"/>
        <v/>
      </c>
      <c r="G557" s="27" t="str">
        <f t="shared" si="58"/>
        <v/>
      </c>
      <c r="H557" s="24" t="str">
        <f>IF($A557&gt;nrows,"",IF(col_s1=0,0,--(LEN(INDEX('Paste Export'!$A$2:$BZ$1001,$A557,col_s1))&gt;0))+IF(col_s2=0,0,--(LEN(INDEX('Paste Export'!$A$2:$BZ$1001,$A557,col_s2))&gt;0))+IF(col_s3=0,0,--(LEN(INDEX('Paste Export'!$A$2:$BZ$1001,$A557,col_s3))&gt;0))+IF(col_s4=0,0,--(LEN(INDEX('Paste Export'!$A$2:$BZ$1001,$A557,col_s4))&gt;0))+IF(col_s5=0,0,--(LEN(INDEX('Paste Export'!$A$2:$BZ$1001,$A557,col_s5))&gt;0))+IF(col_s6=0,0,--(LEN(INDEX('Paste Export'!$A$2:$BZ$1001,$A557,col_s6))&gt;0))+IF(col_s7=0,0,--(LEN(INDEX('Paste Export'!$A$2:$BZ$1001,$A557,col_s7))&gt;0))+IF(col_s8=0,0,--(LEN(INDEX('Paste Export'!$A$2:$BZ$1001,$A557,col_s8))&gt;0)))</f>
        <v/>
      </c>
      <c r="I557" s="25" t="str">
        <f t="shared" si="59"/>
        <v/>
      </c>
      <c r="J557" s="25" t="str">
        <f t="shared" si="60"/>
        <v/>
      </c>
      <c r="K557" s="24" t="str">
        <f t="shared" si="61"/>
        <v/>
      </c>
      <c r="L557" s="24" t="str">
        <f t="shared" si="62"/>
        <v/>
      </c>
    </row>
    <row r="558" spans="1:12" x14ac:dyDescent="0.25">
      <c r="A558" s="24">
        <f t="shared" si="56"/>
        <v>557</v>
      </c>
      <c r="B558" s="25" t="str">
        <f>IF($A558&gt;nrows,"",IF(col_user=0,"",INDEX('Paste Export'!$A$2:$BZ$1001,$A558,col_user)))</f>
        <v/>
      </c>
      <c r="C558" s="24" t="str">
        <f>IF($A558&gt;nrows,"",IF(col_days=0,0,N(INDEX('Paste Export'!$A$2:$BZ$1001,$A558,col_days))))</f>
        <v/>
      </c>
      <c r="D558" s="24" t="str">
        <f>IF($A558&gt;nrows,"",IF(col_prompts=0,0,N(INDEX('Paste Export'!$A$2:$BZ$1001,$A558,col_prompts))))</f>
        <v/>
      </c>
      <c r="E558" s="24" t="str">
        <f>IF($A558&gt;nrows,"",IF(col_web=0,0,N(INDEX('Paste Export'!$A$2:$BZ$1001,$A558,col_web))))</f>
        <v/>
      </c>
      <c r="F558" s="26" t="str">
        <f t="shared" si="57"/>
        <v/>
      </c>
      <c r="G558" s="27" t="str">
        <f t="shared" si="58"/>
        <v/>
      </c>
      <c r="H558" s="24" t="str">
        <f>IF($A558&gt;nrows,"",IF(col_s1=0,0,--(LEN(INDEX('Paste Export'!$A$2:$BZ$1001,$A558,col_s1))&gt;0))+IF(col_s2=0,0,--(LEN(INDEX('Paste Export'!$A$2:$BZ$1001,$A558,col_s2))&gt;0))+IF(col_s3=0,0,--(LEN(INDEX('Paste Export'!$A$2:$BZ$1001,$A558,col_s3))&gt;0))+IF(col_s4=0,0,--(LEN(INDEX('Paste Export'!$A$2:$BZ$1001,$A558,col_s4))&gt;0))+IF(col_s5=0,0,--(LEN(INDEX('Paste Export'!$A$2:$BZ$1001,$A558,col_s5))&gt;0))+IF(col_s6=0,0,--(LEN(INDEX('Paste Export'!$A$2:$BZ$1001,$A558,col_s6))&gt;0))+IF(col_s7=0,0,--(LEN(INDEX('Paste Export'!$A$2:$BZ$1001,$A558,col_s7))&gt;0))+IF(col_s8=0,0,--(LEN(INDEX('Paste Export'!$A$2:$BZ$1001,$A558,col_s8))&gt;0)))</f>
        <v/>
      </c>
      <c r="I558" s="25" t="str">
        <f t="shared" si="59"/>
        <v/>
      </c>
      <c r="J558" s="25" t="str">
        <f t="shared" si="60"/>
        <v/>
      </c>
      <c r="K558" s="24" t="str">
        <f t="shared" si="61"/>
        <v/>
      </c>
      <c r="L558" s="24" t="str">
        <f t="shared" si="62"/>
        <v/>
      </c>
    </row>
    <row r="559" spans="1:12" x14ac:dyDescent="0.25">
      <c r="A559" s="24">
        <f t="shared" si="56"/>
        <v>558</v>
      </c>
      <c r="B559" s="25" t="str">
        <f>IF($A559&gt;nrows,"",IF(col_user=0,"",INDEX('Paste Export'!$A$2:$BZ$1001,$A559,col_user)))</f>
        <v/>
      </c>
      <c r="C559" s="24" t="str">
        <f>IF($A559&gt;nrows,"",IF(col_days=0,0,N(INDEX('Paste Export'!$A$2:$BZ$1001,$A559,col_days))))</f>
        <v/>
      </c>
      <c r="D559" s="24" t="str">
        <f>IF($A559&gt;nrows,"",IF(col_prompts=0,0,N(INDEX('Paste Export'!$A$2:$BZ$1001,$A559,col_prompts))))</f>
        <v/>
      </c>
      <c r="E559" s="24" t="str">
        <f>IF($A559&gt;nrows,"",IF(col_web=0,0,N(INDEX('Paste Export'!$A$2:$BZ$1001,$A559,col_web))))</f>
        <v/>
      </c>
      <c r="F559" s="26" t="str">
        <f t="shared" si="57"/>
        <v/>
      </c>
      <c r="G559" s="27" t="str">
        <f t="shared" si="58"/>
        <v/>
      </c>
      <c r="H559" s="24" t="str">
        <f>IF($A559&gt;nrows,"",IF(col_s1=0,0,--(LEN(INDEX('Paste Export'!$A$2:$BZ$1001,$A559,col_s1))&gt;0))+IF(col_s2=0,0,--(LEN(INDEX('Paste Export'!$A$2:$BZ$1001,$A559,col_s2))&gt;0))+IF(col_s3=0,0,--(LEN(INDEX('Paste Export'!$A$2:$BZ$1001,$A559,col_s3))&gt;0))+IF(col_s4=0,0,--(LEN(INDEX('Paste Export'!$A$2:$BZ$1001,$A559,col_s4))&gt;0))+IF(col_s5=0,0,--(LEN(INDEX('Paste Export'!$A$2:$BZ$1001,$A559,col_s5))&gt;0))+IF(col_s6=0,0,--(LEN(INDEX('Paste Export'!$A$2:$BZ$1001,$A559,col_s6))&gt;0))+IF(col_s7=0,0,--(LEN(INDEX('Paste Export'!$A$2:$BZ$1001,$A559,col_s7))&gt;0))+IF(col_s8=0,0,--(LEN(INDEX('Paste Export'!$A$2:$BZ$1001,$A559,col_s8))&gt;0)))</f>
        <v/>
      </c>
      <c r="I559" s="25" t="str">
        <f t="shared" si="59"/>
        <v/>
      </c>
      <c r="J559" s="25" t="str">
        <f t="shared" si="60"/>
        <v/>
      </c>
      <c r="K559" s="24" t="str">
        <f t="shared" si="61"/>
        <v/>
      </c>
      <c r="L559" s="24" t="str">
        <f t="shared" si="62"/>
        <v/>
      </c>
    </row>
    <row r="560" spans="1:12" x14ac:dyDescent="0.25">
      <c r="A560" s="24">
        <f t="shared" si="56"/>
        <v>559</v>
      </c>
      <c r="B560" s="25" t="str">
        <f>IF($A560&gt;nrows,"",IF(col_user=0,"",INDEX('Paste Export'!$A$2:$BZ$1001,$A560,col_user)))</f>
        <v/>
      </c>
      <c r="C560" s="24" t="str">
        <f>IF($A560&gt;nrows,"",IF(col_days=0,0,N(INDEX('Paste Export'!$A$2:$BZ$1001,$A560,col_days))))</f>
        <v/>
      </c>
      <c r="D560" s="24" t="str">
        <f>IF($A560&gt;nrows,"",IF(col_prompts=0,0,N(INDEX('Paste Export'!$A$2:$BZ$1001,$A560,col_prompts))))</f>
        <v/>
      </c>
      <c r="E560" s="24" t="str">
        <f>IF($A560&gt;nrows,"",IF(col_web=0,0,N(INDEX('Paste Export'!$A$2:$BZ$1001,$A560,col_web))))</f>
        <v/>
      </c>
      <c r="F560" s="26" t="str">
        <f t="shared" si="57"/>
        <v/>
      </c>
      <c r="G560" s="27" t="str">
        <f t="shared" si="58"/>
        <v/>
      </c>
      <c r="H560" s="24" t="str">
        <f>IF($A560&gt;nrows,"",IF(col_s1=0,0,--(LEN(INDEX('Paste Export'!$A$2:$BZ$1001,$A560,col_s1))&gt;0))+IF(col_s2=0,0,--(LEN(INDEX('Paste Export'!$A$2:$BZ$1001,$A560,col_s2))&gt;0))+IF(col_s3=0,0,--(LEN(INDEX('Paste Export'!$A$2:$BZ$1001,$A560,col_s3))&gt;0))+IF(col_s4=0,0,--(LEN(INDEX('Paste Export'!$A$2:$BZ$1001,$A560,col_s4))&gt;0))+IF(col_s5=0,0,--(LEN(INDEX('Paste Export'!$A$2:$BZ$1001,$A560,col_s5))&gt;0))+IF(col_s6=0,0,--(LEN(INDEX('Paste Export'!$A$2:$BZ$1001,$A560,col_s6))&gt;0))+IF(col_s7=0,0,--(LEN(INDEX('Paste Export'!$A$2:$BZ$1001,$A560,col_s7))&gt;0))+IF(col_s8=0,0,--(LEN(INDEX('Paste Export'!$A$2:$BZ$1001,$A560,col_s8))&gt;0)))</f>
        <v/>
      </c>
      <c r="I560" s="25" t="str">
        <f t="shared" si="59"/>
        <v/>
      </c>
      <c r="J560" s="25" t="str">
        <f t="shared" si="60"/>
        <v/>
      </c>
      <c r="K560" s="24" t="str">
        <f t="shared" si="61"/>
        <v/>
      </c>
      <c r="L560" s="24" t="str">
        <f t="shared" si="62"/>
        <v/>
      </c>
    </row>
    <row r="561" spans="1:12" x14ac:dyDescent="0.25">
      <c r="A561" s="24">
        <f t="shared" si="56"/>
        <v>560</v>
      </c>
      <c r="B561" s="25" t="str">
        <f>IF($A561&gt;nrows,"",IF(col_user=0,"",INDEX('Paste Export'!$A$2:$BZ$1001,$A561,col_user)))</f>
        <v/>
      </c>
      <c r="C561" s="24" t="str">
        <f>IF($A561&gt;nrows,"",IF(col_days=0,0,N(INDEX('Paste Export'!$A$2:$BZ$1001,$A561,col_days))))</f>
        <v/>
      </c>
      <c r="D561" s="24" t="str">
        <f>IF($A561&gt;nrows,"",IF(col_prompts=0,0,N(INDEX('Paste Export'!$A$2:$BZ$1001,$A561,col_prompts))))</f>
        <v/>
      </c>
      <c r="E561" s="24" t="str">
        <f>IF($A561&gt;nrows,"",IF(col_web=0,0,N(INDEX('Paste Export'!$A$2:$BZ$1001,$A561,col_web))))</f>
        <v/>
      </c>
      <c r="F561" s="26" t="str">
        <f t="shared" si="57"/>
        <v/>
      </c>
      <c r="G561" s="27" t="str">
        <f t="shared" si="58"/>
        <v/>
      </c>
      <c r="H561" s="24" t="str">
        <f>IF($A561&gt;nrows,"",IF(col_s1=0,0,--(LEN(INDEX('Paste Export'!$A$2:$BZ$1001,$A561,col_s1))&gt;0))+IF(col_s2=0,0,--(LEN(INDEX('Paste Export'!$A$2:$BZ$1001,$A561,col_s2))&gt;0))+IF(col_s3=0,0,--(LEN(INDEX('Paste Export'!$A$2:$BZ$1001,$A561,col_s3))&gt;0))+IF(col_s4=0,0,--(LEN(INDEX('Paste Export'!$A$2:$BZ$1001,$A561,col_s4))&gt;0))+IF(col_s5=0,0,--(LEN(INDEX('Paste Export'!$A$2:$BZ$1001,$A561,col_s5))&gt;0))+IF(col_s6=0,0,--(LEN(INDEX('Paste Export'!$A$2:$BZ$1001,$A561,col_s6))&gt;0))+IF(col_s7=0,0,--(LEN(INDEX('Paste Export'!$A$2:$BZ$1001,$A561,col_s7))&gt;0))+IF(col_s8=0,0,--(LEN(INDEX('Paste Export'!$A$2:$BZ$1001,$A561,col_s8))&gt;0)))</f>
        <v/>
      </c>
      <c r="I561" s="25" t="str">
        <f t="shared" si="59"/>
        <v/>
      </c>
      <c r="J561" s="25" t="str">
        <f t="shared" si="60"/>
        <v/>
      </c>
      <c r="K561" s="24" t="str">
        <f t="shared" si="61"/>
        <v/>
      </c>
      <c r="L561" s="24" t="str">
        <f t="shared" si="62"/>
        <v/>
      </c>
    </row>
    <row r="562" spans="1:12" x14ac:dyDescent="0.25">
      <c r="A562" s="24">
        <f t="shared" si="56"/>
        <v>561</v>
      </c>
      <c r="B562" s="25" t="str">
        <f>IF($A562&gt;nrows,"",IF(col_user=0,"",INDEX('Paste Export'!$A$2:$BZ$1001,$A562,col_user)))</f>
        <v/>
      </c>
      <c r="C562" s="24" t="str">
        <f>IF($A562&gt;nrows,"",IF(col_days=0,0,N(INDEX('Paste Export'!$A$2:$BZ$1001,$A562,col_days))))</f>
        <v/>
      </c>
      <c r="D562" s="24" t="str">
        <f>IF($A562&gt;nrows,"",IF(col_prompts=0,0,N(INDEX('Paste Export'!$A$2:$BZ$1001,$A562,col_prompts))))</f>
        <v/>
      </c>
      <c r="E562" s="24" t="str">
        <f>IF($A562&gt;nrows,"",IF(col_web=0,0,N(INDEX('Paste Export'!$A$2:$BZ$1001,$A562,col_web))))</f>
        <v/>
      </c>
      <c r="F562" s="26" t="str">
        <f t="shared" si="57"/>
        <v/>
      </c>
      <c r="G562" s="27" t="str">
        <f t="shared" si="58"/>
        <v/>
      </c>
      <c r="H562" s="24" t="str">
        <f>IF($A562&gt;nrows,"",IF(col_s1=0,0,--(LEN(INDEX('Paste Export'!$A$2:$BZ$1001,$A562,col_s1))&gt;0))+IF(col_s2=0,0,--(LEN(INDEX('Paste Export'!$A$2:$BZ$1001,$A562,col_s2))&gt;0))+IF(col_s3=0,0,--(LEN(INDEX('Paste Export'!$A$2:$BZ$1001,$A562,col_s3))&gt;0))+IF(col_s4=0,0,--(LEN(INDEX('Paste Export'!$A$2:$BZ$1001,$A562,col_s4))&gt;0))+IF(col_s5=0,0,--(LEN(INDEX('Paste Export'!$A$2:$BZ$1001,$A562,col_s5))&gt;0))+IF(col_s6=0,0,--(LEN(INDEX('Paste Export'!$A$2:$BZ$1001,$A562,col_s6))&gt;0))+IF(col_s7=0,0,--(LEN(INDEX('Paste Export'!$A$2:$BZ$1001,$A562,col_s7))&gt;0))+IF(col_s8=0,0,--(LEN(INDEX('Paste Export'!$A$2:$BZ$1001,$A562,col_s8))&gt;0)))</f>
        <v/>
      </c>
      <c r="I562" s="25" t="str">
        <f t="shared" si="59"/>
        <v/>
      </c>
      <c r="J562" s="25" t="str">
        <f t="shared" si="60"/>
        <v/>
      </c>
      <c r="K562" s="24" t="str">
        <f t="shared" si="61"/>
        <v/>
      </c>
      <c r="L562" s="24" t="str">
        <f t="shared" si="62"/>
        <v/>
      </c>
    </row>
    <row r="563" spans="1:12" x14ac:dyDescent="0.25">
      <c r="A563" s="24">
        <f t="shared" si="56"/>
        <v>562</v>
      </c>
      <c r="B563" s="25" t="str">
        <f>IF($A563&gt;nrows,"",IF(col_user=0,"",INDEX('Paste Export'!$A$2:$BZ$1001,$A563,col_user)))</f>
        <v/>
      </c>
      <c r="C563" s="24" t="str">
        <f>IF($A563&gt;nrows,"",IF(col_days=0,0,N(INDEX('Paste Export'!$A$2:$BZ$1001,$A563,col_days))))</f>
        <v/>
      </c>
      <c r="D563" s="24" t="str">
        <f>IF($A563&gt;nrows,"",IF(col_prompts=0,0,N(INDEX('Paste Export'!$A$2:$BZ$1001,$A563,col_prompts))))</f>
        <v/>
      </c>
      <c r="E563" s="24" t="str">
        <f>IF($A563&gt;nrows,"",IF(col_web=0,0,N(INDEX('Paste Export'!$A$2:$BZ$1001,$A563,col_web))))</f>
        <v/>
      </c>
      <c r="F563" s="26" t="str">
        <f t="shared" si="57"/>
        <v/>
      </c>
      <c r="G563" s="27" t="str">
        <f t="shared" si="58"/>
        <v/>
      </c>
      <c r="H563" s="24" t="str">
        <f>IF($A563&gt;nrows,"",IF(col_s1=0,0,--(LEN(INDEX('Paste Export'!$A$2:$BZ$1001,$A563,col_s1))&gt;0))+IF(col_s2=0,0,--(LEN(INDEX('Paste Export'!$A$2:$BZ$1001,$A563,col_s2))&gt;0))+IF(col_s3=0,0,--(LEN(INDEX('Paste Export'!$A$2:$BZ$1001,$A563,col_s3))&gt;0))+IF(col_s4=0,0,--(LEN(INDEX('Paste Export'!$A$2:$BZ$1001,$A563,col_s4))&gt;0))+IF(col_s5=0,0,--(LEN(INDEX('Paste Export'!$A$2:$BZ$1001,$A563,col_s5))&gt;0))+IF(col_s6=0,0,--(LEN(INDEX('Paste Export'!$A$2:$BZ$1001,$A563,col_s6))&gt;0))+IF(col_s7=0,0,--(LEN(INDEX('Paste Export'!$A$2:$BZ$1001,$A563,col_s7))&gt;0))+IF(col_s8=0,0,--(LEN(INDEX('Paste Export'!$A$2:$BZ$1001,$A563,col_s8))&gt;0)))</f>
        <v/>
      </c>
      <c r="I563" s="25" t="str">
        <f t="shared" si="59"/>
        <v/>
      </c>
      <c r="J563" s="25" t="str">
        <f t="shared" si="60"/>
        <v/>
      </c>
      <c r="K563" s="24" t="str">
        <f t="shared" si="61"/>
        <v/>
      </c>
      <c r="L563" s="24" t="str">
        <f t="shared" si="62"/>
        <v/>
      </c>
    </row>
    <row r="564" spans="1:12" x14ac:dyDescent="0.25">
      <c r="A564" s="24">
        <f t="shared" si="56"/>
        <v>563</v>
      </c>
      <c r="B564" s="25" t="str">
        <f>IF($A564&gt;nrows,"",IF(col_user=0,"",INDEX('Paste Export'!$A$2:$BZ$1001,$A564,col_user)))</f>
        <v/>
      </c>
      <c r="C564" s="24" t="str">
        <f>IF($A564&gt;nrows,"",IF(col_days=0,0,N(INDEX('Paste Export'!$A$2:$BZ$1001,$A564,col_days))))</f>
        <v/>
      </c>
      <c r="D564" s="24" t="str">
        <f>IF($A564&gt;nrows,"",IF(col_prompts=0,0,N(INDEX('Paste Export'!$A$2:$BZ$1001,$A564,col_prompts))))</f>
        <v/>
      </c>
      <c r="E564" s="24" t="str">
        <f>IF($A564&gt;nrows,"",IF(col_web=0,0,N(INDEX('Paste Export'!$A$2:$BZ$1001,$A564,col_web))))</f>
        <v/>
      </c>
      <c r="F564" s="26" t="str">
        <f t="shared" si="57"/>
        <v/>
      </c>
      <c r="G564" s="27" t="str">
        <f t="shared" si="58"/>
        <v/>
      </c>
      <c r="H564" s="24" t="str">
        <f>IF($A564&gt;nrows,"",IF(col_s1=0,0,--(LEN(INDEX('Paste Export'!$A$2:$BZ$1001,$A564,col_s1))&gt;0))+IF(col_s2=0,0,--(LEN(INDEX('Paste Export'!$A$2:$BZ$1001,$A564,col_s2))&gt;0))+IF(col_s3=0,0,--(LEN(INDEX('Paste Export'!$A$2:$BZ$1001,$A564,col_s3))&gt;0))+IF(col_s4=0,0,--(LEN(INDEX('Paste Export'!$A$2:$BZ$1001,$A564,col_s4))&gt;0))+IF(col_s5=0,0,--(LEN(INDEX('Paste Export'!$A$2:$BZ$1001,$A564,col_s5))&gt;0))+IF(col_s6=0,0,--(LEN(INDEX('Paste Export'!$A$2:$BZ$1001,$A564,col_s6))&gt;0))+IF(col_s7=0,0,--(LEN(INDEX('Paste Export'!$A$2:$BZ$1001,$A564,col_s7))&gt;0))+IF(col_s8=0,0,--(LEN(INDEX('Paste Export'!$A$2:$BZ$1001,$A564,col_s8))&gt;0)))</f>
        <v/>
      </c>
      <c r="I564" s="25" t="str">
        <f t="shared" si="59"/>
        <v/>
      </c>
      <c r="J564" s="25" t="str">
        <f t="shared" si="60"/>
        <v/>
      </c>
      <c r="K564" s="24" t="str">
        <f t="shared" si="61"/>
        <v/>
      </c>
      <c r="L564" s="24" t="str">
        <f t="shared" si="62"/>
        <v/>
      </c>
    </row>
    <row r="565" spans="1:12" x14ac:dyDescent="0.25">
      <c r="A565" s="24">
        <f t="shared" si="56"/>
        <v>564</v>
      </c>
      <c r="B565" s="25" t="str">
        <f>IF($A565&gt;nrows,"",IF(col_user=0,"",INDEX('Paste Export'!$A$2:$BZ$1001,$A565,col_user)))</f>
        <v/>
      </c>
      <c r="C565" s="24" t="str">
        <f>IF($A565&gt;nrows,"",IF(col_days=0,0,N(INDEX('Paste Export'!$A$2:$BZ$1001,$A565,col_days))))</f>
        <v/>
      </c>
      <c r="D565" s="24" t="str">
        <f>IF($A565&gt;nrows,"",IF(col_prompts=0,0,N(INDEX('Paste Export'!$A$2:$BZ$1001,$A565,col_prompts))))</f>
        <v/>
      </c>
      <c r="E565" s="24" t="str">
        <f>IF($A565&gt;nrows,"",IF(col_web=0,0,N(INDEX('Paste Export'!$A$2:$BZ$1001,$A565,col_web))))</f>
        <v/>
      </c>
      <c r="F565" s="26" t="str">
        <f t="shared" si="57"/>
        <v/>
      </c>
      <c r="G565" s="27" t="str">
        <f t="shared" si="58"/>
        <v/>
      </c>
      <c r="H565" s="24" t="str">
        <f>IF($A565&gt;nrows,"",IF(col_s1=0,0,--(LEN(INDEX('Paste Export'!$A$2:$BZ$1001,$A565,col_s1))&gt;0))+IF(col_s2=0,0,--(LEN(INDEX('Paste Export'!$A$2:$BZ$1001,$A565,col_s2))&gt;0))+IF(col_s3=0,0,--(LEN(INDEX('Paste Export'!$A$2:$BZ$1001,$A565,col_s3))&gt;0))+IF(col_s4=0,0,--(LEN(INDEX('Paste Export'!$A$2:$BZ$1001,$A565,col_s4))&gt;0))+IF(col_s5=0,0,--(LEN(INDEX('Paste Export'!$A$2:$BZ$1001,$A565,col_s5))&gt;0))+IF(col_s6=0,0,--(LEN(INDEX('Paste Export'!$A$2:$BZ$1001,$A565,col_s6))&gt;0))+IF(col_s7=0,0,--(LEN(INDEX('Paste Export'!$A$2:$BZ$1001,$A565,col_s7))&gt;0))+IF(col_s8=0,0,--(LEN(INDEX('Paste Export'!$A$2:$BZ$1001,$A565,col_s8))&gt;0)))</f>
        <v/>
      </c>
      <c r="I565" s="25" t="str">
        <f t="shared" si="59"/>
        <v/>
      </c>
      <c r="J565" s="25" t="str">
        <f t="shared" si="60"/>
        <v/>
      </c>
      <c r="K565" s="24" t="str">
        <f t="shared" si="61"/>
        <v/>
      </c>
      <c r="L565" s="24" t="str">
        <f t="shared" si="62"/>
        <v/>
      </c>
    </row>
    <row r="566" spans="1:12" x14ac:dyDescent="0.25">
      <c r="A566" s="24">
        <f t="shared" si="56"/>
        <v>565</v>
      </c>
      <c r="B566" s="25" t="str">
        <f>IF($A566&gt;nrows,"",IF(col_user=0,"",INDEX('Paste Export'!$A$2:$BZ$1001,$A566,col_user)))</f>
        <v/>
      </c>
      <c r="C566" s="24" t="str">
        <f>IF($A566&gt;nrows,"",IF(col_days=0,0,N(INDEX('Paste Export'!$A$2:$BZ$1001,$A566,col_days))))</f>
        <v/>
      </c>
      <c r="D566" s="24" t="str">
        <f>IF($A566&gt;nrows,"",IF(col_prompts=0,0,N(INDEX('Paste Export'!$A$2:$BZ$1001,$A566,col_prompts))))</f>
        <v/>
      </c>
      <c r="E566" s="24" t="str">
        <f>IF($A566&gt;nrows,"",IF(col_web=0,0,N(INDEX('Paste Export'!$A$2:$BZ$1001,$A566,col_web))))</f>
        <v/>
      </c>
      <c r="F566" s="26" t="str">
        <f t="shared" si="57"/>
        <v/>
      </c>
      <c r="G566" s="27" t="str">
        <f t="shared" si="58"/>
        <v/>
      </c>
      <c r="H566" s="24" t="str">
        <f>IF($A566&gt;nrows,"",IF(col_s1=0,0,--(LEN(INDEX('Paste Export'!$A$2:$BZ$1001,$A566,col_s1))&gt;0))+IF(col_s2=0,0,--(LEN(INDEX('Paste Export'!$A$2:$BZ$1001,$A566,col_s2))&gt;0))+IF(col_s3=0,0,--(LEN(INDEX('Paste Export'!$A$2:$BZ$1001,$A566,col_s3))&gt;0))+IF(col_s4=0,0,--(LEN(INDEX('Paste Export'!$A$2:$BZ$1001,$A566,col_s4))&gt;0))+IF(col_s5=0,0,--(LEN(INDEX('Paste Export'!$A$2:$BZ$1001,$A566,col_s5))&gt;0))+IF(col_s6=0,0,--(LEN(INDEX('Paste Export'!$A$2:$BZ$1001,$A566,col_s6))&gt;0))+IF(col_s7=0,0,--(LEN(INDEX('Paste Export'!$A$2:$BZ$1001,$A566,col_s7))&gt;0))+IF(col_s8=0,0,--(LEN(INDEX('Paste Export'!$A$2:$BZ$1001,$A566,col_s8))&gt;0)))</f>
        <v/>
      </c>
      <c r="I566" s="25" t="str">
        <f t="shared" si="59"/>
        <v/>
      </c>
      <c r="J566" s="25" t="str">
        <f t="shared" si="60"/>
        <v/>
      </c>
      <c r="K566" s="24" t="str">
        <f t="shared" si="61"/>
        <v/>
      </c>
      <c r="L566" s="24" t="str">
        <f t="shared" si="62"/>
        <v/>
      </c>
    </row>
    <row r="567" spans="1:12" x14ac:dyDescent="0.25">
      <c r="A567" s="24">
        <f t="shared" si="56"/>
        <v>566</v>
      </c>
      <c r="B567" s="25" t="str">
        <f>IF($A567&gt;nrows,"",IF(col_user=0,"",INDEX('Paste Export'!$A$2:$BZ$1001,$A567,col_user)))</f>
        <v/>
      </c>
      <c r="C567" s="24" t="str">
        <f>IF($A567&gt;nrows,"",IF(col_days=0,0,N(INDEX('Paste Export'!$A$2:$BZ$1001,$A567,col_days))))</f>
        <v/>
      </c>
      <c r="D567" s="24" t="str">
        <f>IF($A567&gt;nrows,"",IF(col_prompts=0,0,N(INDEX('Paste Export'!$A$2:$BZ$1001,$A567,col_prompts))))</f>
        <v/>
      </c>
      <c r="E567" s="24" t="str">
        <f>IF($A567&gt;nrows,"",IF(col_web=0,0,N(INDEX('Paste Export'!$A$2:$BZ$1001,$A567,col_web))))</f>
        <v/>
      </c>
      <c r="F567" s="26" t="str">
        <f t="shared" si="57"/>
        <v/>
      </c>
      <c r="G567" s="27" t="str">
        <f t="shared" si="58"/>
        <v/>
      </c>
      <c r="H567" s="24" t="str">
        <f>IF($A567&gt;nrows,"",IF(col_s1=0,0,--(LEN(INDEX('Paste Export'!$A$2:$BZ$1001,$A567,col_s1))&gt;0))+IF(col_s2=0,0,--(LEN(INDEX('Paste Export'!$A$2:$BZ$1001,$A567,col_s2))&gt;0))+IF(col_s3=0,0,--(LEN(INDEX('Paste Export'!$A$2:$BZ$1001,$A567,col_s3))&gt;0))+IF(col_s4=0,0,--(LEN(INDEX('Paste Export'!$A$2:$BZ$1001,$A567,col_s4))&gt;0))+IF(col_s5=0,0,--(LEN(INDEX('Paste Export'!$A$2:$BZ$1001,$A567,col_s5))&gt;0))+IF(col_s6=0,0,--(LEN(INDEX('Paste Export'!$A$2:$BZ$1001,$A567,col_s6))&gt;0))+IF(col_s7=0,0,--(LEN(INDEX('Paste Export'!$A$2:$BZ$1001,$A567,col_s7))&gt;0))+IF(col_s8=0,0,--(LEN(INDEX('Paste Export'!$A$2:$BZ$1001,$A567,col_s8))&gt;0)))</f>
        <v/>
      </c>
      <c r="I567" s="25" t="str">
        <f t="shared" si="59"/>
        <v/>
      </c>
      <c r="J567" s="25" t="str">
        <f t="shared" si="60"/>
        <v/>
      </c>
      <c r="K567" s="24" t="str">
        <f t="shared" si="61"/>
        <v/>
      </c>
      <c r="L567" s="24" t="str">
        <f t="shared" si="62"/>
        <v/>
      </c>
    </row>
    <row r="568" spans="1:12" x14ac:dyDescent="0.25">
      <c r="A568" s="24">
        <f t="shared" si="56"/>
        <v>567</v>
      </c>
      <c r="B568" s="25" t="str">
        <f>IF($A568&gt;nrows,"",IF(col_user=0,"",INDEX('Paste Export'!$A$2:$BZ$1001,$A568,col_user)))</f>
        <v/>
      </c>
      <c r="C568" s="24" t="str">
        <f>IF($A568&gt;nrows,"",IF(col_days=0,0,N(INDEX('Paste Export'!$A$2:$BZ$1001,$A568,col_days))))</f>
        <v/>
      </c>
      <c r="D568" s="24" t="str">
        <f>IF($A568&gt;nrows,"",IF(col_prompts=0,0,N(INDEX('Paste Export'!$A$2:$BZ$1001,$A568,col_prompts))))</f>
        <v/>
      </c>
      <c r="E568" s="24" t="str">
        <f>IF($A568&gt;nrows,"",IF(col_web=0,0,N(INDEX('Paste Export'!$A$2:$BZ$1001,$A568,col_web))))</f>
        <v/>
      </c>
      <c r="F568" s="26" t="str">
        <f t="shared" si="57"/>
        <v/>
      </c>
      <c r="G568" s="27" t="str">
        <f t="shared" si="58"/>
        <v/>
      </c>
      <c r="H568" s="24" t="str">
        <f>IF($A568&gt;nrows,"",IF(col_s1=0,0,--(LEN(INDEX('Paste Export'!$A$2:$BZ$1001,$A568,col_s1))&gt;0))+IF(col_s2=0,0,--(LEN(INDEX('Paste Export'!$A$2:$BZ$1001,$A568,col_s2))&gt;0))+IF(col_s3=0,0,--(LEN(INDEX('Paste Export'!$A$2:$BZ$1001,$A568,col_s3))&gt;0))+IF(col_s4=0,0,--(LEN(INDEX('Paste Export'!$A$2:$BZ$1001,$A568,col_s4))&gt;0))+IF(col_s5=0,0,--(LEN(INDEX('Paste Export'!$A$2:$BZ$1001,$A568,col_s5))&gt;0))+IF(col_s6=0,0,--(LEN(INDEX('Paste Export'!$A$2:$BZ$1001,$A568,col_s6))&gt;0))+IF(col_s7=0,0,--(LEN(INDEX('Paste Export'!$A$2:$BZ$1001,$A568,col_s7))&gt;0))+IF(col_s8=0,0,--(LEN(INDEX('Paste Export'!$A$2:$BZ$1001,$A568,col_s8))&gt;0)))</f>
        <v/>
      </c>
      <c r="I568" s="25" t="str">
        <f t="shared" si="59"/>
        <v/>
      </c>
      <c r="J568" s="25" t="str">
        <f t="shared" si="60"/>
        <v/>
      </c>
      <c r="K568" s="24" t="str">
        <f t="shared" si="61"/>
        <v/>
      </c>
      <c r="L568" s="24" t="str">
        <f t="shared" si="62"/>
        <v/>
      </c>
    </row>
    <row r="569" spans="1:12" x14ac:dyDescent="0.25">
      <c r="A569" s="24">
        <f t="shared" si="56"/>
        <v>568</v>
      </c>
      <c r="B569" s="25" t="str">
        <f>IF($A569&gt;nrows,"",IF(col_user=0,"",INDEX('Paste Export'!$A$2:$BZ$1001,$A569,col_user)))</f>
        <v/>
      </c>
      <c r="C569" s="24" t="str">
        <f>IF($A569&gt;nrows,"",IF(col_days=0,0,N(INDEX('Paste Export'!$A$2:$BZ$1001,$A569,col_days))))</f>
        <v/>
      </c>
      <c r="D569" s="24" t="str">
        <f>IF($A569&gt;nrows,"",IF(col_prompts=0,0,N(INDEX('Paste Export'!$A$2:$BZ$1001,$A569,col_prompts))))</f>
        <v/>
      </c>
      <c r="E569" s="24" t="str">
        <f>IF($A569&gt;nrows,"",IF(col_web=0,0,N(INDEX('Paste Export'!$A$2:$BZ$1001,$A569,col_web))))</f>
        <v/>
      </c>
      <c r="F569" s="26" t="str">
        <f t="shared" si="57"/>
        <v/>
      </c>
      <c r="G569" s="27" t="str">
        <f t="shared" si="58"/>
        <v/>
      </c>
      <c r="H569" s="24" t="str">
        <f>IF($A569&gt;nrows,"",IF(col_s1=0,0,--(LEN(INDEX('Paste Export'!$A$2:$BZ$1001,$A569,col_s1))&gt;0))+IF(col_s2=0,0,--(LEN(INDEX('Paste Export'!$A$2:$BZ$1001,$A569,col_s2))&gt;0))+IF(col_s3=0,0,--(LEN(INDEX('Paste Export'!$A$2:$BZ$1001,$A569,col_s3))&gt;0))+IF(col_s4=0,0,--(LEN(INDEX('Paste Export'!$A$2:$BZ$1001,$A569,col_s4))&gt;0))+IF(col_s5=0,0,--(LEN(INDEX('Paste Export'!$A$2:$BZ$1001,$A569,col_s5))&gt;0))+IF(col_s6=0,0,--(LEN(INDEX('Paste Export'!$A$2:$BZ$1001,$A569,col_s6))&gt;0))+IF(col_s7=0,0,--(LEN(INDEX('Paste Export'!$A$2:$BZ$1001,$A569,col_s7))&gt;0))+IF(col_s8=0,0,--(LEN(INDEX('Paste Export'!$A$2:$BZ$1001,$A569,col_s8))&gt;0)))</f>
        <v/>
      </c>
      <c r="I569" s="25" t="str">
        <f t="shared" si="59"/>
        <v/>
      </c>
      <c r="J569" s="25" t="str">
        <f t="shared" si="60"/>
        <v/>
      </c>
      <c r="K569" s="24" t="str">
        <f t="shared" si="61"/>
        <v/>
      </c>
      <c r="L569" s="24" t="str">
        <f t="shared" si="62"/>
        <v/>
      </c>
    </row>
    <row r="570" spans="1:12" x14ac:dyDescent="0.25">
      <c r="A570" s="24">
        <f t="shared" si="56"/>
        <v>569</v>
      </c>
      <c r="B570" s="25" t="str">
        <f>IF($A570&gt;nrows,"",IF(col_user=0,"",INDEX('Paste Export'!$A$2:$BZ$1001,$A570,col_user)))</f>
        <v/>
      </c>
      <c r="C570" s="24" t="str">
        <f>IF($A570&gt;nrows,"",IF(col_days=0,0,N(INDEX('Paste Export'!$A$2:$BZ$1001,$A570,col_days))))</f>
        <v/>
      </c>
      <c r="D570" s="24" t="str">
        <f>IF($A570&gt;nrows,"",IF(col_prompts=0,0,N(INDEX('Paste Export'!$A$2:$BZ$1001,$A570,col_prompts))))</f>
        <v/>
      </c>
      <c r="E570" s="24" t="str">
        <f>IF($A570&gt;nrows,"",IF(col_web=0,0,N(INDEX('Paste Export'!$A$2:$BZ$1001,$A570,col_web))))</f>
        <v/>
      </c>
      <c r="F570" s="26" t="str">
        <f t="shared" si="57"/>
        <v/>
      </c>
      <c r="G570" s="27" t="str">
        <f t="shared" si="58"/>
        <v/>
      </c>
      <c r="H570" s="24" t="str">
        <f>IF($A570&gt;nrows,"",IF(col_s1=0,0,--(LEN(INDEX('Paste Export'!$A$2:$BZ$1001,$A570,col_s1))&gt;0))+IF(col_s2=0,0,--(LEN(INDEX('Paste Export'!$A$2:$BZ$1001,$A570,col_s2))&gt;0))+IF(col_s3=0,0,--(LEN(INDEX('Paste Export'!$A$2:$BZ$1001,$A570,col_s3))&gt;0))+IF(col_s4=0,0,--(LEN(INDEX('Paste Export'!$A$2:$BZ$1001,$A570,col_s4))&gt;0))+IF(col_s5=0,0,--(LEN(INDEX('Paste Export'!$A$2:$BZ$1001,$A570,col_s5))&gt;0))+IF(col_s6=0,0,--(LEN(INDEX('Paste Export'!$A$2:$BZ$1001,$A570,col_s6))&gt;0))+IF(col_s7=0,0,--(LEN(INDEX('Paste Export'!$A$2:$BZ$1001,$A570,col_s7))&gt;0))+IF(col_s8=0,0,--(LEN(INDEX('Paste Export'!$A$2:$BZ$1001,$A570,col_s8))&gt;0)))</f>
        <v/>
      </c>
      <c r="I570" s="25" t="str">
        <f t="shared" si="59"/>
        <v/>
      </c>
      <c r="J570" s="25" t="str">
        <f t="shared" si="60"/>
        <v/>
      </c>
      <c r="K570" s="24" t="str">
        <f t="shared" si="61"/>
        <v/>
      </c>
      <c r="L570" s="24" t="str">
        <f t="shared" si="62"/>
        <v/>
      </c>
    </row>
    <row r="571" spans="1:12" x14ac:dyDescent="0.25">
      <c r="A571" s="24">
        <f t="shared" si="56"/>
        <v>570</v>
      </c>
      <c r="B571" s="25" t="str">
        <f>IF($A571&gt;nrows,"",IF(col_user=0,"",INDEX('Paste Export'!$A$2:$BZ$1001,$A571,col_user)))</f>
        <v/>
      </c>
      <c r="C571" s="24" t="str">
        <f>IF($A571&gt;nrows,"",IF(col_days=0,0,N(INDEX('Paste Export'!$A$2:$BZ$1001,$A571,col_days))))</f>
        <v/>
      </c>
      <c r="D571" s="24" t="str">
        <f>IF($A571&gt;nrows,"",IF(col_prompts=0,0,N(INDEX('Paste Export'!$A$2:$BZ$1001,$A571,col_prompts))))</f>
        <v/>
      </c>
      <c r="E571" s="24" t="str">
        <f>IF($A571&gt;nrows,"",IF(col_web=0,0,N(INDEX('Paste Export'!$A$2:$BZ$1001,$A571,col_web))))</f>
        <v/>
      </c>
      <c r="F571" s="26" t="str">
        <f t="shared" si="57"/>
        <v/>
      </c>
      <c r="G571" s="27" t="str">
        <f t="shared" si="58"/>
        <v/>
      </c>
      <c r="H571" s="24" t="str">
        <f>IF($A571&gt;nrows,"",IF(col_s1=0,0,--(LEN(INDEX('Paste Export'!$A$2:$BZ$1001,$A571,col_s1))&gt;0))+IF(col_s2=0,0,--(LEN(INDEX('Paste Export'!$A$2:$BZ$1001,$A571,col_s2))&gt;0))+IF(col_s3=0,0,--(LEN(INDEX('Paste Export'!$A$2:$BZ$1001,$A571,col_s3))&gt;0))+IF(col_s4=0,0,--(LEN(INDEX('Paste Export'!$A$2:$BZ$1001,$A571,col_s4))&gt;0))+IF(col_s5=0,0,--(LEN(INDEX('Paste Export'!$A$2:$BZ$1001,$A571,col_s5))&gt;0))+IF(col_s6=0,0,--(LEN(INDEX('Paste Export'!$A$2:$BZ$1001,$A571,col_s6))&gt;0))+IF(col_s7=0,0,--(LEN(INDEX('Paste Export'!$A$2:$BZ$1001,$A571,col_s7))&gt;0))+IF(col_s8=0,0,--(LEN(INDEX('Paste Export'!$A$2:$BZ$1001,$A571,col_s8))&gt;0)))</f>
        <v/>
      </c>
      <c r="I571" s="25" t="str">
        <f t="shared" si="59"/>
        <v/>
      </c>
      <c r="J571" s="25" t="str">
        <f t="shared" si="60"/>
        <v/>
      </c>
      <c r="K571" s="24" t="str">
        <f t="shared" si="61"/>
        <v/>
      </c>
      <c r="L571" s="24" t="str">
        <f t="shared" si="62"/>
        <v/>
      </c>
    </row>
    <row r="572" spans="1:12" x14ac:dyDescent="0.25">
      <c r="A572" s="24">
        <f t="shared" si="56"/>
        <v>571</v>
      </c>
      <c r="B572" s="25" t="str">
        <f>IF($A572&gt;nrows,"",IF(col_user=0,"",INDEX('Paste Export'!$A$2:$BZ$1001,$A572,col_user)))</f>
        <v/>
      </c>
      <c r="C572" s="24" t="str">
        <f>IF($A572&gt;nrows,"",IF(col_days=0,0,N(INDEX('Paste Export'!$A$2:$BZ$1001,$A572,col_days))))</f>
        <v/>
      </c>
      <c r="D572" s="24" t="str">
        <f>IF($A572&gt;nrows,"",IF(col_prompts=0,0,N(INDEX('Paste Export'!$A$2:$BZ$1001,$A572,col_prompts))))</f>
        <v/>
      </c>
      <c r="E572" s="24" t="str">
        <f>IF($A572&gt;nrows,"",IF(col_web=0,0,N(INDEX('Paste Export'!$A$2:$BZ$1001,$A572,col_web))))</f>
        <v/>
      </c>
      <c r="F572" s="26" t="str">
        <f t="shared" si="57"/>
        <v/>
      </c>
      <c r="G572" s="27" t="str">
        <f t="shared" si="58"/>
        <v/>
      </c>
      <c r="H572" s="24" t="str">
        <f>IF($A572&gt;nrows,"",IF(col_s1=0,0,--(LEN(INDEX('Paste Export'!$A$2:$BZ$1001,$A572,col_s1))&gt;0))+IF(col_s2=0,0,--(LEN(INDEX('Paste Export'!$A$2:$BZ$1001,$A572,col_s2))&gt;0))+IF(col_s3=0,0,--(LEN(INDEX('Paste Export'!$A$2:$BZ$1001,$A572,col_s3))&gt;0))+IF(col_s4=0,0,--(LEN(INDEX('Paste Export'!$A$2:$BZ$1001,$A572,col_s4))&gt;0))+IF(col_s5=0,0,--(LEN(INDEX('Paste Export'!$A$2:$BZ$1001,$A572,col_s5))&gt;0))+IF(col_s6=0,0,--(LEN(INDEX('Paste Export'!$A$2:$BZ$1001,$A572,col_s6))&gt;0))+IF(col_s7=0,0,--(LEN(INDEX('Paste Export'!$A$2:$BZ$1001,$A572,col_s7))&gt;0))+IF(col_s8=0,0,--(LEN(INDEX('Paste Export'!$A$2:$BZ$1001,$A572,col_s8))&gt;0)))</f>
        <v/>
      </c>
      <c r="I572" s="25" t="str">
        <f t="shared" si="59"/>
        <v/>
      </c>
      <c r="J572" s="25" t="str">
        <f t="shared" si="60"/>
        <v/>
      </c>
      <c r="K572" s="24" t="str">
        <f t="shared" si="61"/>
        <v/>
      </c>
      <c r="L572" s="24" t="str">
        <f t="shared" si="62"/>
        <v/>
      </c>
    </row>
    <row r="573" spans="1:12" x14ac:dyDescent="0.25">
      <c r="A573" s="24">
        <f t="shared" si="56"/>
        <v>572</v>
      </c>
      <c r="B573" s="25" t="str">
        <f>IF($A573&gt;nrows,"",IF(col_user=0,"",INDEX('Paste Export'!$A$2:$BZ$1001,$A573,col_user)))</f>
        <v/>
      </c>
      <c r="C573" s="24" t="str">
        <f>IF($A573&gt;nrows,"",IF(col_days=0,0,N(INDEX('Paste Export'!$A$2:$BZ$1001,$A573,col_days))))</f>
        <v/>
      </c>
      <c r="D573" s="24" t="str">
        <f>IF($A573&gt;nrows,"",IF(col_prompts=0,0,N(INDEX('Paste Export'!$A$2:$BZ$1001,$A573,col_prompts))))</f>
        <v/>
      </c>
      <c r="E573" s="24" t="str">
        <f>IF($A573&gt;nrows,"",IF(col_web=0,0,N(INDEX('Paste Export'!$A$2:$BZ$1001,$A573,col_web))))</f>
        <v/>
      </c>
      <c r="F573" s="26" t="str">
        <f t="shared" si="57"/>
        <v/>
      </c>
      <c r="G573" s="27" t="str">
        <f t="shared" si="58"/>
        <v/>
      </c>
      <c r="H573" s="24" t="str">
        <f>IF($A573&gt;nrows,"",IF(col_s1=0,0,--(LEN(INDEX('Paste Export'!$A$2:$BZ$1001,$A573,col_s1))&gt;0))+IF(col_s2=0,0,--(LEN(INDEX('Paste Export'!$A$2:$BZ$1001,$A573,col_s2))&gt;0))+IF(col_s3=0,0,--(LEN(INDEX('Paste Export'!$A$2:$BZ$1001,$A573,col_s3))&gt;0))+IF(col_s4=0,0,--(LEN(INDEX('Paste Export'!$A$2:$BZ$1001,$A573,col_s4))&gt;0))+IF(col_s5=0,0,--(LEN(INDEX('Paste Export'!$A$2:$BZ$1001,$A573,col_s5))&gt;0))+IF(col_s6=0,0,--(LEN(INDEX('Paste Export'!$A$2:$BZ$1001,$A573,col_s6))&gt;0))+IF(col_s7=0,0,--(LEN(INDEX('Paste Export'!$A$2:$BZ$1001,$A573,col_s7))&gt;0))+IF(col_s8=0,0,--(LEN(INDEX('Paste Export'!$A$2:$BZ$1001,$A573,col_s8))&gt;0)))</f>
        <v/>
      </c>
      <c r="I573" s="25" t="str">
        <f t="shared" si="59"/>
        <v/>
      </c>
      <c r="J573" s="25" t="str">
        <f t="shared" si="60"/>
        <v/>
      </c>
      <c r="K573" s="24" t="str">
        <f t="shared" si="61"/>
        <v/>
      </c>
      <c r="L573" s="24" t="str">
        <f t="shared" si="62"/>
        <v/>
      </c>
    </row>
    <row r="574" spans="1:12" x14ac:dyDescent="0.25">
      <c r="A574" s="24">
        <f t="shared" si="56"/>
        <v>573</v>
      </c>
      <c r="B574" s="25" t="str">
        <f>IF($A574&gt;nrows,"",IF(col_user=0,"",INDEX('Paste Export'!$A$2:$BZ$1001,$A574,col_user)))</f>
        <v/>
      </c>
      <c r="C574" s="24" t="str">
        <f>IF($A574&gt;nrows,"",IF(col_days=0,0,N(INDEX('Paste Export'!$A$2:$BZ$1001,$A574,col_days))))</f>
        <v/>
      </c>
      <c r="D574" s="24" t="str">
        <f>IF($A574&gt;nrows,"",IF(col_prompts=0,0,N(INDEX('Paste Export'!$A$2:$BZ$1001,$A574,col_prompts))))</f>
        <v/>
      </c>
      <c r="E574" s="24" t="str">
        <f>IF($A574&gt;nrows,"",IF(col_web=0,0,N(INDEX('Paste Export'!$A$2:$BZ$1001,$A574,col_web))))</f>
        <v/>
      </c>
      <c r="F574" s="26" t="str">
        <f t="shared" si="57"/>
        <v/>
      </c>
      <c r="G574" s="27" t="str">
        <f t="shared" si="58"/>
        <v/>
      </c>
      <c r="H574" s="24" t="str">
        <f>IF($A574&gt;nrows,"",IF(col_s1=0,0,--(LEN(INDEX('Paste Export'!$A$2:$BZ$1001,$A574,col_s1))&gt;0))+IF(col_s2=0,0,--(LEN(INDEX('Paste Export'!$A$2:$BZ$1001,$A574,col_s2))&gt;0))+IF(col_s3=0,0,--(LEN(INDEX('Paste Export'!$A$2:$BZ$1001,$A574,col_s3))&gt;0))+IF(col_s4=0,0,--(LEN(INDEX('Paste Export'!$A$2:$BZ$1001,$A574,col_s4))&gt;0))+IF(col_s5=0,0,--(LEN(INDEX('Paste Export'!$A$2:$BZ$1001,$A574,col_s5))&gt;0))+IF(col_s6=0,0,--(LEN(INDEX('Paste Export'!$A$2:$BZ$1001,$A574,col_s6))&gt;0))+IF(col_s7=0,0,--(LEN(INDEX('Paste Export'!$A$2:$BZ$1001,$A574,col_s7))&gt;0))+IF(col_s8=0,0,--(LEN(INDEX('Paste Export'!$A$2:$BZ$1001,$A574,col_s8))&gt;0)))</f>
        <v/>
      </c>
      <c r="I574" s="25" t="str">
        <f t="shared" si="59"/>
        <v/>
      </c>
      <c r="J574" s="25" t="str">
        <f t="shared" si="60"/>
        <v/>
      </c>
      <c r="K574" s="24" t="str">
        <f t="shared" si="61"/>
        <v/>
      </c>
      <c r="L574" s="24" t="str">
        <f t="shared" si="62"/>
        <v/>
      </c>
    </row>
    <row r="575" spans="1:12" x14ac:dyDescent="0.25">
      <c r="A575" s="24">
        <f t="shared" si="56"/>
        <v>574</v>
      </c>
      <c r="B575" s="25" t="str">
        <f>IF($A575&gt;nrows,"",IF(col_user=0,"",INDEX('Paste Export'!$A$2:$BZ$1001,$A575,col_user)))</f>
        <v/>
      </c>
      <c r="C575" s="24" t="str">
        <f>IF($A575&gt;nrows,"",IF(col_days=0,0,N(INDEX('Paste Export'!$A$2:$BZ$1001,$A575,col_days))))</f>
        <v/>
      </c>
      <c r="D575" s="24" t="str">
        <f>IF($A575&gt;nrows,"",IF(col_prompts=0,0,N(INDEX('Paste Export'!$A$2:$BZ$1001,$A575,col_prompts))))</f>
        <v/>
      </c>
      <c r="E575" s="24" t="str">
        <f>IF($A575&gt;nrows,"",IF(col_web=0,0,N(INDEX('Paste Export'!$A$2:$BZ$1001,$A575,col_web))))</f>
        <v/>
      </c>
      <c r="F575" s="26" t="str">
        <f t="shared" si="57"/>
        <v/>
      </c>
      <c r="G575" s="27" t="str">
        <f t="shared" si="58"/>
        <v/>
      </c>
      <c r="H575" s="24" t="str">
        <f>IF($A575&gt;nrows,"",IF(col_s1=0,0,--(LEN(INDEX('Paste Export'!$A$2:$BZ$1001,$A575,col_s1))&gt;0))+IF(col_s2=0,0,--(LEN(INDEX('Paste Export'!$A$2:$BZ$1001,$A575,col_s2))&gt;0))+IF(col_s3=0,0,--(LEN(INDEX('Paste Export'!$A$2:$BZ$1001,$A575,col_s3))&gt;0))+IF(col_s4=0,0,--(LEN(INDEX('Paste Export'!$A$2:$BZ$1001,$A575,col_s4))&gt;0))+IF(col_s5=0,0,--(LEN(INDEX('Paste Export'!$A$2:$BZ$1001,$A575,col_s5))&gt;0))+IF(col_s6=0,0,--(LEN(INDEX('Paste Export'!$A$2:$BZ$1001,$A575,col_s6))&gt;0))+IF(col_s7=0,0,--(LEN(INDEX('Paste Export'!$A$2:$BZ$1001,$A575,col_s7))&gt;0))+IF(col_s8=0,0,--(LEN(INDEX('Paste Export'!$A$2:$BZ$1001,$A575,col_s8))&gt;0)))</f>
        <v/>
      </c>
      <c r="I575" s="25" t="str">
        <f t="shared" si="59"/>
        <v/>
      </c>
      <c r="J575" s="25" t="str">
        <f t="shared" si="60"/>
        <v/>
      </c>
      <c r="K575" s="24" t="str">
        <f t="shared" si="61"/>
        <v/>
      </c>
      <c r="L575" s="24" t="str">
        <f t="shared" si="62"/>
        <v/>
      </c>
    </row>
    <row r="576" spans="1:12" x14ac:dyDescent="0.25">
      <c r="A576" s="24">
        <f t="shared" si="56"/>
        <v>575</v>
      </c>
      <c r="B576" s="25" t="str">
        <f>IF($A576&gt;nrows,"",IF(col_user=0,"",INDEX('Paste Export'!$A$2:$BZ$1001,$A576,col_user)))</f>
        <v/>
      </c>
      <c r="C576" s="24" t="str">
        <f>IF($A576&gt;nrows,"",IF(col_days=0,0,N(INDEX('Paste Export'!$A$2:$BZ$1001,$A576,col_days))))</f>
        <v/>
      </c>
      <c r="D576" s="24" t="str">
        <f>IF($A576&gt;nrows,"",IF(col_prompts=0,0,N(INDEX('Paste Export'!$A$2:$BZ$1001,$A576,col_prompts))))</f>
        <v/>
      </c>
      <c r="E576" s="24" t="str">
        <f>IF($A576&gt;nrows,"",IF(col_web=0,0,N(INDEX('Paste Export'!$A$2:$BZ$1001,$A576,col_web))))</f>
        <v/>
      </c>
      <c r="F576" s="26" t="str">
        <f t="shared" si="57"/>
        <v/>
      </c>
      <c r="G576" s="27" t="str">
        <f t="shared" si="58"/>
        <v/>
      </c>
      <c r="H576" s="24" t="str">
        <f>IF($A576&gt;nrows,"",IF(col_s1=0,0,--(LEN(INDEX('Paste Export'!$A$2:$BZ$1001,$A576,col_s1))&gt;0))+IF(col_s2=0,0,--(LEN(INDEX('Paste Export'!$A$2:$BZ$1001,$A576,col_s2))&gt;0))+IF(col_s3=0,0,--(LEN(INDEX('Paste Export'!$A$2:$BZ$1001,$A576,col_s3))&gt;0))+IF(col_s4=0,0,--(LEN(INDEX('Paste Export'!$A$2:$BZ$1001,$A576,col_s4))&gt;0))+IF(col_s5=0,0,--(LEN(INDEX('Paste Export'!$A$2:$BZ$1001,$A576,col_s5))&gt;0))+IF(col_s6=0,0,--(LEN(INDEX('Paste Export'!$A$2:$BZ$1001,$A576,col_s6))&gt;0))+IF(col_s7=0,0,--(LEN(INDEX('Paste Export'!$A$2:$BZ$1001,$A576,col_s7))&gt;0))+IF(col_s8=0,0,--(LEN(INDEX('Paste Export'!$A$2:$BZ$1001,$A576,col_s8))&gt;0)))</f>
        <v/>
      </c>
      <c r="I576" s="25" t="str">
        <f t="shared" si="59"/>
        <v/>
      </c>
      <c r="J576" s="25" t="str">
        <f t="shared" si="60"/>
        <v/>
      </c>
      <c r="K576" s="24" t="str">
        <f t="shared" si="61"/>
        <v/>
      </c>
      <c r="L576" s="24" t="str">
        <f t="shared" si="62"/>
        <v/>
      </c>
    </row>
    <row r="577" spans="1:12" x14ac:dyDescent="0.25">
      <c r="A577" s="24">
        <f t="shared" si="56"/>
        <v>576</v>
      </c>
      <c r="B577" s="25" t="str">
        <f>IF($A577&gt;nrows,"",IF(col_user=0,"",INDEX('Paste Export'!$A$2:$BZ$1001,$A577,col_user)))</f>
        <v/>
      </c>
      <c r="C577" s="24" t="str">
        <f>IF($A577&gt;nrows,"",IF(col_days=0,0,N(INDEX('Paste Export'!$A$2:$BZ$1001,$A577,col_days))))</f>
        <v/>
      </c>
      <c r="D577" s="24" t="str">
        <f>IF($A577&gt;nrows,"",IF(col_prompts=0,0,N(INDEX('Paste Export'!$A$2:$BZ$1001,$A577,col_prompts))))</f>
        <v/>
      </c>
      <c r="E577" s="24" t="str">
        <f>IF($A577&gt;nrows,"",IF(col_web=0,0,N(INDEX('Paste Export'!$A$2:$BZ$1001,$A577,col_web))))</f>
        <v/>
      </c>
      <c r="F577" s="26" t="str">
        <f t="shared" si="57"/>
        <v/>
      </c>
      <c r="G577" s="27" t="str">
        <f t="shared" si="58"/>
        <v/>
      </c>
      <c r="H577" s="24" t="str">
        <f>IF($A577&gt;nrows,"",IF(col_s1=0,0,--(LEN(INDEX('Paste Export'!$A$2:$BZ$1001,$A577,col_s1))&gt;0))+IF(col_s2=0,0,--(LEN(INDEX('Paste Export'!$A$2:$BZ$1001,$A577,col_s2))&gt;0))+IF(col_s3=0,0,--(LEN(INDEX('Paste Export'!$A$2:$BZ$1001,$A577,col_s3))&gt;0))+IF(col_s4=0,0,--(LEN(INDEX('Paste Export'!$A$2:$BZ$1001,$A577,col_s4))&gt;0))+IF(col_s5=0,0,--(LEN(INDEX('Paste Export'!$A$2:$BZ$1001,$A577,col_s5))&gt;0))+IF(col_s6=0,0,--(LEN(INDEX('Paste Export'!$A$2:$BZ$1001,$A577,col_s6))&gt;0))+IF(col_s7=0,0,--(LEN(INDEX('Paste Export'!$A$2:$BZ$1001,$A577,col_s7))&gt;0))+IF(col_s8=0,0,--(LEN(INDEX('Paste Export'!$A$2:$BZ$1001,$A577,col_s8))&gt;0)))</f>
        <v/>
      </c>
      <c r="I577" s="25" t="str">
        <f t="shared" si="59"/>
        <v/>
      </c>
      <c r="J577" s="25" t="str">
        <f t="shared" si="60"/>
        <v/>
      </c>
      <c r="K577" s="24" t="str">
        <f t="shared" si="61"/>
        <v/>
      </c>
      <c r="L577" s="24" t="str">
        <f t="shared" si="62"/>
        <v/>
      </c>
    </row>
    <row r="578" spans="1:12" x14ac:dyDescent="0.25">
      <c r="A578" s="24">
        <f t="shared" ref="A578:A641" si="63">ROW()-1</f>
        <v>577</v>
      </c>
      <c r="B578" s="25" t="str">
        <f>IF($A578&gt;nrows,"",IF(col_user=0,"",INDEX('Paste Export'!$A$2:$BZ$1001,$A578,col_user)))</f>
        <v/>
      </c>
      <c r="C578" s="24" t="str">
        <f>IF($A578&gt;nrows,"",IF(col_days=0,0,N(INDEX('Paste Export'!$A$2:$BZ$1001,$A578,col_days))))</f>
        <v/>
      </c>
      <c r="D578" s="24" t="str">
        <f>IF($A578&gt;nrows,"",IF(col_prompts=0,0,N(INDEX('Paste Export'!$A$2:$BZ$1001,$A578,col_prompts))))</f>
        <v/>
      </c>
      <c r="E578" s="24" t="str">
        <f>IF($A578&gt;nrows,"",IF(col_web=0,0,N(INDEX('Paste Export'!$A$2:$BZ$1001,$A578,col_web))))</f>
        <v/>
      </c>
      <c r="F578" s="26" t="str">
        <f t="shared" ref="F578:F641" si="64">IF($A578&gt;nrows,"",IFERROR($D578/$C578,0))</f>
        <v/>
      </c>
      <c r="G578" s="27" t="str">
        <f t="shared" ref="G578:G641" si="65">IF($A578&gt;nrows,"",IFERROR($E578/$D578,""))</f>
        <v/>
      </c>
      <c r="H578" s="24" t="str">
        <f>IF($A578&gt;nrows,"",IF(col_s1=0,0,--(LEN(INDEX('Paste Export'!$A$2:$BZ$1001,$A578,col_s1))&gt;0))+IF(col_s2=0,0,--(LEN(INDEX('Paste Export'!$A$2:$BZ$1001,$A578,col_s2))&gt;0))+IF(col_s3=0,0,--(LEN(INDEX('Paste Export'!$A$2:$BZ$1001,$A578,col_s3))&gt;0))+IF(col_s4=0,0,--(LEN(INDEX('Paste Export'!$A$2:$BZ$1001,$A578,col_s4))&gt;0))+IF(col_s5=0,0,--(LEN(INDEX('Paste Export'!$A$2:$BZ$1001,$A578,col_s5))&gt;0))+IF(col_s6=0,0,--(LEN(INDEX('Paste Export'!$A$2:$BZ$1001,$A578,col_s6))&gt;0))+IF(col_s7=0,0,--(LEN(INDEX('Paste Export'!$A$2:$BZ$1001,$A578,col_s7))&gt;0))+IF(col_s8=0,0,--(LEN(INDEX('Paste Export'!$A$2:$BZ$1001,$A578,col_s8))&gt;0)))</f>
        <v/>
      </c>
      <c r="I578" s="25" t="str">
        <f t="shared" ref="I578:I641" si="66">IF($A578&gt;nrows,"",IF($C578&gt;=freq_line,IF($D578&gt;=depth_line,"Embedded","Loyal but shallow"),IF($D578&gt;=depth_line,"Project-driven","Drifting")))</f>
        <v/>
      </c>
      <c r="J578" s="25" t="str">
        <f t="shared" ref="J578:J641" si="67">IF($A578&gt;nrows,"",IF($I578="Drifting",IF($H578&gt;=3,"tried and stopped","never started"),""))</f>
        <v/>
      </c>
      <c r="K578" s="24" t="str">
        <f t="shared" ref="K578:K641" si="68">IF($A578&gt;nrows,"",MAX($D578,1))</f>
        <v/>
      </c>
      <c r="L578" s="24" t="str">
        <f t="shared" ref="L578:L641" si="69">IF($A578&gt;nrows,"",IF(AND($C578=0,$D578=0),1,0))</f>
        <v/>
      </c>
    </row>
    <row r="579" spans="1:12" x14ac:dyDescent="0.25">
      <c r="A579" s="24">
        <f t="shared" si="63"/>
        <v>578</v>
      </c>
      <c r="B579" s="25" t="str">
        <f>IF($A579&gt;nrows,"",IF(col_user=0,"",INDEX('Paste Export'!$A$2:$BZ$1001,$A579,col_user)))</f>
        <v/>
      </c>
      <c r="C579" s="24" t="str">
        <f>IF($A579&gt;nrows,"",IF(col_days=0,0,N(INDEX('Paste Export'!$A$2:$BZ$1001,$A579,col_days))))</f>
        <v/>
      </c>
      <c r="D579" s="24" t="str">
        <f>IF($A579&gt;nrows,"",IF(col_prompts=0,0,N(INDEX('Paste Export'!$A$2:$BZ$1001,$A579,col_prompts))))</f>
        <v/>
      </c>
      <c r="E579" s="24" t="str">
        <f>IF($A579&gt;nrows,"",IF(col_web=0,0,N(INDEX('Paste Export'!$A$2:$BZ$1001,$A579,col_web))))</f>
        <v/>
      </c>
      <c r="F579" s="26" t="str">
        <f t="shared" si="64"/>
        <v/>
      </c>
      <c r="G579" s="27" t="str">
        <f t="shared" si="65"/>
        <v/>
      </c>
      <c r="H579" s="24" t="str">
        <f>IF($A579&gt;nrows,"",IF(col_s1=0,0,--(LEN(INDEX('Paste Export'!$A$2:$BZ$1001,$A579,col_s1))&gt;0))+IF(col_s2=0,0,--(LEN(INDEX('Paste Export'!$A$2:$BZ$1001,$A579,col_s2))&gt;0))+IF(col_s3=0,0,--(LEN(INDEX('Paste Export'!$A$2:$BZ$1001,$A579,col_s3))&gt;0))+IF(col_s4=0,0,--(LEN(INDEX('Paste Export'!$A$2:$BZ$1001,$A579,col_s4))&gt;0))+IF(col_s5=0,0,--(LEN(INDEX('Paste Export'!$A$2:$BZ$1001,$A579,col_s5))&gt;0))+IF(col_s6=0,0,--(LEN(INDEX('Paste Export'!$A$2:$BZ$1001,$A579,col_s6))&gt;0))+IF(col_s7=0,0,--(LEN(INDEX('Paste Export'!$A$2:$BZ$1001,$A579,col_s7))&gt;0))+IF(col_s8=0,0,--(LEN(INDEX('Paste Export'!$A$2:$BZ$1001,$A579,col_s8))&gt;0)))</f>
        <v/>
      </c>
      <c r="I579" s="25" t="str">
        <f t="shared" si="66"/>
        <v/>
      </c>
      <c r="J579" s="25" t="str">
        <f t="shared" si="67"/>
        <v/>
      </c>
      <c r="K579" s="24" t="str">
        <f t="shared" si="68"/>
        <v/>
      </c>
      <c r="L579" s="24" t="str">
        <f t="shared" si="69"/>
        <v/>
      </c>
    </row>
    <row r="580" spans="1:12" x14ac:dyDescent="0.25">
      <c r="A580" s="24">
        <f t="shared" si="63"/>
        <v>579</v>
      </c>
      <c r="B580" s="25" t="str">
        <f>IF($A580&gt;nrows,"",IF(col_user=0,"",INDEX('Paste Export'!$A$2:$BZ$1001,$A580,col_user)))</f>
        <v/>
      </c>
      <c r="C580" s="24" t="str">
        <f>IF($A580&gt;nrows,"",IF(col_days=0,0,N(INDEX('Paste Export'!$A$2:$BZ$1001,$A580,col_days))))</f>
        <v/>
      </c>
      <c r="D580" s="24" t="str">
        <f>IF($A580&gt;nrows,"",IF(col_prompts=0,0,N(INDEX('Paste Export'!$A$2:$BZ$1001,$A580,col_prompts))))</f>
        <v/>
      </c>
      <c r="E580" s="24" t="str">
        <f>IF($A580&gt;nrows,"",IF(col_web=0,0,N(INDEX('Paste Export'!$A$2:$BZ$1001,$A580,col_web))))</f>
        <v/>
      </c>
      <c r="F580" s="26" t="str">
        <f t="shared" si="64"/>
        <v/>
      </c>
      <c r="G580" s="27" t="str">
        <f t="shared" si="65"/>
        <v/>
      </c>
      <c r="H580" s="24" t="str">
        <f>IF($A580&gt;nrows,"",IF(col_s1=0,0,--(LEN(INDEX('Paste Export'!$A$2:$BZ$1001,$A580,col_s1))&gt;0))+IF(col_s2=0,0,--(LEN(INDEX('Paste Export'!$A$2:$BZ$1001,$A580,col_s2))&gt;0))+IF(col_s3=0,0,--(LEN(INDEX('Paste Export'!$A$2:$BZ$1001,$A580,col_s3))&gt;0))+IF(col_s4=0,0,--(LEN(INDEX('Paste Export'!$A$2:$BZ$1001,$A580,col_s4))&gt;0))+IF(col_s5=0,0,--(LEN(INDEX('Paste Export'!$A$2:$BZ$1001,$A580,col_s5))&gt;0))+IF(col_s6=0,0,--(LEN(INDEX('Paste Export'!$A$2:$BZ$1001,$A580,col_s6))&gt;0))+IF(col_s7=0,0,--(LEN(INDEX('Paste Export'!$A$2:$BZ$1001,$A580,col_s7))&gt;0))+IF(col_s8=0,0,--(LEN(INDEX('Paste Export'!$A$2:$BZ$1001,$A580,col_s8))&gt;0)))</f>
        <v/>
      </c>
      <c r="I580" s="25" t="str">
        <f t="shared" si="66"/>
        <v/>
      </c>
      <c r="J580" s="25" t="str">
        <f t="shared" si="67"/>
        <v/>
      </c>
      <c r="K580" s="24" t="str">
        <f t="shared" si="68"/>
        <v/>
      </c>
      <c r="L580" s="24" t="str">
        <f t="shared" si="69"/>
        <v/>
      </c>
    </row>
    <row r="581" spans="1:12" x14ac:dyDescent="0.25">
      <c r="A581" s="24">
        <f t="shared" si="63"/>
        <v>580</v>
      </c>
      <c r="B581" s="25" t="str">
        <f>IF($A581&gt;nrows,"",IF(col_user=0,"",INDEX('Paste Export'!$A$2:$BZ$1001,$A581,col_user)))</f>
        <v/>
      </c>
      <c r="C581" s="24" t="str">
        <f>IF($A581&gt;nrows,"",IF(col_days=0,0,N(INDEX('Paste Export'!$A$2:$BZ$1001,$A581,col_days))))</f>
        <v/>
      </c>
      <c r="D581" s="24" t="str">
        <f>IF($A581&gt;nrows,"",IF(col_prompts=0,0,N(INDEX('Paste Export'!$A$2:$BZ$1001,$A581,col_prompts))))</f>
        <v/>
      </c>
      <c r="E581" s="24" t="str">
        <f>IF($A581&gt;nrows,"",IF(col_web=0,0,N(INDEX('Paste Export'!$A$2:$BZ$1001,$A581,col_web))))</f>
        <v/>
      </c>
      <c r="F581" s="26" t="str">
        <f t="shared" si="64"/>
        <v/>
      </c>
      <c r="G581" s="27" t="str">
        <f t="shared" si="65"/>
        <v/>
      </c>
      <c r="H581" s="24" t="str">
        <f>IF($A581&gt;nrows,"",IF(col_s1=0,0,--(LEN(INDEX('Paste Export'!$A$2:$BZ$1001,$A581,col_s1))&gt;0))+IF(col_s2=0,0,--(LEN(INDEX('Paste Export'!$A$2:$BZ$1001,$A581,col_s2))&gt;0))+IF(col_s3=0,0,--(LEN(INDEX('Paste Export'!$A$2:$BZ$1001,$A581,col_s3))&gt;0))+IF(col_s4=0,0,--(LEN(INDEX('Paste Export'!$A$2:$BZ$1001,$A581,col_s4))&gt;0))+IF(col_s5=0,0,--(LEN(INDEX('Paste Export'!$A$2:$BZ$1001,$A581,col_s5))&gt;0))+IF(col_s6=0,0,--(LEN(INDEX('Paste Export'!$A$2:$BZ$1001,$A581,col_s6))&gt;0))+IF(col_s7=0,0,--(LEN(INDEX('Paste Export'!$A$2:$BZ$1001,$A581,col_s7))&gt;0))+IF(col_s8=0,0,--(LEN(INDEX('Paste Export'!$A$2:$BZ$1001,$A581,col_s8))&gt;0)))</f>
        <v/>
      </c>
      <c r="I581" s="25" t="str">
        <f t="shared" si="66"/>
        <v/>
      </c>
      <c r="J581" s="25" t="str">
        <f t="shared" si="67"/>
        <v/>
      </c>
      <c r="K581" s="24" t="str">
        <f t="shared" si="68"/>
        <v/>
      </c>
      <c r="L581" s="24" t="str">
        <f t="shared" si="69"/>
        <v/>
      </c>
    </row>
    <row r="582" spans="1:12" x14ac:dyDescent="0.25">
      <c r="A582" s="24">
        <f t="shared" si="63"/>
        <v>581</v>
      </c>
      <c r="B582" s="25" t="str">
        <f>IF($A582&gt;nrows,"",IF(col_user=0,"",INDEX('Paste Export'!$A$2:$BZ$1001,$A582,col_user)))</f>
        <v/>
      </c>
      <c r="C582" s="24" t="str">
        <f>IF($A582&gt;nrows,"",IF(col_days=0,0,N(INDEX('Paste Export'!$A$2:$BZ$1001,$A582,col_days))))</f>
        <v/>
      </c>
      <c r="D582" s="24" t="str">
        <f>IF($A582&gt;nrows,"",IF(col_prompts=0,0,N(INDEX('Paste Export'!$A$2:$BZ$1001,$A582,col_prompts))))</f>
        <v/>
      </c>
      <c r="E582" s="24" t="str">
        <f>IF($A582&gt;nrows,"",IF(col_web=0,0,N(INDEX('Paste Export'!$A$2:$BZ$1001,$A582,col_web))))</f>
        <v/>
      </c>
      <c r="F582" s="26" t="str">
        <f t="shared" si="64"/>
        <v/>
      </c>
      <c r="G582" s="27" t="str">
        <f t="shared" si="65"/>
        <v/>
      </c>
      <c r="H582" s="24" t="str">
        <f>IF($A582&gt;nrows,"",IF(col_s1=0,0,--(LEN(INDEX('Paste Export'!$A$2:$BZ$1001,$A582,col_s1))&gt;0))+IF(col_s2=0,0,--(LEN(INDEX('Paste Export'!$A$2:$BZ$1001,$A582,col_s2))&gt;0))+IF(col_s3=0,0,--(LEN(INDEX('Paste Export'!$A$2:$BZ$1001,$A582,col_s3))&gt;0))+IF(col_s4=0,0,--(LEN(INDEX('Paste Export'!$A$2:$BZ$1001,$A582,col_s4))&gt;0))+IF(col_s5=0,0,--(LEN(INDEX('Paste Export'!$A$2:$BZ$1001,$A582,col_s5))&gt;0))+IF(col_s6=0,0,--(LEN(INDEX('Paste Export'!$A$2:$BZ$1001,$A582,col_s6))&gt;0))+IF(col_s7=0,0,--(LEN(INDEX('Paste Export'!$A$2:$BZ$1001,$A582,col_s7))&gt;0))+IF(col_s8=0,0,--(LEN(INDEX('Paste Export'!$A$2:$BZ$1001,$A582,col_s8))&gt;0)))</f>
        <v/>
      </c>
      <c r="I582" s="25" t="str">
        <f t="shared" si="66"/>
        <v/>
      </c>
      <c r="J582" s="25" t="str">
        <f t="shared" si="67"/>
        <v/>
      </c>
      <c r="K582" s="24" t="str">
        <f t="shared" si="68"/>
        <v/>
      </c>
      <c r="L582" s="24" t="str">
        <f t="shared" si="69"/>
        <v/>
      </c>
    </row>
    <row r="583" spans="1:12" x14ac:dyDescent="0.25">
      <c r="A583" s="24">
        <f t="shared" si="63"/>
        <v>582</v>
      </c>
      <c r="B583" s="25" t="str">
        <f>IF($A583&gt;nrows,"",IF(col_user=0,"",INDEX('Paste Export'!$A$2:$BZ$1001,$A583,col_user)))</f>
        <v/>
      </c>
      <c r="C583" s="24" t="str">
        <f>IF($A583&gt;nrows,"",IF(col_days=0,0,N(INDEX('Paste Export'!$A$2:$BZ$1001,$A583,col_days))))</f>
        <v/>
      </c>
      <c r="D583" s="24" t="str">
        <f>IF($A583&gt;nrows,"",IF(col_prompts=0,0,N(INDEX('Paste Export'!$A$2:$BZ$1001,$A583,col_prompts))))</f>
        <v/>
      </c>
      <c r="E583" s="24" t="str">
        <f>IF($A583&gt;nrows,"",IF(col_web=0,0,N(INDEX('Paste Export'!$A$2:$BZ$1001,$A583,col_web))))</f>
        <v/>
      </c>
      <c r="F583" s="26" t="str">
        <f t="shared" si="64"/>
        <v/>
      </c>
      <c r="G583" s="27" t="str">
        <f t="shared" si="65"/>
        <v/>
      </c>
      <c r="H583" s="24" t="str">
        <f>IF($A583&gt;nrows,"",IF(col_s1=0,0,--(LEN(INDEX('Paste Export'!$A$2:$BZ$1001,$A583,col_s1))&gt;0))+IF(col_s2=0,0,--(LEN(INDEX('Paste Export'!$A$2:$BZ$1001,$A583,col_s2))&gt;0))+IF(col_s3=0,0,--(LEN(INDEX('Paste Export'!$A$2:$BZ$1001,$A583,col_s3))&gt;0))+IF(col_s4=0,0,--(LEN(INDEX('Paste Export'!$A$2:$BZ$1001,$A583,col_s4))&gt;0))+IF(col_s5=0,0,--(LEN(INDEX('Paste Export'!$A$2:$BZ$1001,$A583,col_s5))&gt;0))+IF(col_s6=0,0,--(LEN(INDEX('Paste Export'!$A$2:$BZ$1001,$A583,col_s6))&gt;0))+IF(col_s7=0,0,--(LEN(INDEX('Paste Export'!$A$2:$BZ$1001,$A583,col_s7))&gt;0))+IF(col_s8=0,0,--(LEN(INDEX('Paste Export'!$A$2:$BZ$1001,$A583,col_s8))&gt;0)))</f>
        <v/>
      </c>
      <c r="I583" s="25" t="str">
        <f t="shared" si="66"/>
        <v/>
      </c>
      <c r="J583" s="25" t="str">
        <f t="shared" si="67"/>
        <v/>
      </c>
      <c r="K583" s="24" t="str">
        <f t="shared" si="68"/>
        <v/>
      </c>
      <c r="L583" s="24" t="str">
        <f t="shared" si="69"/>
        <v/>
      </c>
    </row>
    <row r="584" spans="1:12" x14ac:dyDescent="0.25">
      <c r="A584" s="24">
        <f t="shared" si="63"/>
        <v>583</v>
      </c>
      <c r="B584" s="25" t="str">
        <f>IF($A584&gt;nrows,"",IF(col_user=0,"",INDEX('Paste Export'!$A$2:$BZ$1001,$A584,col_user)))</f>
        <v/>
      </c>
      <c r="C584" s="24" t="str">
        <f>IF($A584&gt;nrows,"",IF(col_days=0,0,N(INDEX('Paste Export'!$A$2:$BZ$1001,$A584,col_days))))</f>
        <v/>
      </c>
      <c r="D584" s="24" t="str">
        <f>IF($A584&gt;nrows,"",IF(col_prompts=0,0,N(INDEX('Paste Export'!$A$2:$BZ$1001,$A584,col_prompts))))</f>
        <v/>
      </c>
      <c r="E584" s="24" t="str">
        <f>IF($A584&gt;nrows,"",IF(col_web=0,0,N(INDEX('Paste Export'!$A$2:$BZ$1001,$A584,col_web))))</f>
        <v/>
      </c>
      <c r="F584" s="26" t="str">
        <f t="shared" si="64"/>
        <v/>
      </c>
      <c r="G584" s="27" t="str">
        <f t="shared" si="65"/>
        <v/>
      </c>
      <c r="H584" s="24" t="str">
        <f>IF($A584&gt;nrows,"",IF(col_s1=0,0,--(LEN(INDEX('Paste Export'!$A$2:$BZ$1001,$A584,col_s1))&gt;0))+IF(col_s2=0,0,--(LEN(INDEX('Paste Export'!$A$2:$BZ$1001,$A584,col_s2))&gt;0))+IF(col_s3=0,0,--(LEN(INDEX('Paste Export'!$A$2:$BZ$1001,$A584,col_s3))&gt;0))+IF(col_s4=0,0,--(LEN(INDEX('Paste Export'!$A$2:$BZ$1001,$A584,col_s4))&gt;0))+IF(col_s5=0,0,--(LEN(INDEX('Paste Export'!$A$2:$BZ$1001,$A584,col_s5))&gt;0))+IF(col_s6=0,0,--(LEN(INDEX('Paste Export'!$A$2:$BZ$1001,$A584,col_s6))&gt;0))+IF(col_s7=0,0,--(LEN(INDEX('Paste Export'!$A$2:$BZ$1001,$A584,col_s7))&gt;0))+IF(col_s8=0,0,--(LEN(INDEX('Paste Export'!$A$2:$BZ$1001,$A584,col_s8))&gt;0)))</f>
        <v/>
      </c>
      <c r="I584" s="25" t="str">
        <f t="shared" si="66"/>
        <v/>
      </c>
      <c r="J584" s="25" t="str">
        <f t="shared" si="67"/>
        <v/>
      </c>
      <c r="K584" s="24" t="str">
        <f t="shared" si="68"/>
        <v/>
      </c>
      <c r="L584" s="24" t="str">
        <f t="shared" si="69"/>
        <v/>
      </c>
    </row>
    <row r="585" spans="1:12" x14ac:dyDescent="0.25">
      <c r="A585" s="24">
        <f t="shared" si="63"/>
        <v>584</v>
      </c>
      <c r="B585" s="25" t="str">
        <f>IF($A585&gt;nrows,"",IF(col_user=0,"",INDEX('Paste Export'!$A$2:$BZ$1001,$A585,col_user)))</f>
        <v/>
      </c>
      <c r="C585" s="24" t="str">
        <f>IF($A585&gt;nrows,"",IF(col_days=0,0,N(INDEX('Paste Export'!$A$2:$BZ$1001,$A585,col_days))))</f>
        <v/>
      </c>
      <c r="D585" s="24" t="str">
        <f>IF($A585&gt;nrows,"",IF(col_prompts=0,0,N(INDEX('Paste Export'!$A$2:$BZ$1001,$A585,col_prompts))))</f>
        <v/>
      </c>
      <c r="E585" s="24" t="str">
        <f>IF($A585&gt;nrows,"",IF(col_web=0,0,N(INDEX('Paste Export'!$A$2:$BZ$1001,$A585,col_web))))</f>
        <v/>
      </c>
      <c r="F585" s="26" t="str">
        <f t="shared" si="64"/>
        <v/>
      </c>
      <c r="G585" s="27" t="str">
        <f t="shared" si="65"/>
        <v/>
      </c>
      <c r="H585" s="24" t="str">
        <f>IF($A585&gt;nrows,"",IF(col_s1=0,0,--(LEN(INDEX('Paste Export'!$A$2:$BZ$1001,$A585,col_s1))&gt;0))+IF(col_s2=0,0,--(LEN(INDEX('Paste Export'!$A$2:$BZ$1001,$A585,col_s2))&gt;0))+IF(col_s3=0,0,--(LEN(INDEX('Paste Export'!$A$2:$BZ$1001,$A585,col_s3))&gt;0))+IF(col_s4=0,0,--(LEN(INDEX('Paste Export'!$A$2:$BZ$1001,$A585,col_s4))&gt;0))+IF(col_s5=0,0,--(LEN(INDEX('Paste Export'!$A$2:$BZ$1001,$A585,col_s5))&gt;0))+IF(col_s6=0,0,--(LEN(INDEX('Paste Export'!$A$2:$BZ$1001,$A585,col_s6))&gt;0))+IF(col_s7=0,0,--(LEN(INDEX('Paste Export'!$A$2:$BZ$1001,$A585,col_s7))&gt;0))+IF(col_s8=0,0,--(LEN(INDEX('Paste Export'!$A$2:$BZ$1001,$A585,col_s8))&gt;0)))</f>
        <v/>
      </c>
      <c r="I585" s="25" t="str">
        <f t="shared" si="66"/>
        <v/>
      </c>
      <c r="J585" s="25" t="str">
        <f t="shared" si="67"/>
        <v/>
      </c>
      <c r="K585" s="24" t="str">
        <f t="shared" si="68"/>
        <v/>
      </c>
      <c r="L585" s="24" t="str">
        <f t="shared" si="69"/>
        <v/>
      </c>
    </row>
    <row r="586" spans="1:12" x14ac:dyDescent="0.25">
      <c r="A586" s="24">
        <f t="shared" si="63"/>
        <v>585</v>
      </c>
      <c r="B586" s="25" t="str">
        <f>IF($A586&gt;nrows,"",IF(col_user=0,"",INDEX('Paste Export'!$A$2:$BZ$1001,$A586,col_user)))</f>
        <v/>
      </c>
      <c r="C586" s="24" t="str">
        <f>IF($A586&gt;nrows,"",IF(col_days=0,0,N(INDEX('Paste Export'!$A$2:$BZ$1001,$A586,col_days))))</f>
        <v/>
      </c>
      <c r="D586" s="24" t="str">
        <f>IF($A586&gt;nrows,"",IF(col_prompts=0,0,N(INDEX('Paste Export'!$A$2:$BZ$1001,$A586,col_prompts))))</f>
        <v/>
      </c>
      <c r="E586" s="24" t="str">
        <f>IF($A586&gt;nrows,"",IF(col_web=0,0,N(INDEX('Paste Export'!$A$2:$BZ$1001,$A586,col_web))))</f>
        <v/>
      </c>
      <c r="F586" s="26" t="str">
        <f t="shared" si="64"/>
        <v/>
      </c>
      <c r="G586" s="27" t="str">
        <f t="shared" si="65"/>
        <v/>
      </c>
      <c r="H586" s="24" t="str">
        <f>IF($A586&gt;nrows,"",IF(col_s1=0,0,--(LEN(INDEX('Paste Export'!$A$2:$BZ$1001,$A586,col_s1))&gt;0))+IF(col_s2=0,0,--(LEN(INDEX('Paste Export'!$A$2:$BZ$1001,$A586,col_s2))&gt;0))+IF(col_s3=0,0,--(LEN(INDEX('Paste Export'!$A$2:$BZ$1001,$A586,col_s3))&gt;0))+IF(col_s4=0,0,--(LEN(INDEX('Paste Export'!$A$2:$BZ$1001,$A586,col_s4))&gt;0))+IF(col_s5=0,0,--(LEN(INDEX('Paste Export'!$A$2:$BZ$1001,$A586,col_s5))&gt;0))+IF(col_s6=0,0,--(LEN(INDEX('Paste Export'!$A$2:$BZ$1001,$A586,col_s6))&gt;0))+IF(col_s7=0,0,--(LEN(INDEX('Paste Export'!$A$2:$BZ$1001,$A586,col_s7))&gt;0))+IF(col_s8=0,0,--(LEN(INDEX('Paste Export'!$A$2:$BZ$1001,$A586,col_s8))&gt;0)))</f>
        <v/>
      </c>
      <c r="I586" s="25" t="str">
        <f t="shared" si="66"/>
        <v/>
      </c>
      <c r="J586" s="25" t="str">
        <f t="shared" si="67"/>
        <v/>
      </c>
      <c r="K586" s="24" t="str">
        <f t="shared" si="68"/>
        <v/>
      </c>
      <c r="L586" s="24" t="str">
        <f t="shared" si="69"/>
        <v/>
      </c>
    </row>
    <row r="587" spans="1:12" x14ac:dyDescent="0.25">
      <c r="A587" s="24">
        <f t="shared" si="63"/>
        <v>586</v>
      </c>
      <c r="B587" s="25" t="str">
        <f>IF($A587&gt;nrows,"",IF(col_user=0,"",INDEX('Paste Export'!$A$2:$BZ$1001,$A587,col_user)))</f>
        <v/>
      </c>
      <c r="C587" s="24" t="str">
        <f>IF($A587&gt;nrows,"",IF(col_days=0,0,N(INDEX('Paste Export'!$A$2:$BZ$1001,$A587,col_days))))</f>
        <v/>
      </c>
      <c r="D587" s="24" t="str">
        <f>IF($A587&gt;nrows,"",IF(col_prompts=0,0,N(INDEX('Paste Export'!$A$2:$BZ$1001,$A587,col_prompts))))</f>
        <v/>
      </c>
      <c r="E587" s="24" t="str">
        <f>IF($A587&gt;nrows,"",IF(col_web=0,0,N(INDEX('Paste Export'!$A$2:$BZ$1001,$A587,col_web))))</f>
        <v/>
      </c>
      <c r="F587" s="26" t="str">
        <f t="shared" si="64"/>
        <v/>
      </c>
      <c r="G587" s="27" t="str">
        <f t="shared" si="65"/>
        <v/>
      </c>
      <c r="H587" s="24" t="str">
        <f>IF($A587&gt;nrows,"",IF(col_s1=0,0,--(LEN(INDEX('Paste Export'!$A$2:$BZ$1001,$A587,col_s1))&gt;0))+IF(col_s2=0,0,--(LEN(INDEX('Paste Export'!$A$2:$BZ$1001,$A587,col_s2))&gt;0))+IF(col_s3=0,0,--(LEN(INDEX('Paste Export'!$A$2:$BZ$1001,$A587,col_s3))&gt;0))+IF(col_s4=0,0,--(LEN(INDEX('Paste Export'!$A$2:$BZ$1001,$A587,col_s4))&gt;0))+IF(col_s5=0,0,--(LEN(INDEX('Paste Export'!$A$2:$BZ$1001,$A587,col_s5))&gt;0))+IF(col_s6=0,0,--(LEN(INDEX('Paste Export'!$A$2:$BZ$1001,$A587,col_s6))&gt;0))+IF(col_s7=0,0,--(LEN(INDEX('Paste Export'!$A$2:$BZ$1001,$A587,col_s7))&gt;0))+IF(col_s8=0,0,--(LEN(INDEX('Paste Export'!$A$2:$BZ$1001,$A587,col_s8))&gt;0)))</f>
        <v/>
      </c>
      <c r="I587" s="25" t="str">
        <f t="shared" si="66"/>
        <v/>
      </c>
      <c r="J587" s="25" t="str">
        <f t="shared" si="67"/>
        <v/>
      </c>
      <c r="K587" s="24" t="str">
        <f t="shared" si="68"/>
        <v/>
      </c>
      <c r="L587" s="24" t="str">
        <f t="shared" si="69"/>
        <v/>
      </c>
    </row>
    <row r="588" spans="1:12" x14ac:dyDescent="0.25">
      <c r="A588" s="24">
        <f t="shared" si="63"/>
        <v>587</v>
      </c>
      <c r="B588" s="25" t="str">
        <f>IF($A588&gt;nrows,"",IF(col_user=0,"",INDEX('Paste Export'!$A$2:$BZ$1001,$A588,col_user)))</f>
        <v/>
      </c>
      <c r="C588" s="24" t="str">
        <f>IF($A588&gt;nrows,"",IF(col_days=0,0,N(INDEX('Paste Export'!$A$2:$BZ$1001,$A588,col_days))))</f>
        <v/>
      </c>
      <c r="D588" s="24" t="str">
        <f>IF($A588&gt;nrows,"",IF(col_prompts=0,0,N(INDEX('Paste Export'!$A$2:$BZ$1001,$A588,col_prompts))))</f>
        <v/>
      </c>
      <c r="E588" s="24" t="str">
        <f>IF($A588&gt;nrows,"",IF(col_web=0,0,N(INDEX('Paste Export'!$A$2:$BZ$1001,$A588,col_web))))</f>
        <v/>
      </c>
      <c r="F588" s="26" t="str">
        <f t="shared" si="64"/>
        <v/>
      </c>
      <c r="G588" s="27" t="str">
        <f t="shared" si="65"/>
        <v/>
      </c>
      <c r="H588" s="24" t="str">
        <f>IF($A588&gt;nrows,"",IF(col_s1=0,0,--(LEN(INDEX('Paste Export'!$A$2:$BZ$1001,$A588,col_s1))&gt;0))+IF(col_s2=0,0,--(LEN(INDEX('Paste Export'!$A$2:$BZ$1001,$A588,col_s2))&gt;0))+IF(col_s3=0,0,--(LEN(INDEX('Paste Export'!$A$2:$BZ$1001,$A588,col_s3))&gt;0))+IF(col_s4=0,0,--(LEN(INDEX('Paste Export'!$A$2:$BZ$1001,$A588,col_s4))&gt;0))+IF(col_s5=0,0,--(LEN(INDEX('Paste Export'!$A$2:$BZ$1001,$A588,col_s5))&gt;0))+IF(col_s6=0,0,--(LEN(INDEX('Paste Export'!$A$2:$BZ$1001,$A588,col_s6))&gt;0))+IF(col_s7=0,0,--(LEN(INDEX('Paste Export'!$A$2:$BZ$1001,$A588,col_s7))&gt;0))+IF(col_s8=0,0,--(LEN(INDEX('Paste Export'!$A$2:$BZ$1001,$A588,col_s8))&gt;0)))</f>
        <v/>
      </c>
      <c r="I588" s="25" t="str">
        <f t="shared" si="66"/>
        <v/>
      </c>
      <c r="J588" s="25" t="str">
        <f t="shared" si="67"/>
        <v/>
      </c>
      <c r="K588" s="24" t="str">
        <f t="shared" si="68"/>
        <v/>
      </c>
      <c r="L588" s="24" t="str">
        <f t="shared" si="69"/>
        <v/>
      </c>
    </row>
    <row r="589" spans="1:12" x14ac:dyDescent="0.25">
      <c r="A589" s="24">
        <f t="shared" si="63"/>
        <v>588</v>
      </c>
      <c r="B589" s="25" t="str">
        <f>IF($A589&gt;nrows,"",IF(col_user=0,"",INDEX('Paste Export'!$A$2:$BZ$1001,$A589,col_user)))</f>
        <v/>
      </c>
      <c r="C589" s="24" t="str">
        <f>IF($A589&gt;nrows,"",IF(col_days=0,0,N(INDEX('Paste Export'!$A$2:$BZ$1001,$A589,col_days))))</f>
        <v/>
      </c>
      <c r="D589" s="24" t="str">
        <f>IF($A589&gt;nrows,"",IF(col_prompts=0,0,N(INDEX('Paste Export'!$A$2:$BZ$1001,$A589,col_prompts))))</f>
        <v/>
      </c>
      <c r="E589" s="24" t="str">
        <f>IF($A589&gt;nrows,"",IF(col_web=0,0,N(INDEX('Paste Export'!$A$2:$BZ$1001,$A589,col_web))))</f>
        <v/>
      </c>
      <c r="F589" s="26" t="str">
        <f t="shared" si="64"/>
        <v/>
      </c>
      <c r="G589" s="27" t="str">
        <f t="shared" si="65"/>
        <v/>
      </c>
      <c r="H589" s="24" t="str">
        <f>IF($A589&gt;nrows,"",IF(col_s1=0,0,--(LEN(INDEX('Paste Export'!$A$2:$BZ$1001,$A589,col_s1))&gt;0))+IF(col_s2=0,0,--(LEN(INDEX('Paste Export'!$A$2:$BZ$1001,$A589,col_s2))&gt;0))+IF(col_s3=0,0,--(LEN(INDEX('Paste Export'!$A$2:$BZ$1001,$A589,col_s3))&gt;0))+IF(col_s4=0,0,--(LEN(INDEX('Paste Export'!$A$2:$BZ$1001,$A589,col_s4))&gt;0))+IF(col_s5=0,0,--(LEN(INDEX('Paste Export'!$A$2:$BZ$1001,$A589,col_s5))&gt;0))+IF(col_s6=0,0,--(LEN(INDEX('Paste Export'!$A$2:$BZ$1001,$A589,col_s6))&gt;0))+IF(col_s7=0,0,--(LEN(INDEX('Paste Export'!$A$2:$BZ$1001,$A589,col_s7))&gt;0))+IF(col_s8=0,0,--(LEN(INDEX('Paste Export'!$A$2:$BZ$1001,$A589,col_s8))&gt;0)))</f>
        <v/>
      </c>
      <c r="I589" s="25" t="str">
        <f t="shared" si="66"/>
        <v/>
      </c>
      <c r="J589" s="25" t="str">
        <f t="shared" si="67"/>
        <v/>
      </c>
      <c r="K589" s="24" t="str">
        <f t="shared" si="68"/>
        <v/>
      </c>
      <c r="L589" s="24" t="str">
        <f t="shared" si="69"/>
        <v/>
      </c>
    </row>
    <row r="590" spans="1:12" x14ac:dyDescent="0.25">
      <c r="A590" s="24">
        <f t="shared" si="63"/>
        <v>589</v>
      </c>
      <c r="B590" s="25" t="str">
        <f>IF($A590&gt;nrows,"",IF(col_user=0,"",INDEX('Paste Export'!$A$2:$BZ$1001,$A590,col_user)))</f>
        <v/>
      </c>
      <c r="C590" s="24" t="str">
        <f>IF($A590&gt;nrows,"",IF(col_days=0,0,N(INDEX('Paste Export'!$A$2:$BZ$1001,$A590,col_days))))</f>
        <v/>
      </c>
      <c r="D590" s="24" t="str">
        <f>IF($A590&gt;nrows,"",IF(col_prompts=0,0,N(INDEX('Paste Export'!$A$2:$BZ$1001,$A590,col_prompts))))</f>
        <v/>
      </c>
      <c r="E590" s="24" t="str">
        <f>IF($A590&gt;nrows,"",IF(col_web=0,0,N(INDEX('Paste Export'!$A$2:$BZ$1001,$A590,col_web))))</f>
        <v/>
      </c>
      <c r="F590" s="26" t="str">
        <f t="shared" si="64"/>
        <v/>
      </c>
      <c r="G590" s="27" t="str">
        <f t="shared" si="65"/>
        <v/>
      </c>
      <c r="H590" s="24" t="str">
        <f>IF($A590&gt;nrows,"",IF(col_s1=0,0,--(LEN(INDEX('Paste Export'!$A$2:$BZ$1001,$A590,col_s1))&gt;0))+IF(col_s2=0,0,--(LEN(INDEX('Paste Export'!$A$2:$BZ$1001,$A590,col_s2))&gt;0))+IF(col_s3=0,0,--(LEN(INDEX('Paste Export'!$A$2:$BZ$1001,$A590,col_s3))&gt;0))+IF(col_s4=0,0,--(LEN(INDEX('Paste Export'!$A$2:$BZ$1001,$A590,col_s4))&gt;0))+IF(col_s5=0,0,--(LEN(INDEX('Paste Export'!$A$2:$BZ$1001,$A590,col_s5))&gt;0))+IF(col_s6=0,0,--(LEN(INDEX('Paste Export'!$A$2:$BZ$1001,$A590,col_s6))&gt;0))+IF(col_s7=0,0,--(LEN(INDEX('Paste Export'!$A$2:$BZ$1001,$A590,col_s7))&gt;0))+IF(col_s8=0,0,--(LEN(INDEX('Paste Export'!$A$2:$BZ$1001,$A590,col_s8))&gt;0)))</f>
        <v/>
      </c>
      <c r="I590" s="25" t="str">
        <f t="shared" si="66"/>
        <v/>
      </c>
      <c r="J590" s="25" t="str">
        <f t="shared" si="67"/>
        <v/>
      </c>
      <c r="K590" s="24" t="str">
        <f t="shared" si="68"/>
        <v/>
      </c>
      <c r="L590" s="24" t="str">
        <f t="shared" si="69"/>
        <v/>
      </c>
    </row>
    <row r="591" spans="1:12" x14ac:dyDescent="0.25">
      <c r="A591" s="24">
        <f t="shared" si="63"/>
        <v>590</v>
      </c>
      <c r="B591" s="25" t="str">
        <f>IF($A591&gt;nrows,"",IF(col_user=0,"",INDEX('Paste Export'!$A$2:$BZ$1001,$A591,col_user)))</f>
        <v/>
      </c>
      <c r="C591" s="24" t="str">
        <f>IF($A591&gt;nrows,"",IF(col_days=0,0,N(INDEX('Paste Export'!$A$2:$BZ$1001,$A591,col_days))))</f>
        <v/>
      </c>
      <c r="D591" s="24" t="str">
        <f>IF($A591&gt;nrows,"",IF(col_prompts=0,0,N(INDEX('Paste Export'!$A$2:$BZ$1001,$A591,col_prompts))))</f>
        <v/>
      </c>
      <c r="E591" s="24" t="str">
        <f>IF($A591&gt;nrows,"",IF(col_web=0,0,N(INDEX('Paste Export'!$A$2:$BZ$1001,$A591,col_web))))</f>
        <v/>
      </c>
      <c r="F591" s="26" t="str">
        <f t="shared" si="64"/>
        <v/>
      </c>
      <c r="G591" s="27" t="str">
        <f t="shared" si="65"/>
        <v/>
      </c>
      <c r="H591" s="24" t="str">
        <f>IF($A591&gt;nrows,"",IF(col_s1=0,0,--(LEN(INDEX('Paste Export'!$A$2:$BZ$1001,$A591,col_s1))&gt;0))+IF(col_s2=0,0,--(LEN(INDEX('Paste Export'!$A$2:$BZ$1001,$A591,col_s2))&gt;0))+IF(col_s3=0,0,--(LEN(INDEX('Paste Export'!$A$2:$BZ$1001,$A591,col_s3))&gt;0))+IF(col_s4=0,0,--(LEN(INDEX('Paste Export'!$A$2:$BZ$1001,$A591,col_s4))&gt;0))+IF(col_s5=0,0,--(LEN(INDEX('Paste Export'!$A$2:$BZ$1001,$A591,col_s5))&gt;0))+IF(col_s6=0,0,--(LEN(INDEX('Paste Export'!$A$2:$BZ$1001,$A591,col_s6))&gt;0))+IF(col_s7=0,0,--(LEN(INDEX('Paste Export'!$A$2:$BZ$1001,$A591,col_s7))&gt;0))+IF(col_s8=0,0,--(LEN(INDEX('Paste Export'!$A$2:$BZ$1001,$A591,col_s8))&gt;0)))</f>
        <v/>
      </c>
      <c r="I591" s="25" t="str">
        <f t="shared" si="66"/>
        <v/>
      </c>
      <c r="J591" s="25" t="str">
        <f t="shared" si="67"/>
        <v/>
      </c>
      <c r="K591" s="24" t="str">
        <f t="shared" si="68"/>
        <v/>
      </c>
      <c r="L591" s="24" t="str">
        <f t="shared" si="69"/>
        <v/>
      </c>
    </row>
    <row r="592" spans="1:12" x14ac:dyDescent="0.25">
      <c r="A592" s="24">
        <f t="shared" si="63"/>
        <v>591</v>
      </c>
      <c r="B592" s="25" t="str">
        <f>IF($A592&gt;nrows,"",IF(col_user=0,"",INDEX('Paste Export'!$A$2:$BZ$1001,$A592,col_user)))</f>
        <v/>
      </c>
      <c r="C592" s="24" t="str">
        <f>IF($A592&gt;nrows,"",IF(col_days=0,0,N(INDEX('Paste Export'!$A$2:$BZ$1001,$A592,col_days))))</f>
        <v/>
      </c>
      <c r="D592" s="24" t="str">
        <f>IF($A592&gt;nrows,"",IF(col_prompts=0,0,N(INDEX('Paste Export'!$A$2:$BZ$1001,$A592,col_prompts))))</f>
        <v/>
      </c>
      <c r="E592" s="24" t="str">
        <f>IF($A592&gt;nrows,"",IF(col_web=0,0,N(INDEX('Paste Export'!$A$2:$BZ$1001,$A592,col_web))))</f>
        <v/>
      </c>
      <c r="F592" s="26" t="str">
        <f t="shared" si="64"/>
        <v/>
      </c>
      <c r="G592" s="27" t="str">
        <f t="shared" si="65"/>
        <v/>
      </c>
      <c r="H592" s="24" t="str">
        <f>IF($A592&gt;nrows,"",IF(col_s1=0,0,--(LEN(INDEX('Paste Export'!$A$2:$BZ$1001,$A592,col_s1))&gt;0))+IF(col_s2=0,0,--(LEN(INDEX('Paste Export'!$A$2:$BZ$1001,$A592,col_s2))&gt;0))+IF(col_s3=0,0,--(LEN(INDEX('Paste Export'!$A$2:$BZ$1001,$A592,col_s3))&gt;0))+IF(col_s4=0,0,--(LEN(INDEX('Paste Export'!$A$2:$BZ$1001,$A592,col_s4))&gt;0))+IF(col_s5=0,0,--(LEN(INDEX('Paste Export'!$A$2:$BZ$1001,$A592,col_s5))&gt;0))+IF(col_s6=0,0,--(LEN(INDEX('Paste Export'!$A$2:$BZ$1001,$A592,col_s6))&gt;0))+IF(col_s7=0,0,--(LEN(INDEX('Paste Export'!$A$2:$BZ$1001,$A592,col_s7))&gt;0))+IF(col_s8=0,0,--(LEN(INDEX('Paste Export'!$A$2:$BZ$1001,$A592,col_s8))&gt;0)))</f>
        <v/>
      </c>
      <c r="I592" s="25" t="str">
        <f t="shared" si="66"/>
        <v/>
      </c>
      <c r="J592" s="25" t="str">
        <f t="shared" si="67"/>
        <v/>
      </c>
      <c r="K592" s="24" t="str">
        <f t="shared" si="68"/>
        <v/>
      </c>
      <c r="L592" s="24" t="str">
        <f t="shared" si="69"/>
        <v/>
      </c>
    </row>
    <row r="593" spans="1:12" x14ac:dyDescent="0.25">
      <c r="A593" s="24">
        <f t="shared" si="63"/>
        <v>592</v>
      </c>
      <c r="B593" s="25" t="str">
        <f>IF($A593&gt;nrows,"",IF(col_user=0,"",INDEX('Paste Export'!$A$2:$BZ$1001,$A593,col_user)))</f>
        <v/>
      </c>
      <c r="C593" s="24" t="str">
        <f>IF($A593&gt;nrows,"",IF(col_days=0,0,N(INDEX('Paste Export'!$A$2:$BZ$1001,$A593,col_days))))</f>
        <v/>
      </c>
      <c r="D593" s="24" t="str">
        <f>IF($A593&gt;nrows,"",IF(col_prompts=0,0,N(INDEX('Paste Export'!$A$2:$BZ$1001,$A593,col_prompts))))</f>
        <v/>
      </c>
      <c r="E593" s="24" t="str">
        <f>IF($A593&gt;nrows,"",IF(col_web=0,0,N(INDEX('Paste Export'!$A$2:$BZ$1001,$A593,col_web))))</f>
        <v/>
      </c>
      <c r="F593" s="26" t="str">
        <f t="shared" si="64"/>
        <v/>
      </c>
      <c r="G593" s="27" t="str">
        <f t="shared" si="65"/>
        <v/>
      </c>
      <c r="H593" s="24" t="str">
        <f>IF($A593&gt;nrows,"",IF(col_s1=0,0,--(LEN(INDEX('Paste Export'!$A$2:$BZ$1001,$A593,col_s1))&gt;0))+IF(col_s2=0,0,--(LEN(INDEX('Paste Export'!$A$2:$BZ$1001,$A593,col_s2))&gt;0))+IF(col_s3=0,0,--(LEN(INDEX('Paste Export'!$A$2:$BZ$1001,$A593,col_s3))&gt;0))+IF(col_s4=0,0,--(LEN(INDEX('Paste Export'!$A$2:$BZ$1001,$A593,col_s4))&gt;0))+IF(col_s5=0,0,--(LEN(INDEX('Paste Export'!$A$2:$BZ$1001,$A593,col_s5))&gt;0))+IF(col_s6=0,0,--(LEN(INDEX('Paste Export'!$A$2:$BZ$1001,$A593,col_s6))&gt;0))+IF(col_s7=0,0,--(LEN(INDEX('Paste Export'!$A$2:$BZ$1001,$A593,col_s7))&gt;0))+IF(col_s8=0,0,--(LEN(INDEX('Paste Export'!$A$2:$BZ$1001,$A593,col_s8))&gt;0)))</f>
        <v/>
      </c>
      <c r="I593" s="25" t="str">
        <f t="shared" si="66"/>
        <v/>
      </c>
      <c r="J593" s="25" t="str">
        <f t="shared" si="67"/>
        <v/>
      </c>
      <c r="K593" s="24" t="str">
        <f t="shared" si="68"/>
        <v/>
      </c>
      <c r="L593" s="24" t="str">
        <f t="shared" si="69"/>
        <v/>
      </c>
    </row>
    <row r="594" spans="1:12" x14ac:dyDescent="0.25">
      <c r="A594" s="24">
        <f t="shared" si="63"/>
        <v>593</v>
      </c>
      <c r="B594" s="25" t="str">
        <f>IF($A594&gt;nrows,"",IF(col_user=0,"",INDEX('Paste Export'!$A$2:$BZ$1001,$A594,col_user)))</f>
        <v/>
      </c>
      <c r="C594" s="24" t="str">
        <f>IF($A594&gt;nrows,"",IF(col_days=0,0,N(INDEX('Paste Export'!$A$2:$BZ$1001,$A594,col_days))))</f>
        <v/>
      </c>
      <c r="D594" s="24" t="str">
        <f>IF($A594&gt;nrows,"",IF(col_prompts=0,0,N(INDEX('Paste Export'!$A$2:$BZ$1001,$A594,col_prompts))))</f>
        <v/>
      </c>
      <c r="E594" s="24" t="str">
        <f>IF($A594&gt;nrows,"",IF(col_web=0,0,N(INDEX('Paste Export'!$A$2:$BZ$1001,$A594,col_web))))</f>
        <v/>
      </c>
      <c r="F594" s="26" t="str">
        <f t="shared" si="64"/>
        <v/>
      </c>
      <c r="G594" s="27" t="str">
        <f t="shared" si="65"/>
        <v/>
      </c>
      <c r="H594" s="24" t="str">
        <f>IF($A594&gt;nrows,"",IF(col_s1=0,0,--(LEN(INDEX('Paste Export'!$A$2:$BZ$1001,$A594,col_s1))&gt;0))+IF(col_s2=0,0,--(LEN(INDEX('Paste Export'!$A$2:$BZ$1001,$A594,col_s2))&gt;0))+IF(col_s3=0,0,--(LEN(INDEX('Paste Export'!$A$2:$BZ$1001,$A594,col_s3))&gt;0))+IF(col_s4=0,0,--(LEN(INDEX('Paste Export'!$A$2:$BZ$1001,$A594,col_s4))&gt;0))+IF(col_s5=0,0,--(LEN(INDEX('Paste Export'!$A$2:$BZ$1001,$A594,col_s5))&gt;0))+IF(col_s6=0,0,--(LEN(INDEX('Paste Export'!$A$2:$BZ$1001,$A594,col_s6))&gt;0))+IF(col_s7=0,0,--(LEN(INDEX('Paste Export'!$A$2:$BZ$1001,$A594,col_s7))&gt;0))+IF(col_s8=0,0,--(LEN(INDEX('Paste Export'!$A$2:$BZ$1001,$A594,col_s8))&gt;0)))</f>
        <v/>
      </c>
      <c r="I594" s="25" t="str">
        <f t="shared" si="66"/>
        <v/>
      </c>
      <c r="J594" s="25" t="str">
        <f t="shared" si="67"/>
        <v/>
      </c>
      <c r="K594" s="24" t="str">
        <f t="shared" si="68"/>
        <v/>
      </c>
      <c r="L594" s="24" t="str">
        <f t="shared" si="69"/>
        <v/>
      </c>
    </row>
    <row r="595" spans="1:12" x14ac:dyDescent="0.25">
      <c r="A595" s="24">
        <f t="shared" si="63"/>
        <v>594</v>
      </c>
      <c r="B595" s="25" t="str">
        <f>IF($A595&gt;nrows,"",IF(col_user=0,"",INDEX('Paste Export'!$A$2:$BZ$1001,$A595,col_user)))</f>
        <v/>
      </c>
      <c r="C595" s="24" t="str">
        <f>IF($A595&gt;nrows,"",IF(col_days=0,0,N(INDEX('Paste Export'!$A$2:$BZ$1001,$A595,col_days))))</f>
        <v/>
      </c>
      <c r="D595" s="24" t="str">
        <f>IF($A595&gt;nrows,"",IF(col_prompts=0,0,N(INDEX('Paste Export'!$A$2:$BZ$1001,$A595,col_prompts))))</f>
        <v/>
      </c>
      <c r="E595" s="24" t="str">
        <f>IF($A595&gt;nrows,"",IF(col_web=0,0,N(INDEX('Paste Export'!$A$2:$BZ$1001,$A595,col_web))))</f>
        <v/>
      </c>
      <c r="F595" s="26" t="str">
        <f t="shared" si="64"/>
        <v/>
      </c>
      <c r="G595" s="27" t="str">
        <f t="shared" si="65"/>
        <v/>
      </c>
      <c r="H595" s="24" t="str">
        <f>IF($A595&gt;nrows,"",IF(col_s1=0,0,--(LEN(INDEX('Paste Export'!$A$2:$BZ$1001,$A595,col_s1))&gt;0))+IF(col_s2=0,0,--(LEN(INDEX('Paste Export'!$A$2:$BZ$1001,$A595,col_s2))&gt;0))+IF(col_s3=0,0,--(LEN(INDEX('Paste Export'!$A$2:$BZ$1001,$A595,col_s3))&gt;0))+IF(col_s4=0,0,--(LEN(INDEX('Paste Export'!$A$2:$BZ$1001,$A595,col_s4))&gt;0))+IF(col_s5=0,0,--(LEN(INDEX('Paste Export'!$A$2:$BZ$1001,$A595,col_s5))&gt;0))+IF(col_s6=0,0,--(LEN(INDEX('Paste Export'!$A$2:$BZ$1001,$A595,col_s6))&gt;0))+IF(col_s7=0,0,--(LEN(INDEX('Paste Export'!$A$2:$BZ$1001,$A595,col_s7))&gt;0))+IF(col_s8=0,0,--(LEN(INDEX('Paste Export'!$A$2:$BZ$1001,$A595,col_s8))&gt;0)))</f>
        <v/>
      </c>
      <c r="I595" s="25" t="str">
        <f t="shared" si="66"/>
        <v/>
      </c>
      <c r="J595" s="25" t="str">
        <f t="shared" si="67"/>
        <v/>
      </c>
      <c r="K595" s="24" t="str">
        <f t="shared" si="68"/>
        <v/>
      </c>
      <c r="L595" s="24" t="str">
        <f t="shared" si="69"/>
        <v/>
      </c>
    </row>
    <row r="596" spans="1:12" x14ac:dyDescent="0.25">
      <c r="A596" s="24">
        <f t="shared" si="63"/>
        <v>595</v>
      </c>
      <c r="B596" s="25" t="str">
        <f>IF($A596&gt;nrows,"",IF(col_user=0,"",INDEX('Paste Export'!$A$2:$BZ$1001,$A596,col_user)))</f>
        <v/>
      </c>
      <c r="C596" s="24" t="str">
        <f>IF($A596&gt;nrows,"",IF(col_days=0,0,N(INDEX('Paste Export'!$A$2:$BZ$1001,$A596,col_days))))</f>
        <v/>
      </c>
      <c r="D596" s="24" t="str">
        <f>IF($A596&gt;nrows,"",IF(col_prompts=0,0,N(INDEX('Paste Export'!$A$2:$BZ$1001,$A596,col_prompts))))</f>
        <v/>
      </c>
      <c r="E596" s="24" t="str">
        <f>IF($A596&gt;nrows,"",IF(col_web=0,0,N(INDEX('Paste Export'!$A$2:$BZ$1001,$A596,col_web))))</f>
        <v/>
      </c>
      <c r="F596" s="26" t="str">
        <f t="shared" si="64"/>
        <v/>
      </c>
      <c r="G596" s="27" t="str">
        <f t="shared" si="65"/>
        <v/>
      </c>
      <c r="H596" s="24" t="str">
        <f>IF($A596&gt;nrows,"",IF(col_s1=0,0,--(LEN(INDEX('Paste Export'!$A$2:$BZ$1001,$A596,col_s1))&gt;0))+IF(col_s2=0,0,--(LEN(INDEX('Paste Export'!$A$2:$BZ$1001,$A596,col_s2))&gt;0))+IF(col_s3=0,0,--(LEN(INDEX('Paste Export'!$A$2:$BZ$1001,$A596,col_s3))&gt;0))+IF(col_s4=0,0,--(LEN(INDEX('Paste Export'!$A$2:$BZ$1001,$A596,col_s4))&gt;0))+IF(col_s5=0,0,--(LEN(INDEX('Paste Export'!$A$2:$BZ$1001,$A596,col_s5))&gt;0))+IF(col_s6=0,0,--(LEN(INDEX('Paste Export'!$A$2:$BZ$1001,$A596,col_s6))&gt;0))+IF(col_s7=0,0,--(LEN(INDEX('Paste Export'!$A$2:$BZ$1001,$A596,col_s7))&gt;0))+IF(col_s8=0,0,--(LEN(INDEX('Paste Export'!$A$2:$BZ$1001,$A596,col_s8))&gt;0)))</f>
        <v/>
      </c>
      <c r="I596" s="25" t="str">
        <f t="shared" si="66"/>
        <v/>
      </c>
      <c r="J596" s="25" t="str">
        <f t="shared" si="67"/>
        <v/>
      </c>
      <c r="K596" s="24" t="str">
        <f t="shared" si="68"/>
        <v/>
      </c>
      <c r="L596" s="24" t="str">
        <f t="shared" si="69"/>
        <v/>
      </c>
    </row>
    <row r="597" spans="1:12" x14ac:dyDescent="0.25">
      <c r="A597" s="24">
        <f t="shared" si="63"/>
        <v>596</v>
      </c>
      <c r="B597" s="25" t="str">
        <f>IF($A597&gt;nrows,"",IF(col_user=0,"",INDEX('Paste Export'!$A$2:$BZ$1001,$A597,col_user)))</f>
        <v/>
      </c>
      <c r="C597" s="24" t="str">
        <f>IF($A597&gt;nrows,"",IF(col_days=0,0,N(INDEX('Paste Export'!$A$2:$BZ$1001,$A597,col_days))))</f>
        <v/>
      </c>
      <c r="D597" s="24" t="str">
        <f>IF($A597&gt;nrows,"",IF(col_prompts=0,0,N(INDEX('Paste Export'!$A$2:$BZ$1001,$A597,col_prompts))))</f>
        <v/>
      </c>
      <c r="E597" s="24" t="str">
        <f>IF($A597&gt;nrows,"",IF(col_web=0,0,N(INDEX('Paste Export'!$A$2:$BZ$1001,$A597,col_web))))</f>
        <v/>
      </c>
      <c r="F597" s="26" t="str">
        <f t="shared" si="64"/>
        <v/>
      </c>
      <c r="G597" s="27" t="str">
        <f t="shared" si="65"/>
        <v/>
      </c>
      <c r="H597" s="24" t="str">
        <f>IF($A597&gt;nrows,"",IF(col_s1=0,0,--(LEN(INDEX('Paste Export'!$A$2:$BZ$1001,$A597,col_s1))&gt;0))+IF(col_s2=0,0,--(LEN(INDEX('Paste Export'!$A$2:$BZ$1001,$A597,col_s2))&gt;0))+IF(col_s3=0,0,--(LEN(INDEX('Paste Export'!$A$2:$BZ$1001,$A597,col_s3))&gt;0))+IF(col_s4=0,0,--(LEN(INDEX('Paste Export'!$A$2:$BZ$1001,$A597,col_s4))&gt;0))+IF(col_s5=0,0,--(LEN(INDEX('Paste Export'!$A$2:$BZ$1001,$A597,col_s5))&gt;0))+IF(col_s6=0,0,--(LEN(INDEX('Paste Export'!$A$2:$BZ$1001,$A597,col_s6))&gt;0))+IF(col_s7=0,0,--(LEN(INDEX('Paste Export'!$A$2:$BZ$1001,$A597,col_s7))&gt;0))+IF(col_s8=0,0,--(LEN(INDEX('Paste Export'!$A$2:$BZ$1001,$A597,col_s8))&gt;0)))</f>
        <v/>
      </c>
      <c r="I597" s="25" t="str">
        <f t="shared" si="66"/>
        <v/>
      </c>
      <c r="J597" s="25" t="str">
        <f t="shared" si="67"/>
        <v/>
      </c>
      <c r="K597" s="24" t="str">
        <f t="shared" si="68"/>
        <v/>
      </c>
      <c r="L597" s="24" t="str">
        <f t="shared" si="69"/>
        <v/>
      </c>
    </row>
    <row r="598" spans="1:12" x14ac:dyDescent="0.25">
      <c r="A598" s="24">
        <f t="shared" si="63"/>
        <v>597</v>
      </c>
      <c r="B598" s="25" t="str">
        <f>IF($A598&gt;nrows,"",IF(col_user=0,"",INDEX('Paste Export'!$A$2:$BZ$1001,$A598,col_user)))</f>
        <v/>
      </c>
      <c r="C598" s="24" t="str">
        <f>IF($A598&gt;nrows,"",IF(col_days=0,0,N(INDEX('Paste Export'!$A$2:$BZ$1001,$A598,col_days))))</f>
        <v/>
      </c>
      <c r="D598" s="24" t="str">
        <f>IF($A598&gt;nrows,"",IF(col_prompts=0,0,N(INDEX('Paste Export'!$A$2:$BZ$1001,$A598,col_prompts))))</f>
        <v/>
      </c>
      <c r="E598" s="24" t="str">
        <f>IF($A598&gt;nrows,"",IF(col_web=0,0,N(INDEX('Paste Export'!$A$2:$BZ$1001,$A598,col_web))))</f>
        <v/>
      </c>
      <c r="F598" s="26" t="str">
        <f t="shared" si="64"/>
        <v/>
      </c>
      <c r="G598" s="27" t="str">
        <f t="shared" si="65"/>
        <v/>
      </c>
      <c r="H598" s="24" t="str">
        <f>IF($A598&gt;nrows,"",IF(col_s1=0,0,--(LEN(INDEX('Paste Export'!$A$2:$BZ$1001,$A598,col_s1))&gt;0))+IF(col_s2=0,0,--(LEN(INDEX('Paste Export'!$A$2:$BZ$1001,$A598,col_s2))&gt;0))+IF(col_s3=0,0,--(LEN(INDEX('Paste Export'!$A$2:$BZ$1001,$A598,col_s3))&gt;0))+IF(col_s4=0,0,--(LEN(INDEX('Paste Export'!$A$2:$BZ$1001,$A598,col_s4))&gt;0))+IF(col_s5=0,0,--(LEN(INDEX('Paste Export'!$A$2:$BZ$1001,$A598,col_s5))&gt;0))+IF(col_s6=0,0,--(LEN(INDEX('Paste Export'!$A$2:$BZ$1001,$A598,col_s6))&gt;0))+IF(col_s7=0,0,--(LEN(INDEX('Paste Export'!$A$2:$BZ$1001,$A598,col_s7))&gt;0))+IF(col_s8=0,0,--(LEN(INDEX('Paste Export'!$A$2:$BZ$1001,$A598,col_s8))&gt;0)))</f>
        <v/>
      </c>
      <c r="I598" s="25" t="str">
        <f t="shared" si="66"/>
        <v/>
      </c>
      <c r="J598" s="25" t="str">
        <f t="shared" si="67"/>
        <v/>
      </c>
      <c r="K598" s="24" t="str">
        <f t="shared" si="68"/>
        <v/>
      </c>
      <c r="L598" s="24" t="str">
        <f t="shared" si="69"/>
        <v/>
      </c>
    </row>
    <row r="599" spans="1:12" x14ac:dyDescent="0.25">
      <c r="A599" s="24">
        <f t="shared" si="63"/>
        <v>598</v>
      </c>
      <c r="B599" s="25" t="str">
        <f>IF($A599&gt;nrows,"",IF(col_user=0,"",INDEX('Paste Export'!$A$2:$BZ$1001,$A599,col_user)))</f>
        <v/>
      </c>
      <c r="C599" s="24" t="str">
        <f>IF($A599&gt;nrows,"",IF(col_days=0,0,N(INDEX('Paste Export'!$A$2:$BZ$1001,$A599,col_days))))</f>
        <v/>
      </c>
      <c r="D599" s="24" t="str">
        <f>IF($A599&gt;nrows,"",IF(col_prompts=0,0,N(INDEX('Paste Export'!$A$2:$BZ$1001,$A599,col_prompts))))</f>
        <v/>
      </c>
      <c r="E599" s="24" t="str">
        <f>IF($A599&gt;nrows,"",IF(col_web=0,0,N(INDEX('Paste Export'!$A$2:$BZ$1001,$A599,col_web))))</f>
        <v/>
      </c>
      <c r="F599" s="26" t="str">
        <f t="shared" si="64"/>
        <v/>
      </c>
      <c r="G599" s="27" t="str">
        <f t="shared" si="65"/>
        <v/>
      </c>
      <c r="H599" s="24" t="str">
        <f>IF($A599&gt;nrows,"",IF(col_s1=0,0,--(LEN(INDEX('Paste Export'!$A$2:$BZ$1001,$A599,col_s1))&gt;0))+IF(col_s2=0,0,--(LEN(INDEX('Paste Export'!$A$2:$BZ$1001,$A599,col_s2))&gt;0))+IF(col_s3=0,0,--(LEN(INDEX('Paste Export'!$A$2:$BZ$1001,$A599,col_s3))&gt;0))+IF(col_s4=0,0,--(LEN(INDEX('Paste Export'!$A$2:$BZ$1001,$A599,col_s4))&gt;0))+IF(col_s5=0,0,--(LEN(INDEX('Paste Export'!$A$2:$BZ$1001,$A599,col_s5))&gt;0))+IF(col_s6=0,0,--(LEN(INDEX('Paste Export'!$A$2:$BZ$1001,$A599,col_s6))&gt;0))+IF(col_s7=0,0,--(LEN(INDEX('Paste Export'!$A$2:$BZ$1001,$A599,col_s7))&gt;0))+IF(col_s8=0,0,--(LEN(INDEX('Paste Export'!$A$2:$BZ$1001,$A599,col_s8))&gt;0)))</f>
        <v/>
      </c>
      <c r="I599" s="25" t="str">
        <f t="shared" si="66"/>
        <v/>
      </c>
      <c r="J599" s="25" t="str">
        <f t="shared" si="67"/>
        <v/>
      </c>
      <c r="K599" s="24" t="str">
        <f t="shared" si="68"/>
        <v/>
      </c>
      <c r="L599" s="24" t="str">
        <f t="shared" si="69"/>
        <v/>
      </c>
    </row>
    <row r="600" spans="1:12" x14ac:dyDescent="0.25">
      <c r="A600" s="24">
        <f t="shared" si="63"/>
        <v>599</v>
      </c>
      <c r="B600" s="25" t="str">
        <f>IF($A600&gt;nrows,"",IF(col_user=0,"",INDEX('Paste Export'!$A$2:$BZ$1001,$A600,col_user)))</f>
        <v/>
      </c>
      <c r="C600" s="24" t="str">
        <f>IF($A600&gt;nrows,"",IF(col_days=0,0,N(INDEX('Paste Export'!$A$2:$BZ$1001,$A600,col_days))))</f>
        <v/>
      </c>
      <c r="D600" s="24" t="str">
        <f>IF($A600&gt;nrows,"",IF(col_prompts=0,0,N(INDEX('Paste Export'!$A$2:$BZ$1001,$A600,col_prompts))))</f>
        <v/>
      </c>
      <c r="E600" s="24" t="str">
        <f>IF($A600&gt;nrows,"",IF(col_web=0,0,N(INDEX('Paste Export'!$A$2:$BZ$1001,$A600,col_web))))</f>
        <v/>
      </c>
      <c r="F600" s="26" t="str">
        <f t="shared" si="64"/>
        <v/>
      </c>
      <c r="G600" s="27" t="str">
        <f t="shared" si="65"/>
        <v/>
      </c>
      <c r="H600" s="24" t="str">
        <f>IF($A600&gt;nrows,"",IF(col_s1=0,0,--(LEN(INDEX('Paste Export'!$A$2:$BZ$1001,$A600,col_s1))&gt;0))+IF(col_s2=0,0,--(LEN(INDEX('Paste Export'!$A$2:$BZ$1001,$A600,col_s2))&gt;0))+IF(col_s3=0,0,--(LEN(INDEX('Paste Export'!$A$2:$BZ$1001,$A600,col_s3))&gt;0))+IF(col_s4=0,0,--(LEN(INDEX('Paste Export'!$A$2:$BZ$1001,$A600,col_s4))&gt;0))+IF(col_s5=0,0,--(LEN(INDEX('Paste Export'!$A$2:$BZ$1001,$A600,col_s5))&gt;0))+IF(col_s6=0,0,--(LEN(INDEX('Paste Export'!$A$2:$BZ$1001,$A600,col_s6))&gt;0))+IF(col_s7=0,0,--(LEN(INDEX('Paste Export'!$A$2:$BZ$1001,$A600,col_s7))&gt;0))+IF(col_s8=0,0,--(LEN(INDEX('Paste Export'!$A$2:$BZ$1001,$A600,col_s8))&gt;0)))</f>
        <v/>
      </c>
      <c r="I600" s="25" t="str">
        <f t="shared" si="66"/>
        <v/>
      </c>
      <c r="J600" s="25" t="str">
        <f t="shared" si="67"/>
        <v/>
      </c>
      <c r="K600" s="24" t="str">
        <f t="shared" si="68"/>
        <v/>
      </c>
      <c r="L600" s="24" t="str">
        <f t="shared" si="69"/>
        <v/>
      </c>
    </row>
    <row r="601" spans="1:12" x14ac:dyDescent="0.25">
      <c r="A601" s="24">
        <f t="shared" si="63"/>
        <v>600</v>
      </c>
      <c r="B601" s="25" t="str">
        <f>IF($A601&gt;nrows,"",IF(col_user=0,"",INDEX('Paste Export'!$A$2:$BZ$1001,$A601,col_user)))</f>
        <v/>
      </c>
      <c r="C601" s="24" t="str">
        <f>IF($A601&gt;nrows,"",IF(col_days=0,0,N(INDEX('Paste Export'!$A$2:$BZ$1001,$A601,col_days))))</f>
        <v/>
      </c>
      <c r="D601" s="24" t="str">
        <f>IF($A601&gt;nrows,"",IF(col_prompts=0,0,N(INDEX('Paste Export'!$A$2:$BZ$1001,$A601,col_prompts))))</f>
        <v/>
      </c>
      <c r="E601" s="24" t="str">
        <f>IF($A601&gt;nrows,"",IF(col_web=0,0,N(INDEX('Paste Export'!$A$2:$BZ$1001,$A601,col_web))))</f>
        <v/>
      </c>
      <c r="F601" s="26" t="str">
        <f t="shared" si="64"/>
        <v/>
      </c>
      <c r="G601" s="27" t="str">
        <f t="shared" si="65"/>
        <v/>
      </c>
      <c r="H601" s="24" t="str">
        <f>IF($A601&gt;nrows,"",IF(col_s1=0,0,--(LEN(INDEX('Paste Export'!$A$2:$BZ$1001,$A601,col_s1))&gt;0))+IF(col_s2=0,0,--(LEN(INDEX('Paste Export'!$A$2:$BZ$1001,$A601,col_s2))&gt;0))+IF(col_s3=0,0,--(LEN(INDEX('Paste Export'!$A$2:$BZ$1001,$A601,col_s3))&gt;0))+IF(col_s4=0,0,--(LEN(INDEX('Paste Export'!$A$2:$BZ$1001,$A601,col_s4))&gt;0))+IF(col_s5=0,0,--(LEN(INDEX('Paste Export'!$A$2:$BZ$1001,$A601,col_s5))&gt;0))+IF(col_s6=0,0,--(LEN(INDEX('Paste Export'!$A$2:$BZ$1001,$A601,col_s6))&gt;0))+IF(col_s7=0,0,--(LEN(INDEX('Paste Export'!$A$2:$BZ$1001,$A601,col_s7))&gt;0))+IF(col_s8=0,0,--(LEN(INDEX('Paste Export'!$A$2:$BZ$1001,$A601,col_s8))&gt;0)))</f>
        <v/>
      </c>
      <c r="I601" s="25" t="str">
        <f t="shared" si="66"/>
        <v/>
      </c>
      <c r="J601" s="25" t="str">
        <f t="shared" si="67"/>
        <v/>
      </c>
      <c r="K601" s="24" t="str">
        <f t="shared" si="68"/>
        <v/>
      </c>
      <c r="L601" s="24" t="str">
        <f t="shared" si="69"/>
        <v/>
      </c>
    </row>
    <row r="602" spans="1:12" x14ac:dyDescent="0.25">
      <c r="A602" s="24">
        <f t="shared" si="63"/>
        <v>601</v>
      </c>
      <c r="B602" s="25" t="str">
        <f>IF($A602&gt;nrows,"",IF(col_user=0,"",INDEX('Paste Export'!$A$2:$BZ$1001,$A602,col_user)))</f>
        <v/>
      </c>
      <c r="C602" s="24" t="str">
        <f>IF($A602&gt;nrows,"",IF(col_days=0,0,N(INDEX('Paste Export'!$A$2:$BZ$1001,$A602,col_days))))</f>
        <v/>
      </c>
      <c r="D602" s="24" t="str">
        <f>IF($A602&gt;nrows,"",IF(col_prompts=0,0,N(INDEX('Paste Export'!$A$2:$BZ$1001,$A602,col_prompts))))</f>
        <v/>
      </c>
      <c r="E602" s="24" t="str">
        <f>IF($A602&gt;nrows,"",IF(col_web=0,0,N(INDEX('Paste Export'!$A$2:$BZ$1001,$A602,col_web))))</f>
        <v/>
      </c>
      <c r="F602" s="26" t="str">
        <f t="shared" si="64"/>
        <v/>
      </c>
      <c r="G602" s="27" t="str">
        <f t="shared" si="65"/>
        <v/>
      </c>
      <c r="H602" s="24" t="str">
        <f>IF($A602&gt;nrows,"",IF(col_s1=0,0,--(LEN(INDEX('Paste Export'!$A$2:$BZ$1001,$A602,col_s1))&gt;0))+IF(col_s2=0,0,--(LEN(INDEX('Paste Export'!$A$2:$BZ$1001,$A602,col_s2))&gt;0))+IF(col_s3=0,0,--(LEN(INDEX('Paste Export'!$A$2:$BZ$1001,$A602,col_s3))&gt;0))+IF(col_s4=0,0,--(LEN(INDEX('Paste Export'!$A$2:$BZ$1001,$A602,col_s4))&gt;0))+IF(col_s5=0,0,--(LEN(INDEX('Paste Export'!$A$2:$BZ$1001,$A602,col_s5))&gt;0))+IF(col_s6=0,0,--(LEN(INDEX('Paste Export'!$A$2:$BZ$1001,$A602,col_s6))&gt;0))+IF(col_s7=0,0,--(LEN(INDEX('Paste Export'!$A$2:$BZ$1001,$A602,col_s7))&gt;0))+IF(col_s8=0,0,--(LEN(INDEX('Paste Export'!$A$2:$BZ$1001,$A602,col_s8))&gt;0)))</f>
        <v/>
      </c>
      <c r="I602" s="25" t="str">
        <f t="shared" si="66"/>
        <v/>
      </c>
      <c r="J602" s="25" t="str">
        <f t="shared" si="67"/>
        <v/>
      </c>
      <c r="K602" s="24" t="str">
        <f t="shared" si="68"/>
        <v/>
      </c>
      <c r="L602" s="24" t="str">
        <f t="shared" si="69"/>
        <v/>
      </c>
    </row>
    <row r="603" spans="1:12" x14ac:dyDescent="0.25">
      <c r="A603" s="24">
        <f t="shared" si="63"/>
        <v>602</v>
      </c>
      <c r="B603" s="25" t="str">
        <f>IF($A603&gt;nrows,"",IF(col_user=0,"",INDEX('Paste Export'!$A$2:$BZ$1001,$A603,col_user)))</f>
        <v/>
      </c>
      <c r="C603" s="24" t="str">
        <f>IF($A603&gt;nrows,"",IF(col_days=0,0,N(INDEX('Paste Export'!$A$2:$BZ$1001,$A603,col_days))))</f>
        <v/>
      </c>
      <c r="D603" s="24" t="str">
        <f>IF($A603&gt;nrows,"",IF(col_prompts=0,0,N(INDEX('Paste Export'!$A$2:$BZ$1001,$A603,col_prompts))))</f>
        <v/>
      </c>
      <c r="E603" s="24" t="str">
        <f>IF($A603&gt;nrows,"",IF(col_web=0,0,N(INDEX('Paste Export'!$A$2:$BZ$1001,$A603,col_web))))</f>
        <v/>
      </c>
      <c r="F603" s="26" t="str">
        <f t="shared" si="64"/>
        <v/>
      </c>
      <c r="G603" s="27" t="str">
        <f t="shared" si="65"/>
        <v/>
      </c>
      <c r="H603" s="24" t="str">
        <f>IF($A603&gt;nrows,"",IF(col_s1=0,0,--(LEN(INDEX('Paste Export'!$A$2:$BZ$1001,$A603,col_s1))&gt;0))+IF(col_s2=0,0,--(LEN(INDEX('Paste Export'!$A$2:$BZ$1001,$A603,col_s2))&gt;0))+IF(col_s3=0,0,--(LEN(INDEX('Paste Export'!$A$2:$BZ$1001,$A603,col_s3))&gt;0))+IF(col_s4=0,0,--(LEN(INDEX('Paste Export'!$A$2:$BZ$1001,$A603,col_s4))&gt;0))+IF(col_s5=0,0,--(LEN(INDEX('Paste Export'!$A$2:$BZ$1001,$A603,col_s5))&gt;0))+IF(col_s6=0,0,--(LEN(INDEX('Paste Export'!$A$2:$BZ$1001,$A603,col_s6))&gt;0))+IF(col_s7=0,0,--(LEN(INDEX('Paste Export'!$A$2:$BZ$1001,$A603,col_s7))&gt;0))+IF(col_s8=0,0,--(LEN(INDEX('Paste Export'!$A$2:$BZ$1001,$A603,col_s8))&gt;0)))</f>
        <v/>
      </c>
      <c r="I603" s="25" t="str">
        <f t="shared" si="66"/>
        <v/>
      </c>
      <c r="J603" s="25" t="str">
        <f t="shared" si="67"/>
        <v/>
      </c>
      <c r="K603" s="24" t="str">
        <f t="shared" si="68"/>
        <v/>
      </c>
      <c r="L603" s="24" t="str">
        <f t="shared" si="69"/>
        <v/>
      </c>
    </row>
    <row r="604" spans="1:12" x14ac:dyDescent="0.25">
      <c r="A604" s="24">
        <f t="shared" si="63"/>
        <v>603</v>
      </c>
      <c r="B604" s="25" t="str">
        <f>IF($A604&gt;nrows,"",IF(col_user=0,"",INDEX('Paste Export'!$A$2:$BZ$1001,$A604,col_user)))</f>
        <v/>
      </c>
      <c r="C604" s="24" t="str">
        <f>IF($A604&gt;nrows,"",IF(col_days=0,0,N(INDEX('Paste Export'!$A$2:$BZ$1001,$A604,col_days))))</f>
        <v/>
      </c>
      <c r="D604" s="24" t="str">
        <f>IF($A604&gt;nrows,"",IF(col_prompts=0,0,N(INDEX('Paste Export'!$A$2:$BZ$1001,$A604,col_prompts))))</f>
        <v/>
      </c>
      <c r="E604" s="24" t="str">
        <f>IF($A604&gt;nrows,"",IF(col_web=0,0,N(INDEX('Paste Export'!$A$2:$BZ$1001,$A604,col_web))))</f>
        <v/>
      </c>
      <c r="F604" s="26" t="str">
        <f t="shared" si="64"/>
        <v/>
      </c>
      <c r="G604" s="27" t="str">
        <f t="shared" si="65"/>
        <v/>
      </c>
      <c r="H604" s="24" t="str">
        <f>IF($A604&gt;nrows,"",IF(col_s1=0,0,--(LEN(INDEX('Paste Export'!$A$2:$BZ$1001,$A604,col_s1))&gt;0))+IF(col_s2=0,0,--(LEN(INDEX('Paste Export'!$A$2:$BZ$1001,$A604,col_s2))&gt;0))+IF(col_s3=0,0,--(LEN(INDEX('Paste Export'!$A$2:$BZ$1001,$A604,col_s3))&gt;0))+IF(col_s4=0,0,--(LEN(INDEX('Paste Export'!$A$2:$BZ$1001,$A604,col_s4))&gt;0))+IF(col_s5=0,0,--(LEN(INDEX('Paste Export'!$A$2:$BZ$1001,$A604,col_s5))&gt;0))+IF(col_s6=0,0,--(LEN(INDEX('Paste Export'!$A$2:$BZ$1001,$A604,col_s6))&gt;0))+IF(col_s7=0,0,--(LEN(INDEX('Paste Export'!$A$2:$BZ$1001,$A604,col_s7))&gt;0))+IF(col_s8=0,0,--(LEN(INDEX('Paste Export'!$A$2:$BZ$1001,$A604,col_s8))&gt;0)))</f>
        <v/>
      </c>
      <c r="I604" s="25" t="str">
        <f t="shared" si="66"/>
        <v/>
      </c>
      <c r="J604" s="25" t="str">
        <f t="shared" si="67"/>
        <v/>
      </c>
      <c r="K604" s="24" t="str">
        <f t="shared" si="68"/>
        <v/>
      </c>
      <c r="L604" s="24" t="str">
        <f t="shared" si="69"/>
        <v/>
      </c>
    </row>
    <row r="605" spans="1:12" x14ac:dyDescent="0.25">
      <c r="A605" s="24">
        <f t="shared" si="63"/>
        <v>604</v>
      </c>
      <c r="B605" s="25" t="str">
        <f>IF($A605&gt;nrows,"",IF(col_user=0,"",INDEX('Paste Export'!$A$2:$BZ$1001,$A605,col_user)))</f>
        <v/>
      </c>
      <c r="C605" s="24" t="str">
        <f>IF($A605&gt;nrows,"",IF(col_days=0,0,N(INDEX('Paste Export'!$A$2:$BZ$1001,$A605,col_days))))</f>
        <v/>
      </c>
      <c r="D605" s="24" t="str">
        <f>IF($A605&gt;nrows,"",IF(col_prompts=0,0,N(INDEX('Paste Export'!$A$2:$BZ$1001,$A605,col_prompts))))</f>
        <v/>
      </c>
      <c r="E605" s="24" t="str">
        <f>IF($A605&gt;nrows,"",IF(col_web=0,0,N(INDEX('Paste Export'!$A$2:$BZ$1001,$A605,col_web))))</f>
        <v/>
      </c>
      <c r="F605" s="26" t="str">
        <f t="shared" si="64"/>
        <v/>
      </c>
      <c r="G605" s="27" t="str">
        <f t="shared" si="65"/>
        <v/>
      </c>
      <c r="H605" s="24" t="str">
        <f>IF($A605&gt;nrows,"",IF(col_s1=0,0,--(LEN(INDEX('Paste Export'!$A$2:$BZ$1001,$A605,col_s1))&gt;0))+IF(col_s2=0,0,--(LEN(INDEX('Paste Export'!$A$2:$BZ$1001,$A605,col_s2))&gt;0))+IF(col_s3=0,0,--(LEN(INDEX('Paste Export'!$A$2:$BZ$1001,$A605,col_s3))&gt;0))+IF(col_s4=0,0,--(LEN(INDEX('Paste Export'!$A$2:$BZ$1001,$A605,col_s4))&gt;0))+IF(col_s5=0,0,--(LEN(INDEX('Paste Export'!$A$2:$BZ$1001,$A605,col_s5))&gt;0))+IF(col_s6=0,0,--(LEN(INDEX('Paste Export'!$A$2:$BZ$1001,$A605,col_s6))&gt;0))+IF(col_s7=0,0,--(LEN(INDEX('Paste Export'!$A$2:$BZ$1001,$A605,col_s7))&gt;0))+IF(col_s8=0,0,--(LEN(INDEX('Paste Export'!$A$2:$BZ$1001,$A605,col_s8))&gt;0)))</f>
        <v/>
      </c>
      <c r="I605" s="25" t="str">
        <f t="shared" si="66"/>
        <v/>
      </c>
      <c r="J605" s="25" t="str">
        <f t="shared" si="67"/>
        <v/>
      </c>
      <c r="K605" s="24" t="str">
        <f t="shared" si="68"/>
        <v/>
      </c>
      <c r="L605" s="24" t="str">
        <f t="shared" si="69"/>
        <v/>
      </c>
    </row>
    <row r="606" spans="1:12" x14ac:dyDescent="0.25">
      <c r="A606" s="24">
        <f t="shared" si="63"/>
        <v>605</v>
      </c>
      <c r="B606" s="25" t="str">
        <f>IF($A606&gt;nrows,"",IF(col_user=0,"",INDEX('Paste Export'!$A$2:$BZ$1001,$A606,col_user)))</f>
        <v/>
      </c>
      <c r="C606" s="24" t="str">
        <f>IF($A606&gt;nrows,"",IF(col_days=0,0,N(INDEX('Paste Export'!$A$2:$BZ$1001,$A606,col_days))))</f>
        <v/>
      </c>
      <c r="D606" s="24" t="str">
        <f>IF($A606&gt;nrows,"",IF(col_prompts=0,0,N(INDEX('Paste Export'!$A$2:$BZ$1001,$A606,col_prompts))))</f>
        <v/>
      </c>
      <c r="E606" s="24" t="str">
        <f>IF($A606&gt;nrows,"",IF(col_web=0,0,N(INDEX('Paste Export'!$A$2:$BZ$1001,$A606,col_web))))</f>
        <v/>
      </c>
      <c r="F606" s="26" t="str">
        <f t="shared" si="64"/>
        <v/>
      </c>
      <c r="G606" s="27" t="str">
        <f t="shared" si="65"/>
        <v/>
      </c>
      <c r="H606" s="24" t="str">
        <f>IF($A606&gt;nrows,"",IF(col_s1=0,0,--(LEN(INDEX('Paste Export'!$A$2:$BZ$1001,$A606,col_s1))&gt;0))+IF(col_s2=0,0,--(LEN(INDEX('Paste Export'!$A$2:$BZ$1001,$A606,col_s2))&gt;0))+IF(col_s3=0,0,--(LEN(INDEX('Paste Export'!$A$2:$BZ$1001,$A606,col_s3))&gt;0))+IF(col_s4=0,0,--(LEN(INDEX('Paste Export'!$A$2:$BZ$1001,$A606,col_s4))&gt;0))+IF(col_s5=0,0,--(LEN(INDEX('Paste Export'!$A$2:$BZ$1001,$A606,col_s5))&gt;0))+IF(col_s6=0,0,--(LEN(INDEX('Paste Export'!$A$2:$BZ$1001,$A606,col_s6))&gt;0))+IF(col_s7=0,0,--(LEN(INDEX('Paste Export'!$A$2:$BZ$1001,$A606,col_s7))&gt;0))+IF(col_s8=0,0,--(LEN(INDEX('Paste Export'!$A$2:$BZ$1001,$A606,col_s8))&gt;0)))</f>
        <v/>
      </c>
      <c r="I606" s="25" t="str">
        <f t="shared" si="66"/>
        <v/>
      </c>
      <c r="J606" s="25" t="str">
        <f t="shared" si="67"/>
        <v/>
      </c>
      <c r="K606" s="24" t="str">
        <f t="shared" si="68"/>
        <v/>
      </c>
      <c r="L606" s="24" t="str">
        <f t="shared" si="69"/>
        <v/>
      </c>
    </row>
    <row r="607" spans="1:12" x14ac:dyDescent="0.25">
      <c r="A607" s="24">
        <f t="shared" si="63"/>
        <v>606</v>
      </c>
      <c r="B607" s="25" t="str">
        <f>IF($A607&gt;nrows,"",IF(col_user=0,"",INDEX('Paste Export'!$A$2:$BZ$1001,$A607,col_user)))</f>
        <v/>
      </c>
      <c r="C607" s="24" t="str">
        <f>IF($A607&gt;nrows,"",IF(col_days=0,0,N(INDEX('Paste Export'!$A$2:$BZ$1001,$A607,col_days))))</f>
        <v/>
      </c>
      <c r="D607" s="24" t="str">
        <f>IF($A607&gt;nrows,"",IF(col_prompts=0,0,N(INDEX('Paste Export'!$A$2:$BZ$1001,$A607,col_prompts))))</f>
        <v/>
      </c>
      <c r="E607" s="24" t="str">
        <f>IF($A607&gt;nrows,"",IF(col_web=0,0,N(INDEX('Paste Export'!$A$2:$BZ$1001,$A607,col_web))))</f>
        <v/>
      </c>
      <c r="F607" s="26" t="str">
        <f t="shared" si="64"/>
        <v/>
      </c>
      <c r="G607" s="27" t="str">
        <f t="shared" si="65"/>
        <v/>
      </c>
      <c r="H607" s="24" t="str">
        <f>IF($A607&gt;nrows,"",IF(col_s1=0,0,--(LEN(INDEX('Paste Export'!$A$2:$BZ$1001,$A607,col_s1))&gt;0))+IF(col_s2=0,0,--(LEN(INDEX('Paste Export'!$A$2:$BZ$1001,$A607,col_s2))&gt;0))+IF(col_s3=0,0,--(LEN(INDEX('Paste Export'!$A$2:$BZ$1001,$A607,col_s3))&gt;0))+IF(col_s4=0,0,--(LEN(INDEX('Paste Export'!$A$2:$BZ$1001,$A607,col_s4))&gt;0))+IF(col_s5=0,0,--(LEN(INDEX('Paste Export'!$A$2:$BZ$1001,$A607,col_s5))&gt;0))+IF(col_s6=0,0,--(LEN(INDEX('Paste Export'!$A$2:$BZ$1001,$A607,col_s6))&gt;0))+IF(col_s7=0,0,--(LEN(INDEX('Paste Export'!$A$2:$BZ$1001,$A607,col_s7))&gt;0))+IF(col_s8=0,0,--(LEN(INDEX('Paste Export'!$A$2:$BZ$1001,$A607,col_s8))&gt;0)))</f>
        <v/>
      </c>
      <c r="I607" s="25" t="str">
        <f t="shared" si="66"/>
        <v/>
      </c>
      <c r="J607" s="25" t="str">
        <f t="shared" si="67"/>
        <v/>
      </c>
      <c r="K607" s="24" t="str">
        <f t="shared" si="68"/>
        <v/>
      </c>
      <c r="L607" s="24" t="str">
        <f t="shared" si="69"/>
        <v/>
      </c>
    </row>
    <row r="608" spans="1:12" x14ac:dyDescent="0.25">
      <c r="A608" s="24">
        <f t="shared" si="63"/>
        <v>607</v>
      </c>
      <c r="B608" s="25" t="str">
        <f>IF($A608&gt;nrows,"",IF(col_user=0,"",INDEX('Paste Export'!$A$2:$BZ$1001,$A608,col_user)))</f>
        <v/>
      </c>
      <c r="C608" s="24" t="str">
        <f>IF($A608&gt;nrows,"",IF(col_days=0,0,N(INDEX('Paste Export'!$A$2:$BZ$1001,$A608,col_days))))</f>
        <v/>
      </c>
      <c r="D608" s="24" t="str">
        <f>IF($A608&gt;nrows,"",IF(col_prompts=0,0,N(INDEX('Paste Export'!$A$2:$BZ$1001,$A608,col_prompts))))</f>
        <v/>
      </c>
      <c r="E608" s="24" t="str">
        <f>IF($A608&gt;nrows,"",IF(col_web=0,0,N(INDEX('Paste Export'!$A$2:$BZ$1001,$A608,col_web))))</f>
        <v/>
      </c>
      <c r="F608" s="26" t="str">
        <f t="shared" si="64"/>
        <v/>
      </c>
      <c r="G608" s="27" t="str">
        <f t="shared" si="65"/>
        <v/>
      </c>
      <c r="H608" s="24" t="str">
        <f>IF($A608&gt;nrows,"",IF(col_s1=0,0,--(LEN(INDEX('Paste Export'!$A$2:$BZ$1001,$A608,col_s1))&gt;0))+IF(col_s2=0,0,--(LEN(INDEX('Paste Export'!$A$2:$BZ$1001,$A608,col_s2))&gt;0))+IF(col_s3=0,0,--(LEN(INDEX('Paste Export'!$A$2:$BZ$1001,$A608,col_s3))&gt;0))+IF(col_s4=0,0,--(LEN(INDEX('Paste Export'!$A$2:$BZ$1001,$A608,col_s4))&gt;0))+IF(col_s5=0,0,--(LEN(INDEX('Paste Export'!$A$2:$BZ$1001,$A608,col_s5))&gt;0))+IF(col_s6=0,0,--(LEN(INDEX('Paste Export'!$A$2:$BZ$1001,$A608,col_s6))&gt;0))+IF(col_s7=0,0,--(LEN(INDEX('Paste Export'!$A$2:$BZ$1001,$A608,col_s7))&gt;0))+IF(col_s8=0,0,--(LEN(INDEX('Paste Export'!$A$2:$BZ$1001,$A608,col_s8))&gt;0)))</f>
        <v/>
      </c>
      <c r="I608" s="25" t="str">
        <f t="shared" si="66"/>
        <v/>
      </c>
      <c r="J608" s="25" t="str">
        <f t="shared" si="67"/>
        <v/>
      </c>
      <c r="K608" s="24" t="str">
        <f t="shared" si="68"/>
        <v/>
      </c>
      <c r="L608" s="24" t="str">
        <f t="shared" si="69"/>
        <v/>
      </c>
    </row>
    <row r="609" spans="1:12" x14ac:dyDescent="0.25">
      <c r="A609" s="24">
        <f t="shared" si="63"/>
        <v>608</v>
      </c>
      <c r="B609" s="25" t="str">
        <f>IF($A609&gt;nrows,"",IF(col_user=0,"",INDEX('Paste Export'!$A$2:$BZ$1001,$A609,col_user)))</f>
        <v/>
      </c>
      <c r="C609" s="24" t="str">
        <f>IF($A609&gt;nrows,"",IF(col_days=0,0,N(INDEX('Paste Export'!$A$2:$BZ$1001,$A609,col_days))))</f>
        <v/>
      </c>
      <c r="D609" s="24" t="str">
        <f>IF($A609&gt;nrows,"",IF(col_prompts=0,0,N(INDEX('Paste Export'!$A$2:$BZ$1001,$A609,col_prompts))))</f>
        <v/>
      </c>
      <c r="E609" s="24" t="str">
        <f>IF($A609&gt;nrows,"",IF(col_web=0,0,N(INDEX('Paste Export'!$A$2:$BZ$1001,$A609,col_web))))</f>
        <v/>
      </c>
      <c r="F609" s="26" t="str">
        <f t="shared" si="64"/>
        <v/>
      </c>
      <c r="G609" s="27" t="str">
        <f t="shared" si="65"/>
        <v/>
      </c>
      <c r="H609" s="24" t="str">
        <f>IF($A609&gt;nrows,"",IF(col_s1=0,0,--(LEN(INDEX('Paste Export'!$A$2:$BZ$1001,$A609,col_s1))&gt;0))+IF(col_s2=0,0,--(LEN(INDEX('Paste Export'!$A$2:$BZ$1001,$A609,col_s2))&gt;0))+IF(col_s3=0,0,--(LEN(INDEX('Paste Export'!$A$2:$BZ$1001,$A609,col_s3))&gt;0))+IF(col_s4=0,0,--(LEN(INDEX('Paste Export'!$A$2:$BZ$1001,$A609,col_s4))&gt;0))+IF(col_s5=0,0,--(LEN(INDEX('Paste Export'!$A$2:$BZ$1001,$A609,col_s5))&gt;0))+IF(col_s6=0,0,--(LEN(INDEX('Paste Export'!$A$2:$BZ$1001,$A609,col_s6))&gt;0))+IF(col_s7=0,0,--(LEN(INDEX('Paste Export'!$A$2:$BZ$1001,$A609,col_s7))&gt;0))+IF(col_s8=0,0,--(LEN(INDEX('Paste Export'!$A$2:$BZ$1001,$A609,col_s8))&gt;0)))</f>
        <v/>
      </c>
      <c r="I609" s="25" t="str">
        <f t="shared" si="66"/>
        <v/>
      </c>
      <c r="J609" s="25" t="str">
        <f t="shared" si="67"/>
        <v/>
      </c>
      <c r="K609" s="24" t="str">
        <f t="shared" si="68"/>
        <v/>
      </c>
      <c r="L609" s="24" t="str">
        <f t="shared" si="69"/>
        <v/>
      </c>
    </row>
    <row r="610" spans="1:12" x14ac:dyDescent="0.25">
      <c r="A610" s="24">
        <f t="shared" si="63"/>
        <v>609</v>
      </c>
      <c r="B610" s="25" t="str">
        <f>IF($A610&gt;nrows,"",IF(col_user=0,"",INDEX('Paste Export'!$A$2:$BZ$1001,$A610,col_user)))</f>
        <v/>
      </c>
      <c r="C610" s="24" t="str">
        <f>IF($A610&gt;nrows,"",IF(col_days=0,0,N(INDEX('Paste Export'!$A$2:$BZ$1001,$A610,col_days))))</f>
        <v/>
      </c>
      <c r="D610" s="24" t="str">
        <f>IF($A610&gt;nrows,"",IF(col_prompts=0,0,N(INDEX('Paste Export'!$A$2:$BZ$1001,$A610,col_prompts))))</f>
        <v/>
      </c>
      <c r="E610" s="24" t="str">
        <f>IF($A610&gt;nrows,"",IF(col_web=0,0,N(INDEX('Paste Export'!$A$2:$BZ$1001,$A610,col_web))))</f>
        <v/>
      </c>
      <c r="F610" s="26" t="str">
        <f t="shared" si="64"/>
        <v/>
      </c>
      <c r="G610" s="27" t="str">
        <f t="shared" si="65"/>
        <v/>
      </c>
      <c r="H610" s="24" t="str">
        <f>IF($A610&gt;nrows,"",IF(col_s1=0,0,--(LEN(INDEX('Paste Export'!$A$2:$BZ$1001,$A610,col_s1))&gt;0))+IF(col_s2=0,0,--(LEN(INDEX('Paste Export'!$A$2:$BZ$1001,$A610,col_s2))&gt;0))+IF(col_s3=0,0,--(LEN(INDEX('Paste Export'!$A$2:$BZ$1001,$A610,col_s3))&gt;0))+IF(col_s4=0,0,--(LEN(INDEX('Paste Export'!$A$2:$BZ$1001,$A610,col_s4))&gt;0))+IF(col_s5=0,0,--(LEN(INDEX('Paste Export'!$A$2:$BZ$1001,$A610,col_s5))&gt;0))+IF(col_s6=0,0,--(LEN(INDEX('Paste Export'!$A$2:$BZ$1001,$A610,col_s6))&gt;0))+IF(col_s7=0,0,--(LEN(INDEX('Paste Export'!$A$2:$BZ$1001,$A610,col_s7))&gt;0))+IF(col_s8=0,0,--(LEN(INDEX('Paste Export'!$A$2:$BZ$1001,$A610,col_s8))&gt;0)))</f>
        <v/>
      </c>
      <c r="I610" s="25" t="str">
        <f t="shared" si="66"/>
        <v/>
      </c>
      <c r="J610" s="25" t="str">
        <f t="shared" si="67"/>
        <v/>
      </c>
      <c r="K610" s="24" t="str">
        <f t="shared" si="68"/>
        <v/>
      </c>
      <c r="L610" s="24" t="str">
        <f t="shared" si="69"/>
        <v/>
      </c>
    </row>
    <row r="611" spans="1:12" x14ac:dyDescent="0.25">
      <c r="A611" s="24">
        <f t="shared" si="63"/>
        <v>610</v>
      </c>
      <c r="B611" s="25" t="str">
        <f>IF($A611&gt;nrows,"",IF(col_user=0,"",INDEX('Paste Export'!$A$2:$BZ$1001,$A611,col_user)))</f>
        <v/>
      </c>
      <c r="C611" s="24" t="str">
        <f>IF($A611&gt;nrows,"",IF(col_days=0,0,N(INDEX('Paste Export'!$A$2:$BZ$1001,$A611,col_days))))</f>
        <v/>
      </c>
      <c r="D611" s="24" t="str">
        <f>IF($A611&gt;nrows,"",IF(col_prompts=0,0,N(INDEX('Paste Export'!$A$2:$BZ$1001,$A611,col_prompts))))</f>
        <v/>
      </c>
      <c r="E611" s="24" t="str">
        <f>IF($A611&gt;nrows,"",IF(col_web=0,0,N(INDEX('Paste Export'!$A$2:$BZ$1001,$A611,col_web))))</f>
        <v/>
      </c>
      <c r="F611" s="26" t="str">
        <f t="shared" si="64"/>
        <v/>
      </c>
      <c r="G611" s="27" t="str">
        <f t="shared" si="65"/>
        <v/>
      </c>
      <c r="H611" s="24" t="str">
        <f>IF($A611&gt;nrows,"",IF(col_s1=0,0,--(LEN(INDEX('Paste Export'!$A$2:$BZ$1001,$A611,col_s1))&gt;0))+IF(col_s2=0,0,--(LEN(INDEX('Paste Export'!$A$2:$BZ$1001,$A611,col_s2))&gt;0))+IF(col_s3=0,0,--(LEN(INDEX('Paste Export'!$A$2:$BZ$1001,$A611,col_s3))&gt;0))+IF(col_s4=0,0,--(LEN(INDEX('Paste Export'!$A$2:$BZ$1001,$A611,col_s4))&gt;0))+IF(col_s5=0,0,--(LEN(INDEX('Paste Export'!$A$2:$BZ$1001,$A611,col_s5))&gt;0))+IF(col_s6=0,0,--(LEN(INDEX('Paste Export'!$A$2:$BZ$1001,$A611,col_s6))&gt;0))+IF(col_s7=0,0,--(LEN(INDEX('Paste Export'!$A$2:$BZ$1001,$A611,col_s7))&gt;0))+IF(col_s8=0,0,--(LEN(INDEX('Paste Export'!$A$2:$BZ$1001,$A611,col_s8))&gt;0)))</f>
        <v/>
      </c>
      <c r="I611" s="25" t="str">
        <f t="shared" si="66"/>
        <v/>
      </c>
      <c r="J611" s="25" t="str">
        <f t="shared" si="67"/>
        <v/>
      </c>
      <c r="K611" s="24" t="str">
        <f t="shared" si="68"/>
        <v/>
      </c>
      <c r="L611" s="24" t="str">
        <f t="shared" si="69"/>
        <v/>
      </c>
    </row>
    <row r="612" spans="1:12" x14ac:dyDescent="0.25">
      <c r="A612" s="24">
        <f t="shared" si="63"/>
        <v>611</v>
      </c>
      <c r="B612" s="25" t="str">
        <f>IF($A612&gt;nrows,"",IF(col_user=0,"",INDEX('Paste Export'!$A$2:$BZ$1001,$A612,col_user)))</f>
        <v/>
      </c>
      <c r="C612" s="24" t="str">
        <f>IF($A612&gt;nrows,"",IF(col_days=0,0,N(INDEX('Paste Export'!$A$2:$BZ$1001,$A612,col_days))))</f>
        <v/>
      </c>
      <c r="D612" s="24" t="str">
        <f>IF($A612&gt;nrows,"",IF(col_prompts=0,0,N(INDEX('Paste Export'!$A$2:$BZ$1001,$A612,col_prompts))))</f>
        <v/>
      </c>
      <c r="E612" s="24" t="str">
        <f>IF($A612&gt;nrows,"",IF(col_web=0,0,N(INDEX('Paste Export'!$A$2:$BZ$1001,$A612,col_web))))</f>
        <v/>
      </c>
      <c r="F612" s="26" t="str">
        <f t="shared" si="64"/>
        <v/>
      </c>
      <c r="G612" s="27" t="str">
        <f t="shared" si="65"/>
        <v/>
      </c>
      <c r="H612" s="24" t="str">
        <f>IF($A612&gt;nrows,"",IF(col_s1=0,0,--(LEN(INDEX('Paste Export'!$A$2:$BZ$1001,$A612,col_s1))&gt;0))+IF(col_s2=0,0,--(LEN(INDEX('Paste Export'!$A$2:$BZ$1001,$A612,col_s2))&gt;0))+IF(col_s3=0,0,--(LEN(INDEX('Paste Export'!$A$2:$BZ$1001,$A612,col_s3))&gt;0))+IF(col_s4=0,0,--(LEN(INDEX('Paste Export'!$A$2:$BZ$1001,$A612,col_s4))&gt;0))+IF(col_s5=0,0,--(LEN(INDEX('Paste Export'!$A$2:$BZ$1001,$A612,col_s5))&gt;0))+IF(col_s6=0,0,--(LEN(INDEX('Paste Export'!$A$2:$BZ$1001,$A612,col_s6))&gt;0))+IF(col_s7=0,0,--(LEN(INDEX('Paste Export'!$A$2:$BZ$1001,$A612,col_s7))&gt;0))+IF(col_s8=0,0,--(LEN(INDEX('Paste Export'!$A$2:$BZ$1001,$A612,col_s8))&gt;0)))</f>
        <v/>
      </c>
      <c r="I612" s="25" t="str">
        <f t="shared" si="66"/>
        <v/>
      </c>
      <c r="J612" s="25" t="str">
        <f t="shared" si="67"/>
        <v/>
      </c>
      <c r="K612" s="24" t="str">
        <f t="shared" si="68"/>
        <v/>
      </c>
      <c r="L612" s="24" t="str">
        <f t="shared" si="69"/>
        <v/>
      </c>
    </row>
    <row r="613" spans="1:12" x14ac:dyDescent="0.25">
      <c r="A613" s="24">
        <f t="shared" si="63"/>
        <v>612</v>
      </c>
      <c r="B613" s="25" t="str">
        <f>IF($A613&gt;nrows,"",IF(col_user=0,"",INDEX('Paste Export'!$A$2:$BZ$1001,$A613,col_user)))</f>
        <v/>
      </c>
      <c r="C613" s="24" t="str">
        <f>IF($A613&gt;nrows,"",IF(col_days=0,0,N(INDEX('Paste Export'!$A$2:$BZ$1001,$A613,col_days))))</f>
        <v/>
      </c>
      <c r="D613" s="24" t="str">
        <f>IF($A613&gt;nrows,"",IF(col_prompts=0,0,N(INDEX('Paste Export'!$A$2:$BZ$1001,$A613,col_prompts))))</f>
        <v/>
      </c>
      <c r="E613" s="24" t="str">
        <f>IF($A613&gt;nrows,"",IF(col_web=0,0,N(INDEX('Paste Export'!$A$2:$BZ$1001,$A613,col_web))))</f>
        <v/>
      </c>
      <c r="F613" s="26" t="str">
        <f t="shared" si="64"/>
        <v/>
      </c>
      <c r="G613" s="27" t="str">
        <f t="shared" si="65"/>
        <v/>
      </c>
      <c r="H613" s="24" t="str">
        <f>IF($A613&gt;nrows,"",IF(col_s1=0,0,--(LEN(INDEX('Paste Export'!$A$2:$BZ$1001,$A613,col_s1))&gt;0))+IF(col_s2=0,0,--(LEN(INDEX('Paste Export'!$A$2:$BZ$1001,$A613,col_s2))&gt;0))+IF(col_s3=0,0,--(LEN(INDEX('Paste Export'!$A$2:$BZ$1001,$A613,col_s3))&gt;0))+IF(col_s4=0,0,--(LEN(INDEX('Paste Export'!$A$2:$BZ$1001,$A613,col_s4))&gt;0))+IF(col_s5=0,0,--(LEN(INDEX('Paste Export'!$A$2:$BZ$1001,$A613,col_s5))&gt;0))+IF(col_s6=0,0,--(LEN(INDEX('Paste Export'!$A$2:$BZ$1001,$A613,col_s6))&gt;0))+IF(col_s7=0,0,--(LEN(INDEX('Paste Export'!$A$2:$BZ$1001,$A613,col_s7))&gt;0))+IF(col_s8=0,0,--(LEN(INDEX('Paste Export'!$A$2:$BZ$1001,$A613,col_s8))&gt;0)))</f>
        <v/>
      </c>
      <c r="I613" s="25" t="str">
        <f t="shared" si="66"/>
        <v/>
      </c>
      <c r="J613" s="25" t="str">
        <f t="shared" si="67"/>
        <v/>
      </c>
      <c r="K613" s="24" t="str">
        <f t="shared" si="68"/>
        <v/>
      </c>
      <c r="L613" s="24" t="str">
        <f t="shared" si="69"/>
        <v/>
      </c>
    </row>
    <row r="614" spans="1:12" x14ac:dyDescent="0.25">
      <c r="A614" s="24">
        <f t="shared" si="63"/>
        <v>613</v>
      </c>
      <c r="B614" s="25" t="str">
        <f>IF($A614&gt;nrows,"",IF(col_user=0,"",INDEX('Paste Export'!$A$2:$BZ$1001,$A614,col_user)))</f>
        <v/>
      </c>
      <c r="C614" s="24" t="str">
        <f>IF($A614&gt;nrows,"",IF(col_days=0,0,N(INDEX('Paste Export'!$A$2:$BZ$1001,$A614,col_days))))</f>
        <v/>
      </c>
      <c r="D614" s="24" t="str">
        <f>IF($A614&gt;nrows,"",IF(col_prompts=0,0,N(INDEX('Paste Export'!$A$2:$BZ$1001,$A614,col_prompts))))</f>
        <v/>
      </c>
      <c r="E614" s="24" t="str">
        <f>IF($A614&gt;nrows,"",IF(col_web=0,0,N(INDEX('Paste Export'!$A$2:$BZ$1001,$A614,col_web))))</f>
        <v/>
      </c>
      <c r="F614" s="26" t="str">
        <f t="shared" si="64"/>
        <v/>
      </c>
      <c r="G614" s="27" t="str">
        <f t="shared" si="65"/>
        <v/>
      </c>
      <c r="H614" s="24" t="str">
        <f>IF($A614&gt;nrows,"",IF(col_s1=0,0,--(LEN(INDEX('Paste Export'!$A$2:$BZ$1001,$A614,col_s1))&gt;0))+IF(col_s2=0,0,--(LEN(INDEX('Paste Export'!$A$2:$BZ$1001,$A614,col_s2))&gt;0))+IF(col_s3=0,0,--(LEN(INDEX('Paste Export'!$A$2:$BZ$1001,$A614,col_s3))&gt;0))+IF(col_s4=0,0,--(LEN(INDEX('Paste Export'!$A$2:$BZ$1001,$A614,col_s4))&gt;0))+IF(col_s5=0,0,--(LEN(INDEX('Paste Export'!$A$2:$BZ$1001,$A614,col_s5))&gt;0))+IF(col_s6=0,0,--(LEN(INDEX('Paste Export'!$A$2:$BZ$1001,$A614,col_s6))&gt;0))+IF(col_s7=0,0,--(LEN(INDEX('Paste Export'!$A$2:$BZ$1001,$A614,col_s7))&gt;0))+IF(col_s8=0,0,--(LEN(INDEX('Paste Export'!$A$2:$BZ$1001,$A614,col_s8))&gt;0)))</f>
        <v/>
      </c>
      <c r="I614" s="25" t="str">
        <f t="shared" si="66"/>
        <v/>
      </c>
      <c r="J614" s="25" t="str">
        <f t="shared" si="67"/>
        <v/>
      </c>
      <c r="K614" s="24" t="str">
        <f t="shared" si="68"/>
        <v/>
      </c>
      <c r="L614" s="24" t="str">
        <f t="shared" si="69"/>
        <v/>
      </c>
    </row>
    <row r="615" spans="1:12" x14ac:dyDescent="0.25">
      <c r="A615" s="24">
        <f t="shared" si="63"/>
        <v>614</v>
      </c>
      <c r="B615" s="25" t="str">
        <f>IF($A615&gt;nrows,"",IF(col_user=0,"",INDEX('Paste Export'!$A$2:$BZ$1001,$A615,col_user)))</f>
        <v/>
      </c>
      <c r="C615" s="24" t="str">
        <f>IF($A615&gt;nrows,"",IF(col_days=0,0,N(INDEX('Paste Export'!$A$2:$BZ$1001,$A615,col_days))))</f>
        <v/>
      </c>
      <c r="D615" s="24" t="str">
        <f>IF($A615&gt;nrows,"",IF(col_prompts=0,0,N(INDEX('Paste Export'!$A$2:$BZ$1001,$A615,col_prompts))))</f>
        <v/>
      </c>
      <c r="E615" s="24" t="str">
        <f>IF($A615&gt;nrows,"",IF(col_web=0,0,N(INDEX('Paste Export'!$A$2:$BZ$1001,$A615,col_web))))</f>
        <v/>
      </c>
      <c r="F615" s="26" t="str">
        <f t="shared" si="64"/>
        <v/>
      </c>
      <c r="G615" s="27" t="str">
        <f t="shared" si="65"/>
        <v/>
      </c>
      <c r="H615" s="24" t="str">
        <f>IF($A615&gt;nrows,"",IF(col_s1=0,0,--(LEN(INDEX('Paste Export'!$A$2:$BZ$1001,$A615,col_s1))&gt;0))+IF(col_s2=0,0,--(LEN(INDEX('Paste Export'!$A$2:$BZ$1001,$A615,col_s2))&gt;0))+IF(col_s3=0,0,--(LEN(INDEX('Paste Export'!$A$2:$BZ$1001,$A615,col_s3))&gt;0))+IF(col_s4=0,0,--(LEN(INDEX('Paste Export'!$A$2:$BZ$1001,$A615,col_s4))&gt;0))+IF(col_s5=0,0,--(LEN(INDEX('Paste Export'!$A$2:$BZ$1001,$A615,col_s5))&gt;0))+IF(col_s6=0,0,--(LEN(INDEX('Paste Export'!$A$2:$BZ$1001,$A615,col_s6))&gt;0))+IF(col_s7=0,0,--(LEN(INDEX('Paste Export'!$A$2:$BZ$1001,$A615,col_s7))&gt;0))+IF(col_s8=0,0,--(LEN(INDEX('Paste Export'!$A$2:$BZ$1001,$A615,col_s8))&gt;0)))</f>
        <v/>
      </c>
      <c r="I615" s="25" t="str">
        <f t="shared" si="66"/>
        <v/>
      </c>
      <c r="J615" s="25" t="str">
        <f t="shared" si="67"/>
        <v/>
      </c>
      <c r="K615" s="24" t="str">
        <f t="shared" si="68"/>
        <v/>
      </c>
      <c r="L615" s="24" t="str">
        <f t="shared" si="69"/>
        <v/>
      </c>
    </row>
    <row r="616" spans="1:12" x14ac:dyDescent="0.25">
      <c r="A616" s="24">
        <f t="shared" si="63"/>
        <v>615</v>
      </c>
      <c r="B616" s="25" t="str">
        <f>IF($A616&gt;nrows,"",IF(col_user=0,"",INDEX('Paste Export'!$A$2:$BZ$1001,$A616,col_user)))</f>
        <v/>
      </c>
      <c r="C616" s="24" t="str">
        <f>IF($A616&gt;nrows,"",IF(col_days=0,0,N(INDEX('Paste Export'!$A$2:$BZ$1001,$A616,col_days))))</f>
        <v/>
      </c>
      <c r="D616" s="24" t="str">
        <f>IF($A616&gt;nrows,"",IF(col_prompts=0,0,N(INDEX('Paste Export'!$A$2:$BZ$1001,$A616,col_prompts))))</f>
        <v/>
      </c>
      <c r="E616" s="24" t="str">
        <f>IF($A616&gt;nrows,"",IF(col_web=0,0,N(INDEX('Paste Export'!$A$2:$BZ$1001,$A616,col_web))))</f>
        <v/>
      </c>
      <c r="F616" s="26" t="str">
        <f t="shared" si="64"/>
        <v/>
      </c>
      <c r="G616" s="27" t="str">
        <f t="shared" si="65"/>
        <v/>
      </c>
      <c r="H616" s="24" t="str">
        <f>IF($A616&gt;nrows,"",IF(col_s1=0,0,--(LEN(INDEX('Paste Export'!$A$2:$BZ$1001,$A616,col_s1))&gt;0))+IF(col_s2=0,0,--(LEN(INDEX('Paste Export'!$A$2:$BZ$1001,$A616,col_s2))&gt;0))+IF(col_s3=0,0,--(LEN(INDEX('Paste Export'!$A$2:$BZ$1001,$A616,col_s3))&gt;0))+IF(col_s4=0,0,--(LEN(INDEX('Paste Export'!$A$2:$BZ$1001,$A616,col_s4))&gt;0))+IF(col_s5=0,0,--(LEN(INDEX('Paste Export'!$A$2:$BZ$1001,$A616,col_s5))&gt;0))+IF(col_s6=0,0,--(LEN(INDEX('Paste Export'!$A$2:$BZ$1001,$A616,col_s6))&gt;0))+IF(col_s7=0,0,--(LEN(INDEX('Paste Export'!$A$2:$BZ$1001,$A616,col_s7))&gt;0))+IF(col_s8=0,0,--(LEN(INDEX('Paste Export'!$A$2:$BZ$1001,$A616,col_s8))&gt;0)))</f>
        <v/>
      </c>
      <c r="I616" s="25" t="str">
        <f t="shared" si="66"/>
        <v/>
      </c>
      <c r="J616" s="25" t="str">
        <f t="shared" si="67"/>
        <v/>
      </c>
      <c r="K616" s="24" t="str">
        <f t="shared" si="68"/>
        <v/>
      </c>
      <c r="L616" s="24" t="str">
        <f t="shared" si="69"/>
        <v/>
      </c>
    </row>
    <row r="617" spans="1:12" x14ac:dyDescent="0.25">
      <c r="A617" s="24">
        <f t="shared" si="63"/>
        <v>616</v>
      </c>
      <c r="B617" s="25" t="str">
        <f>IF($A617&gt;nrows,"",IF(col_user=0,"",INDEX('Paste Export'!$A$2:$BZ$1001,$A617,col_user)))</f>
        <v/>
      </c>
      <c r="C617" s="24" t="str">
        <f>IF($A617&gt;nrows,"",IF(col_days=0,0,N(INDEX('Paste Export'!$A$2:$BZ$1001,$A617,col_days))))</f>
        <v/>
      </c>
      <c r="D617" s="24" t="str">
        <f>IF($A617&gt;nrows,"",IF(col_prompts=0,0,N(INDEX('Paste Export'!$A$2:$BZ$1001,$A617,col_prompts))))</f>
        <v/>
      </c>
      <c r="E617" s="24" t="str">
        <f>IF($A617&gt;nrows,"",IF(col_web=0,0,N(INDEX('Paste Export'!$A$2:$BZ$1001,$A617,col_web))))</f>
        <v/>
      </c>
      <c r="F617" s="26" t="str">
        <f t="shared" si="64"/>
        <v/>
      </c>
      <c r="G617" s="27" t="str">
        <f t="shared" si="65"/>
        <v/>
      </c>
      <c r="H617" s="24" t="str">
        <f>IF($A617&gt;nrows,"",IF(col_s1=0,0,--(LEN(INDEX('Paste Export'!$A$2:$BZ$1001,$A617,col_s1))&gt;0))+IF(col_s2=0,0,--(LEN(INDEX('Paste Export'!$A$2:$BZ$1001,$A617,col_s2))&gt;0))+IF(col_s3=0,0,--(LEN(INDEX('Paste Export'!$A$2:$BZ$1001,$A617,col_s3))&gt;0))+IF(col_s4=0,0,--(LEN(INDEX('Paste Export'!$A$2:$BZ$1001,$A617,col_s4))&gt;0))+IF(col_s5=0,0,--(LEN(INDEX('Paste Export'!$A$2:$BZ$1001,$A617,col_s5))&gt;0))+IF(col_s6=0,0,--(LEN(INDEX('Paste Export'!$A$2:$BZ$1001,$A617,col_s6))&gt;0))+IF(col_s7=0,0,--(LEN(INDEX('Paste Export'!$A$2:$BZ$1001,$A617,col_s7))&gt;0))+IF(col_s8=0,0,--(LEN(INDEX('Paste Export'!$A$2:$BZ$1001,$A617,col_s8))&gt;0)))</f>
        <v/>
      </c>
      <c r="I617" s="25" t="str">
        <f t="shared" si="66"/>
        <v/>
      </c>
      <c r="J617" s="25" t="str">
        <f t="shared" si="67"/>
        <v/>
      </c>
      <c r="K617" s="24" t="str">
        <f t="shared" si="68"/>
        <v/>
      </c>
      <c r="L617" s="24" t="str">
        <f t="shared" si="69"/>
        <v/>
      </c>
    </row>
    <row r="618" spans="1:12" x14ac:dyDescent="0.25">
      <c r="A618" s="24">
        <f t="shared" si="63"/>
        <v>617</v>
      </c>
      <c r="B618" s="25" t="str">
        <f>IF($A618&gt;nrows,"",IF(col_user=0,"",INDEX('Paste Export'!$A$2:$BZ$1001,$A618,col_user)))</f>
        <v/>
      </c>
      <c r="C618" s="24" t="str">
        <f>IF($A618&gt;nrows,"",IF(col_days=0,0,N(INDEX('Paste Export'!$A$2:$BZ$1001,$A618,col_days))))</f>
        <v/>
      </c>
      <c r="D618" s="24" t="str">
        <f>IF($A618&gt;nrows,"",IF(col_prompts=0,0,N(INDEX('Paste Export'!$A$2:$BZ$1001,$A618,col_prompts))))</f>
        <v/>
      </c>
      <c r="E618" s="24" t="str">
        <f>IF($A618&gt;nrows,"",IF(col_web=0,0,N(INDEX('Paste Export'!$A$2:$BZ$1001,$A618,col_web))))</f>
        <v/>
      </c>
      <c r="F618" s="26" t="str">
        <f t="shared" si="64"/>
        <v/>
      </c>
      <c r="G618" s="27" t="str">
        <f t="shared" si="65"/>
        <v/>
      </c>
      <c r="H618" s="24" t="str">
        <f>IF($A618&gt;nrows,"",IF(col_s1=0,0,--(LEN(INDEX('Paste Export'!$A$2:$BZ$1001,$A618,col_s1))&gt;0))+IF(col_s2=0,0,--(LEN(INDEX('Paste Export'!$A$2:$BZ$1001,$A618,col_s2))&gt;0))+IF(col_s3=0,0,--(LEN(INDEX('Paste Export'!$A$2:$BZ$1001,$A618,col_s3))&gt;0))+IF(col_s4=0,0,--(LEN(INDEX('Paste Export'!$A$2:$BZ$1001,$A618,col_s4))&gt;0))+IF(col_s5=0,0,--(LEN(INDEX('Paste Export'!$A$2:$BZ$1001,$A618,col_s5))&gt;0))+IF(col_s6=0,0,--(LEN(INDEX('Paste Export'!$A$2:$BZ$1001,$A618,col_s6))&gt;0))+IF(col_s7=0,0,--(LEN(INDEX('Paste Export'!$A$2:$BZ$1001,$A618,col_s7))&gt;0))+IF(col_s8=0,0,--(LEN(INDEX('Paste Export'!$A$2:$BZ$1001,$A618,col_s8))&gt;0)))</f>
        <v/>
      </c>
      <c r="I618" s="25" t="str">
        <f t="shared" si="66"/>
        <v/>
      </c>
      <c r="J618" s="25" t="str">
        <f t="shared" si="67"/>
        <v/>
      </c>
      <c r="K618" s="24" t="str">
        <f t="shared" si="68"/>
        <v/>
      </c>
      <c r="L618" s="24" t="str">
        <f t="shared" si="69"/>
        <v/>
      </c>
    </row>
    <row r="619" spans="1:12" x14ac:dyDescent="0.25">
      <c r="A619" s="24">
        <f t="shared" si="63"/>
        <v>618</v>
      </c>
      <c r="B619" s="25" t="str">
        <f>IF($A619&gt;nrows,"",IF(col_user=0,"",INDEX('Paste Export'!$A$2:$BZ$1001,$A619,col_user)))</f>
        <v/>
      </c>
      <c r="C619" s="24" t="str">
        <f>IF($A619&gt;nrows,"",IF(col_days=0,0,N(INDEX('Paste Export'!$A$2:$BZ$1001,$A619,col_days))))</f>
        <v/>
      </c>
      <c r="D619" s="24" t="str">
        <f>IF($A619&gt;nrows,"",IF(col_prompts=0,0,N(INDEX('Paste Export'!$A$2:$BZ$1001,$A619,col_prompts))))</f>
        <v/>
      </c>
      <c r="E619" s="24" t="str">
        <f>IF($A619&gt;nrows,"",IF(col_web=0,0,N(INDEX('Paste Export'!$A$2:$BZ$1001,$A619,col_web))))</f>
        <v/>
      </c>
      <c r="F619" s="26" t="str">
        <f t="shared" si="64"/>
        <v/>
      </c>
      <c r="G619" s="27" t="str">
        <f t="shared" si="65"/>
        <v/>
      </c>
      <c r="H619" s="24" t="str">
        <f>IF($A619&gt;nrows,"",IF(col_s1=0,0,--(LEN(INDEX('Paste Export'!$A$2:$BZ$1001,$A619,col_s1))&gt;0))+IF(col_s2=0,0,--(LEN(INDEX('Paste Export'!$A$2:$BZ$1001,$A619,col_s2))&gt;0))+IF(col_s3=0,0,--(LEN(INDEX('Paste Export'!$A$2:$BZ$1001,$A619,col_s3))&gt;0))+IF(col_s4=0,0,--(LEN(INDEX('Paste Export'!$A$2:$BZ$1001,$A619,col_s4))&gt;0))+IF(col_s5=0,0,--(LEN(INDEX('Paste Export'!$A$2:$BZ$1001,$A619,col_s5))&gt;0))+IF(col_s6=0,0,--(LEN(INDEX('Paste Export'!$A$2:$BZ$1001,$A619,col_s6))&gt;0))+IF(col_s7=0,0,--(LEN(INDEX('Paste Export'!$A$2:$BZ$1001,$A619,col_s7))&gt;0))+IF(col_s8=0,0,--(LEN(INDEX('Paste Export'!$A$2:$BZ$1001,$A619,col_s8))&gt;0)))</f>
        <v/>
      </c>
      <c r="I619" s="25" t="str">
        <f t="shared" si="66"/>
        <v/>
      </c>
      <c r="J619" s="25" t="str">
        <f t="shared" si="67"/>
        <v/>
      </c>
      <c r="K619" s="24" t="str">
        <f t="shared" si="68"/>
        <v/>
      </c>
      <c r="L619" s="24" t="str">
        <f t="shared" si="69"/>
        <v/>
      </c>
    </row>
    <row r="620" spans="1:12" x14ac:dyDescent="0.25">
      <c r="A620" s="24">
        <f t="shared" si="63"/>
        <v>619</v>
      </c>
      <c r="B620" s="25" t="str">
        <f>IF($A620&gt;nrows,"",IF(col_user=0,"",INDEX('Paste Export'!$A$2:$BZ$1001,$A620,col_user)))</f>
        <v/>
      </c>
      <c r="C620" s="24" t="str">
        <f>IF($A620&gt;nrows,"",IF(col_days=0,0,N(INDEX('Paste Export'!$A$2:$BZ$1001,$A620,col_days))))</f>
        <v/>
      </c>
      <c r="D620" s="24" t="str">
        <f>IF($A620&gt;nrows,"",IF(col_prompts=0,0,N(INDEX('Paste Export'!$A$2:$BZ$1001,$A620,col_prompts))))</f>
        <v/>
      </c>
      <c r="E620" s="24" t="str">
        <f>IF($A620&gt;nrows,"",IF(col_web=0,0,N(INDEX('Paste Export'!$A$2:$BZ$1001,$A620,col_web))))</f>
        <v/>
      </c>
      <c r="F620" s="26" t="str">
        <f t="shared" si="64"/>
        <v/>
      </c>
      <c r="G620" s="27" t="str">
        <f t="shared" si="65"/>
        <v/>
      </c>
      <c r="H620" s="24" t="str">
        <f>IF($A620&gt;nrows,"",IF(col_s1=0,0,--(LEN(INDEX('Paste Export'!$A$2:$BZ$1001,$A620,col_s1))&gt;0))+IF(col_s2=0,0,--(LEN(INDEX('Paste Export'!$A$2:$BZ$1001,$A620,col_s2))&gt;0))+IF(col_s3=0,0,--(LEN(INDEX('Paste Export'!$A$2:$BZ$1001,$A620,col_s3))&gt;0))+IF(col_s4=0,0,--(LEN(INDEX('Paste Export'!$A$2:$BZ$1001,$A620,col_s4))&gt;0))+IF(col_s5=0,0,--(LEN(INDEX('Paste Export'!$A$2:$BZ$1001,$A620,col_s5))&gt;0))+IF(col_s6=0,0,--(LEN(INDEX('Paste Export'!$A$2:$BZ$1001,$A620,col_s6))&gt;0))+IF(col_s7=0,0,--(LEN(INDEX('Paste Export'!$A$2:$BZ$1001,$A620,col_s7))&gt;0))+IF(col_s8=0,0,--(LEN(INDEX('Paste Export'!$A$2:$BZ$1001,$A620,col_s8))&gt;0)))</f>
        <v/>
      </c>
      <c r="I620" s="25" t="str">
        <f t="shared" si="66"/>
        <v/>
      </c>
      <c r="J620" s="25" t="str">
        <f t="shared" si="67"/>
        <v/>
      </c>
      <c r="K620" s="24" t="str">
        <f t="shared" si="68"/>
        <v/>
      </c>
      <c r="L620" s="24" t="str">
        <f t="shared" si="69"/>
        <v/>
      </c>
    </row>
    <row r="621" spans="1:12" x14ac:dyDescent="0.25">
      <c r="A621" s="24">
        <f t="shared" si="63"/>
        <v>620</v>
      </c>
      <c r="B621" s="25" t="str">
        <f>IF($A621&gt;nrows,"",IF(col_user=0,"",INDEX('Paste Export'!$A$2:$BZ$1001,$A621,col_user)))</f>
        <v/>
      </c>
      <c r="C621" s="24" t="str">
        <f>IF($A621&gt;nrows,"",IF(col_days=0,0,N(INDEX('Paste Export'!$A$2:$BZ$1001,$A621,col_days))))</f>
        <v/>
      </c>
      <c r="D621" s="24" t="str">
        <f>IF($A621&gt;nrows,"",IF(col_prompts=0,0,N(INDEX('Paste Export'!$A$2:$BZ$1001,$A621,col_prompts))))</f>
        <v/>
      </c>
      <c r="E621" s="24" t="str">
        <f>IF($A621&gt;nrows,"",IF(col_web=0,0,N(INDEX('Paste Export'!$A$2:$BZ$1001,$A621,col_web))))</f>
        <v/>
      </c>
      <c r="F621" s="26" t="str">
        <f t="shared" si="64"/>
        <v/>
      </c>
      <c r="G621" s="27" t="str">
        <f t="shared" si="65"/>
        <v/>
      </c>
      <c r="H621" s="24" t="str">
        <f>IF($A621&gt;nrows,"",IF(col_s1=0,0,--(LEN(INDEX('Paste Export'!$A$2:$BZ$1001,$A621,col_s1))&gt;0))+IF(col_s2=0,0,--(LEN(INDEX('Paste Export'!$A$2:$BZ$1001,$A621,col_s2))&gt;0))+IF(col_s3=0,0,--(LEN(INDEX('Paste Export'!$A$2:$BZ$1001,$A621,col_s3))&gt;0))+IF(col_s4=0,0,--(LEN(INDEX('Paste Export'!$A$2:$BZ$1001,$A621,col_s4))&gt;0))+IF(col_s5=0,0,--(LEN(INDEX('Paste Export'!$A$2:$BZ$1001,$A621,col_s5))&gt;0))+IF(col_s6=0,0,--(LEN(INDEX('Paste Export'!$A$2:$BZ$1001,$A621,col_s6))&gt;0))+IF(col_s7=0,0,--(LEN(INDEX('Paste Export'!$A$2:$BZ$1001,$A621,col_s7))&gt;0))+IF(col_s8=0,0,--(LEN(INDEX('Paste Export'!$A$2:$BZ$1001,$A621,col_s8))&gt;0)))</f>
        <v/>
      </c>
      <c r="I621" s="25" t="str">
        <f t="shared" si="66"/>
        <v/>
      </c>
      <c r="J621" s="25" t="str">
        <f t="shared" si="67"/>
        <v/>
      </c>
      <c r="K621" s="24" t="str">
        <f t="shared" si="68"/>
        <v/>
      </c>
      <c r="L621" s="24" t="str">
        <f t="shared" si="69"/>
        <v/>
      </c>
    </row>
    <row r="622" spans="1:12" x14ac:dyDescent="0.25">
      <c r="A622" s="24">
        <f t="shared" si="63"/>
        <v>621</v>
      </c>
      <c r="B622" s="25" t="str">
        <f>IF($A622&gt;nrows,"",IF(col_user=0,"",INDEX('Paste Export'!$A$2:$BZ$1001,$A622,col_user)))</f>
        <v/>
      </c>
      <c r="C622" s="24" t="str">
        <f>IF($A622&gt;nrows,"",IF(col_days=0,0,N(INDEX('Paste Export'!$A$2:$BZ$1001,$A622,col_days))))</f>
        <v/>
      </c>
      <c r="D622" s="24" t="str">
        <f>IF($A622&gt;nrows,"",IF(col_prompts=0,0,N(INDEX('Paste Export'!$A$2:$BZ$1001,$A622,col_prompts))))</f>
        <v/>
      </c>
      <c r="E622" s="24" t="str">
        <f>IF($A622&gt;nrows,"",IF(col_web=0,0,N(INDEX('Paste Export'!$A$2:$BZ$1001,$A622,col_web))))</f>
        <v/>
      </c>
      <c r="F622" s="26" t="str">
        <f t="shared" si="64"/>
        <v/>
      </c>
      <c r="G622" s="27" t="str">
        <f t="shared" si="65"/>
        <v/>
      </c>
      <c r="H622" s="24" t="str">
        <f>IF($A622&gt;nrows,"",IF(col_s1=0,0,--(LEN(INDEX('Paste Export'!$A$2:$BZ$1001,$A622,col_s1))&gt;0))+IF(col_s2=0,0,--(LEN(INDEX('Paste Export'!$A$2:$BZ$1001,$A622,col_s2))&gt;0))+IF(col_s3=0,0,--(LEN(INDEX('Paste Export'!$A$2:$BZ$1001,$A622,col_s3))&gt;0))+IF(col_s4=0,0,--(LEN(INDEX('Paste Export'!$A$2:$BZ$1001,$A622,col_s4))&gt;0))+IF(col_s5=0,0,--(LEN(INDEX('Paste Export'!$A$2:$BZ$1001,$A622,col_s5))&gt;0))+IF(col_s6=0,0,--(LEN(INDEX('Paste Export'!$A$2:$BZ$1001,$A622,col_s6))&gt;0))+IF(col_s7=0,0,--(LEN(INDEX('Paste Export'!$A$2:$BZ$1001,$A622,col_s7))&gt;0))+IF(col_s8=0,0,--(LEN(INDEX('Paste Export'!$A$2:$BZ$1001,$A622,col_s8))&gt;0)))</f>
        <v/>
      </c>
      <c r="I622" s="25" t="str">
        <f t="shared" si="66"/>
        <v/>
      </c>
      <c r="J622" s="25" t="str">
        <f t="shared" si="67"/>
        <v/>
      </c>
      <c r="K622" s="24" t="str">
        <f t="shared" si="68"/>
        <v/>
      </c>
      <c r="L622" s="24" t="str">
        <f t="shared" si="69"/>
        <v/>
      </c>
    </row>
    <row r="623" spans="1:12" x14ac:dyDescent="0.25">
      <c r="A623" s="24">
        <f t="shared" si="63"/>
        <v>622</v>
      </c>
      <c r="B623" s="25" t="str">
        <f>IF($A623&gt;nrows,"",IF(col_user=0,"",INDEX('Paste Export'!$A$2:$BZ$1001,$A623,col_user)))</f>
        <v/>
      </c>
      <c r="C623" s="24" t="str">
        <f>IF($A623&gt;nrows,"",IF(col_days=0,0,N(INDEX('Paste Export'!$A$2:$BZ$1001,$A623,col_days))))</f>
        <v/>
      </c>
      <c r="D623" s="24" t="str">
        <f>IF($A623&gt;nrows,"",IF(col_prompts=0,0,N(INDEX('Paste Export'!$A$2:$BZ$1001,$A623,col_prompts))))</f>
        <v/>
      </c>
      <c r="E623" s="24" t="str">
        <f>IF($A623&gt;nrows,"",IF(col_web=0,0,N(INDEX('Paste Export'!$A$2:$BZ$1001,$A623,col_web))))</f>
        <v/>
      </c>
      <c r="F623" s="26" t="str">
        <f t="shared" si="64"/>
        <v/>
      </c>
      <c r="G623" s="27" t="str">
        <f t="shared" si="65"/>
        <v/>
      </c>
      <c r="H623" s="24" t="str">
        <f>IF($A623&gt;nrows,"",IF(col_s1=0,0,--(LEN(INDEX('Paste Export'!$A$2:$BZ$1001,$A623,col_s1))&gt;0))+IF(col_s2=0,0,--(LEN(INDEX('Paste Export'!$A$2:$BZ$1001,$A623,col_s2))&gt;0))+IF(col_s3=0,0,--(LEN(INDEX('Paste Export'!$A$2:$BZ$1001,$A623,col_s3))&gt;0))+IF(col_s4=0,0,--(LEN(INDEX('Paste Export'!$A$2:$BZ$1001,$A623,col_s4))&gt;0))+IF(col_s5=0,0,--(LEN(INDEX('Paste Export'!$A$2:$BZ$1001,$A623,col_s5))&gt;0))+IF(col_s6=0,0,--(LEN(INDEX('Paste Export'!$A$2:$BZ$1001,$A623,col_s6))&gt;0))+IF(col_s7=0,0,--(LEN(INDEX('Paste Export'!$A$2:$BZ$1001,$A623,col_s7))&gt;0))+IF(col_s8=0,0,--(LEN(INDEX('Paste Export'!$A$2:$BZ$1001,$A623,col_s8))&gt;0)))</f>
        <v/>
      </c>
      <c r="I623" s="25" t="str">
        <f t="shared" si="66"/>
        <v/>
      </c>
      <c r="J623" s="25" t="str">
        <f t="shared" si="67"/>
        <v/>
      </c>
      <c r="K623" s="24" t="str">
        <f t="shared" si="68"/>
        <v/>
      </c>
      <c r="L623" s="24" t="str">
        <f t="shared" si="69"/>
        <v/>
      </c>
    </row>
    <row r="624" spans="1:12" x14ac:dyDescent="0.25">
      <c r="A624" s="24">
        <f t="shared" si="63"/>
        <v>623</v>
      </c>
      <c r="B624" s="25" t="str">
        <f>IF($A624&gt;nrows,"",IF(col_user=0,"",INDEX('Paste Export'!$A$2:$BZ$1001,$A624,col_user)))</f>
        <v/>
      </c>
      <c r="C624" s="24" t="str">
        <f>IF($A624&gt;nrows,"",IF(col_days=0,0,N(INDEX('Paste Export'!$A$2:$BZ$1001,$A624,col_days))))</f>
        <v/>
      </c>
      <c r="D624" s="24" t="str">
        <f>IF($A624&gt;nrows,"",IF(col_prompts=0,0,N(INDEX('Paste Export'!$A$2:$BZ$1001,$A624,col_prompts))))</f>
        <v/>
      </c>
      <c r="E624" s="24" t="str">
        <f>IF($A624&gt;nrows,"",IF(col_web=0,0,N(INDEX('Paste Export'!$A$2:$BZ$1001,$A624,col_web))))</f>
        <v/>
      </c>
      <c r="F624" s="26" t="str">
        <f t="shared" si="64"/>
        <v/>
      </c>
      <c r="G624" s="27" t="str">
        <f t="shared" si="65"/>
        <v/>
      </c>
      <c r="H624" s="24" t="str">
        <f>IF($A624&gt;nrows,"",IF(col_s1=0,0,--(LEN(INDEX('Paste Export'!$A$2:$BZ$1001,$A624,col_s1))&gt;0))+IF(col_s2=0,0,--(LEN(INDEX('Paste Export'!$A$2:$BZ$1001,$A624,col_s2))&gt;0))+IF(col_s3=0,0,--(LEN(INDEX('Paste Export'!$A$2:$BZ$1001,$A624,col_s3))&gt;0))+IF(col_s4=0,0,--(LEN(INDEX('Paste Export'!$A$2:$BZ$1001,$A624,col_s4))&gt;0))+IF(col_s5=0,0,--(LEN(INDEX('Paste Export'!$A$2:$BZ$1001,$A624,col_s5))&gt;0))+IF(col_s6=0,0,--(LEN(INDEX('Paste Export'!$A$2:$BZ$1001,$A624,col_s6))&gt;0))+IF(col_s7=0,0,--(LEN(INDEX('Paste Export'!$A$2:$BZ$1001,$A624,col_s7))&gt;0))+IF(col_s8=0,0,--(LEN(INDEX('Paste Export'!$A$2:$BZ$1001,$A624,col_s8))&gt;0)))</f>
        <v/>
      </c>
      <c r="I624" s="25" t="str">
        <f t="shared" si="66"/>
        <v/>
      </c>
      <c r="J624" s="25" t="str">
        <f t="shared" si="67"/>
        <v/>
      </c>
      <c r="K624" s="24" t="str">
        <f t="shared" si="68"/>
        <v/>
      </c>
      <c r="L624" s="24" t="str">
        <f t="shared" si="69"/>
        <v/>
      </c>
    </row>
    <row r="625" spans="1:12" x14ac:dyDescent="0.25">
      <c r="A625" s="24">
        <f t="shared" si="63"/>
        <v>624</v>
      </c>
      <c r="B625" s="25" t="str">
        <f>IF($A625&gt;nrows,"",IF(col_user=0,"",INDEX('Paste Export'!$A$2:$BZ$1001,$A625,col_user)))</f>
        <v/>
      </c>
      <c r="C625" s="24" t="str">
        <f>IF($A625&gt;nrows,"",IF(col_days=0,0,N(INDEX('Paste Export'!$A$2:$BZ$1001,$A625,col_days))))</f>
        <v/>
      </c>
      <c r="D625" s="24" t="str">
        <f>IF($A625&gt;nrows,"",IF(col_prompts=0,0,N(INDEX('Paste Export'!$A$2:$BZ$1001,$A625,col_prompts))))</f>
        <v/>
      </c>
      <c r="E625" s="24" t="str">
        <f>IF($A625&gt;nrows,"",IF(col_web=0,0,N(INDEX('Paste Export'!$A$2:$BZ$1001,$A625,col_web))))</f>
        <v/>
      </c>
      <c r="F625" s="26" t="str">
        <f t="shared" si="64"/>
        <v/>
      </c>
      <c r="G625" s="27" t="str">
        <f t="shared" si="65"/>
        <v/>
      </c>
      <c r="H625" s="24" t="str">
        <f>IF($A625&gt;nrows,"",IF(col_s1=0,0,--(LEN(INDEX('Paste Export'!$A$2:$BZ$1001,$A625,col_s1))&gt;0))+IF(col_s2=0,0,--(LEN(INDEX('Paste Export'!$A$2:$BZ$1001,$A625,col_s2))&gt;0))+IF(col_s3=0,0,--(LEN(INDEX('Paste Export'!$A$2:$BZ$1001,$A625,col_s3))&gt;0))+IF(col_s4=0,0,--(LEN(INDEX('Paste Export'!$A$2:$BZ$1001,$A625,col_s4))&gt;0))+IF(col_s5=0,0,--(LEN(INDEX('Paste Export'!$A$2:$BZ$1001,$A625,col_s5))&gt;0))+IF(col_s6=0,0,--(LEN(INDEX('Paste Export'!$A$2:$BZ$1001,$A625,col_s6))&gt;0))+IF(col_s7=0,0,--(LEN(INDEX('Paste Export'!$A$2:$BZ$1001,$A625,col_s7))&gt;0))+IF(col_s8=0,0,--(LEN(INDEX('Paste Export'!$A$2:$BZ$1001,$A625,col_s8))&gt;0)))</f>
        <v/>
      </c>
      <c r="I625" s="25" t="str">
        <f t="shared" si="66"/>
        <v/>
      </c>
      <c r="J625" s="25" t="str">
        <f t="shared" si="67"/>
        <v/>
      </c>
      <c r="K625" s="24" t="str">
        <f t="shared" si="68"/>
        <v/>
      </c>
      <c r="L625" s="24" t="str">
        <f t="shared" si="69"/>
        <v/>
      </c>
    </row>
    <row r="626" spans="1:12" x14ac:dyDescent="0.25">
      <c r="A626" s="24">
        <f t="shared" si="63"/>
        <v>625</v>
      </c>
      <c r="B626" s="25" t="str">
        <f>IF($A626&gt;nrows,"",IF(col_user=0,"",INDEX('Paste Export'!$A$2:$BZ$1001,$A626,col_user)))</f>
        <v/>
      </c>
      <c r="C626" s="24" t="str">
        <f>IF($A626&gt;nrows,"",IF(col_days=0,0,N(INDEX('Paste Export'!$A$2:$BZ$1001,$A626,col_days))))</f>
        <v/>
      </c>
      <c r="D626" s="24" t="str">
        <f>IF($A626&gt;nrows,"",IF(col_prompts=0,0,N(INDEX('Paste Export'!$A$2:$BZ$1001,$A626,col_prompts))))</f>
        <v/>
      </c>
      <c r="E626" s="24" t="str">
        <f>IF($A626&gt;nrows,"",IF(col_web=0,0,N(INDEX('Paste Export'!$A$2:$BZ$1001,$A626,col_web))))</f>
        <v/>
      </c>
      <c r="F626" s="26" t="str">
        <f t="shared" si="64"/>
        <v/>
      </c>
      <c r="G626" s="27" t="str">
        <f t="shared" si="65"/>
        <v/>
      </c>
      <c r="H626" s="24" t="str">
        <f>IF($A626&gt;nrows,"",IF(col_s1=0,0,--(LEN(INDEX('Paste Export'!$A$2:$BZ$1001,$A626,col_s1))&gt;0))+IF(col_s2=0,0,--(LEN(INDEX('Paste Export'!$A$2:$BZ$1001,$A626,col_s2))&gt;0))+IF(col_s3=0,0,--(LEN(INDEX('Paste Export'!$A$2:$BZ$1001,$A626,col_s3))&gt;0))+IF(col_s4=0,0,--(LEN(INDEX('Paste Export'!$A$2:$BZ$1001,$A626,col_s4))&gt;0))+IF(col_s5=0,0,--(LEN(INDEX('Paste Export'!$A$2:$BZ$1001,$A626,col_s5))&gt;0))+IF(col_s6=0,0,--(LEN(INDEX('Paste Export'!$A$2:$BZ$1001,$A626,col_s6))&gt;0))+IF(col_s7=0,0,--(LEN(INDEX('Paste Export'!$A$2:$BZ$1001,$A626,col_s7))&gt;0))+IF(col_s8=0,0,--(LEN(INDEX('Paste Export'!$A$2:$BZ$1001,$A626,col_s8))&gt;0)))</f>
        <v/>
      </c>
      <c r="I626" s="25" t="str">
        <f t="shared" si="66"/>
        <v/>
      </c>
      <c r="J626" s="25" t="str">
        <f t="shared" si="67"/>
        <v/>
      </c>
      <c r="K626" s="24" t="str">
        <f t="shared" si="68"/>
        <v/>
      </c>
      <c r="L626" s="24" t="str">
        <f t="shared" si="69"/>
        <v/>
      </c>
    </row>
    <row r="627" spans="1:12" x14ac:dyDescent="0.25">
      <c r="A627" s="24">
        <f t="shared" si="63"/>
        <v>626</v>
      </c>
      <c r="B627" s="25" t="str">
        <f>IF($A627&gt;nrows,"",IF(col_user=0,"",INDEX('Paste Export'!$A$2:$BZ$1001,$A627,col_user)))</f>
        <v/>
      </c>
      <c r="C627" s="24" t="str">
        <f>IF($A627&gt;nrows,"",IF(col_days=0,0,N(INDEX('Paste Export'!$A$2:$BZ$1001,$A627,col_days))))</f>
        <v/>
      </c>
      <c r="D627" s="24" t="str">
        <f>IF($A627&gt;nrows,"",IF(col_prompts=0,0,N(INDEX('Paste Export'!$A$2:$BZ$1001,$A627,col_prompts))))</f>
        <v/>
      </c>
      <c r="E627" s="24" t="str">
        <f>IF($A627&gt;nrows,"",IF(col_web=0,0,N(INDEX('Paste Export'!$A$2:$BZ$1001,$A627,col_web))))</f>
        <v/>
      </c>
      <c r="F627" s="26" t="str">
        <f t="shared" si="64"/>
        <v/>
      </c>
      <c r="G627" s="27" t="str">
        <f t="shared" si="65"/>
        <v/>
      </c>
      <c r="H627" s="24" t="str">
        <f>IF($A627&gt;nrows,"",IF(col_s1=0,0,--(LEN(INDEX('Paste Export'!$A$2:$BZ$1001,$A627,col_s1))&gt;0))+IF(col_s2=0,0,--(LEN(INDEX('Paste Export'!$A$2:$BZ$1001,$A627,col_s2))&gt;0))+IF(col_s3=0,0,--(LEN(INDEX('Paste Export'!$A$2:$BZ$1001,$A627,col_s3))&gt;0))+IF(col_s4=0,0,--(LEN(INDEX('Paste Export'!$A$2:$BZ$1001,$A627,col_s4))&gt;0))+IF(col_s5=0,0,--(LEN(INDEX('Paste Export'!$A$2:$BZ$1001,$A627,col_s5))&gt;0))+IF(col_s6=0,0,--(LEN(INDEX('Paste Export'!$A$2:$BZ$1001,$A627,col_s6))&gt;0))+IF(col_s7=0,0,--(LEN(INDEX('Paste Export'!$A$2:$BZ$1001,$A627,col_s7))&gt;0))+IF(col_s8=0,0,--(LEN(INDEX('Paste Export'!$A$2:$BZ$1001,$A627,col_s8))&gt;0)))</f>
        <v/>
      </c>
      <c r="I627" s="25" t="str">
        <f t="shared" si="66"/>
        <v/>
      </c>
      <c r="J627" s="25" t="str">
        <f t="shared" si="67"/>
        <v/>
      </c>
      <c r="K627" s="24" t="str">
        <f t="shared" si="68"/>
        <v/>
      </c>
      <c r="L627" s="24" t="str">
        <f t="shared" si="69"/>
        <v/>
      </c>
    </row>
    <row r="628" spans="1:12" x14ac:dyDescent="0.25">
      <c r="A628" s="24">
        <f t="shared" si="63"/>
        <v>627</v>
      </c>
      <c r="B628" s="25" t="str">
        <f>IF($A628&gt;nrows,"",IF(col_user=0,"",INDEX('Paste Export'!$A$2:$BZ$1001,$A628,col_user)))</f>
        <v/>
      </c>
      <c r="C628" s="24" t="str">
        <f>IF($A628&gt;nrows,"",IF(col_days=0,0,N(INDEX('Paste Export'!$A$2:$BZ$1001,$A628,col_days))))</f>
        <v/>
      </c>
      <c r="D628" s="24" t="str">
        <f>IF($A628&gt;nrows,"",IF(col_prompts=0,0,N(INDEX('Paste Export'!$A$2:$BZ$1001,$A628,col_prompts))))</f>
        <v/>
      </c>
      <c r="E628" s="24" t="str">
        <f>IF($A628&gt;nrows,"",IF(col_web=0,0,N(INDEX('Paste Export'!$A$2:$BZ$1001,$A628,col_web))))</f>
        <v/>
      </c>
      <c r="F628" s="26" t="str">
        <f t="shared" si="64"/>
        <v/>
      </c>
      <c r="G628" s="27" t="str">
        <f t="shared" si="65"/>
        <v/>
      </c>
      <c r="H628" s="24" t="str">
        <f>IF($A628&gt;nrows,"",IF(col_s1=0,0,--(LEN(INDEX('Paste Export'!$A$2:$BZ$1001,$A628,col_s1))&gt;0))+IF(col_s2=0,0,--(LEN(INDEX('Paste Export'!$A$2:$BZ$1001,$A628,col_s2))&gt;0))+IF(col_s3=0,0,--(LEN(INDEX('Paste Export'!$A$2:$BZ$1001,$A628,col_s3))&gt;0))+IF(col_s4=0,0,--(LEN(INDEX('Paste Export'!$A$2:$BZ$1001,$A628,col_s4))&gt;0))+IF(col_s5=0,0,--(LEN(INDEX('Paste Export'!$A$2:$BZ$1001,$A628,col_s5))&gt;0))+IF(col_s6=0,0,--(LEN(INDEX('Paste Export'!$A$2:$BZ$1001,$A628,col_s6))&gt;0))+IF(col_s7=0,0,--(LEN(INDEX('Paste Export'!$A$2:$BZ$1001,$A628,col_s7))&gt;0))+IF(col_s8=0,0,--(LEN(INDEX('Paste Export'!$A$2:$BZ$1001,$A628,col_s8))&gt;0)))</f>
        <v/>
      </c>
      <c r="I628" s="25" t="str">
        <f t="shared" si="66"/>
        <v/>
      </c>
      <c r="J628" s="25" t="str">
        <f t="shared" si="67"/>
        <v/>
      </c>
      <c r="K628" s="24" t="str">
        <f t="shared" si="68"/>
        <v/>
      </c>
      <c r="L628" s="24" t="str">
        <f t="shared" si="69"/>
        <v/>
      </c>
    </row>
    <row r="629" spans="1:12" x14ac:dyDescent="0.25">
      <c r="A629" s="24">
        <f t="shared" si="63"/>
        <v>628</v>
      </c>
      <c r="B629" s="25" t="str">
        <f>IF($A629&gt;nrows,"",IF(col_user=0,"",INDEX('Paste Export'!$A$2:$BZ$1001,$A629,col_user)))</f>
        <v/>
      </c>
      <c r="C629" s="24" t="str">
        <f>IF($A629&gt;nrows,"",IF(col_days=0,0,N(INDEX('Paste Export'!$A$2:$BZ$1001,$A629,col_days))))</f>
        <v/>
      </c>
      <c r="D629" s="24" t="str">
        <f>IF($A629&gt;nrows,"",IF(col_prompts=0,0,N(INDEX('Paste Export'!$A$2:$BZ$1001,$A629,col_prompts))))</f>
        <v/>
      </c>
      <c r="E629" s="24" t="str">
        <f>IF($A629&gt;nrows,"",IF(col_web=0,0,N(INDEX('Paste Export'!$A$2:$BZ$1001,$A629,col_web))))</f>
        <v/>
      </c>
      <c r="F629" s="26" t="str">
        <f t="shared" si="64"/>
        <v/>
      </c>
      <c r="G629" s="27" t="str">
        <f t="shared" si="65"/>
        <v/>
      </c>
      <c r="H629" s="24" t="str">
        <f>IF($A629&gt;nrows,"",IF(col_s1=0,0,--(LEN(INDEX('Paste Export'!$A$2:$BZ$1001,$A629,col_s1))&gt;0))+IF(col_s2=0,0,--(LEN(INDEX('Paste Export'!$A$2:$BZ$1001,$A629,col_s2))&gt;0))+IF(col_s3=0,0,--(LEN(INDEX('Paste Export'!$A$2:$BZ$1001,$A629,col_s3))&gt;0))+IF(col_s4=0,0,--(LEN(INDEX('Paste Export'!$A$2:$BZ$1001,$A629,col_s4))&gt;0))+IF(col_s5=0,0,--(LEN(INDEX('Paste Export'!$A$2:$BZ$1001,$A629,col_s5))&gt;0))+IF(col_s6=0,0,--(LEN(INDEX('Paste Export'!$A$2:$BZ$1001,$A629,col_s6))&gt;0))+IF(col_s7=0,0,--(LEN(INDEX('Paste Export'!$A$2:$BZ$1001,$A629,col_s7))&gt;0))+IF(col_s8=0,0,--(LEN(INDEX('Paste Export'!$A$2:$BZ$1001,$A629,col_s8))&gt;0)))</f>
        <v/>
      </c>
      <c r="I629" s="25" t="str">
        <f t="shared" si="66"/>
        <v/>
      </c>
      <c r="J629" s="25" t="str">
        <f t="shared" si="67"/>
        <v/>
      </c>
      <c r="K629" s="24" t="str">
        <f t="shared" si="68"/>
        <v/>
      </c>
      <c r="L629" s="24" t="str">
        <f t="shared" si="69"/>
        <v/>
      </c>
    </row>
    <row r="630" spans="1:12" x14ac:dyDescent="0.25">
      <c r="A630" s="24">
        <f t="shared" si="63"/>
        <v>629</v>
      </c>
      <c r="B630" s="25" t="str">
        <f>IF($A630&gt;nrows,"",IF(col_user=0,"",INDEX('Paste Export'!$A$2:$BZ$1001,$A630,col_user)))</f>
        <v/>
      </c>
      <c r="C630" s="24" t="str">
        <f>IF($A630&gt;nrows,"",IF(col_days=0,0,N(INDEX('Paste Export'!$A$2:$BZ$1001,$A630,col_days))))</f>
        <v/>
      </c>
      <c r="D630" s="24" t="str">
        <f>IF($A630&gt;nrows,"",IF(col_prompts=0,0,N(INDEX('Paste Export'!$A$2:$BZ$1001,$A630,col_prompts))))</f>
        <v/>
      </c>
      <c r="E630" s="24" t="str">
        <f>IF($A630&gt;nrows,"",IF(col_web=0,0,N(INDEX('Paste Export'!$A$2:$BZ$1001,$A630,col_web))))</f>
        <v/>
      </c>
      <c r="F630" s="26" t="str">
        <f t="shared" si="64"/>
        <v/>
      </c>
      <c r="G630" s="27" t="str">
        <f t="shared" si="65"/>
        <v/>
      </c>
      <c r="H630" s="24" t="str">
        <f>IF($A630&gt;nrows,"",IF(col_s1=0,0,--(LEN(INDEX('Paste Export'!$A$2:$BZ$1001,$A630,col_s1))&gt;0))+IF(col_s2=0,0,--(LEN(INDEX('Paste Export'!$A$2:$BZ$1001,$A630,col_s2))&gt;0))+IF(col_s3=0,0,--(LEN(INDEX('Paste Export'!$A$2:$BZ$1001,$A630,col_s3))&gt;0))+IF(col_s4=0,0,--(LEN(INDEX('Paste Export'!$A$2:$BZ$1001,$A630,col_s4))&gt;0))+IF(col_s5=0,0,--(LEN(INDEX('Paste Export'!$A$2:$BZ$1001,$A630,col_s5))&gt;0))+IF(col_s6=0,0,--(LEN(INDEX('Paste Export'!$A$2:$BZ$1001,$A630,col_s6))&gt;0))+IF(col_s7=0,0,--(LEN(INDEX('Paste Export'!$A$2:$BZ$1001,$A630,col_s7))&gt;0))+IF(col_s8=0,0,--(LEN(INDEX('Paste Export'!$A$2:$BZ$1001,$A630,col_s8))&gt;0)))</f>
        <v/>
      </c>
      <c r="I630" s="25" t="str">
        <f t="shared" si="66"/>
        <v/>
      </c>
      <c r="J630" s="25" t="str">
        <f t="shared" si="67"/>
        <v/>
      </c>
      <c r="K630" s="24" t="str">
        <f t="shared" si="68"/>
        <v/>
      </c>
      <c r="L630" s="24" t="str">
        <f t="shared" si="69"/>
        <v/>
      </c>
    </row>
    <row r="631" spans="1:12" x14ac:dyDescent="0.25">
      <c r="A631" s="24">
        <f t="shared" si="63"/>
        <v>630</v>
      </c>
      <c r="B631" s="25" t="str">
        <f>IF($A631&gt;nrows,"",IF(col_user=0,"",INDEX('Paste Export'!$A$2:$BZ$1001,$A631,col_user)))</f>
        <v/>
      </c>
      <c r="C631" s="24" t="str">
        <f>IF($A631&gt;nrows,"",IF(col_days=0,0,N(INDEX('Paste Export'!$A$2:$BZ$1001,$A631,col_days))))</f>
        <v/>
      </c>
      <c r="D631" s="24" t="str">
        <f>IF($A631&gt;nrows,"",IF(col_prompts=0,0,N(INDEX('Paste Export'!$A$2:$BZ$1001,$A631,col_prompts))))</f>
        <v/>
      </c>
      <c r="E631" s="24" t="str">
        <f>IF($A631&gt;nrows,"",IF(col_web=0,0,N(INDEX('Paste Export'!$A$2:$BZ$1001,$A631,col_web))))</f>
        <v/>
      </c>
      <c r="F631" s="26" t="str">
        <f t="shared" si="64"/>
        <v/>
      </c>
      <c r="G631" s="27" t="str">
        <f t="shared" si="65"/>
        <v/>
      </c>
      <c r="H631" s="24" t="str">
        <f>IF($A631&gt;nrows,"",IF(col_s1=0,0,--(LEN(INDEX('Paste Export'!$A$2:$BZ$1001,$A631,col_s1))&gt;0))+IF(col_s2=0,0,--(LEN(INDEX('Paste Export'!$A$2:$BZ$1001,$A631,col_s2))&gt;0))+IF(col_s3=0,0,--(LEN(INDEX('Paste Export'!$A$2:$BZ$1001,$A631,col_s3))&gt;0))+IF(col_s4=0,0,--(LEN(INDEX('Paste Export'!$A$2:$BZ$1001,$A631,col_s4))&gt;0))+IF(col_s5=0,0,--(LEN(INDEX('Paste Export'!$A$2:$BZ$1001,$A631,col_s5))&gt;0))+IF(col_s6=0,0,--(LEN(INDEX('Paste Export'!$A$2:$BZ$1001,$A631,col_s6))&gt;0))+IF(col_s7=0,0,--(LEN(INDEX('Paste Export'!$A$2:$BZ$1001,$A631,col_s7))&gt;0))+IF(col_s8=0,0,--(LEN(INDEX('Paste Export'!$A$2:$BZ$1001,$A631,col_s8))&gt;0)))</f>
        <v/>
      </c>
      <c r="I631" s="25" t="str">
        <f t="shared" si="66"/>
        <v/>
      </c>
      <c r="J631" s="25" t="str">
        <f t="shared" si="67"/>
        <v/>
      </c>
      <c r="K631" s="24" t="str">
        <f t="shared" si="68"/>
        <v/>
      </c>
      <c r="L631" s="24" t="str">
        <f t="shared" si="69"/>
        <v/>
      </c>
    </row>
    <row r="632" spans="1:12" x14ac:dyDescent="0.25">
      <c r="A632" s="24">
        <f t="shared" si="63"/>
        <v>631</v>
      </c>
      <c r="B632" s="25" t="str">
        <f>IF($A632&gt;nrows,"",IF(col_user=0,"",INDEX('Paste Export'!$A$2:$BZ$1001,$A632,col_user)))</f>
        <v/>
      </c>
      <c r="C632" s="24" t="str">
        <f>IF($A632&gt;nrows,"",IF(col_days=0,0,N(INDEX('Paste Export'!$A$2:$BZ$1001,$A632,col_days))))</f>
        <v/>
      </c>
      <c r="D632" s="24" t="str">
        <f>IF($A632&gt;nrows,"",IF(col_prompts=0,0,N(INDEX('Paste Export'!$A$2:$BZ$1001,$A632,col_prompts))))</f>
        <v/>
      </c>
      <c r="E632" s="24" t="str">
        <f>IF($A632&gt;nrows,"",IF(col_web=0,0,N(INDEX('Paste Export'!$A$2:$BZ$1001,$A632,col_web))))</f>
        <v/>
      </c>
      <c r="F632" s="26" t="str">
        <f t="shared" si="64"/>
        <v/>
      </c>
      <c r="G632" s="27" t="str">
        <f t="shared" si="65"/>
        <v/>
      </c>
      <c r="H632" s="24" t="str">
        <f>IF($A632&gt;nrows,"",IF(col_s1=0,0,--(LEN(INDEX('Paste Export'!$A$2:$BZ$1001,$A632,col_s1))&gt;0))+IF(col_s2=0,0,--(LEN(INDEX('Paste Export'!$A$2:$BZ$1001,$A632,col_s2))&gt;0))+IF(col_s3=0,0,--(LEN(INDEX('Paste Export'!$A$2:$BZ$1001,$A632,col_s3))&gt;0))+IF(col_s4=0,0,--(LEN(INDEX('Paste Export'!$A$2:$BZ$1001,$A632,col_s4))&gt;0))+IF(col_s5=0,0,--(LEN(INDEX('Paste Export'!$A$2:$BZ$1001,$A632,col_s5))&gt;0))+IF(col_s6=0,0,--(LEN(INDEX('Paste Export'!$A$2:$BZ$1001,$A632,col_s6))&gt;0))+IF(col_s7=0,0,--(LEN(INDEX('Paste Export'!$A$2:$BZ$1001,$A632,col_s7))&gt;0))+IF(col_s8=0,0,--(LEN(INDEX('Paste Export'!$A$2:$BZ$1001,$A632,col_s8))&gt;0)))</f>
        <v/>
      </c>
      <c r="I632" s="25" t="str">
        <f t="shared" si="66"/>
        <v/>
      </c>
      <c r="J632" s="25" t="str">
        <f t="shared" si="67"/>
        <v/>
      </c>
      <c r="K632" s="24" t="str">
        <f t="shared" si="68"/>
        <v/>
      </c>
      <c r="L632" s="24" t="str">
        <f t="shared" si="69"/>
        <v/>
      </c>
    </row>
    <row r="633" spans="1:12" x14ac:dyDescent="0.25">
      <c r="A633" s="24">
        <f t="shared" si="63"/>
        <v>632</v>
      </c>
      <c r="B633" s="25" t="str">
        <f>IF($A633&gt;nrows,"",IF(col_user=0,"",INDEX('Paste Export'!$A$2:$BZ$1001,$A633,col_user)))</f>
        <v/>
      </c>
      <c r="C633" s="24" t="str">
        <f>IF($A633&gt;nrows,"",IF(col_days=0,0,N(INDEX('Paste Export'!$A$2:$BZ$1001,$A633,col_days))))</f>
        <v/>
      </c>
      <c r="D633" s="24" t="str">
        <f>IF($A633&gt;nrows,"",IF(col_prompts=0,0,N(INDEX('Paste Export'!$A$2:$BZ$1001,$A633,col_prompts))))</f>
        <v/>
      </c>
      <c r="E633" s="24" t="str">
        <f>IF($A633&gt;nrows,"",IF(col_web=0,0,N(INDEX('Paste Export'!$A$2:$BZ$1001,$A633,col_web))))</f>
        <v/>
      </c>
      <c r="F633" s="26" t="str">
        <f t="shared" si="64"/>
        <v/>
      </c>
      <c r="G633" s="27" t="str">
        <f t="shared" si="65"/>
        <v/>
      </c>
      <c r="H633" s="24" t="str">
        <f>IF($A633&gt;nrows,"",IF(col_s1=0,0,--(LEN(INDEX('Paste Export'!$A$2:$BZ$1001,$A633,col_s1))&gt;0))+IF(col_s2=0,0,--(LEN(INDEX('Paste Export'!$A$2:$BZ$1001,$A633,col_s2))&gt;0))+IF(col_s3=0,0,--(LEN(INDEX('Paste Export'!$A$2:$BZ$1001,$A633,col_s3))&gt;0))+IF(col_s4=0,0,--(LEN(INDEX('Paste Export'!$A$2:$BZ$1001,$A633,col_s4))&gt;0))+IF(col_s5=0,0,--(LEN(INDEX('Paste Export'!$A$2:$BZ$1001,$A633,col_s5))&gt;0))+IF(col_s6=0,0,--(LEN(INDEX('Paste Export'!$A$2:$BZ$1001,$A633,col_s6))&gt;0))+IF(col_s7=0,0,--(LEN(INDEX('Paste Export'!$A$2:$BZ$1001,$A633,col_s7))&gt;0))+IF(col_s8=0,0,--(LEN(INDEX('Paste Export'!$A$2:$BZ$1001,$A633,col_s8))&gt;0)))</f>
        <v/>
      </c>
      <c r="I633" s="25" t="str">
        <f t="shared" si="66"/>
        <v/>
      </c>
      <c r="J633" s="25" t="str">
        <f t="shared" si="67"/>
        <v/>
      </c>
      <c r="K633" s="24" t="str">
        <f t="shared" si="68"/>
        <v/>
      </c>
      <c r="L633" s="24" t="str">
        <f t="shared" si="69"/>
        <v/>
      </c>
    </row>
    <row r="634" spans="1:12" x14ac:dyDescent="0.25">
      <c r="A634" s="24">
        <f t="shared" si="63"/>
        <v>633</v>
      </c>
      <c r="B634" s="25" t="str">
        <f>IF($A634&gt;nrows,"",IF(col_user=0,"",INDEX('Paste Export'!$A$2:$BZ$1001,$A634,col_user)))</f>
        <v/>
      </c>
      <c r="C634" s="24" t="str">
        <f>IF($A634&gt;nrows,"",IF(col_days=0,0,N(INDEX('Paste Export'!$A$2:$BZ$1001,$A634,col_days))))</f>
        <v/>
      </c>
      <c r="D634" s="24" t="str">
        <f>IF($A634&gt;nrows,"",IF(col_prompts=0,0,N(INDEX('Paste Export'!$A$2:$BZ$1001,$A634,col_prompts))))</f>
        <v/>
      </c>
      <c r="E634" s="24" t="str">
        <f>IF($A634&gt;nrows,"",IF(col_web=0,0,N(INDEX('Paste Export'!$A$2:$BZ$1001,$A634,col_web))))</f>
        <v/>
      </c>
      <c r="F634" s="26" t="str">
        <f t="shared" si="64"/>
        <v/>
      </c>
      <c r="G634" s="27" t="str">
        <f t="shared" si="65"/>
        <v/>
      </c>
      <c r="H634" s="24" t="str">
        <f>IF($A634&gt;nrows,"",IF(col_s1=0,0,--(LEN(INDEX('Paste Export'!$A$2:$BZ$1001,$A634,col_s1))&gt;0))+IF(col_s2=0,0,--(LEN(INDEX('Paste Export'!$A$2:$BZ$1001,$A634,col_s2))&gt;0))+IF(col_s3=0,0,--(LEN(INDEX('Paste Export'!$A$2:$BZ$1001,$A634,col_s3))&gt;0))+IF(col_s4=0,0,--(LEN(INDEX('Paste Export'!$A$2:$BZ$1001,$A634,col_s4))&gt;0))+IF(col_s5=0,0,--(LEN(INDEX('Paste Export'!$A$2:$BZ$1001,$A634,col_s5))&gt;0))+IF(col_s6=0,0,--(LEN(INDEX('Paste Export'!$A$2:$BZ$1001,$A634,col_s6))&gt;0))+IF(col_s7=0,0,--(LEN(INDEX('Paste Export'!$A$2:$BZ$1001,$A634,col_s7))&gt;0))+IF(col_s8=0,0,--(LEN(INDEX('Paste Export'!$A$2:$BZ$1001,$A634,col_s8))&gt;0)))</f>
        <v/>
      </c>
      <c r="I634" s="25" t="str">
        <f t="shared" si="66"/>
        <v/>
      </c>
      <c r="J634" s="25" t="str">
        <f t="shared" si="67"/>
        <v/>
      </c>
      <c r="K634" s="24" t="str">
        <f t="shared" si="68"/>
        <v/>
      </c>
      <c r="L634" s="24" t="str">
        <f t="shared" si="69"/>
        <v/>
      </c>
    </row>
    <row r="635" spans="1:12" x14ac:dyDescent="0.25">
      <c r="A635" s="24">
        <f t="shared" si="63"/>
        <v>634</v>
      </c>
      <c r="B635" s="25" t="str">
        <f>IF($A635&gt;nrows,"",IF(col_user=0,"",INDEX('Paste Export'!$A$2:$BZ$1001,$A635,col_user)))</f>
        <v/>
      </c>
      <c r="C635" s="24" t="str">
        <f>IF($A635&gt;nrows,"",IF(col_days=0,0,N(INDEX('Paste Export'!$A$2:$BZ$1001,$A635,col_days))))</f>
        <v/>
      </c>
      <c r="D635" s="24" t="str">
        <f>IF($A635&gt;nrows,"",IF(col_prompts=0,0,N(INDEX('Paste Export'!$A$2:$BZ$1001,$A635,col_prompts))))</f>
        <v/>
      </c>
      <c r="E635" s="24" t="str">
        <f>IF($A635&gt;nrows,"",IF(col_web=0,0,N(INDEX('Paste Export'!$A$2:$BZ$1001,$A635,col_web))))</f>
        <v/>
      </c>
      <c r="F635" s="26" t="str">
        <f t="shared" si="64"/>
        <v/>
      </c>
      <c r="G635" s="27" t="str">
        <f t="shared" si="65"/>
        <v/>
      </c>
      <c r="H635" s="24" t="str">
        <f>IF($A635&gt;nrows,"",IF(col_s1=0,0,--(LEN(INDEX('Paste Export'!$A$2:$BZ$1001,$A635,col_s1))&gt;0))+IF(col_s2=0,0,--(LEN(INDEX('Paste Export'!$A$2:$BZ$1001,$A635,col_s2))&gt;0))+IF(col_s3=0,0,--(LEN(INDEX('Paste Export'!$A$2:$BZ$1001,$A635,col_s3))&gt;0))+IF(col_s4=0,0,--(LEN(INDEX('Paste Export'!$A$2:$BZ$1001,$A635,col_s4))&gt;0))+IF(col_s5=0,0,--(LEN(INDEX('Paste Export'!$A$2:$BZ$1001,$A635,col_s5))&gt;0))+IF(col_s6=0,0,--(LEN(INDEX('Paste Export'!$A$2:$BZ$1001,$A635,col_s6))&gt;0))+IF(col_s7=0,0,--(LEN(INDEX('Paste Export'!$A$2:$BZ$1001,$A635,col_s7))&gt;0))+IF(col_s8=0,0,--(LEN(INDEX('Paste Export'!$A$2:$BZ$1001,$A635,col_s8))&gt;0)))</f>
        <v/>
      </c>
      <c r="I635" s="25" t="str">
        <f t="shared" si="66"/>
        <v/>
      </c>
      <c r="J635" s="25" t="str">
        <f t="shared" si="67"/>
        <v/>
      </c>
      <c r="K635" s="24" t="str">
        <f t="shared" si="68"/>
        <v/>
      </c>
      <c r="L635" s="24" t="str">
        <f t="shared" si="69"/>
        <v/>
      </c>
    </row>
    <row r="636" spans="1:12" x14ac:dyDescent="0.25">
      <c r="A636" s="24">
        <f t="shared" si="63"/>
        <v>635</v>
      </c>
      <c r="B636" s="25" t="str">
        <f>IF($A636&gt;nrows,"",IF(col_user=0,"",INDEX('Paste Export'!$A$2:$BZ$1001,$A636,col_user)))</f>
        <v/>
      </c>
      <c r="C636" s="24" t="str">
        <f>IF($A636&gt;nrows,"",IF(col_days=0,0,N(INDEX('Paste Export'!$A$2:$BZ$1001,$A636,col_days))))</f>
        <v/>
      </c>
      <c r="D636" s="24" t="str">
        <f>IF($A636&gt;nrows,"",IF(col_prompts=0,0,N(INDEX('Paste Export'!$A$2:$BZ$1001,$A636,col_prompts))))</f>
        <v/>
      </c>
      <c r="E636" s="24" t="str">
        <f>IF($A636&gt;nrows,"",IF(col_web=0,0,N(INDEX('Paste Export'!$A$2:$BZ$1001,$A636,col_web))))</f>
        <v/>
      </c>
      <c r="F636" s="26" t="str">
        <f t="shared" si="64"/>
        <v/>
      </c>
      <c r="G636" s="27" t="str">
        <f t="shared" si="65"/>
        <v/>
      </c>
      <c r="H636" s="24" t="str">
        <f>IF($A636&gt;nrows,"",IF(col_s1=0,0,--(LEN(INDEX('Paste Export'!$A$2:$BZ$1001,$A636,col_s1))&gt;0))+IF(col_s2=0,0,--(LEN(INDEX('Paste Export'!$A$2:$BZ$1001,$A636,col_s2))&gt;0))+IF(col_s3=0,0,--(LEN(INDEX('Paste Export'!$A$2:$BZ$1001,$A636,col_s3))&gt;0))+IF(col_s4=0,0,--(LEN(INDEX('Paste Export'!$A$2:$BZ$1001,$A636,col_s4))&gt;0))+IF(col_s5=0,0,--(LEN(INDEX('Paste Export'!$A$2:$BZ$1001,$A636,col_s5))&gt;0))+IF(col_s6=0,0,--(LEN(INDEX('Paste Export'!$A$2:$BZ$1001,$A636,col_s6))&gt;0))+IF(col_s7=0,0,--(LEN(INDEX('Paste Export'!$A$2:$BZ$1001,$A636,col_s7))&gt;0))+IF(col_s8=0,0,--(LEN(INDEX('Paste Export'!$A$2:$BZ$1001,$A636,col_s8))&gt;0)))</f>
        <v/>
      </c>
      <c r="I636" s="25" t="str">
        <f t="shared" si="66"/>
        <v/>
      </c>
      <c r="J636" s="25" t="str">
        <f t="shared" si="67"/>
        <v/>
      </c>
      <c r="K636" s="24" t="str">
        <f t="shared" si="68"/>
        <v/>
      </c>
      <c r="L636" s="24" t="str">
        <f t="shared" si="69"/>
        <v/>
      </c>
    </row>
    <row r="637" spans="1:12" x14ac:dyDescent="0.25">
      <c r="A637" s="24">
        <f t="shared" si="63"/>
        <v>636</v>
      </c>
      <c r="B637" s="25" t="str">
        <f>IF($A637&gt;nrows,"",IF(col_user=0,"",INDEX('Paste Export'!$A$2:$BZ$1001,$A637,col_user)))</f>
        <v/>
      </c>
      <c r="C637" s="24" t="str">
        <f>IF($A637&gt;nrows,"",IF(col_days=0,0,N(INDEX('Paste Export'!$A$2:$BZ$1001,$A637,col_days))))</f>
        <v/>
      </c>
      <c r="D637" s="24" t="str">
        <f>IF($A637&gt;nrows,"",IF(col_prompts=0,0,N(INDEX('Paste Export'!$A$2:$BZ$1001,$A637,col_prompts))))</f>
        <v/>
      </c>
      <c r="E637" s="24" t="str">
        <f>IF($A637&gt;nrows,"",IF(col_web=0,0,N(INDEX('Paste Export'!$A$2:$BZ$1001,$A637,col_web))))</f>
        <v/>
      </c>
      <c r="F637" s="26" t="str">
        <f t="shared" si="64"/>
        <v/>
      </c>
      <c r="G637" s="27" t="str">
        <f t="shared" si="65"/>
        <v/>
      </c>
      <c r="H637" s="24" t="str">
        <f>IF($A637&gt;nrows,"",IF(col_s1=0,0,--(LEN(INDEX('Paste Export'!$A$2:$BZ$1001,$A637,col_s1))&gt;0))+IF(col_s2=0,0,--(LEN(INDEX('Paste Export'!$A$2:$BZ$1001,$A637,col_s2))&gt;0))+IF(col_s3=0,0,--(LEN(INDEX('Paste Export'!$A$2:$BZ$1001,$A637,col_s3))&gt;0))+IF(col_s4=0,0,--(LEN(INDEX('Paste Export'!$A$2:$BZ$1001,$A637,col_s4))&gt;0))+IF(col_s5=0,0,--(LEN(INDEX('Paste Export'!$A$2:$BZ$1001,$A637,col_s5))&gt;0))+IF(col_s6=0,0,--(LEN(INDEX('Paste Export'!$A$2:$BZ$1001,$A637,col_s6))&gt;0))+IF(col_s7=0,0,--(LEN(INDEX('Paste Export'!$A$2:$BZ$1001,$A637,col_s7))&gt;0))+IF(col_s8=0,0,--(LEN(INDEX('Paste Export'!$A$2:$BZ$1001,$A637,col_s8))&gt;0)))</f>
        <v/>
      </c>
      <c r="I637" s="25" t="str">
        <f t="shared" si="66"/>
        <v/>
      </c>
      <c r="J637" s="25" t="str">
        <f t="shared" si="67"/>
        <v/>
      </c>
      <c r="K637" s="24" t="str">
        <f t="shared" si="68"/>
        <v/>
      </c>
      <c r="L637" s="24" t="str">
        <f t="shared" si="69"/>
        <v/>
      </c>
    </row>
    <row r="638" spans="1:12" x14ac:dyDescent="0.25">
      <c r="A638" s="24">
        <f t="shared" si="63"/>
        <v>637</v>
      </c>
      <c r="B638" s="25" t="str">
        <f>IF($A638&gt;nrows,"",IF(col_user=0,"",INDEX('Paste Export'!$A$2:$BZ$1001,$A638,col_user)))</f>
        <v/>
      </c>
      <c r="C638" s="24" t="str">
        <f>IF($A638&gt;nrows,"",IF(col_days=0,0,N(INDEX('Paste Export'!$A$2:$BZ$1001,$A638,col_days))))</f>
        <v/>
      </c>
      <c r="D638" s="24" t="str">
        <f>IF($A638&gt;nrows,"",IF(col_prompts=0,0,N(INDEX('Paste Export'!$A$2:$BZ$1001,$A638,col_prompts))))</f>
        <v/>
      </c>
      <c r="E638" s="24" t="str">
        <f>IF($A638&gt;nrows,"",IF(col_web=0,0,N(INDEX('Paste Export'!$A$2:$BZ$1001,$A638,col_web))))</f>
        <v/>
      </c>
      <c r="F638" s="26" t="str">
        <f t="shared" si="64"/>
        <v/>
      </c>
      <c r="G638" s="27" t="str">
        <f t="shared" si="65"/>
        <v/>
      </c>
      <c r="H638" s="24" t="str">
        <f>IF($A638&gt;nrows,"",IF(col_s1=0,0,--(LEN(INDEX('Paste Export'!$A$2:$BZ$1001,$A638,col_s1))&gt;0))+IF(col_s2=0,0,--(LEN(INDEX('Paste Export'!$A$2:$BZ$1001,$A638,col_s2))&gt;0))+IF(col_s3=0,0,--(LEN(INDEX('Paste Export'!$A$2:$BZ$1001,$A638,col_s3))&gt;0))+IF(col_s4=0,0,--(LEN(INDEX('Paste Export'!$A$2:$BZ$1001,$A638,col_s4))&gt;0))+IF(col_s5=0,0,--(LEN(INDEX('Paste Export'!$A$2:$BZ$1001,$A638,col_s5))&gt;0))+IF(col_s6=0,0,--(LEN(INDEX('Paste Export'!$A$2:$BZ$1001,$A638,col_s6))&gt;0))+IF(col_s7=0,0,--(LEN(INDEX('Paste Export'!$A$2:$BZ$1001,$A638,col_s7))&gt;0))+IF(col_s8=0,0,--(LEN(INDEX('Paste Export'!$A$2:$BZ$1001,$A638,col_s8))&gt;0)))</f>
        <v/>
      </c>
      <c r="I638" s="25" t="str">
        <f t="shared" si="66"/>
        <v/>
      </c>
      <c r="J638" s="25" t="str">
        <f t="shared" si="67"/>
        <v/>
      </c>
      <c r="K638" s="24" t="str">
        <f t="shared" si="68"/>
        <v/>
      </c>
      <c r="L638" s="24" t="str">
        <f t="shared" si="69"/>
        <v/>
      </c>
    </row>
    <row r="639" spans="1:12" x14ac:dyDescent="0.25">
      <c r="A639" s="24">
        <f t="shared" si="63"/>
        <v>638</v>
      </c>
      <c r="B639" s="25" t="str">
        <f>IF($A639&gt;nrows,"",IF(col_user=0,"",INDEX('Paste Export'!$A$2:$BZ$1001,$A639,col_user)))</f>
        <v/>
      </c>
      <c r="C639" s="24" t="str">
        <f>IF($A639&gt;nrows,"",IF(col_days=0,0,N(INDEX('Paste Export'!$A$2:$BZ$1001,$A639,col_days))))</f>
        <v/>
      </c>
      <c r="D639" s="24" t="str">
        <f>IF($A639&gt;nrows,"",IF(col_prompts=0,0,N(INDEX('Paste Export'!$A$2:$BZ$1001,$A639,col_prompts))))</f>
        <v/>
      </c>
      <c r="E639" s="24" t="str">
        <f>IF($A639&gt;nrows,"",IF(col_web=0,0,N(INDEX('Paste Export'!$A$2:$BZ$1001,$A639,col_web))))</f>
        <v/>
      </c>
      <c r="F639" s="26" t="str">
        <f t="shared" si="64"/>
        <v/>
      </c>
      <c r="G639" s="27" t="str">
        <f t="shared" si="65"/>
        <v/>
      </c>
      <c r="H639" s="24" t="str">
        <f>IF($A639&gt;nrows,"",IF(col_s1=0,0,--(LEN(INDEX('Paste Export'!$A$2:$BZ$1001,$A639,col_s1))&gt;0))+IF(col_s2=0,0,--(LEN(INDEX('Paste Export'!$A$2:$BZ$1001,$A639,col_s2))&gt;0))+IF(col_s3=0,0,--(LEN(INDEX('Paste Export'!$A$2:$BZ$1001,$A639,col_s3))&gt;0))+IF(col_s4=0,0,--(LEN(INDEX('Paste Export'!$A$2:$BZ$1001,$A639,col_s4))&gt;0))+IF(col_s5=0,0,--(LEN(INDEX('Paste Export'!$A$2:$BZ$1001,$A639,col_s5))&gt;0))+IF(col_s6=0,0,--(LEN(INDEX('Paste Export'!$A$2:$BZ$1001,$A639,col_s6))&gt;0))+IF(col_s7=0,0,--(LEN(INDEX('Paste Export'!$A$2:$BZ$1001,$A639,col_s7))&gt;0))+IF(col_s8=0,0,--(LEN(INDEX('Paste Export'!$A$2:$BZ$1001,$A639,col_s8))&gt;0)))</f>
        <v/>
      </c>
      <c r="I639" s="25" t="str">
        <f t="shared" si="66"/>
        <v/>
      </c>
      <c r="J639" s="25" t="str">
        <f t="shared" si="67"/>
        <v/>
      </c>
      <c r="K639" s="24" t="str">
        <f t="shared" si="68"/>
        <v/>
      </c>
      <c r="L639" s="24" t="str">
        <f t="shared" si="69"/>
        <v/>
      </c>
    </row>
    <row r="640" spans="1:12" x14ac:dyDescent="0.25">
      <c r="A640" s="24">
        <f t="shared" si="63"/>
        <v>639</v>
      </c>
      <c r="B640" s="25" t="str">
        <f>IF($A640&gt;nrows,"",IF(col_user=0,"",INDEX('Paste Export'!$A$2:$BZ$1001,$A640,col_user)))</f>
        <v/>
      </c>
      <c r="C640" s="24" t="str">
        <f>IF($A640&gt;nrows,"",IF(col_days=0,0,N(INDEX('Paste Export'!$A$2:$BZ$1001,$A640,col_days))))</f>
        <v/>
      </c>
      <c r="D640" s="24" t="str">
        <f>IF($A640&gt;nrows,"",IF(col_prompts=0,0,N(INDEX('Paste Export'!$A$2:$BZ$1001,$A640,col_prompts))))</f>
        <v/>
      </c>
      <c r="E640" s="24" t="str">
        <f>IF($A640&gt;nrows,"",IF(col_web=0,0,N(INDEX('Paste Export'!$A$2:$BZ$1001,$A640,col_web))))</f>
        <v/>
      </c>
      <c r="F640" s="26" t="str">
        <f t="shared" si="64"/>
        <v/>
      </c>
      <c r="G640" s="27" t="str">
        <f t="shared" si="65"/>
        <v/>
      </c>
      <c r="H640" s="24" t="str">
        <f>IF($A640&gt;nrows,"",IF(col_s1=0,0,--(LEN(INDEX('Paste Export'!$A$2:$BZ$1001,$A640,col_s1))&gt;0))+IF(col_s2=0,0,--(LEN(INDEX('Paste Export'!$A$2:$BZ$1001,$A640,col_s2))&gt;0))+IF(col_s3=0,0,--(LEN(INDEX('Paste Export'!$A$2:$BZ$1001,$A640,col_s3))&gt;0))+IF(col_s4=0,0,--(LEN(INDEX('Paste Export'!$A$2:$BZ$1001,$A640,col_s4))&gt;0))+IF(col_s5=0,0,--(LEN(INDEX('Paste Export'!$A$2:$BZ$1001,$A640,col_s5))&gt;0))+IF(col_s6=0,0,--(LEN(INDEX('Paste Export'!$A$2:$BZ$1001,$A640,col_s6))&gt;0))+IF(col_s7=0,0,--(LEN(INDEX('Paste Export'!$A$2:$BZ$1001,$A640,col_s7))&gt;0))+IF(col_s8=0,0,--(LEN(INDEX('Paste Export'!$A$2:$BZ$1001,$A640,col_s8))&gt;0)))</f>
        <v/>
      </c>
      <c r="I640" s="25" t="str">
        <f t="shared" si="66"/>
        <v/>
      </c>
      <c r="J640" s="25" t="str">
        <f t="shared" si="67"/>
        <v/>
      </c>
      <c r="K640" s="24" t="str">
        <f t="shared" si="68"/>
        <v/>
      </c>
      <c r="L640" s="24" t="str">
        <f t="shared" si="69"/>
        <v/>
      </c>
    </row>
    <row r="641" spans="1:12" x14ac:dyDescent="0.25">
      <c r="A641" s="24">
        <f t="shared" si="63"/>
        <v>640</v>
      </c>
      <c r="B641" s="25" t="str">
        <f>IF($A641&gt;nrows,"",IF(col_user=0,"",INDEX('Paste Export'!$A$2:$BZ$1001,$A641,col_user)))</f>
        <v/>
      </c>
      <c r="C641" s="24" t="str">
        <f>IF($A641&gt;nrows,"",IF(col_days=0,0,N(INDEX('Paste Export'!$A$2:$BZ$1001,$A641,col_days))))</f>
        <v/>
      </c>
      <c r="D641" s="24" t="str">
        <f>IF($A641&gt;nrows,"",IF(col_prompts=0,0,N(INDEX('Paste Export'!$A$2:$BZ$1001,$A641,col_prompts))))</f>
        <v/>
      </c>
      <c r="E641" s="24" t="str">
        <f>IF($A641&gt;nrows,"",IF(col_web=0,0,N(INDEX('Paste Export'!$A$2:$BZ$1001,$A641,col_web))))</f>
        <v/>
      </c>
      <c r="F641" s="26" t="str">
        <f t="shared" si="64"/>
        <v/>
      </c>
      <c r="G641" s="27" t="str">
        <f t="shared" si="65"/>
        <v/>
      </c>
      <c r="H641" s="24" t="str">
        <f>IF($A641&gt;nrows,"",IF(col_s1=0,0,--(LEN(INDEX('Paste Export'!$A$2:$BZ$1001,$A641,col_s1))&gt;0))+IF(col_s2=0,0,--(LEN(INDEX('Paste Export'!$A$2:$BZ$1001,$A641,col_s2))&gt;0))+IF(col_s3=0,0,--(LEN(INDEX('Paste Export'!$A$2:$BZ$1001,$A641,col_s3))&gt;0))+IF(col_s4=0,0,--(LEN(INDEX('Paste Export'!$A$2:$BZ$1001,$A641,col_s4))&gt;0))+IF(col_s5=0,0,--(LEN(INDEX('Paste Export'!$A$2:$BZ$1001,$A641,col_s5))&gt;0))+IF(col_s6=0,0,--(LEN(INDEX('Paste Export'!$A$2:$BZ$1001,$A641,col_s6))&gt;0))+IF(col_s7=0,0,--(LEN(INDEX('Paste Export'!$A$2:$BZ$1001,$A641,col_s7))&gt;0))+IF(col_s8=0,0,--(LEN(INDEX('Paste Export'!$A$2:$BZ$1001,$A641,col_s8))&gt;0)))</f>
        <v/>
      </c>
      <c r="I641" s="25" t="str">
        <f t="shared" si="66"/>
        <v/>
      </c>
      <c r="J641" s="25" t="str">
        <f t="shared" si="67"/>
        <v/>
      </c>
      <c r="K641" s="24" t="str">
        <f t="shared" si="68"/>
        <v/>
      </c>
      <c r="L641" s="24" t="str">
        <f t="shared" si="69"/>
        <v/>
      </c>
    </row>
    <row r="642" spans="1:12" x14ac:dyDescent="0.25">
      <c r="A642" s="24">
        <f t="shared" ref="A642:A705" si="70">ROW()-1</f>
        <v>641</v>
      </c>
      <c r="B642" s="25" t="str">
        <f>IF($A642&gt;nrows,"",IF(col_user=0,"",INDEX('Paste Export'!$A$2:$BZ$1001,$A642,col_user)))</f>
        <v/>
      </c>
      <c r="C642" s="24" t="str">
        <f>IF($A642&gt;nrows,"",IF(col_days=0,0,N(INDEX('Paste Export'!$A$2:$BZ$1001,$A642,col_days))))</f>
        <v/>
      </c>
      <c r="D642" s="24" t="str">
        <f>IF($A642&gt;nrows,"",IF(col_prompts=0,0,N(INDEX('Paste Export'!$A$2:$BZ$1001,$A642,col_prompts))))</f>
        <v/>
      </c>
      <c r="E642" s="24" t="str">
        <f>IF($A642&gt;nrows,"",IF(col_web=0,0,N(INDEX('Paste Export'!$A$2:$BZ$1001,$A642,col_web))))</f>
        <v/>
      </c>
      <c r="F642" s="26" t="str">
        <f t="shared" ref="F642:F705" si="71">IF($A642&gt;nrows,"",IFERROR($D642/$C642,0))</f>
        <v/>
      </c>
      <c r="G642" s="27" t="str">
        <f t="shared" ref="G642:G705" si="72">IF($A642&gt;nrows,"",IFERROR($E642/$D642,""))</f>
        <v/>
      </c>
      <c r="H642" s="24" t="str">
        <f>IF($A642&gt;nrows,"",IF(col_s1=0,0,--(LEN(INDEX('Paste Export'!$A$2:$BZ$1001,$A642,col_s1))&gt;0))+IF(col_s2=0,0,--(LEN(INDEX('Paste Export'!$A$2:$BZ$1001,$A642,col_s2))&gt;0))+IF(col_s3=0,0,--(LEN(INDEX('Paste Export'!$A$2:$BZ$1001,$A642,col_s3))&gt;0))+IF(col_s4=0,0,--(LEN(INDEX('Paste Export'!$A$2:$BZ$1001,$A642,col_s4))&gt;0))+IF(col_s5=0,0,--(LEN(INDEX('Paste Export'!$A$2:$BZ$1001,$A642,col_s5))&gt;0))+IF(col_s6=0,0,--(LEN(INDEX('Paste Export'!$A$2:$BZ$1001,$A642,col_s6))&gt;0))+IF(col_s7=0,0,--(LEN(INDEX('Paste Export'!$A$2:$BZ$1001,$A642,col_s7))&gt;0))+IF(col_s8=0,0,--(LEN(INDEX('Paste Export'!$A$2:$BZ$1001,$A642,col_s8))&gt;0)))</f>
        <v/>
      </c>
      <c r="I642" s="25" t="str">
        <f t="shared" ref="I642:I705" si="73">IF($A642&gt;nrows,"",IF($C642&gt;=freq_line,IF($D642&gt;=depth_line,"Embedded","Loyal but shallow"),IF($D642&gt;=depth_line,"Project-driven","Drifting")))</f>
        <v/>
      </c>
      <c r="J642" s="25" t="str">
        <f t="shared" ref="J642:J705" si="74">IF($A642&gt;nrows,"",IF($I642="Drifting",IF($H642&gt;=3,"tried and stopped","never started"),""))</f>
        <v/>
      </c>
      <c r="K642" s="24" t="str">
        <f t="shared" ref="K642:K705" si="75">IF($A642&gt;nrows,"",MAX($D642,1))</f>
        <v/>
      </c>
      <c r="L642" s="24" t="str">
        <f t="shared" ref="L642:L705" si="76">IF($A642&gt;nrows,"",IF(AND($C642=0,$D642=0),1,0))</f>
        <v/>
      </c>
    </row>
    <row r="643" spans="1:12" x14ac:dyDescent="0.25">
      <c r="A643" s="24">
        <f t="shared" si="70"/>
        <v>642</v>
      </c>
      <c r="B643" s="25" t="str">
        <f>IF($A643&gt;nrows,"",IF(col_user=0,"",INDEX('Paste Export'!$A$2:$BZ$1001,$A643,col_user)))</f>
        <v/>
      </c>
      <c r="C643" s="24" t="str">
        <f>IF($A643&gt;nrows,"",IF(col_days=0,0,N(INDEX('Paste Export'!$A$2:$BZ$1001,$A643,col_days))))</f>
        <v/>
      </c>
      <c r="D643" s="24" t="str">
        <f>IF($A643&gt;nrows,"",IF(col_prompts=0,0,N(INDEX('Paste Export'!$A$2:$BZ$1001,$A643,col_prompts))))</f>
        <v/>
      </c>
      <c r="E643" s="24" t="str">
        <f>IF($A643&gt;nrows,"",IF(col_web=0,0,N(INDEX('Paste Export'!$A$2:$BZ$1001,$A643,col_web))))</f>
        <v/>
      </c>
      <c r="F643" s="26" t="str">
        <f t="shared" si="71"/>
        <v/>
      </c>
      <c r="G643" s="27" t="str">
        <f t="shared" si="72"/>
        <v/>
      </c>
      <c r="H643" s="24" t="str">
        <f>IF($A643&gt;nrows,"",IF(col_s1=0,0,--(LEN(INDEX('Paste Export'!$A$2:$BZ$1001,$A643,col_s1))&gt;0))+IF(col_s2=0,0,--(LEN(INDEX('Paste Export'!$A$2:$BZ$1001,$A643,col_s2))&gt;0))+IF(col_s3=0,0,--(LEN(INDEX('Paste Export'!$A$2:$BZ$1001,$A643,col_s3))&gt;0))+IF(col_s4=0,0,--(LEN(INDEX('Paste Export'!$A$2:$BZ$1001,$A643,col_s4))&gt;0))+IF(col_s5=0,0,--(LEN(INDEX('Paste Export'!$A$2:$BZ$1001,$A643,col_s5))&gt;0))+IF(col_s6=0,0,--(LEN(INDEX('Paste Export'!$A$2:$BZ$1001,$A643,col_s6))&gt;0))+IF(col_s7=0,0,--(LEN(INDEX('Paste Export'!$A$2:$BZ$1001,$A643,col_s7))&gt;0))+IF(col_s8=0,0,--(LEN(INDEX('Paste Export'!$A$2:$BZ$1001,$A643,col_s8))&gt;0)))</f>
        <v/>
      </c>
      <c r="I643" s="25" t="str">
        <f t="shared" si="73"/>
        <v/>
      </c>
      <c r="J643" s="25" t="str">
        <f t="shared" si="74"/>
        <v/>
      </c>
      <c r="K643" s="24" t="str">
        <f t="shared" si="75"/>
        <v/>
      </c>
      <c r="L643" s="24" t="str">
        <f t="shared" si="76"/>
        <v/>
      </c>
    </row>
    <row r="644" spans="1:12" x14ac:dyDescent="0.25">
      <c r="A644" s="24">
        <f t="shared" si="70"/>
        <v>643</v>
      </c>
      <c r="B644" s="25" t="str">
        <f>IF($A644&gt;nrows,"",IF(col_user=0,"",INDEX('Paste Export'!$A$2:$BZ$1001,$A644,col_user)))</f>
        <v/>
      </c>
      <c r="C644" s="24" t="str">
        <f>IF($A644&gt;nrows,"",IF(col_days=0,0,N(INDEX('Paste Export'!$A$2:$BZ$1001,$A644,col_days))))</f>
        <v/>
      </c>
      <c r="D644" s="24" t="str">
        <f>IF($A644&gt;nrows,"",IF(col_prompts=0,0,N(INDEX('Paste Export'!$A$2:$BZ$1001,$A644,col_prompts))))</f>
        <v/>
      </c>
      <c r="E644" s="24" t="str">
        <f>IF($A644&gt;nrows,"",IF(col_web=0,0,N(INDEX('Paste Export'!$A$2:$BZ$1001,$A644,col_web))))</f>
        <v/>
      </c>
      <c r="F644" s="26" t="str">
        <f t="shared" si="71"/>
        <v/>
      </c>
      <c r="G644" s="27" t="str">
        <f t="shared" si="72"/>
        <v/>
      </c>
      <c r="H644" s="24" t="str">
        <f>IF($A644&gt;nrows,"",IF(col_s1=0,0,--(LEN(INDEX('Paste Export'!$A$2:$BZ$1001,$A644,col_s1))&gt;0))+IF(col_s2=0,0,--(LEN(INDEX('Paste Export'!$A$2:$BZ$1001,$A644,col_s2))&gt;0))+IF(col_s3=0,0,--(LEN(INDEX('Paste Export'!$A$2:$BZ$1001,$A644,col_s3))&gt;0))+IF(col_s4=0,0,--(LEN(INDEX('Paste Export'!$A$2:$BZ$1001,$A644,col_s4))&gt;0))+IF(col_s5=0,0,--(LEN(INDEX('Paste Export'!$A$2:$BZ$1001,$A644,col_s5))&gt;0))+IF(col_s6=0,0,--(LEN(INDEX('Paste Export'!$A$2:$BZ$1001,$A644,col_s6))&gt;0))+IF(col_s7=0,0,--(LEN(INDEX('Paste Export'!$A$2:$BZ$1001,$A644,col_s7))&gt;0))+IF(col_s8=0,0,--(LEN(INDEX('Paste Export'!$A$2:$BZ$1001,$A644,col_s8))&gt;0)))</f>
        <v/>
      </c>
      <c r="I644" s="25" t="str">
        <f t="shared" si="73"/>
        <v/>
      </c>
      <c r="J644" s="25" t="str">
        <f t="shared" si="74"/>
        <v/>
      </c>
      <c r="K644" s="24" t="str">
        <f t="shared" si="75"/>
        <v/>
      </c>
      <c r="L644" s="24" t="str">
        <f t="shared" si="76"/>
        <v/>
      </c>
    </row>
    <row r="645" spans="1:12" x14ac:dyDescent="0.25">
      <c r="A645" s="24">
        <f t="shared" si="70"/>
        <v>644</v>
      </c>
      <c r="B645" s="25" t="str">
        <f>IF($A645&gt;nrows,"",IF(col_user=0,"",INDEX('Paste Export'!$A$2:$BZ$1001,$A645,col_user)))</f>
        <v/>
      </c>
      <c r="C645" s="24" t="str">
        <f>IF($A645&gt;nrows,"",IF(col_days=0,0,N(INDEX('Paste Export'!$A$2:$BZ$1001,$A645,col_days))))</f>
        <v/>
      </c>
      <c r="D645" s="24" t="str">
        <f>IF($A645&gt;nrows,"",IF(col_prompts=0,0,N(INDEX('Paste Export'!$A$2:$BZ$1001,$A645,col_prompts))))</f>
        <v/>
      </c>
      <c r="E645" s="24" t="str">
        <f>IF($A645&gt;nrows,"",IF(col_web=0,0,N(INDEX('Paste Export'!$A$2:$BZ$1001,$A645,col_web))))</f>
        <v/>
      </c>
      <c r="F645" s="26" t="str">
        <f t="shared" si="71"/>
        <v/>
      </c>
      <c r="G645" s="27" t="str">
        <f t="shared" si="72"/>
        <v/>
      </c>
      <c r="H645" s="24" t="str">
        <f>IF($A645&gt;nrows,"",IF(col_s1=0,0,--(LEN(INDEX('Paste Export'!$A$2:$BZ$1001,$A645,col_s1))&gt;0))+IF(col_s2=0,0,--(LEN(INDEX('Paste Export'!$A$2:$BZ$1001,$A645,col_s2))&gt;0))+IF(col_s3=0,0,--(LEN(INDEX('Paste Export'!$A$2:$BZ$1001,$A645,col_s3))&gt;0))+IF(col_s4=0,0,--(LEN(INDEX('Paste Export'!$A$2:$BZ$1001,$A645,col_s4))&gt;0))+IF(col_s5=0,0,--(LEN(INDEX('Paste Export'!$A$2:$BZ$1001,$A645,col_s5))&gt;0))+IF(col_s6=0,0,--(LEN(INDEX('Paste Export'!$A$2:$BZ$1001,$A645,col_s6))&gt;0))+IF(col_s7=0,0,--(LEN(INDEX('Paste Export'!$A$2:$BZ$1001,$A645,col_s7))&gt;0))+IF(col_s8=0,0,--(LEN(INDEX('Paste Export'!$A$2:$BZ$1001,$A645,col_s8))&gt;0)))</f>
        <v/>
      </c>
      <c r="I645" s="25" t="str">
        <f t="shared" si="73"/>
        <v/>
      </c>
      <c r="J645" s="25" t="str">
        <f t="shared" si="74"/>
        <v/>
      </c>
      <c r="K645" s="24" t="str">
        <f t="shared" si="75"/>
        <v/>
      </c>
      <c r="L645" s="24" t="str">
        <f t="shared" si="76"/>
        <v/>
      </c>
    </row>
    <row r="646" spans="1:12" x14ac:dyDescent="0.25">
      <c r="A646" s="24">
        <f t="shared" si="70"/>
        <v>645</v>
      </c>
      <c r="B646" s="25" t="str">
        <f>IF($A646&gt;nrows,"",IF(col_user=0,"",INDEX('Paste Export'!$A$2:$BZ$1001,$A646,col_user)))</f>
        <v/>
      </c>
      <c r="C646" s="24" t="str">
        <f>IF($A646&gt;nrows,"",IF(col_days=0,0,N(INDEX('Paste Export'!$A$2:$BZ$1001,$A646,col_days))))</f>
        <v/>
      </c>
      <c r="D646" s="24" t="str">
        <f>IF($A646&gt;nrows,"",IF(col_prompts=0,0,N(INDEX('Paste Export'!$A$2:$BZ$1001,$A646,col_prompts))))</f>
        <v/>
      </c>
      <c r="E646" s="24" t="str">
        <f>IF($A646&gt;nrows,"",IF(col_web=0,0,N(INDEX('Paste Export'!$A$2:$BZ$1001,$A646,col_web))))</f>
        <v/>
      </c>
      <c r="F646" s="26" t="str">
        <f t="shared" si="71"/>
        <v/>
      </c>
      <c r="G646" s="27" t="str">
        <f t="shared" si="72"/>
        <v/>
      </c>
      <c r="H646" s="24" t="str">
        <f>IF($A646&gt;nrows,"",IF(col_s1=0,0,--(LEN(INDEX('Paste Export'!$A$2:$BZ$1001,$A646,col_s1))&gt;0))+IF(col_s2=0,0,--(LEN(INDEX('Paste Export'!$A$2:$BZ$1001,$A646,col_s2))&gt;0))+IF(col_s3=0,0,--(LEN(INDEX('Paste Export'!$A$2:$BZ$1001,$A646,col_s3))&gt;0))+IF(col_s4=0,0,--(LEN(INDEX('Paste Export'!$A$2:$BZ$1001,$A646,col_s4))&gt;0))+IF(col_s5=0,0,--(LEN(INDEX('Paste Export'!$A$2:$BZ$1001,$A646,col_s5))&gt;0))+IF(col_s6=0,0,--(LEN(INDEX('Paste Export'!$A$2:$BZ$1001,$A646,col_s6))&gt;0))+IF(col_s7=0,0,--(LEN(INDEX('Paste Export'!$A$2:$BZ$1001,$A646,col_s7))&gt;0))+IF(col_s8=0,0,--(LEN(INDEX('Paste Export'!$A$2:$BZ$1001,$A646,col_s8))&gt;0)))</f>
        <v/>
      </c>
      <c r="I646" s="25" t="str">
        <f t="shared" si="73"/>
        <v/>
      </c>
      <c r="J646" s="25" t="str">
        <f t="shared" si="74"/>
        <v/>
      </c>
      <c r="K646" s="24" t="str">
        <f t="shared" si="75"/>
        <v/>
      </c>
      <c r="L646" s="24" t="str">
        <f t="shared" si="76"/>
        <v/>
      </c>
    </row>
    <row r="647" spans="1:12" x14ac:dyDescent="0.25">
      <c r="A647" s="24">
        <f t="shared" si="70"/>
        <v>646</v>
      </c>
      <c r="B647" s="25" t="str">
        <f>IF($A647&gt;nrows,"",IF(col_user=0,"",INDEX('Paste Export'!$A$2:$BZ$1001,$A647,col_user)))</f>
        <v/>
      </c>
      <c r="C647" s="24" t="str">
        <f>IF($A647&gt;nrows,"",IF(col_days=0,0,N(INDEX('Paste Export'!$A$2:$BZ$1001,$A647,col_days))))</f>
        <v/>
      </c>
      <c r="D647" s="24" t="str">
        <f>IF($A647&gt;nrows,"",IF(col_prompts=0,0,N(INDEX('Paste Export'!$A$2:$BZ$1001,$A647,col_prompts))))</f>
        <v/>
      </c>
      <c r="E647" s="24" t="str">
        <f>IF($A647&gt;nrows,"",IF(col_web=0,0,N(INDEX('Paste Export'!$A$2:$BZ$1001,$A647,col_web))))</f>
        <v/>
      </c>
      <c r="F647" s="26" t="str">
        <f t="shared" si="71"/>
        <v/>
      </c>
      <c r="G647" s="27" t="str">
        <f t="shared" si="72"/>
        <v/>
      </c>
      <c r="H647" s="24" t="str">
        <f>IF($A647&gt;nrows,"",IF(col_s1=0,0,--(LEN(INDEX('Paste Export'!$A$2:$BZ$1001,$A647,col_s1))&gt;0))+IF(col_s2=0,0,--(LEN(INDEX('Paste Export'!$A$2:$BZ$1001,$A647,col_s2))&gt;0))+IF(col_s3=0,0,--(LEN(INDEX('Paste Export'!$A$2:$BZ$1001,$A647,col_s3))&gt;0))+IF(col_s4=0,0,--(LEN(INDEX('Paste Export'!$A$2:$BZ$1001,$A647,col_s4))&gt;0))+IF(col_s5=0,0,--(LEN(INDEX('Paste Export'!$A$2:$BZ$1001,$A647,col_s5))&gt;0))+IF(col_s6=0,0,--(LEN(INDEX('Paste Export'!$A$2:$BZ$1001,$A647,col_s6))&gt;0))+IF(col_s7=0,0,--(LEN(INDEX('Paste Export'!$A$2:$BZ$1001,$A647,col_s7))&gt;0))+IF(col_s8=0,0,--(LEN(INDEX('Paste Export'!$A$2:$BZ$1001,$A647,col_s8))&gt;0)))</f>
        <v/>
      </c>
      <c r="I647" s="25" t="str">
        <f t="shared" si="73"/>
        <v/>
      </c>
      <c r="J647" s="25" t="str">
        <f t="shared" si="74"/>
        <v/>
      </c>
      <c r="K647" s="24" t="str">
        <f t="shared" si="75"/>
        <v/>
      </c>
      <c r="L647" s="24" t="str">
        <f t="shared" si="76"/>
        <v/>
      </c>
    </row>
    <row r="648" spans="1:12" x14ac:dyDescent="0.25">
      <c r="A648" s="24">
        <f t="shared" si="70"/>
        <v>647</v>
      </c>
      <c r="B648" s="25" t="str">
        <f>IF($A648&gt;nrows,"",IF(col_user=0,"",INDEX('Paste Export'!$A$2:$BZ$1001,$A648,col_user)))</f>
        <v/>
      </c>
      <c r="C648" s="24" t="str">
        <f>IF($A648&gt;nrows,"",IF(col_days=0,0,N(INDEX('Paste Export'!$A$2:$BZ$1001,$A648,col_days))))</f>
        <v/>
      </c>
      <c r="D648" s="24" t="str">
        <f>IF($A648&gt;nrows,"",IF(col_prompts=0,0,N(INDEX('Paste Export'!$A$2:$BZ$1001,$A648,col_prompts))))</f>
        <v/>
      </c>
      <c r="E648" s="24" t="str">
        <f>IF($A648&gt;nrows,"",IF(col_web=0,0,N(INDEX('Paste Export'!$A$2:$BZ$1001,$A648,col_web))))</f>
        <v/>
      </c>
      <c r="F648" s="26" t="str">
        <f t="shared" si="71"/>
        <v/>
      </c>
      <c r="G648" s="27" t="str">
        <f t="shared" si="72"/>
        <v/>
      </c>
      <c r="H648" s="24" t="str">
        <f>IF($A648&gt;nrows,"",IF(col_s1=0,0,--(LEN(INDEX('Paste Export'!$A$2:$BZ$1001,$A648,col_s1))&gt;0))+IF(col_s2=0,0,--(LEN(INDEX('Paste Export'!$A$2:$BZ$1001,$A648,col_s2))&gt;0))+IF(col_s3=0,0,--(LEN(INDEX('Paste Export'!$A$2:$BZ$1001,$A648,col_s3))&gt;0))+IF(col_s4=0,0,--(LEN(INDEX('Paste Export'!$A$2:$BZ$1001,$A648,col_s4))&gt;0))+IF(col_s5=0,0,--(LEN(INDEX('Paste Export'!$A$2:$BZ$1001,$A648,col_s5))&gt;0))+IF(col_s6=0,0,--(LEN(INDEX('Paste Export'!$A$2:$BZ$1001,$A648,col_s6))&gt;0))+IF(col_s7=0,0,--(LEN(INDEX('Paste Export'!$A$2:$BZ$1001,$A648,col_s7))&gt;0))+IF(col_s8=0,0,--(LEN(INDEX('Paste Export'!$A$2:$BZ$1001,$A648,col_s8))&gt;0)))</f>
        <v/>
      </c>
      <c r="I648" s="25" t="str">
        <f t="shared" si="73"/>
        <v/>
      </c>
      <c r="J648" s="25" t="str">
        <f t="shared" si="74"/>
        <v/>
      </c>
      <c r="K648" s="24" t="str">
        <f t="shared" si="75"/>
        <v/>
      </c>
      <c r="L648" s="24" t="str">
        <f t="shared" si="76"/>
        <v/>
      </c>
    </row>
    <row r="649" spans="1:12" x14ac:dyDescent="0.25">
      <c r="A649" s="24">
        <f t="shared" si="70"/>
        <v>648</v>
      </c>
      <c r="B649" s="25" t="str">
        <f>IF($A649&gt;nrows,"",IF(col_user=0,"",INDEX('Paste Export'!$A$2:$BZ$1001,$A649,col_user)))</f>
        <v/>
      </c>
      <c r="C649" s="24" t="str">
        <f>IF($A649&gt;nrows,"",IF(col_days=0,0,N(INDEX('Paste Export'!$A$2:$BZ$1001,$A649,col_days))))</f>
        <v/>
      </c>
      <c r="D649" s="24" t="str">
        <f>IF($A649&gt;nrows,"",IF(col_prompts=0,0,N(INDEX('Paste Export'!$A$2:$BZ$1001,$A649,col_prompts))))</f>
        <v/>
      </c>
      <c r="E649" s="24" t="str">
        <f>IF($A649&gt;nrows,"",IF(col_web=0,0,N(INDEX('Paste Export'!$A$2:$BZ$1001,$A649,col_web))))</f>
        <v/>
      </c>
      <c r="F649" s="26" t="str">
        <f t="shared" si="71"/>
        <v/>
      </c>
      <c r="G649" s="27" t="str">
        <f t="shared" si="72"/>
        <v/>
      </c>
      <c r="H649" s="24" t="str">
        <f>IF($A649&gt;nrows,"",IF(col_s1=0,0,--(LEN(INDEX('Paste Export'!$A$2:$BZ$1001,$A649,col_s1))&gt;0))+IF(col_s2=0,0,--(LEN(INDEX('Paste Export'!$A$2:$BZ$1001,$A649,col_s2))&gt;0))+IF(col_s3=0,0,--(LEN(INDEX('Paste Export'!$A$2:$BZ$1001,$A649,col_s3))&gt;0))+IF(col_s4=0,0,--(LEN(INDEX('Paste Export'!$A$2:$BZ$1001,$A649,col_s4))&gt;0))+IF(col_s5=0,0,--(LEN(INDEX('Paste Export'!$A$2:$BZ$1001,$A649,col_s5))&gt;0))+IF(col_s6=0,0,--(LEN(INDEX('Paste Export'!$A$2:$BZ$1001,$A649,col_s6))&gt;0))+IF(col_s7=0,0,--(LEN(INDEX('Paste Export'!$A$2:$BZ$1001,$A649,col_s7))&gt;0))+IF(col_s8=0,0,--(LEN(INDEX('Paste Export'!$A$2:$BZ$1001,$A649,col_s8))&gt;0)))</f>
        <v/>
      </c>
      <c r="I649" s="25" t="str">
        <f t="shared" si="73"/>
        <v/>
      </c>
      <c r="J649" s="25" t="str">
        <f t="shared" si="74"/>
        <v/>
      </c>
      <c r="K649" s="24" t="str">
        <f t="shared" si="75"/>
        <v/>
      </c>
      <c r="L649" s="24" t="str">
        <f t="shared" si="76"/>
        <v/>
      </c>
    </row>
    <row r="650" spans="1:12" x14ac:dyDescent="0.25">
      <c r="A650" s="24">
        <f t="shared" si="70"/>
        <v>649</v>
      </c>
      <c r="B650" s="25" t="str">
        <f>IF($A650&gt;nrows,"",IF(col_user=0,"",INDEX('Paste Export'!$A$2:$BZ$1001,$A650,col_user)))</f>
        <v/>
      </c>
      <c r="C650" s="24" t="str">
        <f>IF($A650&gt;nrows,"",IF(col_days=0,0,N(INDEX('Paste Export'!$A$2:$BZ$1001,$A650,col_days))))</f>
        <v/>
      </c>
      <c r="D650" s="24" t="str">
        <f>IF($A650&gt;nrows,"",IF(col_prompts=0,0,N(INDEX('Paste Export'!$A$2:$BZ$1001,$A650,col_prompts))))</f>
        <v/>
      </c>
      <c r="E650" s="24" t="str">
        <f>IF($A650&gt;nrows,"",IF(col_web=0,0,N(INDEX('Paste Export'!$A$2:$BZ$1001,$A650,col_web))))</f>
        <v/>
      </c>
      <c r="F650" s="26" t="str">
        <f t="shared" si="71"/>
        <v/>
      </c>
      <c r="G650" s="27" t="str">
        <f t="shared" si="72"/>
        <v/>
      </c>
      <c r="H650" s="24" t="str">
        <f>IF($A650&gt;nrows,"",IF(col_s1=0,0,--(LEN(INDEX('Paste Export'!$A$2:$BZ$1001,$A650,col_s1))&gt;0))+IF(col_s2=0,0,--(LEN(INDEX('Paste Export'!$A$2:$BZ$1001,$A650,col_s2))&gt;0))+IF(col_s3=0,0,--(LEN(INDEX('Paste Export'!$A$2:$BZ$1001,$A650,col_s3))&gt;0))+IF(col_s4=0,0,--(LEN(INDEX('Paste Export'!$A$2:$BZ$1001,$A650,col_s4))&gt;0))+IF(col_s5=0,0,--(LEN(INDEX('Paste Export'!$A$2:$BZ$1001,$A650,col_s5))&gt;0))+IF(col_s6=0,0,--(LEN(INDEX('Paste Export'!$A$2:$BZ$1001,$A650,col_s6))&gt;0))+IF(col_s7=0,0,--(LEN(INDEX('Paste Export'!$A$2:$BZ$1001,$A650,col_s7))&gt;0))+IF(col_s8=0,0,--(LEN(INDEX('Paste Export'!$A$2:$BZ$1001,$A650,col_s8))&gt;0)))</f>
        <v/>
      </c>
      <c r="I650" s="25" t="str">
        <f t="shared" si="73"/>
        <v/>
      </c>
      <c r="J650" s="25" t="str">
        <f t="shared" si="74"/>
        <v/>
      </c>
      <c r="K650" s="24" t="str">
        <f t="shared" si="75"/>
        <v/>
      </c>
      <c r="L650" s="24" t="str">
        <f t="shared" si="76"/>
        <v/>
      </c>
    </row>
    <row r="651" spans="1:12" x14ac:dyDescent="0.25">
      <c r="A651" s="24">
        <f t="shared" si="70"/>
        <v>650</v>
      </c>
      <c r="B651" s="25" t="str">
        <f>IF($A651&gt;nrows,"",IF(col_user=0,"",INDEX('Paste Export'!$A$2:$BZ$1001,$A651,col_user)))</f>
        <v/>
      </c>
      <c r="C651" s="24" t="str">
        <f>IF($A651&gt;nrows,"",IF(col_days=0,0,N(INDEX('Paste Export'!$A$2:$BZ$1001,$A651,col_days))))</f>
        <v/>
      </c>
      <c r="D651" s="24" t="str">
        <f>IF($A651&gt;nrows,"",IF(col_prompts=0,0,N(INDEX('Paste Export'!$A$2:$BZ$1001,$A651,col_prompts))))</f>
        <v/>
      </c>
      <c r="E651" s="24" t="str">
        <f>IF($A651&gt;nrows,"",IF(col_web=0,0,N(INDEX('Paste Export'!$A$2:$BZ$1001,$A651,col_web))))</f>
        <v/>
      </c>
      <c r="F651" s="26" t="str">
        <f t="shared" si="71"/>
        <v/>
      </c>
      <c r="G651" s="27" t="str">
        <f t="shared" si="72"/>
        <v/>
      </c>
      <c r="H651" s="24" t="str">
        <f>IF($A651&gt;nrows,"",IF(col_s1=0,0,--(LEN(INDEX('Paste Export'!$A$2:$BZ$1001,$A651,col_s1))&gt;0))+IF(col_s2=0,0,--(LEN(INDEX('Paste Export'!$A$2:$BZ$1001,$A651,col_s2))&gt;0))+IF(col_s3=0,0,--(LEN(INDEX('Paste Export'!$A$2:$BZ$1001,$A651,col_s3))&gt;0))+IF(col_s4=0,0,--(LEN(INDEX('Paste Export'!$A$2:$BZ$1001,$A651,col_s4))&gt;0))+IF(col_s5=0,0,--(LEN(INDEX('Paste Export'!$A$2:$BZ$1001,$A651,col_s5))&gt;0))+IF(col_s6=0,0,--(LEN(INDEX('Paste Export'!$A$2:$BZ$1001,$A651,col_s6))&gt;0))+IF(col_s7=0,0,--(LEN(INDEX('Paste Export'!$A$2:$BZ$1001,$A651,col_s7))&gt;0))+IF(col_s8=0,0,--(LEN(INDEX('Paste Export'!$A$2:$BZ$1001,$A651,col_s8))&gt;0)))</f>
        <v/>
      </c>
      <c r="I651" s="25" t="str">
        <f t="shared" si="73"/>
        <v/>
      </c>
      <c r="J651" s="25" t="str">
        <f t="shared" si="74"/>
        <v/>
      </c>
      <c r="K651" s="24" t="str">
        <f t="shared" si="75"/>
        <v/>
      </c>
      <c r="L651" s="24" t="str">
        <f t="shared" si="76"/>
        <v/>
      </c>
    </row>
    <row r="652" spans="1:12" x14ac:dyDescent="0.25">
      <c r="A652" s="24">
        <f t="shared" si="70"/>
        <v>651</v>
      </c>
      <c r="B652" s="25" t="str">
        <f>IF($A652&gt;nrows,"",IF(col_user=0,"",INDEX('Paste Export'!$A$2:$BZ$1001,$A652,col_user)))</f>
        <v/>
      </c>
      <c r="C652" s="24" t="str">
        <f>IF($A652&gt;nrows,"",IF(col_days=0,0,N(INDEX('Paste Export'!$A$2:$BZ$1001,$A652,col_days))))</f>
        <v/>
      </c>
      <c r="D652" s="24" t="str">
        <f>IF($A652&gt;nrows,"",IF(col_prompts=0,0,N(INDEX('Paste Export'!$A$2:$BZ$1001,$A652,col_prompts))))</f>
        <v/>
      </c>
      <c r="E652" s="24" t="str">
        <f>IF($A652&gt;nrows,"",IF(col_web=0,0,N(INDEX('Paste Export'!$A$2:$BZ$1001,$A652,col_web))))</f>
        <v/>
      </c>
      <c r="F652" s="26" t="str">
        <f t="shared" si="71"/>
        <v/>
      </c>
      <c r="G652" s="27" t="str">
        <f t="shared" si="72"/>
        <v/>
      </c>
      <c r="H652" s="24" t="str">
        <f>IF($A652&gt;nrows,"",IF(col_s1=0,0,--(LEN(INDEX('Paste Export'!$A$2:$BZ$1001,$A652,col_s1))&gt;0))+IF(col_s2=0,0,--(LEN(INDEX('Paste Export'!$A$2:$BZ$1001,$A652,col_s2))&gt;0))+IF(col_s3=0,0,--(LEN(INDEX('Paste Export'!$A$2:$BZ$1001,$A652,col_s3))&gt;0))+IF(col_s4=0,0,--(LEN(INDEX('Paste Export'!$A$2:$BZ$1001,$A652,col_s4))&gt;0))+IF(col_s5=0,0,--(LEN(INDEX('Paste Export'!$A$2:$BZ$1001,$A652,col_s5))&gt;0))+IF(col_s6=0,0,--(LEN(INDEX('Paste Export'!$A$2:$BZ$1001,$A652,col_s6))&gt;0))+IF(col_s7=0,0,--(LEN(INDEX('Paste Export'!$A$2:$BZ$1001,$A652,col_s7))&gt;0))+IF(col_s8=0,0,--(LEN(INDEX('Paste Export'!$A$2:$BZ$1001,$A652,col_s8))&gt;0)))</f>
        <v/>
      </c>
      <c r="I652" s="25" t="str">
        <f t="shared" si="73"/>
        <v/>
      </c>
      <c r="J652" s="25" t="str">
        <f t="shared" si="74"/>
        <v/>
      </c>
      <c r="K652" s="24" t="str">
        <f t="shared" si="75"/>
        <v/>
      </c>
      <c r="L652" s="24" t="str">
        <f t="shared" si="76"/>
        <v/>
      </c>
    </row>
    <row r="653" spans="1:12" x14ac:dyDescent="0.25">
      <c r="A653" s="24">
        <f t="shared" si="70"/>
        <v>652</v>
      </c>
      <c r="B653" s="25" t="str">
        <f>IF($A653&gt;nrows,"",IF(col_user=0,"",INDEX('Paste Export'!$A$2:$BZ$1001,$A653,col_user)))</f>
        <v/>
      </c>
      <c r="C653" s="24" t="str">
        <f>IF($A653&gt;nrows,"",IF(col_days=0,0,N(INDEX('Paste Export'!$A$2:$BZ$1001,$A653,col_days))))</f>
        <v/>
      </c>
      <c r="D653" s="24" t="str">
        <f>IF($A653&gt;nrows,"",IF(col_prompts=0,0,N(INDEX('Paste Export'!$A$2:$BZ$1001,$A653,col_prompts))))</f>
        <v/>
      </c>
      <c r="E653" s="24" t="str">
        <f>IF($A653&gt;nrows,"",IF(col_web=0,0,N(INDEX('Paste Export'!$A$2:$BZ$1001,$A653,col_web))))</f>
        <v/>
      </c>
      <c r="F653" s="26" t="str">
        <f t="shared" si="71"/>
        <v/>
      </c>
      <c r="G653" s="27" t="str">
        <f t="shared" si="72"/>
        <v/>
      </c>
      <c r="H653" s="24" t="str">
        <f>IF($A653&gt;nrows,"",IF(col_s1=0,0,--(LEN(INDEX('Paste Export'!$A$2:$BZ$1001,$A653,col_s1))&gt;0))+IF(col_s2=0,0,--(LEN(INDEX('Paste Export'!$A$2:$BZ$1001,$A653,col_s2))&gt;0))+IF(col_s3=0,0,--(LEN(INDEX('Paste Export'!$A$2:$BZ$1001,$A653,col_s3))&gt;0))+IF(col_s4=0,0,--(LEN(INDEX('Paste Export'!$A$2:$BZ$1001,$A653,col_s4))&gt;0))+IF(col_s5=0,0,--(LEN(INDEX('Paste Export'!$A$2:$BZ$1001,$A653,col_s5))&gt;0))+IF(col_s6=0,0,--(LEN(INDEX('Paste Export'!$A$2:$BZ$1001,$A653,col_s6))&gt;0))+IF(col_s7=0,0,--(LEN(INDEX('Paste Export'!$A$2:$BZ$1001,$A653,col_s7))&gt;0))+IF(col_s8=0,0,--(LEN(INDEX('Paste Export'!$A$2:$BZ$1001,$A653,col_s8))&gt;0)))</f>
        <v/>
      </c>
      <c r="I653" s="25" t="str">
        <f t="shared" si="73"/>
        <v/>
      </c>
      <c r="J653" s="25" t="str">
        <f t="shared" si="74"/>
        <v/>
      </c>
      <c r="K653" s="24" t="str">
        <f t="shared" si="75"/>
        <v/>
      </c>
      <c r="L653" s="24" t="str">
        <f t="shared" si="76"/>
        <v/>
      </c>
    </row>
    <row r="654" spans="1:12" x14ac:dyDescent="0.25">
      <c r="A654" s="24">
        <f t="shared" si="70"/>
        <v>653</v>
      </c>
      <c r="B654" s="25" t="str">
        <f>IF($A654&gt;nrows,"",IF(col_user=0,"",INDEX('Paste Export'!$A$2:$BZ$1001,$A654,col_user)))</f>
        <v/>
      </c>
      <c r="C654" s="24" t="str">
        <f>IF($A654&gt;nrows,"",IF(col_days=0,0,N(INDEX('Paste Export'!$A$2:$BZ$1001,$A654,col_days))))</f>
        <v/>
      </c>
      <c r="D654" s="24" t="str">
        <f>IF($A654&gt;nrows,"",IF(col_prompts=0,0,N(INDEX('Paste Export'!$A$2:$BZ$1001,$A654,col_prompts))))</f>
        <v/>
      </c>
      <c r="E654" s="24" t="str">
        <f>IF($A654&gt;nrows,"",IF(col_web=0,0,N(INDEX('Paste Export'!$A$2:$BZ$1001,$A654,col_web))))</f>
        <v/>
      </c>
      <c r="F654" s="26" t="str">
        <f t="shared" si="71"/>
        <v/>
      </c>
      <c r="G654" s="27" t="str">
        <f t="shared" si="72"/>
        <v/>
      </c>
      <c r="H654" s="24" t="str">
        <f>IF($A654&gt;nrows,"",IF(col_s1=0,0,--(LEN(INDEX('Paste Export'!$A$2:$BZ$1001,$A654,col_s1))&gt;0))+IF(col_s2=0,0,--(LEN(INDEX('Paste Export'!$A$2:$BZ$1001,$A654,col_s2))&gt;0))+IF(col_s3=0,0,--(LEN(INDEX('Paste Export'!$A$2:$BZ$1001,$A654,col_s3))&gt;0))+IF(col_s4=0,0,--(LEN(INDEX('Paste Export'!$A$2:$BZ$1001,$A654,col_s4))&gt;0))+IF(col_s5=0,0,--(LEN(INDEX('Paste Export'!$A$2:$BZ$1001,$A654,col_s5))&gt;0))+IF(col_s6=0,0,--(LEN(INDEX('Paste Export'!$A$2:$BZ$1001,$A654,col_s6))&gt;0))+IF(col_s7=0,0,--(LEN(INDEX('Paste Export'!$A$2:$BZ$1001,$A654,col_s7))&gt;0))+IF(col_s8=0,0,--(LEN(INDEX('Paste Export'!$A$2:$BZ$1001,$A654,col_s8))&gt;0)))</f>
        <v/>
      </c>
      <c r="I654" s="25" t="str">
        <f t="shared" si="73"/>
        <v/>
      </c>
      <c r="J654" s="25" t="str">
        <f t="shared" si="74"/>
        <v/>
      </c>
      <c r="K654" s="24" t="str">
        <f t="shared" si="75"/>
        <v/>
      </c>
      <c r="L654" s="24" t="str">
        <f t="shared" si="76"/>
        <v/>
      </c>
    </row>
    <row r="655" spans="1:12" x14ac:dyDescent="0.25">
      <c r="A655" s="24">
        <f t="shared" si="70"/>
        <v>654</v>
      </c>
      <c r="B655" s="25" t="str">
        <f>IF($A655&gt;nrows,"",IF(col_user=0,"",INDEX('Paste Export'!$A$2:$BZ$1001,$A655,col_user)))</f>
        <v/>
      </c>
      <c r="C655" s="24" t="str">
        <f>IF($A655&gt;nrows,"",IF(col_days=0,0,N(INDEX('Paste Export'!$A$2:$BZ$1001,$A655,col_days))))</f>
        <v/>
      </c>
      <c r="D655" s="24" t="str">
        <f>IF($A655&gt;nrows,"",IF(col_prompts=0,0,N(INDEX('Paste Export'!$A$2:$BZ$1001,$A655,col_prompts))))</f>
        <v/>
      </c>
      <c r="E655" s="24" t="str">
        <f>IF($A655&gt;nrows,"",IF(col_web=0,0,N(INDEX('Paste Export'!$A$2:$BZ$1001,$A655,col_web))))</f>
        <v/>
      </c>
      <c r="F655" s="26" t="str">
        <f t="shared" si="71"/>
        <v/>
      </c>
      <c r="G655" s="27" t="str">
        <f t="shared" si="72"/>
        <v/>
      </c>
      <c r="H655" s="24" t="str">
        <f>IF($A655&gt;nrows,"",IF(col_s1=0,0,--(LEN(INDEX('Paste Export'!$A$2:$BZ$1001,$A655,col_s1))&gt;0))+IF(col_s2=0,0,--(LEN(INDEX('Paste Export'!$A$2:$BZ$1001,$A655,col_s2))&gt;0))+IF(col_s3=0,0,--(LEN(INDEX('Paste Export'!$A$2:$BZ$1001,$A655,col_s3))&gt;0))+IF(col_s4=0,0,--(LEN(INDEX('Paste Export'!$A$2:$BZ$1001,$A655,col_s4))&gt;0))+IF(col_s5=0,0,--(LEN(INDEX('Paste Export'!$A$2:$BZ$1001,$A655,col_s5))&gt;0))+IF(col_s6=0,0,--(LEN(INDEX('Paste Export'!$A$2:$BZ$1001,$A655,col_s6))&gt;0))+IF(col_s7=0,0,--(LEN(INDEX('Paste Export'!$A$2:$BZ$1001,$A655,col_s7))&gt;0))+IF(col_s8=0,0,--(LEN(INDEX('Paste Export'!$A$2:$BZ$1001,$A655,col_s8))&gt;0)))</f>
        <v/>
      </c>
      <c r="I655" s="25" t="str">
        <f t="shared" si="73"/>
        <v/>
      </c>
      <c r="J655" s="25" t="str">
        <f t="shared" si="74"/>
        <v/>
      </c>
      <c r="K655" s="24" t="str">
        <f t="shared" si="75"/>
        <v/>
      </c>
      <c r="L655" s="24" t="str">
        <f t="shared" si="76"/>
        <v/>
      </c>
    </row>
    <row r="656" spans="1:12" x14ac:dyDescent="0.25">
      <c r="A656" s="24">
        <f t="shared" si="70"/>
        <v>655</v>
      </c>
      <c r="B656" s="25" t="str">
        <f>IF($A656&gt;nrows,"",IF(col_user=0,"",INDEX('Paste Export'!$A$2:$BZ$1001,$A656,col_user)))</f>
        <v/>
      </c>
      <c r="C656" s="24" t="str">
        <f>IF($A656&gt;nrows,"",IF(col_days=0,0,N(INDEX('Paste Export'!$A$2:$BZ$1001,$A656,col_days))))</f>
        <v/>
      </c>
      <c r="D656" s="24" t="str">
        <f>IF($A656&gt;nrows,"",IF(col_prompts=0,0,N(INDEX('Paste Export'!$A$2:$BZ$1001,$A656,col_prompts))))</f>
        <v/>
      </c>
      <c r="E656" s="24" t="str">
        <f>IF($A656&gt;nrows,"",IF(col_web=0,0,N(INDEX('Paste Export'!$A$2:$BZ$1001,$A656,col_web))))</f>
        <v/>
      </c>
      <c r="F656" s="26" t="str">
        <f t="shared" si="71"/>
        <v/>
      </c>
      <c r="G656" s="27" t="str">
        <f t="shared" si="72"/>
        <v/>
      </c>
      <c r="H656" s="24" t="str">
        <f>IF($A656&gt;nrows,"",IF(col_s1=0,0,--(LEN(INDEX('Paste Export'!$A$2:$BZ$1001,$A656,col_s1))&gt;0))+IF(col_s2=0,0,--(LEN(INDEX('Paste Export'!$A$2:$BZ$1001,$A656,col_s2))&gt;0))+IF(col_s3=0,0,--(LEN(INDEX('Paste Export'!$A$2:$BZ$1001,$A656,col_s3))&gt;0))+IF(col_s4=0,0,--(LEN(INDEX('Paste Export'!$A$2:$BZ$1001,$A656,col_s4))&gt;0))+IF(col_s5=0,0,--(LEN(INDEX('Paste Export'!$A$2:$BZ$1001,$A656,col_s5))&gt;0))+IF(col_s6=0,0,--(LEN(INDEX('Paste Export'!$A$2:$BZ$1001,$A656,col_s6))&gt;0))+IF(col_s7=0,0,--(LEN(INDEX('Paste Export'!$A$2:$BZ$1001,$A656,col_s7))&gt;0))+IF(col_s8=0,0,--(LEN(INDEX('Paste Export'!$A$2:$BZ$1001,$A656,col_s8))&gt;0)))</f>
        <v/>
      </c>
      <c r="I656" s="25" t="str">
        <f t="shared" si="73"/>
        <v/>
      </c>
      <c r="J656" s="25" t="str">
        <f t="shared" si="74"/>
        <v/>
      </c>
      <c r="K656" s="24" t="str">
        <f t="shared" si="75"/>
        <v/>
      </c>
      <c r="L656" s="24" t="str">
        <f t="shared" si="76"/>
        <v/>
      </c>
    </row>
    <row r="657" spans="1:12" x14ac:dyDescent="0.25">
      <c r="A657" s="24">
        <f t="shared" si="70"/>
        <v>656</v>
      </c>
      <c r="B657" s="25" t="str">
        <f>IF($A657&gt;nrows,"",IF(col_user=0,"",INDEX('Paste Export'!$A$2:$BZ$1001,$A657,col_user)))</f>
        <v/>
      </c>
      <c r="C657" s="24" t="str">
        <f>IF($A657&gt;nrows,"",IF(col_days=0,0,N(INDEX('Paste Export'!$A$2:$BZ$1001,$A657,col_days))))</f>
        <v/>
      </c>
      <c r="D657" s="24" t="str">
        <f>IF($A657&gt;nrows,"",IF(col_prompts=0,0,N(INDEX('Paste Export'!$A$2:$BZ$1001,$A657,col_prompts))))</f>
        <v/>
      </c>
      <c r="E657" s="24" t="str">
        <f>IF($A657&gt;nrows,"",IF(col_web=0,0,N(INDEX('Paste Export'!$A$2:$BZ$1001,$A657,col_web))))</f>
        <v/>
      </c>
      <c r="F657" s="26" t="str">
        <f t="shared" si="71"/>
        <v/>
      </c>
      <c r="G657" s="27" t="str">
        <f t="shared" si="72"/>
        <v/>
      </c>
      <c r="H657" s="24" t="str">
        <f>IF($A657&gt;nrows,"",IF(col_s1=0,0,--(LEN(INDEX('Paste Export'!$A$2:$BZ$1001,$A657,col_s1))&gt;0))+IF(col_s2=0,0,--(LEN(INDEX('Paste Export'!$A$2:$BZ$1001,$A657,col_s2))&gt;0))+IF(col_s3=0,0,--(LEN(INDEX('Paste Export'!$A$2:$BZ$1001,$A657,col_s3))&gt;0))+IF(col_s4=0,0,--(LEN(INDEX('Paste Export'!$A$2:$BZ$1001,$A657,col_s4))&gt;0))+IF(col_s5=0,0,--(LEN(INDEX('Paste Export'!$A$2:$BZ$1001,$A657,col_s5))&gt;0))+IF(col_s6=0,0,--(LEN(INDEX('Paste Export'!$A$2:$BZ$1001,$A657,col_s6))&gt;0))+IF(col_s7=0,0,--(LEN(INDEX('Paste Export'!$A$2:$BZ$1001,$A657,col_s7))&gt;0))+IF(col_s8=0,0,--(LEN(INDEX('Paste Export'!$A$2:$BZ$1001,$A657,col_s8))&gt;0)))</f>
        <v/>
      </c>
      <c r="I657" s="25" t="str">
        <f t="shared" si="73"/>
        <v/>
      </c>
      <c r="J657" s="25" t="str">
        <f t="shared" si="74"/>
        <v/>
      </c>
      <c r="K657" s="24" t="str">
        <f t="shared" si="75"/>
        <v/>
      </c>
      <c r="L657" s="24" t="str">
        <f t="shared" si="76"/>
        <v/>
      </c>
    </row>
    <row r="658" spans="1:12" x14ac:dyDescent="0.25">
      <c r="A658" s="24">
        <f t="shared" si="70"/>
        <v>657</v>
      </c>
      <c r="B658" s="25" t="str">
        <f>IF($A658&gt;nrows,"",IF(col_user=0,"",INDEX('Paste Export'!$A$2:$BZ$1001,$A658,col_user)))</f>
        <v/>
      </c>
      <c r="C658" s="24" t="str">
        <f>IF($A658&gt;nrows,"",IF(col_days=0,0,N(INDEX('Paste Export'!$A$2:$BZ$1001,$A658,col_days))))</f>
        <v/>
      </c>
      <c r="D658" s="24" t="str">
        <f>IF($A658&gt;nrows,"",IF(col_prompts=0,0,N(INDEX('Paste Export'!$A$2:$BZ$1001,$A658,col_prompts))))</f>
        <v/>
      </c>
      <c r="E658" s="24" t="str">
        <f>IF($A658&gt;nrows,"",IF(col_web=0,0,N(INDEX('Paste Export'!$A$2:$BZ$1001,$A658,col_web))))</f>
        <v/>
      </c>
      <c r="F658" s="26" t="str">
        <f t="shared" si="71"/>
        <v/>
      </c>
      <c r="G658" s="27" t="str">
        <f t="shared" si="72"/>
        <v/>
      </c>
      <c r="H658" s="24" t="str">
        <f>IF($A658&gt;nrows,"",IF(col_s1=0,0,--(LEN(INDEX('Paste Export'!$A$2:$BZ$1001,$A658,col_s1))&gt;0))+IF(col_s2=0,0,--(LEN(INDEX('Paste Export'!$A$2:$BZ$1001,$A658,col_s2))&gt;0))+IF(col_s3=0,0,--(LEN(INDEX('Paste Export'!$A$2:$BZ$1001,$A658,col_s3))&gt;0))+IF(col_s4=0,0,--(LEN(INDEX('Paste Export'!$A$2:$BZ$1001,$A658,col_s4))&gt;0))+IF(col_s5=0,0,--(LEN(INDEX('Paste Export'!$A$2:$BZ$1001,$A658,col_s5))&gt;0))+IF(col_s6=0,0,--(LEN(INDEX('Paste Export'!$A$2:$BZ$1001,$A658,col_s6))&gt;0))+IF(col_s7=0,0,--(LEN(INDEX('Paste Export'!$A$2:$BZ$1001,$A658,col_s7))&gt;0))+IF(col_s8=0,0,--(LEN(INDEX('Paste Export'!$A$2:$BZ$1001,$A658,col_s8))&gt;0)))</f>
        <v/>
      </c>
      <c r="I658" s="25" t="str">
        <f t="shared" si="73"/>
        <v/>
      </c>
      <c r="J658" s="25" t="str">
        <f t="shared" si="74"/>
        <v/>
      </c>
      <c r="K658" s="24" t="str">
        <f t="shared" si="75"/>
        <v/>
      </c>
      <c r="L658" s="24" t="str">
        <f t="shared" si="76"/>
        <v/>
      </c>
    </row>
    <row r="659" spans="1:12" x14ac:dyDescent="0.25">
      <c r="A659" s="24">
        <f t="shared" si="70"/>
        <v>658</v>
      </c>
      <c r="B659" s="25" t="str">
        <f>IF($A659&gt;nrows,"",IF(col_user=0,"",INDEX('Paste Export'!$A$2:$BZ$1001,$A659,col_user)))</f>
        <v/>
      </c>
      <c r="C659" s="24" t="str">
        <f>IF($A659&gt;nrows,"",IF(col_days=0,0,N(INDEX('Paste Export'!$A$2:$BZ$1001,$A659,col_days))))</f>
        <v/>
      </c>
      <c r="D659" s="24" t="str">
        <f>IF($A659&gt;nrows,"",IF(col_prompts=0,0,N(INDEX('Paste Export'!$A$2:$BZ$1001,$A659,col_prompts))))</f>
        <v/>
      </c>
      <c r="E659" s="24" t="str">
        <f>IF($A659&gt;nrows,"",IF(col_web=0,0,N(INDEX('Paste Export'!$A$2:$BZ$1001,$A659,col_web))))</f>
        <v/>
      </c>
      <c r="F659" s="26" t="str">
        <f t="shared" si="71"/>
        <v/>
      </c>
      <c r="G659" s="27" t="str">
        <f t="shared" si="72"/>
        <v/>
      </c>
      <c r="H659" s="24" t="str">
        <f>IF($A659&gt;nrows,"",IF(col_s1=0,0,--(LEN(INDEX('Paste Export'!$A$2:$BZ$1001,$A659,col_s1))&gt;0))+IF(col_s2=0,0,--(LEN(INDEX('Paste Export'!$A$2:$BZ$1001,$A659,col_s2))&gt;0))+IF(col_s3=0,0,--(LEN(INDEX('Paste Export'!$A$2:$BZ$1001,$A659,col_s3))&gt;0))+IF(col_s4=0,0,--(LEN(INDEX('Paste Export'!$A$2:$BZ$1001,$A659,col_s4))&gt;0))+IF(col_s5=0,0,--(LEN(INDEX('Paste Export'!$A$2:$BZ$1001,$A659,col_s5))&gt;0))+IF(col_s6=0,0,--(LEN(INDEX('Paste Export'!$A$2:$BZ$1001,$A659,col_s6))&gt;0))+IF(col_s7=0,0,--(LEN(INDEX('Paste Export'!$A$2:$BZ$1001,$A659,col_s7))&gt;0))+IF(col_s8=0,0,--(LEN(INDEX('Paste Export'!$A$2:$BZ$1001,$A659,col_s8))&gt;0)))</f>
        <v/>
      </c>
      <c r="I659" s="25" t="str">
        <f t="shared" si="73"/>
        <v/>
      </c>
      <c r="J659" s="25" t="str">
        <f t="shared" si="74"/>
        <v/>
      </c>
      <c r="K659" s="24" t="str">
        <f t="shared" si="75"/>
        <v/>
      </c>
      <c r="L659" s="24" t="str">
        <f t="shared" si="76"/>
        <v/>
      </c>
    </row>
    <row r="660" spans="1:12" x14ac:dyDescent="0.25">
      <c r="A660" s="24">
        <f t="shared" si="70"/>
        <v>659</v>
      </c>
      <c r="B660" s="25" t="str">
        <f>IF($A660&gt;nrows,"",IF(col_user=0,"",INDEX('Paste Export'!$A$2:$BZ$1001,$A660,col_user)))</f>
        <v/>
      </c>
      <c r="C660" s="24" t="str">
        <f>IF($A660&gt;nrows,"",IF(col_days=0,0,N(INDEX('Paste Export'!$A$2:$BZ$1001,$A660,col_days))))</f>
        <v/>
      </c>
      <c r="D660" s="24" t="str">
        <f>IF($A660&gt;nrows,"",IF(col_prompts=0,0,N(INDEX('Paste Export'!$A$2:$BZ$1001,$A660,col_prompts))))</f>
        <v/>
      </c>
      <c r="E660" s="24" t="str">
        <f>IF($A660&gt;nrows,"",IF(col_web=0,0,N(INDEX('Paste Export'!$A$2:$BZ$1001,$A660,col_web))))</f>
        <v/>
      </c>
      <c r="F660" s="26" t="str">
        <f t="shared" si="71"/>
        <v/>
      </c>
      <c r="G660" s="27" t="str">
        <f t="shared" si="72"/>
        <v/>
      </c>
      <c r="H660" s="24" t="str">
        <f>IF($A660&gt;nrows,"",IF(col_s1=0,0,--(LEN(INDEX('Paste Export'!$A$2:$BZ$1001,$A660,col_s1))&gt;0))+IF(col_s2=0,0,--(LEN(INDEX('Paste Export'!$A$2:$BZ$1001,$A660,col_s2))&gt;0))+IF(col_s3=0,0,--(LEN(INDEX('Paste Export'!$A$2:$BZ$1001,$A660,col_s3))&gt;0))+IF(col_s4=0,0,--(LEN(INDEX('Paste Export'!$A$2:$BZ$1001,$A660,col_s4))&gt;0))+IF(col_s5=0,0,--(LEN(INDEX('Paste Export'!$A$2:$BZ$1001,$A660,col_s5))&gt;0))+IF(col_s6=0,0,--(LEN(INDEX('Paste Export'!$A$2:$BZ$1001,$A660,col_s6))&gt;0))+IF(col_s7=0,0,--(LEN(INDEX('Paste Export'!$A$2:$BZ$1001,$A660,col_s7))&gt;0))+IF(col_s8=0,0,--(LEN(INDEX('Paste Export'!$A$2:$BZ$1001,$A660,col_s8))&gt;0)))</f>
        <v/>
      </c>
      <c r="I660" s="25" t="str">
        <f t="shared" si="73"/>
        <v/>
      </c>
      <c r="J660" s="25" t="str">
        <f t="shared" si="74"/>
        <v/>
      </c>
      <c r="K660" s="24" t="str">
        <f t="shared" si="75"/>
        <v/>
      </c>
      <c r="L660" s="24" t="str">
        <f t="shared" si="76"/>
        <v/>
      </c>
    </row>
    <row r="661" spans="1:12" x14ac:dyDescent="0.25">
      <c r="A661" s="24">
        <f t="shared" si="70"/>
        <v>660</v>
      </c>
      <c r="B661" s="25" t="str">
        <f>IF($A661&gt;nrows,"",IF(col_user=0,"",INDEX('Paste Export'!$A$2:$BZ$1001,$A661,col_user)))</f>
        <v/>
      </c>
      <c r="C661" s="24" t="str">
        <f>IF($A661&gt;nrows,"",IF(col_days=0,0,N(INDEX('Paste Export'!$A$2:$BZ$1001,$A661,col_days))))</f>
        <v/>
      </c>
      <c r="D661" s="24" t="str">
        <f>IF($A661&gt;nrows,"",IF(col_prompts=0,0,N(INDEX('Paste Export'!$A$2:$BZ$1001,$A661,col_prompts))))</f>
        <v/>
      </c>
      <c r="E661" s="24" t="str">
        <f>IF($A661&gt;nrows,"",IF(col_web=0,0,N(INDEX('Paste Export'!$A$2:$BZ$1001,$A661,col_web))))</f>
        <v/>
      </c>
      <c r="F661" s="26" t="str">
        <f t="shared" si="71"/>
        <v/>
      </c>
      <c r="G661" s="27" t="str">
        <f t="shared" si="72"/>
        <v/>
      </c>
      <c r="H661" s="24" t="str">
        <f>IF($A661&gt;nrows,"",IF(col_s1=0,0,--(LEN(INDEX('Paste Export'!$A$2:$BZ$1001,$A661,col_s1))&gt;0))+IF(col_s2=0,0,--(LEN(INDEX('Paste Export'!$A$2:$BZ$1001,$A661,col_s2))&gt;0))+IF(col_s3=0,0,--(LEN(INDEX('Paste Export'!$A$2:$BZ$1001,$A661,col_s3))&gt;0))+IF(col_s4=0,0,--(LEN(INDEX('Paste Export'!$A$2:$BZ$1001,$A661,col_s4))&gt;0))+IF(col_s5=0,0,--(LEN(INDEX('Paste Export'!$A$2:$BZ$1001,$A661,col_s5))&gt;0))+IF(col_s6=0,0,--(LEN(INDEX('Paste Export'!$A$2:$BZ$1001,$A661,col_s6))&gt;0))+IF(col_s7=0,0,--(LEN(INDEX('Paste Export'!$A$2:$BZ$1001,$A661,col_s7))&gt;0))+IF(col_s8=0,0,--(LEN(INDEX('Paste Export'!$A$2:$BZ$1001,$A661,col_s8))&gt;0)))</f>
        <v/>
      </c>
      <c r="I661" s="25" t="str">
        <f t="shared" si="73"/>
        <v/>
      </c>
      <c r="J661" s="25" t="str">
        <f t="shared" si="74"/>
        <v/>
      </c>
      <c r="K661" s="24" t="str">
        <f t="shared" si="75"/>
        <v/>
      </c>
      <c r="L661" s="24" t="str">
        <f t="shared" si="76"/>
        <v/>
      </c>
    </row>
    <row r="662" spans="1:12" x14ac:dyDescent="0.25">
      <c r="A662" s="24">
        <f t="shared" si="70"/>
        <v>661</v>
      </c>
      <c r="B662" s="25" t="str">
        <f>IF($A662&gt;nrows,"",IF(col_user=0,"",INDEX('Paste Export'!$A$2:$BZ$1001,$A662,col_user)))</f>
        <v/>
      </c>
      <c r="C662" s="24" t="str">
        <f>IF($A662&gt;nrows,"",IF(col_days=0,0,N(INDEX('Paste Export'!$A$2:$BZ$1001,$A662,col_days))))</f>
        <v/>
      </c>
      <c r="D662" s="24" t="str">
        <f>IF($A662&gt;nrows,"",IF(col_prompts=0,0,N(INDEX('Paste Export'!$A$2:$BZ$1001,$A662,col_prompts))))</f>
        <v/>
      </c>
      <c r="E662" s="24" t="str">
        <f>IF($A662&gt;nrows,"",IF(col_web=0,0,N(INDEX('Paste Export'!$A$2:$BZ$1001,$A662,col_web))))</f>
        <v/>
      </c>
      <c r="F662" s="26" t="str">
        <f t="shared" si="71"/>
        <v/>
      </c>
      <c r="G662" s="27" t="str">
        <f t="shared" si="72"/>
        <v/>
      </c>
      <c r="H662" s="24" t="str">
        <f>IF($A662&gt;nrows,"",IF(col_s1=0,0,--(LEN(INDEX('Paste Export'!$A$2:$BZ$1001,$A662,col_s1))&gt;0))+IF(col_s2=0,0,--(LEN(INDEX('Paste Export'!$A$2:$BZ$1001,$A662,col_s2))&gt;0))+IF(col_s3=0,0,--(LEN(INDEX('Paste Export'!$A$2:$BZ$1001,$A662,col_s3))&gt;0))+IF(col_s4=0,0,--(LEN(INDEX('Paste Export'!$A$2:$BZ$1001,$A662,col_s4))&gt;0))+IF(col_s5=0,0,--(LEN(INDEX('Paste Export'!$A$2:$BZ$1001,$A662,col_s5))&gt;0))+IF(col_s6=0,0,--(LEN(INDEX('Paste Export'!$A$2:$BZ$1001,$A662,col_s6))&gt;0))+IF(col_s7=0,0,--(LEN(INDEX('Paste Export'!$A$2:$BZ$1001,$A662,col_s7))&gt;0))+IF(col_s8=0,0,--(LEN(INDEX('Paste Export'!$A$2:$BZ$1001,$A662,col_s8))&gt;0)))</f>
        <v/>
      </c>
      <c r="I662" s="25" t="str">
        <f t="shared" si="73"/>
        <v/>
      </c>
      <c r="J662" s="25" t="str">
        <f t="shared" si="74"/>
        <v/>
      </c>
      <c r="K662" s="24" t="str">
        <f t="shared" si="75"/>
        <v/>
      </c>
      <c r="L662" s="24" t="str">
        <f t="shared" si="76"/>
        <v/>
      </c>
    </row>
    <row r="663" spans="1:12" x14ac:dyDescent="0.25">
      <c r="A663" s="24">
        <f t="shared" si="70"/>
        <v>662</v>
      </c>
      <c r="B663" s="25" t="str">
        <f>IF($A663&gt;nrows,"",IF(col_user=0,"",INDEX('Paste Export'!$A$2:$BZ$1001,$A663,col_user)))</f>
        <v/>
      </c>
      <c r="C663" s="24" t="str">
        <f>IF($A663&gt;nrows,"",IF(col_days=0,0,N(INDEX('Paste Export'!$A$2:$BZ$1001,$A663,col_days))))</f>
        <v/>
      </c>
      <c r="D663" s="24" t="str">
        <f>IF($A663&gt;nrows,"",IF(col_prompts=0,0,N(INDEX('Paste Export'!$A$2:$BZ$1001,$A663,col_prompts))))</f>
        <v/>
      </c>
      <c r="E663" s="24" t="str">
        <f>IF($A663&gt;nrows,"",IF(col_web=0,0,N(INDEX('Paste Export'!$A$2:$BZ$1001,$A663,col_web))))</f>
        <v/>
      </c>
      <c r="F663" s="26" t="str">
        <f t="shared" si="71"/>
        <v/>
      </c>
      <c r="G663" s="27" t="str">
        <f t="shared" si="72"/>
        <v/>
      </c>
      <c r="H663" s="24" t="str">
        <f>IF($A663&gt;nrows,"",IF(col_s1=0,0,--(LEN(INDEX('Paste Export'!$A$2:$BZ$1001,$A663,col_s1))&gt;0))+IF(col_s2=0,0,--(LEN(INDEX('Paste Export'!$A$2:$BZ$1001,$A663,col_s2))&gt;0))+IF(col_s3=0,0,--(LEN(INDEX('Paste Export'!$A$2:$BZ$1001,$A663,col_s3))&gt;0))+IF(col_s4=0,0,--(LEN(INDEX('Paste Export'!$A$2:$BZ$1001,$A663,col_s4))&gt;0))+IF(col_s5=0,0,--(LEN(INDEX('Paste Export'!$A$2:$BZ$1001,$A663,col_s5))&gt;0))+IF(col_s6=0,0,--(LEN(INDEX('Paste Export'!$A$2:$BZ$1001,$A663,col_s6))&gt;0))+IF(col_s7=0,0,--(LEN(INDEX('Paste Export'!$A$2:$BZ$1001,$A663,col_s7))&gt;0))+IF(col_s8=0,0,--(LEN(INDEX('Paste Export'!$A$2:$BZ$1001,$A663,col_s8))&gt;0)))</f>
        <v/>
      </c>
      <c r="I663" s="25" t="str">
        <f t="shared" si="73"/>
        <v/>
      </c>
      <c r="J663" s="25" t="str">
        <f t="shared" si="74"/>
        <v/>
      </c>
      <c r="K663" s="24" t="str">
        <f t="shared" si="75"/>
        <v/>
      </c>
      <c r="L663" s="24" t="str">
        <f t="shared" si="76"/>
        <v/>
      </c>
    </row>
    <row r="664" spans="1:12" x14ac:dyDescent="0.25">
      <c r="A664" s="24">
        <f t="shared" si="70"/>
        <v>663</v>
      </c>
      <c r="B664" s="25" t="str">
        <f>IF($A664&gt;nrows,"",IF(col_user=0,"",INDEX('Paste Export'!$A$2:$BZ$1001,$A664,col_user)))</f>
        <v/>
      </c>
      <c r="C664" s="24" t="str">
        <f>IF($A664&gt;nrows,"",IF(col_days=0,0,N(INDEX('Paste Export'!$A$2:$BZ$1001,$A664,col_days))))</f>
        <v/>
      </c>
      <c r="D664" s="24" t="str">
        <f>IF($A664&gt;nrows,"",IF(col_prompts=0,0,N(INDEX('Paste Export'!$A$2:$BZ$1001,$A664,col_prompts))))</f>
        <v/>
      </c>
      <c r="E664" s="24" t="str">
        <f>IF($A664&gt;nrows,"",IF(col_web=0,0,N(INDEX('Paste Export'!$A$2:$BZ$1001,$A664,col_web))))</f>
        <v/>
      </c>
      <c r="F664" s="26" t="str">
        <f t="shared" si="71"/>
        <v/>
      </c>
      <c r="G664" s="27" t="str">
        <f t="shared" si="72"/>
        <v/>
      </c>
      <c r="H664" s="24" t="str">
        <f>IF($A664&gt;nrows,"",IF(col_s1=0,0,--(LEN(INDEX('Paste Export'!$A$2:$BZ$1001,$A664,col_s1))&gt;0))+IF(col_s2=0,0,--(LEN(INDEX('Paste Export'!$A$2:$BZ$1001,$A664,col_s2))&gt;0))+IF(col_s3=0,0,--(LEN(INDEX('Paste Export'!$A$2:$BZ$1001,$A664,col_s3))&gt;0))+IF(col_s4=0,0,--(LEN(INDEX('Paste Export'!$A$2:$BZ$1001,$A664,col_s4))&gt;0))+IF(col_s5=0,0,--(LEN(INDEX('Paste Export'!$A$2:$BZ$1001,$A664,col_s5))&gt;0))+IF(col_s6=0,0,--(LEN(INDEX('Paste Export'!$A$2:$BZ$1001,$A664,col_s6))&gt;0))+IF(col_s7=0,0,--(LEN(INDEX('Paste Export'!$A$2:$BZ$1001,$A664,col_s7))&gt;0))+IF(col_s8=0,0,--(LEN(INDEX('Paste Export'!$A$2:$BZ$1001,$A664,col_s8))&gt;0)))</f>
        <v/>
      </c>
      <c r="I664" s="25" t="str">
        <f t="shared" si="73"/>
        <v/>
      </c>
      <c r="J664" s="25" t="str">
        <f t="shared" si="74"/>
        <v/>
      </c>
      <c r="K664" s="24" t="str">
        <f t="shared" si="75"/>
        <v/>
      </c>
      <c r="L664" s="24" t="str">
        <f t="shared" si="76"/>
        <v/>
      </c>
    </row>
    <row r="665" spans="1:12" x14ac:dyDescent="0.25">
      <c r="A665" s="24">
        <f t="shared" si="70"/>
        <v>664</v>
      </c>
      <c r="B665" s="25" t="str">
        <f>IF($A665&gt;nrows,"",IF(col_user=0,"",INDEX('Paste Export'!$A$2:$BZ$1001,$A665,col_user)))</f>
        <v/>
      </c>
      <c r="C665" s="24" t="str">
        <f>IF($A665&gt;nrows,"",IF(col_days=0,0,N(INDEX('Paste Export'!$A$2:$BZ$1001,$A665,col_days))))</f>
        <v/>
      </c>
      <c r="D665" s="24" t="str">
        <f>IF($A665&gt;nrows,"",IF(col_prompts=0,0,N(INDEX('Paste Export'!$A$2:$BZ$1001,$A665,col_prompts))))</f>
        <v/>
      </c>
      <c r="E665" s="24" t="str">
        <f>IF($A665&gt;nrows,"",IF(col_web=0,0,N(INDEX('Paste Export'!$A$2:$BZ$1001,$A665,col_web))))</f>
        <v/>
      </c>
      <c r="F665" s="26" t="str">
        <f t="shared" si="71"/>
        <v/>
      </c>
      <c r="G665" s="27" t="str">
        <f t="shared" si="72"/>
        <v/>
      </c>
      <c r="H665" s="24" t="str">
        <f>IF($A665&gt;nrows,"",IF(col_s1=0,0,--(LEN(INDEX('Paste Export'!$A$2:$BZ$1001,$A665,col_s1))&gt;0))+IF(col_s2=0,0,--(LEN(INDEX('Paste Export'!$A$2:$BZ$1001,$A665,col_s2))&gt;0))+IF(col_s3=0,0,--(LEN(INDEX('Paste Export'!$A$2:$BZ$1001,$A665,col_s3))&gt;0))+IF(col_s4=0,0,--(LEN(INDEX('Paste Export'!$A$2:$BZ$1001,$A665,col_s4))&gt;0))+IF(col_s5=0,0,--(LEN(INDEX('Paste Export'!$A$2:$BZ$1001,$A665,col_s5))&gt;0))+IF(col_s6=0,0,--(LEN(INDEX('Paste Export'!$A$2:$BZ$1001,$A665,col_s6))&gt;0))+IF(col_s7=0,0,--(LEN(INDEX('Paste Export'!$A$2:$BZ$1001,$A665,col_s7))&gt;0))+IF(col_s8=0,0,--(LEN(INDEX('Paste Export'!$A$2:$BZ$1001,$A665,col_s8))&gt;0)))</f>
        <v/>
      </c>
      <c r="I665" s="25" t="str">
        <f t="shared" si="73"/>
        <v/>
      </c>
      <c r="J665" s="25" t="str">
        <f t="shared" si="74"/>
        <v/>
      </c>
      <c r="K665" s="24" t="str">
        <f t="shared" si="75"/>
        <v/>
      </c>
      <c r="L665" s="24" t="str">
        <f t="shared" si="76"/>
        <v/>
      </c>
    </row>
    <row r="666" spans="1:12" x14ac:dyDescent="0.25">
      <c r="A666" s="24">
        <f t="shared" si="70"/>
        <v>665</v>
      </c>
      <c r="B666" s="25" t="str">
        <f>IF($A666&gt;nrows,"",IF(col_user=0,"",INDEX('Paste Export'!$A$2:$BZ$1001,$A666,col_user)))</f>
        <v/>
      </c>
      <c r="C666" s="24" t="str">
        <f>IF($A666&gt;nrows,"",IF(col_days=0,0,N(INDEX('Paste Export'!$A$2:$BZ$1001,$A666,col_days))))</f>
        <v/>
      </c>
      <c r="D666" s="24" t="str">
        <f>IF($A666&gt;nrows,"",IF(col_prompts=0,0,N(INDEX('Paste Export'!$A$2:$BZ$1001,$A666,col_prompts))))</f>
        <v/>
      </c>
      <c r="E666" s="24" t="str">
        <f>IF($A666&gt;nrows,"",IF(col_web=0,0,N(INDEX('Paste Export'!$A$2:$BZ$1001,$A666,col_web))))</f>
        <v/>
      </c>
      <c r="F666" s="26" t="str">
        <f t="shared" si="71"/>
        <v/>
      </c>
      <c r="G666" s="27" t="str">
        <f t="shared" si="72"/>
        <v/>
      </c>
      <c r="H666" s="24" t="str">
        <f>IF($A666&gt;nrows,"",IF(col_s1=0,0,--(LEN(INDEX('Paste Export'!$A$2:$BZ$1001,$A666,col_s1))&gt;0))+IF(col_s2=0,0,--(LEN(INDEX('Paste Export'!$A$2:$BZ$1001,$A666,col_s2))&gt;0))+IF(col_s3=0,0,--(LEN(INDEX('Paste Export'!$A$2:$BZ$1001,$A666,col_s3))&gt;0))+IF(col_s4=0,0,--(LEN(INDEX('Paste Export'!$A$2:$BZ$1001,$A666,col_s4))&gt;0))+IF(col_s5=0,0,--(LEN(INDEX('Paste Export'!$A$2:$BZ$1001,$A666,col_s5))&gt;0))+IF(col_s6=0,0,--(LEN(INDEX('Paste Export'!$A$2:$BZ$1001,$A666,col_s6))&gt;0))+IF(col_s7=0,0,--(LEN(INDEX('Paste Export'!$A$2:$BZ$1001,$A666,col_s7))&gt;0))+IF(col_s8=0,0,--(LEN(INDEX('Paste Export'!$A$2:$BZ$1001,$A666,col_s8))&gt;0)))</f>
        <v/>
      </c>
      <c r="I666" s="25" t="str">
        <f t="shared" si="73"/>
        <v/>
      </c>
      <c r="J666" s="25" t="str">
        <f t="shared" si="74"/>
        <v/>
      </c>
      <c r="K666" s="24" t="str">
        <f t="shared" si="75"/>
        <v/>
      </c>
      <c r="L666" s="24" t="str">
        <f t="shared" si="76"/>
        <v/>
      </c>
    </row>
    <row r="667" spans="1:12" x14ac:dyDescent="0.25">
      <c r="A667" s="24">
        <f t="shared" si="70"/>
        <v>666</v>
      </c>
      <c r="B667" s="25" t="str">
        <f>IF($A667&gt;nrows,"",IF(col_user=0,"",INDEX('Paste Export'!$A$2:$BZ$1001,$A667,col_user)))</f>
        <v/>
      </c>
      <c r="C667" s="24" t="str">
        <f>IF($A667&gt;nrows,"",IF(col_days=0,0,N(INDEX('Paste Export'!$A$2:$BZ$1001,$A667,col_days))))</f>
        <v/>
      </c>
      <c r="D667" s="24" t="str">
        <f>IF($A667&gt;nrows,"",IF(col_prompts=0,0,N(INDEX('Paste Export'!$A$2:$BZ$1001,$A667,col_prompts))))</f>
        <v/>
      </c>
      <c r="E667" s="24" t="str">
        <f>IF($A667&gt;nrows,"",IF(col_web=0,0,N(INDEX('Paste Export'!$A$2:$BZ$1001,$A667,col_web))))</f>
        <v/>
      </c>
      <c r="F667" s="26" t="str">
        <f t="shared" si="71"/>
        <v/>
      </c>
      <c r="G667" s="27" t="str">
        <f t="shared" si="72"/>
        <v/>
      </c>
      <c r="H667" s="24" t="str">
        <f>IF($A667&gt;nrows,"",IF(col_s1=0,0,--(LEN(INDEX('Paste Export'!$A$2:$BZ$1001,$A667,col_s1))&gt;0))+IF(col_s2=0,0,--(LEN(INDEX('Paste Export'!$A$2:$BZ$1001,$A667,col_s2))&gt;0))+IF(col_s3=0,0,--(LEN(INDEX('Paste Export'!$A$2:$BZ$1001,$A667,col_s3))&gt;0))+IF(col_s4=0,0,--(LEN(INDEX('Paste Export'!$A$2:$BZ$1001,$A667,col_s4))&gt;0))+IF(col_s5=0,0,--(LEN(INDEX('Paste Export'!$A$2:$BZ$1001,$A667,col_s5))&gt;0))+IF(col_s6=0,0,--(LEN(INDEX('Paste Export'!$A$2:$BZ$1001,$A667,col_s6))&gt;0))+IF(col_s7=0,0,--(LEN(INDEX('Paste Export'!$A$2:$BZ$1001,$A667,col_s7))&gt;0))+IF(col_s8=0,0,--(LEN(INDEX('Paste Export'!$A$2:$BZ$1001,$A667,col_s8))&gt;0)))</f>
        <v/>
      </c>
      <c r="I667" s="25" t="str">
        <f t="shared" si="73"/>
        <v/>
      </c>
      <c r="J667" s="25" t="str">
        <f t="shared" si="74"/>
        <v/>
      </c>
      <c r="K667" s="24" t="str">
        <f t="shared" si="75"/>
        <v/>
      </c>
      <c r="L667" s="24" t="str">
        <f t="shared" si="76"/>
        <v/>
      </c>
    </row>
    <row r="668" spans="1:12" x14ac:dyDescent="0.25">
      <c r="A668" s="24">
        <f t="shared" si="70"/>
        <v>667</v>
      </c>
      <c r="B668" s="25" t="str">
        <f>IF($A668&gt;nrows,"",IF(col_user=0,"",INDEX('Paste Export'!$A$2:$BZ$1001,$A668,col_user)))</f>
        <v/>
      </c>
      <c r="C668" s="24" t="str">
        <f>IF($A668&gt;nrows,"",IF(col_days=0,0,N(INDEX('Paste Export'!$A$2:$BZ$1001,$A668,col_days))))</f>
        <v/>
      </c>
      <c r="D668" s="24" t="str">
        <f>IF($A668&gt;nrows,"",IF(col_prompts=0,0,N(INDEX('Paste Export'!$A$2:$BZ$1001,$A668,col_prompts))))</f>
        <v/>
      </c>
      <c r="E668" s="24" t="str">
        <f>IF($A668&gt;nrows,"",IF(col_web=0,0,N(INDEX('Paste Export'!$A$2:$BZ$1001,$A668,col_web))))</f>
        <v/>
      </c>
      <c r="F668" s="26" t="str">
        <f t="shared" si="71"/>
        <v/>
      </c>
      <c r="G668" s="27" t="str">
        <f t="shared" si="72"/>
        <v/>
      </c>
      <c r="H668" s="24" t="str">
        <f>IF($A668&gt;nrows,"",IF(col_s1=0,0,--(LEN(INDEX('Paste Export'!$A$2:$BZ$1001,$A668,col_s1))&gt;0))+IF(col_s2=0,0,--(LEN(INDEX('Paste Export'!$A$2:$BZ$1001,$A668,col_s2))&gt;0))+IF(col_s3=0,0,--(LEN(INDEX('Paste Export'!$A$2:$BZ$1001,$A668,col_s3))&gt;0))+IF(col_s4=0,0,--(LEN(INDEX('Paste Export'!$A$2:$BZ$1001,$A668,col_s4))&gt;0))+IF(col_s5=0,0,--(LEN(INDEX('Paste Export'!$A$2:$BZ$1001,$A668,col_s5))&gt;0))+IF(col_s6=0,0,--(LEN(INDEX('Paste Export'!$A$2:$BZ$1001,$A668,col_s6))&gt;0))+IF(col_s7=0,0,--(LEN(INDEX('Paste Export'!$A$2:$BZ$1001,$A668,col_s7))&gt;0))+IF(col_s8=0,0,--(LEN(INDEX('Paste Export'!$A$2:$BZ$1001,$A668,col_s8))&gt;0)))</f>
        <v/>
      </c>
      <c r="I668" s="25" t="str">
        <f t="shared" si="73"/>
        <v/>
      </c>
      <c r="J668" s="25" t="str">
        <f t="shared" si="74"/>
        <v/>
      </c>
      <c r="K668" s="24" t="str">
        <f t="shared" si="75"/>
        <v/>
      </c>
      <c r="L668" s="24" t="str">
        <f t="shared" si="76"/>
        <v/>
      </c>
    </row>
    <row r="669" spans="1:12" x14ac:dyDescent="0.25">
      <c r="A669" s="24">
        <f t="shared" si="70"/>
        <v>668</v>
      </c>
      <c r="B669" s="25" t="str">
        <f>IF($A669&gt;nrows,"",IF(col_user=0,"",INDEX('Paste Export'!$A$2:$BZ$1001,$A669,col_user)))</f>
        <v/>
      </c>
      <c r="C669" s="24" t="str">
        <f>IF($A669&gt;nrows,"",IF(col_days=0,0,N(INDEX('Paste Export'!$A$2:$BZ$1001,$A669,col_days))))</f>
        <v/>
      </c>
      <c r="D669" s="24" t="str">
        <f>IF($A669&gt;nrows,"",IF(col_prompts=0,0,N(INDEX('Paste Export'!$A$2:$BZ$1001,$A669,col_prompts))))</f>
        <v/>
      </c>
      <c r="E669" s="24" t="str">
        <f>IF($A669&gt;nrows,"",IF(col_web=0,0,N(INDEX('Paste Export'!$A$2:$BZ$1001,$A669,col_web))))</f>
        <v/>
      </c>
      <c r="F669" s="26" t="str">
        <f t="shared" si="71"/>
        <v/>
      </c>
      <c r="G669" s="27" t="str">
        <f t="shared" si="72"/>
        <v/>
      </c>
      <c r="H669" s="24" t="str">
        <f>IF($A669&gt;nrows,"",IF(col_s1=0,0,--(LEN(INDEX('Paste Export'!$A$2:$BZ$1001,$A669,col_s1))&gt;0))+IF(col_s2=0,0,--(LEN(INDEX('Paste Export'!$A$2:$BZ$1001,$A669,col_s2))&gt;0))+IF(col_s3=0,0,--(LEN(INDEX('Paste Export'!$A$2:$BZ$1001,$A669,col_s3))&gt;0))+IF(col_s4=0,0,--(LEN(INDEX('Paste Export'!$A$2:$BZ$1001,$A669,col_s4))&gt;0))+IF(col_s5=0,0,--(LEN(INDEX('Paste Export'!$A$2:$BZ$1001,$A669,col_s5))&gt;0))+IF(col_s6=0,0,--(LEN(INDEX('Paste Export'!$A$2:$BZ$1001,$A669,col_s6))&gt;0))+IF(col_s7=0,0,--(LEN(INDEX('Paste Export'!$A$2:$BZ$1001,$A669,col_s7))&gt;0))+IF(col_s8=0,0,--(LEN(INDEX('Paste Export'!$A$2:$BZ$1001,$A669,col_s8))&gt;0)))</f>
        <v/>
      </c>
      <c r="I669" s="25" t="str">
        <f t="shared" si="73"/>
        <v/>
      </c>
      <c r="J669" s="25" t="str">
        <f t="shared" si="74"/>
        <v/>
      </c>
      <c r="K669" s="24" t="str">
        <f t="shared" si="75"/>
        <v/>
      </c>
      <c r="L669" s="24" t="str">
        <f t="shared" si="76"/>
        <v/>
      </c>
    </row>
    <row r="670" spans="1:12" x14ac:dyDescent="0.25">
      <c r="A670" s="24">
        <f t="shared" si="70"/>
        <v>669</v>
      </c>
      <c r="B670" s="25" t="str">
        <f>IF($A670&gt;nrows,"",IF(col_user=0,"",INDEX('Paste Export'!$A$2:$BZ$1001,$A670,col_user)))</f>
        <v/>
      </c>
      <c r="C670" s="24" t="str">
        <f>IF($A670&gt;nrows,"",IF(col_days=0,0,N(INDEX('Paste Export'!$A$2:$BZ$1001,$A670,col_days))))</f>
        <v/>
      </c>
      <c r="D670" s="24" t="str">
        <f>IF($A670&gt;nrows,"",IF(col_prompts=0,0,N(INDEX('Paste Export'!$A$2:$BZ$1001,$A670,col_prompts))))</f>
        <v/>
      </c>
      <c r="E670" s="24" t="str">
        <f>IF($A670&gt;nrows,"",IF(col_web=0,0,N(INDEX('Paste Export'!$A$2:$BZ$1001,$A670,col_web))))</f>
        <v/>
      </c>
      <c r="F670" s="26" t="str">
        <f t="shared" si="71"/>
        <v/>
      </c>
      <c r="G670" s="27" t="str">
        <f t="shared" si="72"/>
        <v/>
      </c>
      <c r="H670" s="24" t="str">
        <f>IF($A670&gt;nrows,"",IF(col_s1=0,0,--(LEN(INDEX('Paste Export'!$A$2:$BZ$1001,$A670,col_s1))&gt;0))+IF(col_s2=0,0,--(LEN(INDEX('Paste Export'!$A$2:$BZ$1001,$A670,col_s2))&gt;0))+IF(col_s3=0,0,--(LEN(INDEX('Paste Export'!$A$2:$BZ$1001,$A670,col_s3))&gt;0))+IF(col_s4=0,0,--(LEN(INDEX('Paste Export'!$A$2:$BZ$1001,$A670,col_s4))&gt;0))+IF(col_s5=0,0,--(LEN(INDEX('Paste Export'!$A$2:$BZ$1001,$A670,col_s5))&gt;0))+IF(col_s6=0,0,--(LEN(INDEX('Paste Export'!$A$2:$BZ$1001,$A670,col_s6))&gt;0))+IF(col_s7=0,0,--(LEN(INDEX('Paste Export'!$A$2:$BZ$1001,$A670,col_s7))&gt;0))+IF(col_s8=0,0,--(LEN(INDEX('Paste Export'!$A$2:$BZ$1001,$A670,col_s8))&gt;0)))</f>
        <v/>
      </c>
      <c r="I670" s="25" t="str">
        <f t="shared" si="73"/>
        <v/>
      </c>
      <c r="J670" s="25" t="str">
        <f t="shared" si="74"/>
        <v/>
      </c>
      <c r="K670" s="24" t="str">
        <f t="shared" si="75"/>
        <v/>
      </c>
      <c r="L670" s="24" t="str">
        <f t="shared" si="76"/>
        <v/>
      </c>
    </row>
    <row r="671" spans="1:12" x14ac:dyDescent="0.25">
      <c r="A671" s="24">
        <f t="shared" si="70"/>
        <v>670</v>
      </c>
      <c r="B671" s="25" t="str">
        <f>IF($A671&gt;nrows,"",IF(col_user=0,"",INDEX('Paste Export'!$A$2:$BZ$1001,$A671,col_user)))</f>
        <v/>
      </c>
      <c r="C671" s="24" t="str">
        <f>IF($A671&gt;nrows,"",IF(col_days=0,0,N(INDEX('Paste Export'!$A$2:$BZ$1001,$A671,col_days))))</f>
        <v/>
      </c>
      <c r="D671" s="24" t="str">
        <f>IF($A671&gt;nrows,"",IF(col_prompts=0,0,N(INDEX('Paste Export'!$A$2:$BZ$1001,$A671,col_prompts))))</f>
        <v/>
      </c>
      <c r="E671" s="24" t="str">
        <f>IF($A671&gt;nrows,"",IF(col_web=0,0,N(INDEX('Paste Export'!$A$2:$BZ$1001,$A671,col_web))))</f>
        <v/>
      </c>
      <c r="F671" s="26" t="str">
        <f t="shared" si="71"/>
        <v/>
      </c>
      <c r="G671" s="27" t="str">
        <f t="shared" si="72"/>
        <v/>
      </c>
      <c r="H671" s="24" t="str">
        <f>IF($A671&gt;nrows,"",IF(col_s1=0,0,--(LEN(INDEX('Paste Export'!$A$2:$BZ$1001,$A671,col_s1))&gt;0))+IF(col_s2=0,0,--(LEN(INDEX('Paste Export'!$A$2:$BZ$1001,$A671,col_s2))&gt;0))+IF(col_s3=0,0,--(LEN(INDEX('Paste Export'!$A$2:$BZ$1001,$A671,col_s3))&gt;0))+IF(col_s4=0,0,--(LEN(INDEX('Paste Export'!$A$2:$BZ$1001,$A671,col_s4))&gt;0))+IF(col_s5=0,0,--(LEN(INDEX('Paste Export'!$A$2:$BZ$1001,$A671,col_s5))&gt;0))+IF(col_s6=0,0,--(LEN(INDEX('Paste Export'!$A$2:$BZ$1001,$A671,col_s6))&gt;0))+IF(col_s7=0,0,--(LEN(INDEX('Paste Export'!$A$2:$BZ$1001,$A671,col_s7))&gt;0))+IF(col_s8=0,0,--(LEN(INDEX('Paste Export'!$A$2:$BZ$1001,$A671,col_s8))&gt;0)))</f>
        <v/>
      </c>
      <c r="I671" s="25" t="str">
        <f t="shared" si="73"/>
        <v/>
      </c>
      <c r="J671" s="25" t="str">
        <f t="shared" si="74"/>
        <v/>
      </c>
      <c r="K671" s="24" t="str">
        <f t="shared" si="75"/>
        <v/>
      </c>
      <c r="L671" s="24" t="str">
        <f t="shared" si="76"/>
        <v/>
      </c>
    </row>
    <row r="672" spans="1:12" x14ac:dyDescent="0.25">
      <c r="A672" s="24">
        <f t="shared" si="70"/>
        <v>671</v>
      </c>
      <c r="B672" s="25" t="str">
        <f>IF($A672&gt;nrows,"",IF(col_user=0,"",INDEX('Paste Export'!$A$2:$BZ$1001,$A672,col_user)))</f>
        <v/>
      </c>
      <c r="C672" s="24" t="str">
        <f>IF($A672&gt;nrows,"",IF(col_days=0,0,N(INDEX('Paste Export'!$A$2:$BZ$1001,$A672,col_days))))</f>
        <v/>
      </c>
      <c r="D672" s="24" t="str">
        <f>IF($A672&gt;nrows,"",IF(col_prompts=0,0,N(INDEX('Paste Export'!$A$2:$BZ$1001,$A672,col_prompts))))</f>
        <v/>
      </c>
      <c r="E672" s="24" t="str">
        <f>IF($A672&gt;nrows,"",IF(col_web=0,0,N(INDEX('Paste Export'!$A$2:$BZ$1001,$A672,col_web))))</f>
        <v/>
      </c>
      <c r="F672" s="26" t="str">
        <f t="shared" si="71"/>
        <v/>
      </c>
      <c r="G672" s="27" t="str">
        <f t="shared" si="72"/>
        <v/>
      </c>
      <c r="H672" s="24" t="str">
        <f>IF($A672&gt;nrows,"",IF(col_s1=0,0,--(LEN(INDEX('Paste Export'!$A$2:$BZ$1001,$A672,col_s1))&gt;0))+IF(col_s2=0,0,--(LEN(INDEX('Paste Export'!$A$2:$BZ$1001,$A672,col_s2))&gt;0))+IF(col_s3=0,0,--(LEN(INDEX('Paste Export'!$A$2:$BZ$1001,$A672,col_s3))&gt;0))+IF(col_s4=0,0,--(LEN(INDEX('Paste Export'!$A$2:$BZ$1001,$A672,col_s4))&gt;0))+IF(col_s5=0,0,--(LEN(INDEX('Paste Export'!$A$2:$BZ$1001,$A672,col_s5))&gt;0))+IF(col_s6=0,0,--(LEN(INDEX('Paste Export'!$A$2:$BZ$1001,$A672,col_s6))&gt;0))+IF(col_s7=0,0,--(LEN(INDEX('Paste Export'!$A$2:$BZ$1001,$A672,col_s7))&gt;0))+IF(col_s8=0,0,--(LEN(INDEX('Paste Export'!$A$2:$BZ$1001,$A672,col_s8))&gt;0)))</f>
        <v/>
      </c>
      <c r="I672" s="25" t="str">
        <f t="shared" si="73"/>
        <v/>
      </c>
      <c r="J672" s="25" t="str">
        <f t="shared" si="74"/>
        <v/>
      </c>
      <c r="K672" s="24" t="str">
        <f t="shared" si="75"/>
        <v/>
      </c>
      <c r="L672" s="24" t="str">
        <f t="shared" si="76"/>
        <v/>
      </c>
    </row>
    <row r="673" spans="1:12" x14ac:dyDescent="0.25">
      <c r="A673" s="24">
        <f t="shared" si="70"/>
        <v>672</v>
      </c>
      <c r="B673" s="25" t="str">
        <f>IF($A673&gt;nrows,"",IF(col_user=0,"",INDEX('Paste Export'!$A$2:$BZ$1001,$A673,col_user)))</f>
        <v/>
      </c>
      <c r="C673" s="24" t="str">
        <f>IF($A673&gt;nrows,"",IF(col_days=0,0,N(INDEX('Paste Export'!$A$2:$BZ$1001,$A673,col_days))))</f>
        <v/>
      </c>
      <c r="D673" s="24" t="str">
        <f>IF($A673&gt;nrows,"",IF(col_prompts=0,0,N(INDEX('Paste Export'!$A$2:$BZ$1001,$A673,col_prompts))))</f>
        <v/>
      </c>
      <c r="E673" s="24" t="str">
        <f>IF($A673&gt;nrows,"",IF(col_web=0,0,N(INDEX('Paste Export'!$A$2:$BZ$1001,$A673,col_web))))</f>
        <v/>
      </c>
      <c r="F673" s="26" t="str">
        <f t="shared" si="71"/>
        <v/>
      </c>
      <c r="G673" s="27" t="str">
        <f t="shared" si="72"/>
        <v/>
      </c>
      <c r="H673" s="24" t="str">
        <f>IF($A673&gt;nrows,"",IF(col_s1=0,0,--(LEN(INDEX('Paste Export'!$A$2:$BZ$1001,$A673,col_s1))&gt;0))+IF(col_s2=0,0,--(LEN(INDEX('Paste Export'!$A$2:$BZ$1001,$A673,col_s2))&gt;0))+IF(col_s3=0,0,--(LEN(INDEX('Paste Export'!$A$2:$BZ$1001,$A673,col_s3))&gt;0))+IF(col_s4=0,0,--(LEN(INDEX('Paste Export'!$A$2:$BZ$1001,$A673,col_s4))&gt;0))+IF(col_s5=0,0,--(LEN(INDEX('Paste Export'!$A$2:$BZ$1001,$A673,col_s5))&gt;0))+IF(col_s6=0,0,--(LEN(INDEX('Paste Export'!$A$2:$BZ$1001,$A673,col_s6))&gt;0))+IF(col_s7=0,0,--(LEN(INDEX('Paste Export'!$A$2:$BZ$1001,$A673,col_s7))&gt;0))+IF(col_s8=0,0,--(LEN(INDEX('Paste Export'!$A$2:$BZ$1001,$A673,col_s8))&gt;0)))</f>
        <v/>
      </c>
      <c r="I673" s="25" t="str">
        <f t="shared" si="73"/>
        <v/>
      </c>
      <c r="J673" s="25" t="str">
        <f t="shared" si="74"/>
        <v/>
      </c>
      <c r="K673" s="24" t="str">
        <f t="shared" si="75"/>
        <v/>
      </c>
      <c r="L673" s="24" t="str">
        <f t="shared" si="76"/>
        <v/>
      </c>
    </row>
    <row r="674" spans="1:12" x14ac:dyDescent="0.25">
      <c r="A674" s="24">
        <f t="shared" si="70"/>
        <v>673</v>
      </c>
      <c r="B674" s="25" t="str">
        <f>IF($A674&gt;nrows,"",IF(col_user=0,"",INDEX('Paste Export'!$A$2:$BZ$1001,$A674,col_user)))</f>
        <v/>
      </c>
      <c r="C674" s="24" t="str">
        <f>IF($A674&gt;nrows,"",IF(col_days=0,0,N(INDEX('Paste Export'!$A$2:$BZ$1001,$A674,col_days))))</f>
        <v/>
      </c>
      <c r="D674" s="24" t="str">
        <f>IF($A674&gt;nrows,"",IF(col_prompts=0,0,N(INDEX('Paste Export'!$A$2:$BZ$1001,$A674,col_prompts))))</f>
        <v/>
      </c>
      <c r="E674" s="24" t="str">
        <f>IF($A674&gt;nrows,"",IF(col_web=0,0,N(INDEX('Paste Export'!$A$2:$BZ$1001,$A674,col_web))))</f>
        <v/>
      </c>
      <c r="F674" s="26" t="str">
        <f t="shared" si="71"/>
        <v/>
      </c>
      <c r="G674" s="27" t="str">
        <f t="shared" si="72"/>
        <v/>
      </c>
      <c r="H674" s="24" t="str">
        <f>IF($A674&gt;nrows,"",IF(col_s1=0,0,--(LEN(INDEX('Paste Export'!$A$2:$BZ$1001,$A674,col_s1))&gt;0))+IF(col_s2=0,0,--(LEN(INDEX('Paste Export'!$A$2:$BZ$1001,$A674,col_s2))&gt;0))+IF(col_s3=0,0,--(LEN(INDEX('Paste Export'!$A$2:$BZ$1001,$A674,col_s3))&gt;0))+IF(col_s4=0,0,--(LEN(INDEX('Paste Export'!$A$2:$BZ$1001,$A674,col_s4))&gt;0))+IF(col_s5=0,0,--(LEN(INDEX('Paste Export'!$A$2:$BZ$1001,$A674,col_s5))&gt;0))+IF(col_s6=0,0,--(LEN(INDEX('Paste Export'!$A$2:$BZ$1001,$A674,col_s6))&gt;0))+IF(col_s7=0,0,--(LEN(INDEX('Paste Export'!$A$2:$BZ$1001,$A674,col_s7))&gt;0))+IF(col_s8=0,0,--(LEN(INDEX('Paste Export'!$A$2:$BZ$1001,$A674,col_s8))&gt;0)))</f>
        <v/>
      </c>
      <c r="I674" s="25" t="str">
        <f t="shared" si="73"/>
        <v/>
      </c>
      <c r="J674" s="25" t="str">
        <f t="shared" si="74"/>
        <v/>
      </c>
      <c r="K674" s="24" t="str">
        <f t="shared" si="75"/>
        <v/>
      </c>
      <c r="L674" s="24" t="str">
        <f t="shared" si="76"/>
        <v/>
      </c>
    </row>
    <row r="675" spans="1:12" x14ac:dyDescent="0.25">
      <c r="A675" s="24">
        <f t="shared" si="70"/>
        <v>674</v>
      </c>
      <c r="B675" s="25" t="str">
        <f>IF($A675&gt;nrows,"",IF(col_user=0,"",INDEX('Paste Export'!$A$2:$BZ$1001,$A675,col_user)))</f>
        <v/>
      </c>
      <c r="C675" s="24" t="str">
        <f>IF($A675&gt;nrows,"",IF(col_days=0,0,N(INDEX('Paste Export'!$A$2:$BZ$1001,$A675,col_days))))</f>
        <v/>
      </c>
      <c r="D675" s="24" t="str">
        <f>IF($A675&gt;nrows,"",IF(col_prompts=0,0,N(INDEX('Paste Export'!$A$2:$BZ$1001,$A675,col_prompts))))</f>
        <v/>
      </c>
      <c r="E675" s="24" t="str">
        <f>IF($A675&gt;nrows,"",IF(col_web=0,0,N(INDEX('Paste Export'!$A$2:$BZ$1001,$A675,col_web))))</f>
        <v/>
      </c>
      <c r="F675" s="26" t="str">
        <f t="shared" si="71"/>
        <v/>
      </c>
      <c r="G675" s="27" t="str">
        <f t="shared" si="72"/>
        <v/>
      </c>
      <c r="H675" s="24" t="str">
        <f>IF($A675&gt;nrows,"",IF(col_s1=0,0,--(LEN(INDEX('Paste Export'!$A$2:$BZ$1001,$A675,col_s1))&gt;0))+IF(col_s2=0,0,--(LEN(INDEX('Paste Export'!$A$2:$BZ$1001,$A675,col_s2))&gt;0))+IF(col_s3=0,0,--(LEN(INDEX('Paste Export'!$A$2:$BZ$1001,$A675,col_s3))&gt;0))+IF(col_s4=0,0,--(LEN(INDEX('Paste Export'!$A$2:$BZ$1001,$A675,col_s4))&gt;0))+IF(col_s5=0,0,--(LEN(INDEX('Paste Export'!$A$2:$BZ$1001,$A675,col_s5))&gt;0))+IF(col_s6=0,0,--(LEN(INDEX('Paste Export'!$A$2:$BZ$1001,$A675,col_s6))&gt;0))+IF(col_s7=0,0,--(LEN(INDEX('Paste Export'!$A$2:$BZ$1001,$A675,col_s7))&gt;0))+IF(col_s8=0,0,--(LEN(INDEX('Paste Export'!$A$2:$BZ$1001,$A675,col_s8))&gt;0)))</f>
        <v/>
      </c>
      <c r="I675" s="25" t="str">
        <f t="shared" si="73"/>
        <v/>
      </c>
      <c r="J675" s="25" t="str">
        <f t="shared" si="74"/>
        <v/>
      </c>
      <c r="K675" s="24" t="str">
        <f t="shared" si="75"/>
        <v/>
      </c>
      <c r="L675" s="24" t="str">
        <f t="shared" si="76"/>
        <v/>
      </c>
    </row>
    <row r="676" spans="1:12" x14ac:dyDescent="0.25">
      <c r="A676" s="24">
        <f t="shared" si="70"/>
        <v>675</v>
      </c>
      <c r="B676" s="25" t="str">
        <f>IF($A676&gt;nrows,"",IF(col_user=0,"",INDEX('Paste Export'!$A$2:$BZ$1001,$A676,col_user)))</f>
        <v/>
      </c>
      <c r="C676" s="24" t="str">
        <f>IF($A676&gt;nrows,"",IF(col_days=0,0,N(INDEX('Paste Export'!$A$2:$BZ$1001,$A676,col_days))))</f>
        <v/>
      </c>
      <c r="D676" s="24" t="str">
        <f>IF($A676&gt;nrows,"",IF(col_prompts=0,0,N(INDEX('Paste Export'!$A$2:$BZ$1001,$A676,col_prompts))))</f>
        <v/>
      </c>
      <c r="E676" s="24" t="str">
        <f>IF($A676&gt;nrows,"",IF(col_web=0,0,N(INDEX('Paste Export'!$A$2:$BZ$1001,$A676,col_web))))</f>
        <v/>
      </c>
      <c r="F676" s="26" t="str">
        <f t="shared" si="71"/>
        <v/>
      </c>
      <c r="G676" s="27" t="str">
        <f t="shared" si="72"/>
        <v/>
      </c>
      <c r="H676" s="24" t="str">
        <f>IF($A676&gt;nrows,"",IF(col_s1=0,0,--(LEN(INDEX('Paste Export'!$A$2:$BZ$1001,$A676,col_s1))&gt;0))+IF(col_s2=0,0,--(LEN(INDEX('Paste Export'!$A$2:$BZ$1001,$A676,col_s2))&gt;0))+IF(col_s3=0,0,--(LEN(INDEX('Paste Export'!$A$2:$BZ$1001,$A676,col_s3))&gt;0))+IF(col_s4=0,0,--(LEN(INDEX('Paste Export'!$A$2:$BZ$1001,$A676,col_s4))&gt;0))+IF(col_s5=0,0,--(LEN(INDEX('Paste Export'!$A$2:$BZ$1001,$A676,col_s5))&gt;0))+IF(col_s6=0,0,--(LEN(INDEX('Paste Export'!$A$2:$BZ$1001,$A676,col_s6))&gt;0))+IF(col_s7=0,0,--(LEN(INDEX('Paste Export'!$A$2:$BZ$1001,$A676,col_s7))&gt;0))+IF(col_s8=0,0,--(LEN(INDEX('Paste Export'!$A$2:$BZ$1001,$A676,col_s8))&gt;0)))</f>
        <v/>
      </c>
      <c r="I676" s="25" t="str">
        <f t="shared" si="73"/>
        <v/>
      </c>
      <c r="J676" s="25" t="str">
        <f t="shared" si="74"/>
        <v/>
      </c>
      <c r="K676" s="24" t="str">
        <f t="shared" si="75"/>
        <v/>
      </c>
      <c r="L676" s="24" t="str">
        <f t="shared" si="76"/>
        <v/>
      </c>
    </row>
    <row r="677" spans="1:12" x14ac:dyDescent="0.25">
      <c r="A677" s="24">
        <f t="shared" si="70"/>
        <v>676</v>
      </c>
      <c r="B677" s="25" t="str">
        <f>IF($A677&gt;nrows,"",IF(col_user=0,"",INDEX('Paste Export'!$A$2:$BZ$1001,$A677,col_user)))</f>
        <v/>
      </c>
      <c r="C677" s="24" t="str">
        <f>IF($A677&gt;nrows,"",IF(col_days=0,0,N(INDEX('Paste Export'!$A$2:$BZ$1001,$A677,col_days))))</f>
        <v/>
      </c>
      <c r="D677" s="24" t="str">
        <f>IF($A677&gt;nrows,"",IF(col_prompts=0,0,N(INDEX('Paste Export'!$A$2:$BZ$1001,$A677,col_prompts))))</f>
        <v/>
      </c>
      <c r="E677" s="24" t="str">
        <f>IF($A677&gt;nrows,"",IF(col_web=0,0,N(INDEX('Paste Export'!$A$2:$BZ$1001,$A677,col_web))))</f>
        <v/>
      </c>
      <c r="F677" s="26" t="str">
        <f t="shared" si="71"/>
        <v/>
      </c>
      <c r="G677" s="27" t="str">
        <f t="shared" si="72"/>
        <v/>
      </c>
      <c r="H677" s="24" t="str">
        <f>IF($A677&gt;nrows,"",IF(col_s1=0,0,--(LEN(INDEX('Paste Export'!$A$2:$BZ$1001,$A677,col_s1))&gt;0))+IF(col_s2=0,0,--(LEN(INDEX('Paste Export'!$A$2:$BZ$1001,$A677,col_s2))&gt;0))+IF(col_s3=0,0,--(LEN(INDEX('Paste Export'!$A$2:$BZ$1001,$A677,col_s3))&gt;0))+IF(col_s4=0,0,--(LEN(INDEX('Paste Export'!$A$2:$BZ$1001,$A677,col_s4))&gt;0))+IF(col_s5=0,0,--(LEN(INDEX('Paste Export'!$A$2:$BZ$1001,$A677,col_s5))&gt;0))+IF(col_s6=0,0,--(LEN(INDEX('Paste Export'!$A$2:$BZ$1001,$A677,col_s6))&gt;0))+IF(col_s7=0,0,--(LEN(INDEX('Paste Export'!$A$2:$BZ$1001,$A677,col_s7))&gt;0))+IF(col_s8=0,0,--(LEN(INDEX('Paste Export'!$A$2:$BZ$1001,$A677,col_s8))&gt;0)))</f>
        <v/>
      </c>
      <c r="I677" s="25" t="str">
        <f t="shared" si="73"/>
        <v/>
      </c>
      <c r="J677" s="25" t="str">
        <f t="shared" si="74"/>
        <v/>
      </c>
      <c r="K677" s="24" t="str">
        <f t="shared" si="75"/>
        <v/>
      </c>
      <c r="L677" s="24" t="str">
        <f t="shared" si="76"/>
        <v/>
      </c>
    </row>
    <row r="678" spans="1:12" x14ac:dyDescent="0.25">
      <c r="A678" s="24">
        <f t="shared" si="70"/>
        <v>677</v>
      </c>
      <c r="B678" s="25" t="str">
        <f>IF($A678&gt;nrows,"",IF(col_user=0,"",INDEX('Paste Export'!$A$2:$BZ$1001,$A678,col_user)))</f>
        <v/>
      </c>
      <c r="C678" s="24" t="str">
        <f>IF($A678&gt;nrows,"",IF(col_days=0,0,N(INDEX('Paste Export'!$A$2:$BZ$1001,$A678,col_days))))</f>
        <v/>
      </c>
      <c r="D678" s="24" t="str">
        <f>IF($A678&gt;nrows,"",IF(col_prompts=0,0,N(INDEX('Paste Export'!$A$2:$BZ$1001,$A678,col_prompts))))</f>
        <v/>
      </c>
      <c r="E678" s="24" t="str">
        <f>IF($A678&gt;nrows,"",IF(col_web=0,0,N(INDEX('Paste Export'!$A$2:$BZ$1001,$A678,col_web))))</f>
        <v/>
      </c>
      <c r="F678" s="26" t="str">
        <f t="shared" si="71"/>
        <v/>
      </c>
      <c r="G678" s="27" t="str">
        <f t="shared" si="72"/>
        <v/>
      </c>
      <c r="H678" s="24" t="str">
        <f>IF($A678&gt;nrows,"",IF(col_s1=0,0,--(LEN(INDEX('Paste Export'!$A$2:$BZ$1001,$A678,col_s1))&gt;0))+IF(col_s2=0,0,--(LEN(INDEX('Paste Export'!$A$2:$BZ$1001,$A678,col_s2))&gt;0))+IF(col_s3=0,0,--(LEN(INDEX('Paste Export'!$A$2:$BZ$1001,$A678,col_s3))&gt;0))+IF(col_s4=0,0,--(LEN(INDEX('Paste Export'!$A$2:$BZ$1001,$A678,col_s4))&gt;0))+IF(col_s5=0,0,--(LEN(INDEX('Paste Export'!$A$2:$BZ$1001,$A678,col_s5))&gt;0))+IF(col_s6=0,0,--(LEN(INDEX('Paste Export'!$A$2:$BZ$1001,$A678,col_s6))&gt;0))+IF(col_s7=0,0,--(LEN(INDEX('Paste Export'!$A$2:$BZ$1001,$A678,col_s7))&gt;0))+IF(col_s8=0,0,--(LEN(INDEX('Paste Export'!$A$2:$BZ$1001,$A678,col_s8))&gt;0)))</f>
        <v/>
      </c>
      <c r="I678" s="25" t="str">
        <f t="shared" si="73"/>
        <v/>
      </c>
      <c r="J678" s="25" t="str">
        <f t="shared" si="74"/>
        <v/>
      </c>
      <c r="K678" s="24" t="str">
        <f t="shared" si="75"/>
        <v/>
      </c>
      <c r="L678" s="24" t="str">
        <f t="shared" si="76"/>
        <v/>
      </c>
    </row>
    <row r="679" spans="1:12" x14ac:dyDescent="0.25">
      <c r="A679" s="24">
        <f t="shared" si="70"/>
        <v>678</v>
      </c>
      <c r="B679" s="25" t="str">
        <f>IF($A679&gt;nrows,"",IF(col_user=0,"",INDEX('Paste Export'!$A$2:$BZ$1001,$A679,col_user)))</f>
        <v/>
      </c>
      <c r="C679" s="24" t="str">
        <f>IF($A679&gt;nrows,"",IF(col_days=0,0,N(INDEX('Paste Export'!$A$2:$BZ$1001,$A679,col_days))))</f>
        <v/>
      </c>
      <c r="D679" s="24" t="str">
        <f>IF($A679&gt;nrows,"",IF(col_prompts=0,0,N(INDEX('Paste Export'!$A$2:$BZ$1001,$A679,col_prompts))))</f>
        <v/>
      </c>
      <c r="E679" s="24" t="str">
        <f>IF($A679&gt;nrows,"",IF(col_web=0,0,N(INDEX('Paste Export'!$A$2:$BZ$1001,$A679,col_web))))</f>
        <v/>
      </c>
      <c r="F679" s="26" t="str">
        <f t="shared" si="71"/>
        <v/>
      </c>
      <c r="G679" s="27" t="str">
        <f t="shared" si="72"/>
        <v/>
      </c>
      <c r="H679" s="24" t="str">
        <f>IF($A679&gt;nrows,"",IF(col_s1=0,0,--(LEN(INDEX('Paste Export'!$A$2:$BZ$1001,$A679,col_s1))&gt;0))+IF(col_s2=0,0,--(LEN(INDEX('Paste Export'!$A$2:$BZ$1001,$A679,col_s2))&gt;0))+IF(col_s3=0,0,--(LEN(INDEX('Paste Export'!$A$2:$BZ$1001,$A679,col_s3))&gt;0))+IF(col_s4=0,0,--(LEN(INDEX('Paste Export'!$A$2:$BZ$1001,$A679,col_s4))&gt;0))+IF(col_s5=0,0,--(LEN(INDEX('Paste Export'!$A$2:$BZ$1001,$A679,col_s5))&gt;0))+IF(col_s6=0,0,--(LEN(INDEX('Paste Export'!$A$2:$BZ$1001,$A679,col_s6))&gt;0))+IF(col_s7=0,0,--(LEN(INDEX('Paste Export'!$A$2:$BZ$1001,$A679,col_s7))&gt;0))+IF(col_s8=0,0,--(LEN(INDEX('Paste Export'!$A$2:$BZ$1001,$A679,col_s8))&gt;0)))</f>
        <v/>
      </c>
      <c r="I679" s="25" t="str">
        <f t="shared" si="73"/>
        <v/>
      </c>
      <c r="J679" s="25" t="str">
        <f t="shared" si="74"/>
        <v/>
      </c>
      <c r="K679" s="24" t="str">
        <f t="shared" si="75"/>
        <v/>
      </c>
      <c r="L679" s="24" t="str">
        <f t="shared" si="76"/>
        <v/>
      </c>
    </row>
    <row r="680" spans="1:12" x14ac:dyDescent="0.25">
      <c r="A680" s="24">
        <f t="shared" si="70"/>
        <v>679</v>
      </c>
      <c r="B680" s="25" t="str">
        <f>IF($A680&gt;nrows,"",IF(col_user=0,"",INDEX('Paste Export'!$A$2:$BZ$1001,$A680,col_user)))</f>
        <v/>
      </c>
      <c r="C680" s="24" t="str">
        <f>IF($A680&gt;nrows,"",IF(col_days=0,0,N(INDEX('Paste Export'!$A$2:$BZ$1001,$A680,col_days))))</f>
        <v/>
      </c>
      <c r="D680" s="24" t="str">
        <f>IF($A680&gt;nrows,"",IF(col_prompts=0,0,N(INDEX('Paste Export'!$A$2:$BZ$1001,$A680,col_prompts))))</f>
        <v/>
      </c>
      <c r="E680" s="24" t="str">
        <f>IF($A680&gt;nrows,"",IF(col_web=0,0,N(INDEX('Paste Export'!$A$2:$BZ$1001,$A680,col_web))))</f>
        <v/>
      </c>
      <c r="F680" s="26" t="str">
        <f t="shared" si="71"/>
        <v/>
      </c>
      <c r="G680" s="27" t="str">
        <f t="shared" si="72"/>
        <v/>
      </c>
      <c r="H680" s="24" t="str">
        <f>IF($A680&gt;nrows,"",IF(col_s1=0,0,--(LEN(INDEX('Paste Export'!$A$2:$BZ$1001,$A680,col_s1))&gt;0))+IF(col_s2=0,0,--(LEN(INDEX('Paste Export'!$A$2:$BZ$1001,$A680,col_s2))&gt;0))+IF(col_s3=0,0,--(LEN(INDEX('Paste Export'!$A$2:$BZ$1001,$A680,col_s3))&gt;0))+IF(col_s4=0,0,--(LEN(INDEX('Paste Export'!$A$2:$BZ$1001,$A680,col_s4))&gt;0))+IF(col_s5=0,0,--(LEN(INDEX('Paste Export'!$A$2:$BZ$1001,$A680,col_s5))&gt;0))+IF(col_s6=0,0,--(LEN(INDEX('Paste Export'!$A$2:$BZ$1001,$A680,col_s6))&gt;0))+IF(col_s7=0,0,--(LEN(INDEX('Paste Export'!$A$2:$BZ$1001,$A680,col_s7))&gt;0))+IF(col_s8=0,0,--(LEN(INDEX('Paste Export'!$A$2:$BZ$1001,$A680,col_s8))&gt;0)))</f>
        <v/>
      </c>
      <c r="I680" s="25" t="str">
        <f t="shared" si="73"/>
        <v/>
      </c>
      <c r="J680" s="25" t="str">
        <f t="shared" si="74"/>
        <v/>
      </c>
      <c r="K680" s="24" t="str">
        <f t="shared" si="75"/>
        <v/>
      </c>
      <c r="L680" s="24" t="str">
        <f t="shared" si="76"/>
        <v/>
      </c>
    </row>
    <row r="681" spans="1:12" x14ac:dyDescent="0.25">
      <c r="A681" s="24">
        <f t="shared" si="70"/>
        <v>680</v>
      </c>
      <c r="B681" s="25" t="str">
        <f>IF($A681&gt;nrows,"",IF(col_user=0,"",INDEX('Paste Export'!$A$2:$BZ$1001,$A681,col_user)))</f>
        <v/>
      </c>
      <c r="C681" s="24" t="str">
        <f>IF($A681&gt;nrows,"",IF(col_days=0,0,N(INDEX('Paste Export'!$A$2:$BZ$1001,$A681,col_days))))</f>
        <v/>
      </c>
      <c r="D681" s="24" t="str">
        <f>IF($A681&gt;nrows,"",IF(col_prompts=0,0,N(INDEX('Paste Export'!$A$2:$BZ$1001,$A681,col_prompts))))</f>
        <v/>
      </c>
      <c r="E681" s="24" t="str">
        <f>IF($A681&gt;nrows,"",IF(col_web=0,0,N(INDEX('Paste Export'!$A$2:$BZ$1001,$A681,col_web))))</f>
        <v/>
      </c>
      <c r="F681" s="26" t="str">
        <f t="shared" si="71"/>
        <v/>
      </c>
      <c r="G681" s="27" t="str">
        <f t="shared" si="72"/>
        <v/>
      </c>
      <c r="H681" s="24" t="str">
        <f>IF($A681&gt;nrows,"",IF(col_s1=0,0,--(LEN(INDEX('Paste Export'!$A$2:$BZ$1001,$A681,col_s1))&gt;0))+IF(col_s2=0,0,--(LEN(INDEX('Paste Export'!$A$2:$BZ$1001,$A681,col_s2))&gt;0))+IF(col_s3=0,0,--(LEN(INDEX('Paste Export'!$A$2:$BZ$1001,$A681,col_s3))&gt;0))+IF(col_s4=0,0,--(LEN(INDEX('Paste Export'!$A$2:$BZ$1001,$A681,col_s4))&gt;0))+IF(col_s5=0,0,--(LEN(INDEX('Paste Export'!$A$2:$BZ$1001,$A681,col_s5))&gt;0))+IF(col_s6=0,0,--(LEN(INDEX('Paste Export'!$A$2:$BZ$1001,$A681,col_s6))&gt;0))+IF(col_s7=0,0,--(LEN(INDEX('Paste Export'!$A$2:$BZ$1001,$A681,col_s7))&gt;0))+IF(col_s8=0,0,--(LEN(INDEX('Paste Export'!$A$2:$BZ$1001,$A681,col_s8))&gt;0)))</f>
        <v/>
      </c>
      <c r="I681" s="25" t="str">
        <f t="shared" si="73"/>
        <v/>
      </c>
      <c r="J681" s="25" t="str">
        <f t="shared" si="74"/>
        <v/>
      </c>
      <c r="K681" s="24" t="str">
        <f t="shared" si="75"/>
        <v/>
      </c>
      <c r="L681" s="24" t="str">
        <f t="shared" si="76"/>
        <v/>
      </c>
    </row>
    <row r="682" spans="1:12" x14ac:dyDescent="0.25">
      <c r="A682" s="24">
        <f t="shared" si="70"/>
        <v>681</v>
      </c>
      <c r="B682" s="25" t="str">
        <f>IF($A682&gt;nrows,"",IF(col_user=0,"",INDEX('Paste Export'!$A$2:$BZ$1001,$A682,col_user)))</f>
        <v/>
      </c>
      <c r="C682" s="24" t="str">
        <f>IF($A682&gt;nrows,"",IF(col_days=0,0,N(INDEX('Paste Export'!$A$2:$BZ$1001,$A682,col_days))))</f>
        <v/>
      </c>
      <c r="D682" s="24" t="str">
        <f>IF($A682&gt;nrows,"",IF(col_prompts=0,0,N(INDEX('Paste Export'!$A$2:$BZ$1001,$A682,col_prompts))))</f>
        <v/>
      </c>
      <c r="E682" s="24" t="str">
        <f>IF($A682&gt;nrows,"",IF(col_web=0,0,N(INDEX('Paste Export'!$A$2:$BZ$1001,$A682,col_web))))</f>
        <v/>
      </c>
      <c r="F682" s="26" t="str">
        <f t="shared" si="71"/>
        <v/>
      </c>
      <c r="G682" s="27" t="str">
        <f t="shared" si="72"/>
        <v/>
      </c>
      <c r="H682" s="24" t="str">
        <f>IF($A682&gt;nrows,"",IF(col_s1=0,0,--(LEN(INDEX('Paste Export'!$A$2:$BZ$1001,$A682,col_s1))&gt;0))+IF(col_s2=0,0,--(LEN(INDEX('Paste Export'!$A$2:$BZ$1001,$A682,col_s2))&gt;0))+IF(col_s3=0,0,--(LEN(INDEX('Paste Export'!$A$2:$BZ$1001,$A682,col_s3))&gt;0))+IF(col_s4=0,0,--(LEN(INDEX('Paste Export'!$A$2:$BZ$1001,$A682,col_s4))&gt;0))+IF(col_s5=0,0,--(LEN(INDEX('Paste Export'!$A$2:$BZ$1001,$A682,col_s5))&gt;0))+IF(col_s6=0,0,--(LEN(INDEX('Paste Export'!$A$2:$BZ$1001,$A682,col_s6))&gt;0))+IF(col_s7=0,0,--(LEN(INDEX('Paste Export'!$A$2:$BZ$1001,$A682,col_s7))&gt;0))+IF(col_s8=0,0,--(LEN(INDEX('Paste Export'!$A$2:$BZ$1001,$A682,col_s8))&gt;0)))</f>
        <v/>
      </c>
      <c r="I682" s="25" t="str">
        <f t="shared" si="73"/>
        <v/>
      </c>
      <c r="J682" s="25" t="str">
        <f t="shared" si="74"/>
        <v/>
      </c>
      <c r="K682" s="24" t="str">
        <f t="shared" si="75"/>
        <v/>
      </c>
      <c r="L682" s="24" t="str">
        <f t="shared" si="76"/>
        <v/>
      </c>
    </row>
    <row r="683" spans="1:12" x14ac:dyDescent="0.25">
      <c r="A683" s="24">
        <f t="shared" si="70"/>
        <v>682</v>
      </c>
      <c r="B683" s="25" t="str">
        <f>IF($A683&gt;nrows,"",IF(col_user=0,"",INDEX('Paste Export'!$A$2:$BZ$1001,$A683,col_user)))</f>
        <v/>
      </c>
      <c r="C683" s="24" t="str">
        <f>IF($A683&gt;nrows,"",IF(col_days=0,0,N(INDEX('Paste Export'!$A$2:$BZ$1001,$A683,col_days))))</f>
        <v/>
      </c>
      <c r="D683" s="24" t="str">
        <f>IF($A683&gt;nrows,"",IF(col_prompts=0,0,N(INDEX('Paste Export'!$A$2:$BZ$1001,$A683,col_prompts))))</f>
        <v/>
      </c>
      <c r="E683" s="24" t="str">
        <f>IF($A683&gt;nrows,"",IF(col_web=0,0,N(INDEX('Paste Export'!$A$2:$BZ$1001,$A683,col_web))))</f>
        <v/>
      </c>
      <c r="F683" s="26" t="str">
        <f t="shared" si="71"/>
        <v/>
      </c>
      <c r="G683" s="27" t="str">
        <f t="shared" si="72"/>
        <v/>
      </c>
      <c r="H683" s="24" t="str">
        <f>IF($A683&gt;nrows,"",IF(col_s1=0,0,--(LEN(INDEX('Paste Export'!$A$2:$BZ$1001,$A683,col_s1))&gt;0))+IF(col_s2=0,0,--(LEN(INDEX('Paste Export'!$A$2:$BZ$1001,$A683,col_s2))&gt;0))+IF(col_s3=0,0,--(LEN(INDEX('Paste Export'!$A$2:$BZ$1001,$A683,col_s3))&gt;0))+IF(col_s4=0,0,--(LEN(INDEX('Paste Export'!$A$2:$BZ$1001,$A683,col_s4))&gt;0))+IF(col_s5=0,0,--(LEN(INDEX('Paste Export'!$A$2:$BZ$1001,$A683,col_s5))&gt;0))+IF(col_s6=0,0,--(LEN(INDEX('Paste Export'!$A$2:$BZ$1001,$A683,col_s6))&gt;0))+IF(col_s7=0,0,--(LEN(INDEX('Paste Export'!$A$2:$BZ$1001,$A683,col_s7))&gt;0))+IF(col_s8=0,0,--(LEN(INDEX('Paste Export'!$A$2:$BZ$1001,$A683,col_s8))&gt;0)))</f>
        <v/>
      </c>
      <c r="I683" s="25" t="str">
        <f t="shared" si="73"/>
        <v/>
      </c>
      <c r="J683" s="25" t="str">
        <f t="shared" si="74"/>
        <v/>
      </c>
      <c r="K683" s="24" t="str">
        <f t="shared" si="75"/>
        <v/>
      </c>
      <c r="L683" s="24" t="str">
        <f t="shared" si="76"/>
        <v/>
      </c>
    </row>
    <row r="684" spans="1:12" x14ac:dyDescent="0.25">
      <c r="A684" s="24">
        <f t="shared" si="70"/>
        <v>683</v>
      </c>
      <c r="B684" s="25" t="str">
        <f>IF($A684&gt;nrows,"",IF(col_user=0,"",INDEX('Paste Export'!$A$2:$BZ$1001,$A684,col_user)))</f>
        <v/>
      </c>
      <c r="C684" s="24" t="str">
        <f>IF($A684&gt;nrows,"",IF(col_days=0,0,N(INDEX('Paste Export'!$A$2:$BZ$1001,$A684,col_days))))</f>
        <v/>
      </c>
      <c r="D684" s="24" t="str">
        <f>IF($A684&gt;nrows,"",IF(col_prompts=0,0,N(INDEX('Paste Export'!$A$2:$BZ$1001,$A684,col_prompts))))</f>
        <v/>
      </c>
      <c r="E684" s="24" t="str">
        <f>IF($A684&gt;nrows,"",IF(col_web=0,0,N(INDEX('Paste Export'!$A$2:$BZ$1001,$A684,col_web))))</f>
        <v/>
      </c>
      <c r="F684" s="26" t="str">
        <f t="shared" si="71"/>
        <v/>
      </c>
      <c r="G684" s="27" t="str">
        <f t="shared" si="72"/>
        <v/>
      </c>
      <c r="H684" s="24" t="str">
        <f>IF($A684&gt;nrows,"",IF(col_s1=0,0,--(LEN(INDEX('Paste Export'!$A$2:$BZ$1001,$A684,col_s1))&gt;0))+IF(col_s2=0,0,--(LEN(INDEX('Paste Export'!$A$2:$BZ$1001,$A684,col_s2))&gt;0))+IF(col_s3=0,0,--(LEN(INDEX('Paste Export'!$A$2:$BZ$1001,$A684,col_s3))&gt;0))+IF(col_s4=0,0,--(LEN(INDEX('Paste Export'!$A$2:$BZ$1001,$A684,col_s4))&gt;0))+IF(col_s5=0,0,--(LEN(INDEX('Paste Export'!$A$2:$BZ$1001,$A684,col_s5))&gt;0))+IF(col_s6=0,0,--(LEN(INDEX('Paste Export'!$A$2:$BZ$1001,$A684,col_s6))&gt;0))+IF(col_s7=0,0,--(LEN(INDEX('Paste Export'!$A$2:$BZ$1001,$A684,col_s7))&gt;0))+IF(col_s8=0,0,--(LEN(INDEX('Paste Export'!$A$2:$BZ$1001,$A684,col_s8))&gt;0)))</f>
        <v/>
      </c>
      <c r="I684" s="25" t="str">
        <f t="shared" si="73"/>
        <v/>
      </c>
      <c r="J684" s="25" t="str">
        <f t="shared" si="74"/>
        <v/>
      </c>
      <c r="K684" s="24" t="str">
        <f t="shared" si="75"/>
        <v/>
      </c>
      <c r="L684" s="24" t="str">
        <f t="shared" si="76"/>
        <v/>
      </c>
    </row>
    <row r="685" spans="1:12" x14ac:dyDescent="0.25">
      <c r="A685" s="24">
        <f t="shared" si="70"/>
        <v>684</v>
      </c>
      <c r="B685" s="25" t="str">
        <f>IF($A685&gt;nrows,"",IF(col_user=0,"",INDEX('Paste Export'!$A$2:$BZ$1001,$A685,col_user)))</f>
        <v/>
      </c>
      <c r="C685" s="24" t="str">
        <f>IF($A685&gt;nrows,"",IF(col_days=0,0,N(INDEX('Paste Export'!$A$2:$BZ$1001,$A685,col_days))))</f>
        <v/>
      </c>
      <c r="D685" s="24" t="str">
        <f>IF($A685&gt;nrows,"",IF(col_prompts=0,0,N(INDEX('Paste Export'!$A$2:$BZ$1001,$A685,col_prompts))))</f>
        <v/>
      </c>
      <c r="E685" s="24" t="str">
        <f>IF($A685&gt;nrows,"",IF(col_web=0,0,N(INDEX('Paste Export'!$A$2:$BZ$1001,$A685,col_web))))</f>
        <v/>
      </c>
      <c r="F685" s="26" t="str">
        <f t="shared" si="71"/>
        <v/>
      </c>
      <c r="G685" s="27" t="str">
        <f t="shared" si="72"/>
        <v/>
      </c>
      <c r="H685" s="24" t="str">
        <f>IF($A685&gt;nrows,"",IF(col_s1=0,0,--(LEN(INDEX('Paste Export'!$A$2:$BZ$1001,$A685,col_s1))&gt;0))+IF(col_s2=0,0,--(LEN(INDEX('Paste Export'!$A$2:$BZ$1001,$A685,col_s2))&gt;0))+IF(col_s3=0,0,--(LEN(INDEX('Paste Export'!$A$2:$BZ$1001,$A685,col_s3))&gt;0))+IF(col_s4=0,0,--(LEN(INDEX('Paste Export'!$A$2:$BZ$1001,$A685,col_s4))&gt;0))+IF(col_s5=0,0,--(LEN(INDEX('Paste Export'!$A$2:$BZ$1001,$A685,col_s5))&gt;0))+IF(col_s6=0,0,--(LEN(INDEX('Paste Export'!$A$2:$BZ$1001,$A685,col_s6))&gt;0))+IF(col_s7=0,0,--(LEN(INDEX('Paste Export'!$A$2:$BZ$1001,$A685,col_s7))&gt;0))+IF(col_s8=0,0,--(LEN(INDEX('Paste Export'!$A$2:$BZ$1001,$A685,col_s8))&gt;0)))</f>
        <v/>
      </c>
      <c r="I685" s="25" t="str">
        <f t="shared" si="73"/>
        <v/>
      </c>
      <c r="J685" s="25" t="str">
        <f t="shared" si="74"/>
        <v/>
      </c>
      <c r="K685" s="24" t="str">
        <f t="shared" si="75"/>
        <v/>
      </c>
      <c r="L685" s="24" t="str">
        <f t="shared" si="76"/>
        <v/>
      </c>
    </row>
    <row r="686" spans="1:12" x14ac:dyDescent="0.25">
      <c r="A686" s="24">
        <f t="shared" si="70"/>
        <v>685</v>
      </c>
      <c r="B686" s="25" t="str">
        <f>IF($A686&gt;nrows,"",IF(col_user=0,"",INDEX('Paste Export'!$A$2:$BZ$1001,$A686,col_user)))</f>
        <v/>
      </c>
      <c r="C686" s="24" t="str">
        <f>IF($A686&gt;nrows,"",IF(col_days=0,0,N(INDEX('Paste Export'!$A$2:$BZ$1001,$A686,col_days))))</f>
        <v/>
      </c>
      <c r="D686" s="24" t="str">
        <f>IF($A686&gt;nrows,"",IF(col_prompts=0,0,N(INDEX('Paste Export'!$A$2:$BZ$1001,$A686,col_prompts))))</f>
        <v/>
      </c>
      <c r="E686" s="24" t="str">
        <f>IF($A686&gt;nrows,"",IF(col_web=0,0,N(INDEX('Paste Export'!$A$2:$BZ$1001,$A686,col_web))))</f>
        <v/>
      </c>
      <c r="F686" s="26" t="str">
        <f t="shared" si="71"/>
        <v/>
      </c>
      <c r="G686" s="27" t="str">
        <f t="shared" si="72"/>
        <v/>
      </c>
      <c r="H686" s="24" t="str">
        <f>IF($A686&gt;nrows,"",IF(col_s1=0,0,--(LEN(INDEX('Paste Export'!$A$2:$BZ$1001,$A686,col_s1))&gt;0))+IF(col_s2=0,0,--(LEN(INDEX('Paste Export'!$A$2:$BZ$1001,$A686,col_s2))&gt;0))+IF(col_s3=0,0,--(LEN(INDEX('Paste Export'!$A$2:$BZ$1001,$A686,col_s3))&gt;0))+IF(col_s4=0,0,--(LEN(INDEX('Paste Export'!$A$2:$BZ$1001,$A686,col_s4))&gt;0))+IF(col_s5=0,0,--(LEN(INDEX('Paste Export'!$A$2:$BZ$1001,$A686,col_s5))&gt;0))+IF(col_s6=0,0,--(LEN(INDEX('Paste Export'!$A$2:$BZ$1001,$A686,col_s6))&gt;0))+IF(col_s7=0,0,--(LEN(INDEX('Paste Export'!$A$2:$BZ$1001,$A686,col_s7))&gt;0))+IF(col_s8=0,0,--(LEN(INDEX('Paste Export'!$A$2:$BZ$1001,$A686,col_s8))&gt;0)))</f>
        <v/>
      </c>
      <c r="I686" s="25" t="str">
        <f t="shared" si="73"/>
        <v/>
      </c>
      <c r="J686" s="25" t="str">
        <f t="shared" si="74"/>
        <v/>
      </c>
      <c r="K686" s="24" t="str">
        <f t="shared" si="75"/>
        <v/>
      </c>
      <c r="L686" s="24" t="str">
        <f t="shared" si="76"/>
        <v/>
      </c>
    </row>
    <row r="687" spans="1:12" x14ac:dyDescent="0.25">
      <c r="A687" s="24">
        <f t="shared" si="70"/>
        <v>686</v>
      </c>
      <c r="B687" s="25" t="str">
        <f>IF($A687&gt;nrows,"",IF(col_user=0,"",INDEX('Paste Export'!$A$2:$BZ$1001,$A687,col_user)))</f>
        <v/>
      </c>
      <c r="C687" s="24" t="str">
        <f>IF($A687&gt;nrows,"",IF(col_days=0,0,N(INDEX('Paste Export'!$A$2:$BZ$1001,$A687,col_days))))</f>
        <v/>
      </c>
      <c r="D687" s="24" t="str">
        <f>IF($A687&gt;nrows,"",IF(col_prompts=0,0,N(INDEX('Paste Export'!$A$2:$BZ$1001,$A687,col_prompts))))</f>
        <v/>
      </c>
      <c r="E687" s="24" t="str">
        <f>IF($A687&gt;nrows,"",IF(col_web=0,0,N(INDEX('Paste Export'!$A$2:$BZ$1001,$A687,col_web))))</f>
        <v/>
      </c>
      <c r="F687" s="26" t="str">
        <f t="shared" si="71"/>
        <v/>
      </c>
      <c r="G687" s="27" t="str">
        <f t="shared" si="72"/>
        <v/>
      </c>
      <c r="H687" s="24" t="str">
        <f>IF($A687&gt;nrows,"",IF(col_s1=0,0,--(LEN(INDEX('Paste Export'!$A$2:$BZ$1001,$A687,col_s1))&gt;0))+IF(col_s2=0,0,--(LEN(INDEX('Paste Export'!$A$2:$BZ$1001,$A687,col_s2))&gt;0))+IF(col_s3=0,0,--(LEN(INDEX('Paste Export'!$A$2:$BZ$1001,$A687,col_s3))&gt;0))+IF(col_s4=0,0,--(LEN(INDEX('Paste Export'!$A$2:$BZ$1001,$A687,col_s4))&gt;0))+IF(col_s5=0,0,--(LEN(INDEX('Paste Export'!$A$2:$BZ$1001,$A687,col_s5))&gt;0))+IF(col_s6=0,0,--(LEN(INDEX('Paste Export'!$A$2:$BZ$1001,$A687,col_s6))&gt;0))+IF(col_s7=0,0,--(LEN(INDEX('Paste Export'!$A$2:$BZ$1001,$A687,col_s7))&gt;0))+IF(col_s8=0,0,--(LEN(INDEX('Paste Export'!$A$2:$BZ$1001,$A687,col_s8))&gt;0)))</f>
        <v/>
      </c>
      <c r="I687" s="25" t="str">
        <f t="shared" si="73"/>
        <v/>
      </c>
      <c r="J687" s="25" t="str">
        <f t="shared" si="74"/>
        <v/>
      </c>
      <c r="K687" s="24" t="str">
        <f t="shared" si="75"/>
        <v/>
      </c>
      <c r="L687" s="24" t="str">
        <f t="shared" si="76"/>
        <v/>
      </c>
    </row>
    <row r="688" spans="1:12" x14ac:dyDescent="0.25">
      <c r="A688" s="24">
        <f t="shared" si="70"/>
        <v>687</v>
      </c>
      <c r="B688" s="25" t="str">
        <f>IF($A688&gt;nrows,"",IF(col_user=0,"",INDEX('Paste Export'!$A$2:$BZ$1001,$A688,col_user)))</f>
        <v/>
      </c>
      <c r="C688" s="24" t="str">
        <f>IF($A688&gt;nrows,"",IF(col_days=0,0,N(INDEX('Paste Export'!$A$2:$BZ$1001,$A688,col_days))))</f>
        <v/>
      </c>
      <c r="D688" s="24" t="str">
        <f>IF($A688&gt;nrows,"",IF(col_prompts=0,0,N(INDEX('Paste Export'!$A$2:$BZ$1001,$A688,col_prompts))))</f>
        <v/>
      </c>
      <c r="E688" s="24" t="str">
        <f>IF($A688&gt;nrows,"",IF(col_web=0,0,N(INDEX('Paste Export'!$A$2:$BZ$1001,$A688,col_web))))</f>
        <v/>
      </c>
      <c r="F688" s="26" t="str">
        <f t="shared" si="71"/>
        <v/>
      </c>
      <c r="G688" s="27" t="str">
        <f t="shared" si="72"/>
        <v/>
      </c>
      <c r="H688" s="24" t="str">
        <f>IF($A688&gt;nrows,"",IF(col_s1=0,0,--(LEN(INDEX('Paste Export'!$A$2:$BZ$1001,$A688,col_s1))&gt;0))+IF(col_s2=0,0,--(LEN(INDEX('Paste Export'!$A$2:$BZ$1001,$A688,col_s2))&gt;0))+IF(col_s3=0,0,--(LEN(INDEX('Paste Export'!$A$2:$BZ$1001,$A688,col_s3))&gt;0))+IF(col_s4=0,0,--(LEN(INDEX('Paste Export'!$A$2:$BZ$1001,$A688,col_s4))&gt;0))+IF(col_s5=0,0,--(LEN(INDEX('Paste Export'!$A$2:$BZ$1001,$A688,col_s5))&gt;0))+IF(col_s6=0,0,--(LEN(INDEX('Paste Export'!$A$2:$BZ$1001,$A688,col_s6))&gt;0))+IF(col_s7=0,0,--(LEN(INDEX('Paste Export'!$A$2:$BZ$1001,$A688,col_s7))&gt;0))+IF(col_s8=0,0,--(LEN(INDEX('Paste Export'!$A$2:$BZ$1001,$A688,col_s8))&gt;0)))</f>
        <v/>
      </c>
      <c r="I688" s="25" t="str">
        <f t="shared" si="73"/>
        <v/>
      </c>
      <c r="J688" s="25" t="str">
        <f t="shared" si="74"/>
        <v/>
      </c>
      <c r="K688" s="24" t="str">
        <f t="shared" si="75"/>
        <v/>
      </c>
      <c r="L688" s="24" t="str">
        <f t="shared" si="76"/>
        <v/>
      </c>
    </row>
    <row r="689" spans="1:12" x14ac:dyDescent="0.25">
      <c r="A689" s="24">
        <f t="shared" si="70"/>
        <v>688</v>
      </c>
      <c r="B689" s="25" t="str">
        <f>IF($A689&gt;nrows,"",IF(col_user=0,"",INDEX('Paste Export'!$A$2:$BZ$1001,$A689,col_user)))</f>
        <v/>
      </c>
      <c r="C689" s="24" t="str">
        <f>IF($A689&gt;nrows,"",IF(col_days=0,0,N(INDEX('Paste Export'!$A$2:$BZ$1001,$A689,col_days))))</f>
        <v/>
      </c>
      <c r="D689" s="24" t="str">
        <f>IF($A689&gt;nrows,"",IF(col_prompts=0,0,N(INDEX('Paste Export'!$A$2:$BZ$1001,$A689,col_prompts))))</f>
        <v/>
      </c>
      <c r="E689" s="24" t="str">
        <f>IF($A689&gt;nrows,"",IF(col_web=0,0,N(INDEX('Paste Export'!$A$2:$BZ$1001,$A689,col_web))))</f>
        <v/>
      </c>
      <c r="F689" s="26" t="str">
        <f t="shared" si="71"/>
        <v/>
      </c>
      <c r="G689" s="27" t="str">
        <f t="shared" si="72"/>
        <v/>
      </c>
      <c r="H689" s="24" t="str">
        <f>IF($A689&gt;nrows,"",IF(col_s1=0,0,--(LEN(INDEX('Paste Export'!$A$2:$BZ$1001,$A689,col_s1))&gt;0))+IF(col_s2=0,0,--(LEN(INDEX('Paste Export'!$A$2:$BZ$1001,$A689,col_s2))&gt;0))+IF(col_s3=0,0,--(LEN(INDEX('Paste Export'!$A$2:$BZ$1001,$A689,col_s3))&gt;0))+IF(col_s4=0,0,--(LEN(INDEX('Paste Export'!$A$2:$BZ$1001,$A689,col_s4))&gt;0))+IF(col_s5=0,0,--(LEN(INDEX('Paste Export'!$A$2:$BZ$1001,$A689,col_s5))&gt;0))+IF(col_s6=0,0,--(LEN(INDEX('Paste Export'!$A$2:$BZ$1001,$A689,col_s6))&gt;0))+IF(col_s7=0,0,--(LEN(INDEX('Paste Export'!$A$2:$BZ$1001,$A689,col_s7))&gt;0))+IF(col_s8=0,0,--(LEN(INDEX('Paste Export'!$A$2:$BZ$1001,$A689,col_s8))&gt;0)))</f>
        <v/>
      </c>
      <c r="I689" s="25" t="str">
        <f t="shared" si="73"/>
        <v/>
      </c>
      <c r="J689" s="25" t="str">
        <f t="shared" si="74"/>
        <v/>
      </c>
      <c r="K689" s="24" t="str">
        <f t="shared" si="75"/>
        <v/>
      </c>
      <c r="L689" s="24" t="str">
        <f t="shared" si="76"/>
        <v/>
      </c>
    </row>
    <row r="690" spans="1:12" x14ac:dyDescent="0.25">
      <c r="A690" s="24">
        <f t="shared" si="70"/>
        <v>689</v>
      </c>
      <c r="B690" s="25" t="str">
        <f>IF($A690&gt;nrows,"",IF(col_user=0,"",INDEX('Paste Export'!$A$2:$BZ$1001,$A690,col_user)))</f>
        <v/>
      </c>
      <c r="C690" s="24" t="str">
        <f>IF($A690&gt;nrows,"",IF(col_days=0,0,N(INDEX('Paste Export'!$A$2:$BZ$1001,$A690,col_days))))</f>
        <v/>
      </c>
      <c r="D690" s="24" t="str">
        <f>IF($A690&gt;nrows,"",IF(col_prompts=0,0,N(INDEX('Paste Export'!$A$2:$BZ$1001,$A690,col_prompts))))</f>
        <v/>
      </c>
      <c r="E690" s="24" t="str">
        <f>IF($A690&gt;nrows,"",IF(col_web=0,0,N(INDEX('Paste Export'!$A$2:$BZ$1001,$A690,col_web))))</f>
        <v/>
      </c>
      <c r="F690" s="26" t="str">
        <f t="shared" si="71"/>
        <v/>
      </c>
      <c r="G690" s="27" t="str">
        <f t="shared" si="72"/>
        <v/>
      </c>
      <c r="H690" s="24" t="str">
        <f>IF($A690&gt;nrows,"",IF(col_s1=0,0,--(LEN(INDEX('Paste Export'!$A$2:$BZ$1001,$A690,col_s1))&gt;0))+IF(col_s2=0,0,--(LEN(INDEX('Paste Export'!$A$2:$BZ$1001,$A690,col_s2))&gt;0))+IF(col_s3=0,0,--(LEN(INDEX('Paste Export'!$A$2:$BZ$1001,$A690,col_s3))&gt;0))+IF(col_s4=0,0,--(LEN(INDEX('Paste Export'!$A$2:$BZ$1001,$A690,col_s4))&gt;0))+IF(col_s5=0,0,--(LEN(INDEX('Paste Export'!$A$2:$BZ$1001,$A690,col_s5))&gt;0))+IF(col_s6=0,0,--(LEN(INDEX('Paste Export'!$A$2:$BZ$1001,$A690,col_s6))&gt;0))+IF(col_s7=0,0,--(LEN(INDEX('Paste Export'!$A$2:$BZ$1001,$A690,col_s7))&gt;0))+IF(col_s8=0,0,--(LEN(INDEX('Paste Export'!$A$2:$BZ$1001,$A690,col_s8))&gt;0)))</f>
        <v/>
      </c>
      <c r="I690" s="25" t="str">
        <f t="shared" si="73"/>
        <v/>
      </c>
      <c r="J690" s="25" t="str">
        <f t="shared" si="74"/>
        <v/>
      </c>
      <c r="K690" s="24" t="str">
        <f t="shared" si="75"/>
        <v/>
      </c>
      <c r="L690" s="24" t="str">
        <f t="shared" si="76"/>
        <v/>
      </c>
    </row>
    <row r="691" spans="1:12" x14ac:dyDescent="0.25">
      <c r="A691" s="24">
        <f t="shared" si="70"/>
        <v>690</v>
      </c>
      <c r="B691" s="25" t="str">
        <f>IF($A691&gt;nrows,"",IF(col_user=0,"",INDEX('Paste Export'!$A$2:$BZ$1001,$A691,col_user)))</f>
        <v/>
      </c>
      <c r="C691" s="24" t="str">
        <f>IF($A691&gt;nrows,"",IF(col_days=0,0,N(INDEX('Paste Export'!$A$2:$BZ$1001,$A691,col_days))))</f>
        <v/>
      </c>
      <c r="D691" s="24" t="str">
        <f>IF($A691&gt;nrows,"",IF(col_prompts=0,0,N(INDEX('Paste Export'!$A$2:$BZ$1001,$A691,col_prompts))))</f>
        <v/>
      </c>
      <c r="E691" s="24" t="str">
        <f>IF($A691&gt;nrows,"",IF(col_web=0,0,N(INDEX('Paste Export'!$A$2:$BZ$1001,$A691,col_web))))</f>
        <v/>
      </c>
      <c r="F691" s="26" t="str">
        <f t="shared" si="71"/>
        <v/>
      </c>
      <c r="G691" s="27" t="str">
        <f t="shared" si="72"/>
        <v/>
      </c>
      <c r="H691" s="24" t="str">
        <f>IF($A691&gt;nrows,"",IF(col_s1=0,0,--(LEN(INDEX('Paste Export'!$A$2:$BZ$1001,$A691,col_s1))&gt;0))+IF(col_s2=0,0,--(LEN(INDEX('Paste Export'!$A$2:$BZ$1001,$A691,col_s2))&gt;0))+IF(col_s3=0,0,--(LEN(INDEX('Paste Export'!$A$2:$BZ$1001,$A691,col_s3))&gt;0))+IF(col_s4=0,0,--(LEN(INDEX('Paste Export'!$A$2:$BZ$1001,$A691,col_s4))&gt;0))+IF(col_s5=0,0,--(LEN(INDEX('Paste Export'!$A$2:$BZ$1001,$A691,col_s5))&gt;0))+IF(col_s6=0,0,--(LEN(INDEX('Paste Export'!$A$2:$BZ$1001,$A691,col_s6))&gt;0))+IF(col_s7=0,0,--(LEN(INDEX('Paste Export'!$A$2:$BZ$1001,$A691,col_s7))&gt;0))+IF(col_s8=0,0,--(LEN(INDEX('Paste Export'!$A$2:$BZ$1001,$A691,col_s8))&gt;0)))</f>
        <v/>
      </c>
      <c r="I691" s="25" t="str">
        <f t="shared" si="73"/>
        <v/>
      </c>
      <c r="J691" s="25" t="str">
        <f t="shared" si="74"/>
        <v/>
      </c>
      <c r="K691" s="24" t="str">
        <f t="shared" si="75"/>
        <v/>
      </c>
      <c r="L691" s="24" t="str">
        <f t="shared" si="76"/>
        <v/>
      </c>
    </row>
    <row r="692" spans="1:12" x14ac:dyDescent="0.25">
      <c r="A692" s="24">
        <f t="shared" si="70"/>
        <v>691</v>
      </c>
      <c r="B692" s="25" t="str">
        <f>IF($A692&gt;nrows,"",IF(col_user=0,"",INDEX('Paste Export'!$A$2:$BZ$1001,$A692,col_user)))</f>
        <v/>
      </c>
      <c r="C692" s="24" t="str">
        <f>IF($A692&gt;nrows,"",IF(col_days=0,0,N(INDEX('Paste Export'!$A$2:$BZ$1001,$A692,col_days))))</f>
        <v/>
      </c>
      <c r="D692" s="24" t="str">
        <f>IF($A692&gt;nrows,"",IF(col_prompts=0,0,N(INDEX('Paste Export'!$A$2:$BZ$1001,$A692,col_prompts))))</f>
        <v/>
      </c>
      <c r="E692" s="24" t="str">
        <f>IF($A692&gt;nrows,"",IF(col_web=0,0,N(INDEX('Paste Export'!$A$2:$BZ$1001,$A692,col_web))))</f>
        <v/>
      </c>
      <c r="F692" s="26" t="str">
        <f t="shared" si="71"/>
        <v/>
      </c>
      <c r="G692" s="27" t="str">
        <f t="shared" si="72"/>
        <v/>
      </c>
      <c r="H692" s="24" t="str">
        <f>IF($A692&gt;nrows,"",IF(col_s1=0,0,--(LEN(INDEX('Paste Export'!$A$2:$BZ$1001,$A692,col_s1))&gt;0))+IF(col_s2=0,0,--(LEN(INDEX('Paste Export'!$A$2:$BZ$1001,$A692,col_s2))&gt;0))+IF(col_s3=0,0,--(LEN(INDEX('Paste Export'!$A$2:$BZ$1001,$A692,col_s3))&gt;0))+IF(col_s4=0,0,--(LEN(INDEX('Paste Export'!$A$2:$BZ$1001,$A692,col_s4))&gt;0))+IF(col_s5=0,0,--(LEN(INDEX('Paste Export'!$A$2:$BZ$1001,$A692,col_s5))&gt;0))+IF(col_s6=0,0,--(LEN(INDEX('Paste Export'!$A$2:$BZ$1001,$A692,col_s6))&gt;0))+IF(col_s7=0,0,--(LEN(INDEX('Paste Export'!$A$2:$BZ$1001,$A692,col_s7))&gt;0))+IF(col_s8=0,0,--(LEN(INDEX('Paste Export'!$A$2:$BZ$1001,$A692,col_s8))&gt;0)))</f>
        <v/>
      </c>
      <c r="I692" s="25" t="str">
        <f t="shared" si="73"/>
        <v/>
      </c>
      <c r="J692" s="25" t="str">
        <f t="shared" si="74"/>
        <v/>
      </c>
      <c r="K692" s="24" t="str">
        <f t="shared" si="75"/>
        <v/>
      </c>
      <c r="L692" s="24" t="str">
        <f t="shared" si="76"/>
        <v/>
      </c>
    </row>
    <row r="693" spans="1:12" x14ac:dyDescent="0.25">
      <c r="A693" s="24">
        <f t="shared" si="70"/>
        <v>692</v>
      </c>
      <c r="B693" s="25" t="str">
        <f>IF($A693&gt;nrows,"",IF(col_user=0,"",INDEX('Paste Export'!$A$2:$BZ$1001,$A693,col_user)))</f>
        <v/>
      </c>
      <c r="C693" s="24" t="str">
        <f>IF($A693&gt;nrows,"",IF(col_days=0,0,N(INDEX('Paste Export'!$A$2:$BZ$1001,$A693,col_days))))</f>
        <v/>
      </c>
      <c r="D693" s="24" t="str">
        <f>IF($A693&gt;nrows,"",IF(col_prompts=0,0,N(INDEX('Paste Export'!$A$2:$BZ$1001,$A693,col_prompts))))</f>
        <v/>
      </c>
      <c r="E693" s="24" t="str">
        <f>IF($A693&gt;nrows,"",IF(col_web=0,0,N(INDEX('Paste Export'!$A$2:$BZ$1001,$A693,col_web))))</f>
        <v/>
      </c>
      <c r="F693" s="26" t="str">
        <f t="shared" si="71"/>
        <v/>
      </c>
      <c r="G693" s="27" t="str">
        <f t="shared" si="72"/>
        <v/>
      </c>
      <c r="H693" s="24" t="str">
        <f>IF($A693&gt;nrows,"",IF(col_s1=0,0,--(LEN(INDEX('Paste Export'!$A$2:$BZ$1001,$A693,col_s1))&gt;0))+IF(col_s2=0,0,--(LEN(INDEX('Paste Export'!$A$2:$BZ$1001,$A693,col_s2))&gt;0))+IF(col_s3=0,0,--(LEN(INDEX('Paste Export'!$A$2:$BZ$1001,$A693,col_s3))&gt;0))+IF(col_s4=0,0,--(LEN(INDEX('Paste Export'!$A$2:$BZ$1001,$A693,col_s4))&gt;0))+IF(col_s5=0,0,--(LEN(INDEX('Paste Export'!$A$2:$BZ$1001,$A693,col_s5))&gt;0))+IF(col_s6=0,0,--(LEN(INDEX('Paste Export'!$A$2:$BZ$1001,$A693,col_s6))&gt;0))+IF(col_s7=0,0,--(LEN(INDEX('Paste Export'!$A$2:$BZ$1001,$A693,col_s7))&gt;0))+IF(col_s8=0,0,--(LEN(INDEX('Paste Export'!$A$2:$BZ$1001,$A693,col_s8))&gt;0)))</f>
        <v/>
      </c>
      <c r="I693" s="25" t="str">
        <f t="shared" si="73"/>
        <v/>
      </c>
      <c r="J693" s="25" t="str">
        <f t="shared" si="74"/>
        <v/>
      </c>
      <c r="K693" s="24" t="str">
        <f t="shared" si="75"/>
        <v/>
      </c>
      <c r="L693" s="24" t="str">
        <f t="shared" si="76"/>
        <v/>
      </c>
    </row>
    <row r="694" spans="1:12" x14ac:dyDescent="0.25">
      <c r="A694" s="24">
        <f t="shared" si="70"/>
        <v>693</v>
      </c>
      <c r="B694" s="25" t="str">
        <f>IF($A694&gt;nrows,"",IF(col_user=0,"",INDEX('Paste Export'!$A$2:$BZ$1001,$A694,col_user)))</f>
        <v/>
      </c>
      <c r="C694" s="24" t="str">
        <f>IF($A694&gt;nrows,"",IF(col_days=0,0,N(INDEX('Paste Export'!$A$2:$BZ$1001,$A694,col_days))))</f>
        <v/>
      </c>
      <c r="D694" s="24" t="str">
        <f>IF($A694&gt;nrows,"",IF(col_prompts=0,0,N(INDEX('Paste Export'!$A$2:$BZ$1001,$A694,col_prompts))))</f>
        <v/>
      </c>
      <c r="E694" s="24" t="str">
        <f>IF($A694&gt;nrows,"",IF(col_web=0,0,N(INDEX('Paste Export'!$A$2:$BZ$1001,$A694,col_web))))</f>
        <v/>
      </c>
      <c r="F694" s="26" t="str">
        <f t="shared" si="71"/>
        <v/>
      </c>
      <c r="G694" s="27" t="str">
        <f t="shared" si="72"/>
        <v/>
      </c>
      <c r="H694" s="24" t="str">
        <f>IF($A694&gt;nrows,"",IF(col_s1=0,0,--(LEN(INDEX('Paste Export'!$A$2:$BZ$1001,$A694,col_s1))&gt;0))+IF(col_s2=0,0,--(LEN(INDEX('Paste Export'!$A$2:$BZ$1001,$A694,col_s2))&gt;0))+IF(col_s3=0,0,--(LEN(INDEX('Paste Export'!$A$2:$BZ$1001,$A694,col_s3))&gt;0))+IF(col_s4=0,0,--(LEN(INDEX('Paste Export'!$A$2:$BZ$1001,$A694,col_s4))&gt;0))+IF(col_s5=0,0,--(LEN(INDEX('Paste Export'!$A$2:$BZ$1001,$A694,col_s5))&gt;0))+IF(col_s6=0,0,--(LEN(INDEX('Paste Export'!$A$2:$BZ$1001,$A694,col_s6))&gt;0))+IF(col_s7=0,0,--(LEN(INDEX('Paste Export'!$A$2:$BZ$1001,$A694,col_s7))&gt;0))+IF(col_s8=0,0,--(LEN(INDEX('Paste Export'!$A$2:$BZ$1001,$A694,col_s8))&gt;0)))</f>
        <v/>
      </c>
      <c r="I694" s="25" t="str">
        <f t="shared" si="73"/>
        <v/>
      </c>
      <c r="J694" s="25" t="str">
        <f t="shared" si="74"/>
        <v/>
      </c>
      <c r="K694" s="24" t="str">
        <f t="shared" si="75"/>
        <v/>
      </c>
      <c r="L694" s="24" t="str">
        <f t="shared" si="76"/>
        <v/>
      </c>
    </row>
    <row r="695" spans="1:12" x14ac:dyDescent="0.25">
      <c r="A695" s="24">
        <f t="shared" si="70"/>
        <v>694</v>
      </c>
      <c r="B695" s="25" t="str">
        <f>IF($A695&gt;nrows,"",IF(col_user=0,"",INDEX('Paste Export'!$A$2:$BZ$1001,$A695,col_user)))</f>
        <v/>
      </c>
      <c r="C695" s="24" t="str">
        <f>IF($A695&gt;nrows,"",IF(col_days=0,0,N(INDEX('Paste Export'!$A$2:$BZ$1001,$A695,col_days))))</f>
        <v/>
      </c>
      <c r="D695" s="24" t="str">
        <f>IF($A695&gt;nrows,"",IF(col_prompts=0,0,N(INDEX('Paste Export'!$A$2:$BZ$1001,$A695,col_prompts))))</f>
        <v/>
      </c>
      <c r="E695" s="24" t="str">
        <f>IF($A695&gt;nrows,"",IF(col_web=0,0,N(INDEX('Paste Export'!$A$2:$BZ$1001,$A695,col_web))))</f>
        <v/>
      </c>
      <c r="F695" s="26" t="str">
        <f t="shared" si="71"/>
        <v/>
      </c>
      <c r="G695" s="27" t="str">
        <f t="shared" si="72"/>
        <v/>
      </c>
      <c r="H695" s="24" t="str">
        <f>IF($A695&gt;nrows,"",IF(col_s1=0,0,--(LEN(INDEX('Paste Export'!$A$2:$BZ$1001,$A695,col_s1))&gt;0))+IF(col_s2=0,0,--(LEN(INDEX('Paste Export'!$A$2:$BZ$1001,$A695,col_s2))&gt;0))+IF(col_s3=0,0,--(LEN(INDEX('Paste Export'!$A$2:$BZ$1001,$A695,col_s3))&gt;0))+IF(col_s4=0,0,--(LEN(INDEX('Paste Export'!$A$2:$BZ$1001,$A695,col_s4))&gt;0))+IF(col_s5=0,0,--(LEN(INDEX('Paste Export'!$A$2:$BZ$1001,$A695,col_s5))&gt;0))+IF(col_s6=0,0,--(LEN(INDEX('Paste Export'!$A$2:$BZ$1001,$A695,col_s6))&gt;0))+IF(col_s7=0,0,--(LEN(INDEX('Paste Export'!$A$2:$BZ$1001,$A695,col_s7))&gt;0))+IF(col_s8=0,0,--(LEN(INDEX('Paste Export'!$A$2:$BZ$1001,$A695,col_s8))&gt;0)))</f>
        <v/>
      </c>
      <c r="I695" s="25" t="str">
        <f t="shared" si="73"/>
        <v/>
      </c>
      <c r="J695" s="25" t="str">
        <f t="shared" si="74"/>
        <v/>
      </c>
      <c r="K695" s="24" t="str">
        <f t="shared" si="75"/>
        <v/>
      </c>
      <c r="L695" s="24" t="str">
        <f t="shared" si="76"/>
        <v/>
      </c>
    </row>
    <row r="696" spans="1:12" x14ac:dyDescent="0.25">
      <c r="A696" s="24">
        <f t="shared" si="70"/>
        <v>695</v>
      </c>
      <c r="B696" s="25" t="str">
        <f>IF($A696&gt;nrows,"",IF(col_user=0,"",INDEX('Paste Export'!$A$2:$BZ$1001,$A696,col_user)))</f>
        <v/>
      </c>
      <c r="C696" s="24" t="str">
        <f>IF($A696&gt;nrows,"",IF(col_days=0,0,N(INDEX('Paste Export'!$A$2:$BZ$1001,$A696,col_days))))</f>
        <v/>
      </c>
      <c r="D696" s="24" t="str">
        <f>IF($A696&gt;nrows,"",IF(col_prompts=0,0,N(INDEX('Paste Export'!$A$2:$BZ$1001,$A696,col_prompts))))</f>
        <v/>
      </c>
      <c r="E696" s="24" t="str">
        <f>IF($A696&gt;nrows,"",IF(col_web=0,0,N(INDEX('Paste Export'!$A$2:$BZ$1001,$A696,col_web))))</f>
        <v/>
      </c>
      <c r="F696" s="26" t="str">
        <f t="shared" si="71"/>
        <v/>
      </c>
      <c r="G696" s="27" t="str">
        <f t="shared" si="72"/>
        <v/>
      </c>
      <c r="H696" s="24" t="str">
        <f>IF($A696&gt;nrows,"",IF(col_s1=0,0,--(LEN(INDEX('Paste Export'!$A$2:$BZ$1001,$A696,col_s1))&gt;0))+IF(col_s2=0,0,--(LEN(INDEX('Paste Export'!$A$2:$BZ$1001,$A696,col_s2))&gt;0))+IF(col_s3=0,0,--(LEN(INDEX('Paste Export'!$A$2:$BZ$1001,$A696,col_s3))&gt;0))+IF(col_s4=0,0,--(LEN(INDEX('Paste Export'!$A$2:$BZ$1001,$A696,col_s4))&gt;0))+IF(col_s5=0,0,--(LEN(INDEX('Paste Export'!$A$2:$BZ$1001,$A696,col_s5))&gt;0))+IF(col_s6=0,0,--(LEN(INDEX('Paste Export'!$A$2:$BZ$1001,$A696,col_s6))&gt;0))+IF(col_s7=0,0,--(LEN(INDEX('Paste Export'!$A$2:$BZ$1001,$A696,col_s7))&gt;0))+IF(col_s8=0,0,--(LEN(INDEX('Paste Export'!$A$2:$BZ$1001,$A696,col_s8))&gt;0)))</f>
        <v/>
      </c>
      <c r="I696" s="25" t="str">
        <f t="shared" si="73"/>
        <v/>
      </c>
      <c r="J696" s="25" t="str">
        <f t="shared" si="74"/>
        <v/>
      </c>
      <c r="K696" s="24" t="str">
        <f t="shared" si="75"/>
        <v/>
      </c>
      <c r="L696" s="24" t="str">
        <f t="shared" si="76"/>
        <v/>
      </c>
    </row>
    <row r="697" spans="1:12" x14ac:dyDescent="0.25">
      <c r="A697" s="24">
        <f t="shared" si="70"/>
        <v>696</v>
      </c>
      <c r="B697" s="25" t="str">
        <f>IF($A697&gt;nrows,"",IF(col_user=0,"",INDEX('Paste Export'!$A$2:$BZ$1001,$A697,col_user)))</f>
        <v/>
      </c>
      <c r="C697" s="24" t="str">
        <f>IF($A697&gt;nrows,"",IF(col_days=0,0,N(INDEX('Paste Export'!$A$2:$BZ$1001,$A697,col_days))))</f>
        <v/>
      </c>
      <c r="D697" s="24" t="str">
        <f>IF($A697&gt;nrows,"",IF(col_prompts=0,0,N(INDEX('Paste Export'!$A$2:$BZ$1001,$A697,col_prompts))))</f>
        <v/>
      </c>
      <c r="E697" s="24" t="str">
        <f>IF($A697&gt;nrows,"",IF(col_web=0,0,N(INDEX('Paste Export'!$A$2:$BZ$1001,$A697,col_web))))</f>
        <v/>
      </c>
      <c r="F697" s="26" t="str">
        <f t="shared" si="71"/>
        <v/>
      </c>
      <c r="G697" s="27" t="str">
        <f t="shared" si="72"/>
        <v/>
      </c>
      <c r="H697" s="24" t="str">
        <f>IF($A697&gt;nrows,"",IF(col_s1=0,0,--(LEN(INDEX('Paste Export'!$A$2:$BZ$1001,$A697,col_s1))&gt;0))+IF(col_s2=0,0,--(LEN(INDEX('Paste Export'!$A$2:$BZ$1001,$A697,col_s2))&gt;0))+IF(col_s3=0,0,--(LEN(INDEX('Paste Export'!$A$2:$BZ$1001,$A697,col_s3))&gt;0))+IF(col_s4=0,0,--(LEN(INDEX('Paste Export'!$A$2:$BZ$1001,$A697,col_s4))&gt;0))+IF(col_s5=0,0,--(LEN(INDEX('Paste Export'!$A$2:$BZ$1001,$A697,col_s5))&gt;0))+IF(col_s6=0,0,--(LEN(INDEX('Paste Export'!$A$2:$BZ$1001,$A697,col_s6))&gt;0))+IF(col_s7=0,0,--(LEN(INDEX('Paste Export'!$A$2:$BZ$1001,$A697,col_s7))&gt;0))+IF(col_s8=0,0,--(LEN(INDEX('Paste Export'!$A$2:$BZ$1001,$A697,col_s8))&gt;0)))</f>
        <v/>
      </c>
      <c r="I697" s="25" t="str">
        <f t="shared" si="73"/>
        <v/>
      </c>
      <c r="J697" s="25" t="str">
        <f t="shared" si="74"/>
        <v/>
      </c>
      <c r="K697" s="24" t="str">
        <f t="shared" si="75"/>
        <v/>
      </c>
      <c r="L697" s="24" t="str">
        <f t="shared" si="76"/>
        <v/>
      </c>
    </row>
    <row r="698" spans="1:12" x14ac:dyDescent="0.25">
      <c r="A698" s="24">
        <f t="shared" si="70"/>
        <v>697</v>
      </c>
      <c r="B698" s="25" t="str">
        <f>IF($A698&gt;nrows,"",IF(col_user=0,"",INDEX('Paste Export'!$A$2:$BZ$1001,$A698,col_user)))</f>
        <v/>
      </c>
      <c r="C698" s="24" t="str">
        <f>IF($A698&gt;nrows,"",IF(col_days=0,0,N(INDEX('Paste Export'!$A$2:$BZ$1001,$A698,col_days))))</f>
        <v/>
      </c>
      <c r="D698" s="24" t="str">
        <f>IF($A698&gt;nrows,"",IF(col_prompts=0,0,N(INDEX('Paste Export'!$A$2:$BZ$1001,$A698,col_prompts))))</f>
        <v/>
      </c>
      <c r="E698" s="24" t="str">
        <f>IF($A698&gt;nrows,"",IF(col_web=0,0,N(INDEX('Paste Export'!$A$2:$BZ$1001,$A698,col_web))))</f>
        <v/>
      </c>
      <c r="F698" s="26" t="str">
        <f t="shared" si="71"/>
        <v/>
      </c>
      <c r="G698" s="27" t="str">
        <f t="shared" si="72"/>
        <v/>
      </c>
      <c r="H698" s="24" t="str">
        <f>IF($A698&gt;nrows,"",IF(col_s1=0,0,--(LEN(INDEX('Paste Export'!$A$2:$BZ$1001,$A698,col_s1))&gt;0))+IF(col_s2=0,0,--(LEN(INDEX('Paste Export'!$A$2:$BZ$1001,$A698,col_s2))&gt;0))+IF(col_s3=0,0,--(LEN(INDEX('Paste Export'!$A$2:$BZ$1001,$A698,col_s3))&gt;0))+IF(col_s4=0,0,--(LEN(INDEX('Paste Export'!$A$2:$BZ$1001,$A698,col_s4))&gt;0))+IF(col_s5=0,0,--(LEN(INDEX('Paste Export'!$A$2:$BZ$1001,$A698,col_s5))&gt;0))+IF(col_s6=0,0,--(LEN(INDEX('Paste Export'!$A$2:$BZ$1001,$A698,col_s6))&gt;0))+IF(col_s7=0,0,--(LEN(INDEX('Paste Export'!$A$2:$BZ$1001,$A698,col_s7))&gt;0))+IF(col_s8=0,0,--(LEN(INDEX('Paste Export'!$A$2:$BZ$1001,$A698,col_s8))&gt;0)))</f>
        <v/>
      </c>
      <c r="I698" s="25" t="str">
        <f t="shared" si="73"/>
        <v/>
      </c>
      <c r="J698" s="25" t="str">
        <f t="shared" si="74"/>
        <v/>
      </c>
      <c r="K698" s="24" t="str">
        <f t="shared" si="75"/>
        <v/>
      </c>
      <c r="L698" s="24" t="str">
        <f t="shared" si="76"/>
        <v/>
      </c>
    </row>
    <row r="699" spans="1:12" x14ac:dyDescent="0.25">
      <c r="A699" s="24">
        <f t="shared" si="70"/>
        <v>698</v>
      </c>
      <c r="B699" s="25" t="str">
        <f>IF($A699&gt;nrows,"",IF(col_user=0,"",INDEX('Paste Export'!$A$2:$BZ$1001,$A699,col_user)))</f>
        <v/>
      </c>
      <c r="C699" s="24" t="str">
        <f>IF($A699&gt;nrows,"",IF(col_days=0,0,N(INDEX('Paste Export'!$A$2:$BZ$1001,$A699,col_days))))</f>
        <v/>
      </c>
      <c r="D699" s="24" t="str">
        <f>IF($A699&gt;nrows,"",IF(col_prompts=0,0,N(INDEX('Paste Export'!$A$2:$BZ$1001,$A699,col_prompts))))</f>
        <v/>
      </c>
      <c r="E699" s="24" t="str">
        <f>IF($A699&gt;nrows,"",IF(col_web=0,0,N(INDEX('Paste Export'!$A$2:$BZ$1001,$A699,col_web))))</f>
        <v/>
      </c>
      <c r="F699" s="26" t="str">
        <f t="shared" si="71"/>
        <v/>
      </c>
      <c r="G699" s="27" t="str">
        <f t="shared" si="72"/>
        <v/>
      </c>
      <c r="H699" s="24" t="str">
        <f>IF($A699&gt;nrows,"",IF(col_s1=0,0,--(LEN(INDEX('Paste Export'!$A$2:$BZ$1001,$A699,col_s1))&gt;0))+IF(col_s2=0,0,--(LEN(INDEX('Paste Export'!$A$2:$BZ$1001,$A699,col_s2))&gt;0))+IF(col_s3=0,0,--(LEN(INDEX('Paste Export'!$A$2:$BZ$1001,$A699,col_s3))&gt;0))+IF(col_s4=0,0,--(LEN(INDEX('Paste Export'!$A$2:$BZ$1001,$A699,col_s4))&gt;0))+IF(col_s5=0,0,--(LEN(INDEX('Paste Export'!$A$2:$BZ$1001,$A699,col_s5))&gt;0))+IF(col_s6=0,0,--(LEN(INDEX('Paste Export'!$A$2:$BZ$1001,$A699,col_s6))&gt;0))+IF(col_s7=0,0,--(LEN(INDEX('Paste Export'!$A$2:$BZ$1001,$A699,col_s7))&gt;0))+IF(col_s8=0,0,--(LEN(INDEX('Paste Export'!$A$2:$BZ$1001,$A699,col_s8))&gt;0)))</f>
        <v/>
      </c>
      <c r="I699" s="25" t="str">
        <f t="shared" si="73"/>
        <v/>
      </c>
      <c r="J699" s="25" t="str">
        <f t="shared" si="74"/>
        <v/>
      </c>
      <c r="K699" s="24" t="str">
        <f t="shared" si="75"/>
        <v/>
      </c>
      <c r="L699" s="24" t="str">
        <f t="shared" si="76"/>
        <v/>
      </c>
    </row>
    <row r="700" spans="1:12" x14ac:dyDescent="0.25">
      <c r="A700" s="24">
        <f t="shared" si="70"/>
        <v>699</v>
      </c>
      <c r="B700" s="25" t="str">
        <f>IF($A700&gt;nrows,"",IF(col_user=0,"",INDEX('Paste Export'!$A$2:$BZ$1001,$A700,col_user)))</f>
        <v/>
      </c>
      <c r="C700" s="24" t="str">
        <f>IF($A700&gt;nrows,"",IF(col_days=0,0,N(INDEX('Paste Export'!$A$2:$BZ$1001,$A700,col_days))))</f>
        <v/>
      </c>
      <c r="D700" s="24" t="str">
        <f>IF($A700&gt;nrows,"",IF(col_prompts=0,0,N(INDEX('Paste Export'!$A$2:$BZ$1001,$A700,col_prompts))))</f>
        <v/>
      </c>
      <c r="E700" s="24" t="str">
        <f>IF($A700&gt;nrows,"",IF(col_web=0,0,N(INDEX('Paste Export'!$A$2:$BZ$1001,$A700,col_web))))</f>
        <v/>
      </c>
      <c r="F700" s="26" t="str">
        <f t="shared" si="71"/>
        <v/>
      </c>
      <c r="G700" s="27" t="str">
        <f t="shared" si="72"/>
        <v/>
      </c>
      <c r="H700" s="24" t="str">
        <f>IF($A700&gt;nrows,"",IF(col_s1=0,0,--(LEN(INDEX('Paste Export'!$A$2:$BZ$1001,$A700,col_s1))&gt;0))+IF(col_s2=0,0,--(LEN(INDEX('Paste Export'!$A$2:$BZ$1001,$A700,col_s2))&gt;0))+IF(col_s3=0,0,--(LEN(INDEX('Paste Export'!$A$2:$BZ$1001,$A700,col_s3))&gt;0))+IF(col_s4=0,0,--(LEN(INDEX('Paste Export'!$A$2:$BZ$1001,$A700,col_s4))&gt;0))+IF(col_s5=0,0,--(LEN(INDEX('Paste Export'!$A$2:$BZ$1001,$A700,col_s5))&gt;0))+IF(col_s6=0,0,--(LEN(INDEX('Paste Export'!$A$2:$BZ$1001,$A700,col_s6))&gt;0))+IF(col_s7=0,0,--(LEN(INDEX('Paste Export'!$A$2:$BZ$1001,$A700,col_s7))&gt;0))+IF(col_s8=0,0,--(LEN(INDEX('Paste Export'!$A$2:$BZ$1001,$A700,col_s8))&gt;0)))</f>
        <v/>
      </c>
      <c r="I700" s="25" t="str">
        <f t="shared" si="73"/>
        <v/>
      </c>
      <c r="J700" s="25" t="str">
        <f t="shared" si="74"/>
        <v/>
      </c>
      <c r="K700" s="24" t="str">
        <f t="shared" si="75"/>
        <v/>
      </c>
      <c r="L700" s="24" t="str">
        <f t="shared" si="76"/>
        <v/>
      </c>
    </row>
    <row r="701" spans="1:12" x14ac:dyDescent="0.25">
      <c r="A701" s="24">
        <f t="shared" si="70"/>
        <v>700</v>
      </c>
      <c r="B701" s="25" t="str">
        <f>IF($A701&gt;nrows,"",IF(col_user=0,"",INDEX('Paste Export'!$A$2:$BZ$1001,$A701,col_user)))</f>
        <v/>
      </c>
      <c r="C701" s="24" t="str">
        <f>IF($A701&gt;nrows,"",IF(col_days=0,0,N(INDEX('Paste Export'!$A$2:$BZ$1001,$A701,col_days))))</f>
        <v/>
      </c>
      <c r="D701" s="24" t="str">
        <f>IF($A701&gt;nrows,"",IF(col_prompts=0,0,N(INDEX('Paste Export'!$A$2:$BZ$1001,$A701,col_prompts))))</f>
        <v/>
      </c>
      <c r="E701" s="24" t="str">
        <f>IF($A701&gt;nrows,"",IF(col_web=0,0,N(INDEX('Paste Export'!$A$2:$BZ$1001,$A701,col_web))))</f>
        <v/>
      </c>
      <c r="F701" s="26" t="str">
        <f t="shared" si="71"/>
        <v/>
      </c>
      <c r="G701" s="27" t="str">
        <f t="shared" si="72"/>
        <v/>
      </c>
      <c r="H701" s="24" t="str">
        <f>IF($A701&gt;nrows,"",IF(col_s1=0,0,--(LEN(INDEX('Paste Export'!$A$2:$BZ$1001,$A701,col_s1))&gt;0))+IF(col_s2=0,0,--(LEN(INDEX('Paste Export'!$A$2:$BZ$1001,$A701,col_s2))&gt;0))+IF(col_s3=0,0,--(LEN(INDEX('Paste Export'!$A$2:$BZ$1001,$A701,col_s3))&gt;0))+IF(col_s4=0,0,--(LEN(INDEX('Paste Export'!$A$2:$BZ$1001,$A701,col_s4))&gt;0))+IF(col_s5=0,0,--(LEN(INDEX('Paste Export'!$A$2:$BZ$1001,$A701,col_s5))&gt;0))+IF(col_s6=0,0,--(LEN(INDEX('Paste Export'!$A$2:$BZ$1001,$A701,col_s6))&gt;0))+IF(col_s7=0,0,--(LEN(INDEX('Paste Export'!$A$2:$BZ$1001,$A701,col_s7))&gt;0))+IF(col_s8=0,0,--(LEN(INDEX('Paste Export'!$A$2:$BZ$1001,$A701,col_s8))&gt;0)))</f>
        <v/>
      </c>
      <c r="I701" s="25" t="str">
        <f t="shared" si="73"/>
        <v/>
      </c>
      <c r="J701" s="25" t="str">
        <f t="shared" si="74"/>
        <v/>
      </c>
      <c r="K701" s="24" t="str">
        <f t="shared" si="75"/>
        <v/>
      </c>
      <c r="L701" s="24" t="str">
        <f t="shared" si="76"/>
        <v/>
      </c>
    </row>
    <row r="702" spans="1:12" x14ac:dyDescent="0.25">
      <c r="A702" s="24">
        <f t="shared" si="70"/>
        <v>701</v>
      </c>
      <c r="B702" s="25" t="str">
        <f>IF($A702&gt;nrows,"",IF(col_user=0,"",INDEX('Paste Export'!$A$2:$BZ$1001,$A702,col_user)))</f>
        <v/>
      </c>
      <c r="C702" s="24" t="str">
        <f>IF($A702&gt;nrows,"",IF(col_days=0,0,N(INDEX('Paste Export'!$A$2:$BZ$1001,$A702,col_days))))</f>
        <v/>
      </c>
      <c r="D702" s="24" t="str">
        <f>IF($A702&gt;nrows,"",IF(col_prompts=0,0,N(INDEX('Paste Export'!$A$2:$BZ$1001,$A702,col_prompts))))</f>
        <v/>
      </c>
      <c r="E702" s="24" t="str">
        <f>IF($A702&gt;nrows,"",IF(col_web=0,0,N(INDEX('Paste Export'!$A$2:$BZ$1001,$A702,col_web))))</f>
        <v/>
      </c>
      <c r="F702" s="26" t="str">
        <f t="shared" si="71"/>
        <v/>
      </c>
      <c r="G702" s="27" t="str">
        <f t="shared" si="72"/>
        <v/>
      </c>
      <c r="H702" s="24" t="str">
        <f>IF($A702&gt;nrows,"",IF(col_s1=0,0,--(LEN(INDEX('Paste Export'!$A$2:$BZ$1001,$A702,col_s1))&gt;0))+IF(col_s2=0,0,--(LEN(INDEX('Paste Export'!$A$2:$BZ$1001,$A702,col_s2))&gt;0))+IF(col_s3=0,0,--(LEN(INDEX('Paste Export'!$A$2:$BZ$1001,$A702,col_s3))&gt;0))+IF(col_s4=0,0,--(LEN(INDEX('Paste Export'!$A$2:$BZ$1001,$A702,col_s4))&gt;0))+IF(col_s5=0,0,--(LEN(INDEX('Paste Export'!$A$2:$BZ$1001,$A702,col_s5))&gt;0))+IF(col_s6=0,0,--(LEN(INDEX('Paste Export'!$A$2:$BZ$1001,$A702,col_s6))&gt;0))+IF(col_s7=0,0,--(LEN(INDEX('Paste Export'!$A$2:$BZ$1001,$A702,col_s7))&gt;0))+IF(col_s8=0,0,--(LEN(INDEX('Paste Export'!$A$2:$BZ$1001,$A702,col_s8))&gt;0)))</f>
        <v/>
      </c>
      <c r="I702" s="25" t="str">
        <f t="shared" si="73"/>
        <v/>
      </c>
      <c r="J702" s="25" t="str">
        <f t="shared" si="74"/>
        <v/>
      </c>
      <c r="K702" s="24" t="str">
        <f t="shared" si="75"/>
        <v/>
      </c>
      <c r="L702" s="24" t="str">
        <f t="shared" si="76"/>
        <v/>
      </c>
    </row>
    <row r="703" spans="1:12" x14ac:dyDescent="0.25">
      <c r="A703" s="24">
        <f t="shared" si="70"/>
        <v>702</v>
      </c>
      <c r="B703" s="25" t="str">
        <f>IF($A703&gt;nrows,"",IF(col_user=0,"",INDEX('Paste Export'!$A$2:$BZ$1001,$A703,col_user)))</f>
        <v/>
      </c>
      <c r="C703" s="24" t="str">
        <f>IF($A703&gt;nrows,"",IF(col_days=0,0,N(INDEX('Paste Export'!$A$2:$BZ$1001,$A703,col_days))))</f>
        <v/>
      </c>
      <c r="D703" s="24" t="str">
        <f>IF($A703&gt;nrows,"",IF(col_prompts=0,0,N(INDEX('Paste Export'!$A$2:$BZ$1001,$A703,col_prompts))))</f>
        <v/>
      </c>
      <c r="E703" s="24" t="str">
        <f>IF($A703&gt;nrows,"",IF(col_web=0,0,N(INDEX('Paste Export'!$A$2:$BZ$1001,$A703,col_web))))</f>
        <v/>
      </c>
      <c r="F703" s="26" t="str">
        <f t="shared" si="71"/>
        <v/>
      </c>
      <c r="G703" s="27" t="str">
        <f t="shared" si="72"/>
        <v/>
      </c>
      <c r="H703" s="24" t="str">
        <f>IF($A703&gt;nrows,"",IF(col_s1=0,0,--(LEN(INDEX('Paste Export'!$A$2:$BZ$1001,$A703,col_s1))&gt;0))+IF(col_s2=0,0,--(LEN(INDEX('Paste Export'!$A$2:$BZ$1001,$A703,col_s2))&gt;0))+IF(col_s3=0,0,--(LEN(INDEX('Paste Export'!$A$2:$BZ$1001,$A703,col_s3))&gt;0))+IF(col_s4=0,0,--(LEN(INDEX('Paste Export'!$A$2:$BZ$1001,$A703,col_s4))&gt;0))+IF(col_s5=0,0,--(LEN(INDEX('Paste Export'!$A$2:$BZ$1001,$A703,col_s5))&gt;0))+IF(col_s6=0,0,--(LEN(INDEX('Paste Export'!$A$2:$BZ$1001,$A703,col_s6))&gt;0))+IF(col_s7=0,0,--(LEN(INDEX('Paste Export'!$A$2:$BZ$1001,$A703,col_s7))&gt;0))+IF(col_s8=0,0,--(LEN(INDEX('Paste Export'!$A$2:$BZ$1001,$A703,col_s8))&gt;0)))</f>
        <v/>
      </c>
      <c r="I703" s="25" t="str">
        <f t="shared" si="73"/>
        <v/>
      </c>
      <c r="J703" s="25" t="str">
        <f t="shared" si="74"/>
        <v/>
      </c>
      <c r="K703" s="24" t="str">
        <f t="shared" si="75"/>
        <v/>
      </c>
      <c r="L703" s="24" t="str">
        <f t="shared" si="76"/>
        <v/>
      </c>
    </row>
    <row r="704" spans="1:12" x14ac:dyDescent="0.25">
      <c r="A704" s="24">
        <f t="shared" si="70"/>
        <v>703</v>
      </c>
      <c r="B704" s="25" t="str">
        <f>IF($A704&gt;nrows,"",IF(col_user=0,"",INDEX('Paste Export'!$A$2:$BZ$1001,$A704,col_user)))</f>
        <v/>
      </c>
      <c r="C704" s="24" t="str">
        <f>IF($A704&gt;nrows,"",IF(col_days=0,0,N(INDEX('Paste Export'!$A$2:$BZ$1001,$A704,col_days))))</f>
        <v/>
      </c>
      <c r="D704" s="24" t="str">
        <f>IF($A704&gt;nrows,"",IF(col_prompts=0,0,N(INDEX('Paste Export'!$A$2:$BZ$1001,$A704,col_prompts))))</f>
        <v/>
      </c>
      <c r="E704" s="24" t="str">
        <f>IF($A704&gt;nrows,"",IF(col_web=0,0,N(INDEX('Paste Export'!$A$2:$BZ$1001,$A704,col_web))))</f>
        <v/>
      </c>
      <c r="F704" s="26" t="str">
        <f t="shared" si="71"/>
        <v/>
      </c>
      <c r="G704" s="27" t="str">
        <f t="shared" si="72"/>
        <v/>
      </c>
      <c r="H704" s="24" t="str">
        <f>IF($A704&gt;nrows,"",IF(col_s1=0,0,--(LEN(INDEX('Paste Export'!$A$2:$BZ$1001,$A704,col_s1))&gt;0))+IF(col_s2=0,0,--(LEN(INDEX('Paste Export'!$A$2:$BZ$1001,$A704,col_s2))&gt;0))+IF(col_s3=0,0,--(LEN(INDEX('Paste Export'!$A$2:$BZ$1001,$A704,col_s3))&gt;0))+IF(col_s4=0,0,--(LEN(INDEX('Paste Export'!$A$2:$BZ$1001,$A704,col_s4))&gt;0))+IF(col_s5=0,0,--(LEN(INDEX('Paste Export'!$A$2:$BZ$1001,$A704,col_s5))&gt;0))+IF(col_s6=0,0,--(LEN(INDEX('Paste Export'!$A$2:$BZ$1001,$A704,col_s6))&gt;0))+IF(col_s7=0,0,--(LEN(INDEX('Paste Export'!$A$2:$BZ$1001,$A704,col_s7))&gt;0))+IF(col_s8=0,0,--(LEN(INDEX('Paste Export'!$A$2:$BZ$1001,$A704,col_s8))&gt;0)))</f>
        <v/>
      </c>
      <c r="I704" s="25" t="str">
        <f t="shared" si="73"/>
        <v/>
      </c>
      <c r="J704" s="25" t="str">
        <f t="shared" si="74"/>
        <v/>
      </c>
      <c r="K704" s="24" t="str">
        <f t="shared" si="75"/>
        <v/>
      </c>
      <c r="L704" s="24" t="str">
        <f t="shared" si="76"/>
        <v/>
      </c>
    </row>
    <row r="705" spans="1:12" x14ac:dyDescent="0.25">
      <c r="A705" s="24">
        <f t="shared" si="70"/>
        <v>704</v>
      </c>
      <c r="B705" s="25" t="str">
        <f>IF($A705&gt;nrows,"",IF(col_user=0,"",INDEX('Paste Export'!$A$2:$BZ$1001,$A705,col_user)))</f>
        <v/>
      </c>
      <c r="C705" s="24" t="str">
        <f>IF($A705&gt;nrows,"",IF(col_days=0,0,N(INDEX('Paste Export'!$A$2:$BZ$1001,$A705,col_days))))</f>
        <v/>
      </c>
      <c r="D705" s="24" t="str">
        <f>IF($A705&gt;nrows,"",IF(col_prompts=0,0,N(INDEX('Paste Export'!$A$2:$BZ$1001,$A705,col_prompts))))</f>
        <v/>
      </c>
      <c r="E705" s="24" t="str">
        <f>IF($A705&gt;nrows,"",IF(col_web=0,0,N(INDEX('Paste Export'!$A$2:$BZ$1001,$A705,col_web))))</f>
        <v/>
      </c>
      <c r="F705" s="26" t="str">
        <f t="shared" si="71"/>
        <v/>
      </c>
      <c r="G705" s="27" t="str">
        <f t="shared" si="72"/>
        <v/>
      </c>
      <c r="H705" s="24" t="str">
        <f>IF($A705&gt;nrows,"",IF(col_s1=0,0,--(LEN(INDEX('Paste Export'!$A$2:$BZ$1001,$A705,col_s1))&gt;0))+IF(col_s2=0,0,--(LEN(INDEX('Paste Export'!$A$2:$BZ$1001,$A705,col_s2))&gt;0))+IF(col_s3=0,0,--(LEN(INDEX('Paste Export'!$A$2:$BZ$1001,$A705,col_s3))&gt;0))+IF(col_s4=0,0,--(LEN(INDEX('Paste Export'!$A$2:$BZ$1001,$A705,col_s4))&gt;0))+IF(col_s5=0,0,--(LEN(INDEX('Paste Export'!$A$2:$BZ$1001,$A705,col_s5))&gt;0))+IF(col_s6=0,0,--(LEN(INDEX('Paste Export'!$A$2:$BZ$1001,$A705,col_s6))&gt;0))+IF(col_s7=0,0,--(LEN(INDEX('Paste Export'!$A$2:$BZ$1001,$A705,col_s7))&gt;0))+IF(col_s8=0,0,--(LEN(INDEX('Paste Export'!$A$2:$BZ$1001,$A705,col_s8))&gt;0)))</f>
        <v/>
      </c>
      <c r="I705" s="25" t="str">
        <f t="shared" si="73"/>
        <v/>
      </c>
      <c r="J705" s="25" t="str">
        <f t="shared" si="74"/>
        <v/>
      </c>
      <c r="K705" s="24" t="str">
        <f t="shared" si="75"/>
        <v/>
      </c>
      <c r="L705" s="24" t="str">
        <f t="shared" si="76"/>
        <v/>
      </c>
    </row>
    <row r="706" spans="1:12" x14ac:dyDescent="0.25">
      <c r="A706" s="24">
        <f t="shared" ref="A706:A769" si="77">ROW()-1</f>
        <v>705</v>
      </c>
      <c r="B706" s="25" t="str">
        <f>IF($A706&gt;nrows,"",IF(col_user=0,"",INDEX('Paste Export'!$A$2:$BZ$1001,$A706,col_user)))</f>
        <v/>
      </c>
      <c r="C706" s="24" t="str">
        <f>IF($A706&gt;nrows,"",IF(col_days=0,0,N(INDEX('Paste Export'!$A$2:$BZ$1001,$A706,col_days))))</f>
        <v/>
      </c>
      <c r="D706" s="24" t="str">
        <f>IF($A706&gt;nrows,"",IF(col_prompts=0,0,N(INDEX('Paste Export'!$A$2:$BZ$1001,$A706,col_prompts))))</f>
        <v/>
      </c>
      <c r="E706" s="24" t="str">
        <f>IF($A706&gt;nrows,"",IF(col_web=0,0,N(INDEX('Paste Export'!$A$2:$BZ$1001,$A706,col_web))))</f>
        <v/>
      </c>
      <c r="F706" s="26" t="str">
        <f t="shared" ref="F706:F769" si="78">IF($A706&gt;nrows,"",IFERROR($D706/$C706,0))</f>
        <v/>
      </c>
      <c r="G706" s="27" t="str">
        <f t="shared" ref="G706:G769" si="79">IF($A706&gt;nrows,"",IFERROR($E706/$D706,""))</f>
        <v/>
      </c>
      <c r="H706" s="24" t="str">
        <f>IF($A706&gt;nrows,"",IF(col_s1=0,0,--(LEN(INDEX('Paste Export'!$A$2:$BZ$1001,$A706,col_s1))&gt;0))+IF(col_s2=0,0,--(LEN(INDEX('Paste Export'!$A$2:$BZ$1001,$A706,col_s2))&gt;0))+IF(col_s3=0,0,--(LEN(INDEX('Paste Export'!$A$2:$BZ$1001,$A706,col_s3))&gt;0))+IF(col_s4=0,0,--(LEN(INDEX('Paste Export'!$A$2:$BZ$1001,$A706,col_s4))&gt;0))+IF(col_s5=0,0,--(LEN(INDEX('Paste Export'!$A$2:$BZ$1001,$A706,col_s5))&gt;0))+IF(col_s6=0,0,--(LEN(INDEX('Paste Export'!$A$2:$BZ$1001,$A706,col_s6))&gt;0))+IF(col_s7=0,0,--(LEN(INDEX('Paste Export'!$A$2:$BZ$1001,$A706,col_s7))&gt;0))+IF(col_s8=0,0,--(LEN(INDEX('Paste Export'!$A$2:$BZ$1001,$A706,col_s8))&gt;0)))</f>
        <v/>
      </c>
      <c r="I706" s="25" t="str">
        <f t="shared" ref="I706:I769" si="80">IF($A706&gt;nrows,"",IF($C706&gt;=freq_line,IF($D706&gt;=depth_line,"Embedded","Loyal but shallow"),IF($D706&gt;=depth_line,"Project-driven","Drifting")))</f>
        <v/>
      </c>
      <c r="J706" s="25" t="str">
        <f t="shared" ref="J706:J769" si="81">IF($A706&gt;nrows,"",IF($I706="Drifting",IF($H706&gt;=3,"tried and stopped","never started"),""))</f>
        <v/>
      </c>
      <c r="K706" s="24" t="str">
        <f t="shared" ref="K706:K769" si="82">IF($A706&gt;nrows,"",MAX($D706,1))</f>
        <v/>
      </c>
      <c r="L706" s="24" t="str">
        <f t="shared" ref="L706:L769" si="83">IF($A706&gt;nrows,"",IF(AND($C706=0,$D706=0),1,0))</f>
        <v/>
      </c>
    </row>
    <row r="707" spans="1:12" x14ac:dyDescent="0.25">
      <c r="A707" s="24">
        <f t="shared" si="77"/>
        <v>706</v>
      </c>
      <c r="B707" s="25" t="str">
        <f>IF($A707&gt;nrows,"",IF(col_user=0,"",INDEX('Paste Export'!$A$2:$BZ$1001,$A707,col_user)))</f>
        <v/>
      </c>
      <c r="C707" s="24" t="str">
        <f>IF($A707&gt;nrows,"",IF(col_days=0,0,N(INDEX('Paste Export'!$A$2:$BZ$1001,$A707,col_days))))</f>
        <v/>
      </c>
      <c r="D707" s="24" t="str">
        <f>IF($A707&gt;nrows,"",IF(col_prompts=0,0,N(INDEX('Paste Export'!$A$2:$BZ$1001,$A707,col_prompts))))</f>
        <v/>
      </c>
      <c r="E707" s="24" t="str">
        <f>IF($A707&gt;nrows,"",IF(col_web=0,0,N(INDEX('Paste Export'!$A$2:$BZ$1001,$A707,col_web))))</f>
        <v/>
      </c>
      <c r="F707" s="26" t="str">
        <f t="shared" si="78"/>
        <v/>
      </c>
      <c r="G707" s="27" t="str">
        <f t="shared" si="79"/>
        <v/>
      </c>
      <c r="H707" s="24" t="str">
        <f>IF($A707&gt;nrows,"",IF(col_s1=0,0,--(LEN(INDEX('Paste Export'!$A$2:$BZ$1001,$A707,col_s1))&gt;0))+IF(col_s2=0,0,--(LEN(INDEX('Paste Export'!$A$2:$BZ$1001,$A707,col_s2))&gt;0))+IF(col_s3=0,0,--(LEN(INDEX('Paste Export'!$A$2:$BZ$1001,$A707,col_s3))&gt;0))+IF(col_s4=0,0,--(LEN(INDEX('Paste Export'!$A$2:$BZ$1001,$A707,col_s4))&gt;0))+IF(col_s5=0,0,--(LEN(INDEX('Paste Export'!$A$2:$BZ$1001,$A707,col_s5))&gt;0))+IF(col_s6=0,0,--(LEN(INDEX('Paste Export'!$A$2:$BZ$1001,$A707,col_s6))&gt;0))+IF(col_s7=0,0,--(LEN(INDEX('Paste Export'!$A$2:$BZ$1001,$A707,col_s7))&gt;0))+IF(col_s8=0,0,--(LEN(INDEX('Paste Export'!$A$2:$BZ$1001,$A707,col_s8))&gt;0)))</f>
        <v/>
      </c>
      <c r="I707" s="25" t="str">
        <f t="shared" si="80"/>
        <v/>
      </c>
      <c r="J707" s="25" t="str">
        <f t="shared" si="81"/>
        <v/>
      </c>
      <c r="K707" s="24" t="str">
        <f t="shared" si="82"/>
        <v/>
      </c>
      <c r="L707" s="24" t="str">
        <f t="shared" si="83"/>
        <v/>
      </c>
    </row>
    <row r="708" spans="1:12" x14ac:dyDescent="0.25">
      <c r="A708" s="24">
        <f t="shared" si="77"/>
        <v>707</v>
      </c>
      <c r="B708" s="25" t="str">
        <f>IF($A708&gt;nrows,"",IF(col_user=0,"",INDEX('Paste Export'!$A$2:$BZ$1001,$A708,col_user)))</f>
        <v/>
      </c>
      <c r="C708" s="24" t="str">
        <f>IF($A708&gt;nrows,"",IF(col_days=0,0,N(INDEX('Paste Export'!$A$2:$BZ$1001,$A708,col_days))))</f>
        <v/>
      </c>
      <c r="D708" s="24" t="str">
        <f>IF($A708&gt;nrows,"",IF(col_prompts=0,0,N(INDEX('Paste Export'!$A$2:$BZ$1001,$A708,col_prompts))))</f>
        <v/>
      </c>
      <c r="E708" s="24" t="str">
        <f>IF($A708&gt;nrows,"",IF(col_web=0,0,N(INDEX('Paste Export'!$A$2:$BZ$1001,$A708,col_web))))</f>
        <v/>
      </c>
      <c r="F708" s="26" t="str">
        <f t="shared" si="78"/>
        <v/>
      </c>
      <c r="G708" s="27" t="str">
        <f t="shared" si="79"/>
        <v/>
      </c>
      <c r="H708" s="24" t="str">
        <f>IF($A708&gt;nrows,"",IF(col_s1=0,0,--(LEN(INDEX('Paste Export'!$A$2:$BZ$1001,$A708,col_s1))&gt;0))+IF(col_s2=0,0,--(LEN(INDEX('Paste Export'!$A$2:$BZ$1001,$A708,col_s2))&gt;0))+IF(col_s3=0,0,--(LEN(INDEX('Paste Export'!$A$2:$BZ$1001,$A708,col_s3))&gt;0))+IF(col_s4=0,0,--(LEN(INDEX('Paste Export'!$A$2:$BZ$1001,$A708,col_s4))&gt;0))+IF(col_s5=0,0,--(LEN(INDEX('Paste Export'!$A$2:$BZ$1001,$A708,col_s5))&gt;0))+IF(col_s6=0,0,--(LEN(INDEX('Paste Export'!$A$2:$BZ$1001,$A708,col_s6))&gt;0))+IF(col_s7=0,0,--(LEN(INDEX('Paste Export'!$A$2:$BZ$1001,$A708,col_s7))&gt;0))+IF(col_s8=0,0,--(LEN(INDEX('Paste Export'!$A$2:$BZ$1001,$A708,col_s8))&gt;0)))</f>
        <v/>
      </c>
      <c r="I708" s="25" t="str">
        <f t="shared" si="80"/>
        <v/>
      </c>
      <c r="J708" s="25" t="str">
        <f t="shared" si="81"/>
        <v/>
      </c>
      <c r="K708" s="24" t="str">
        <f t="shared" si="82"/>
        <v/>
      </c>
      <c r="L708" s="24" t="str">
        <f t="shared" si="83"/>
        <v/>
      </c>
    </row>
    <row r="709" spans="1:12" x14ac:dyDescent="0.25">
      <c r="A709" s="24">
        <f t="shared" si="77"/>
        <v>708</v>
      </c>
      <c r="B709" s="25" t="str">
        <f>IF($A709&gt;nrows,"",IF(col_user=0,"",INDEX('Paste Export'!$A$2:$BZ$1001,$A709,col_user)))</f>
        <v/>
      </c>
      <c r="C709" s="24" t="str">
        <f>IF($A709&gt;nrows,"",IF(col_days=0,0,N(INDEX('Paste Export'!$A$2:$BZ$1001,$A709,col_days))))</f>
        <v/>
      </c>
      <c r="D709" s="24" t="str">
        <f>IF($A709&gt;nrows,"",IF(col_prompts=0,0,N(INDEX('Paste Export'!$A$2:$BZ$1001,$A709,col_prompts))))</f>
        <v/>
      </c>
      <c r="E709" s="24" t="str">
        <f>IF($A709&gt;nrows,"",IF(col_web=0,0,N(INDEX('Paste Export'!$A$2:$BZ$1001,$A709,col_web))))</f>
        <v/>
      </c>
      <c r="F709" s="26" t="str">
        <f t="shared" si="78"/>
        <v/>
      </c>
      <c r="G709" s="27" t="str">
        <f t="shared" si="79"/>
        <v/>
      </c>
      <c r="H709" s="24" t="str">
        <f>IF($A709&gt;nrows,"",IF(col_s1=0,0,--(LEN(INDEX('Paste Export'!$A$2:$BZ$1001,$A709,col_s1))&gt;0))+IF(col_s2=0,0,--(LEN(INDEX('Paste Export'!$A$2:$BZ$1001,$A709,col_s2))&gt;0))+IF(col_s3=0,0,--(LEN(INDEX('Paste Export'!$A$2:$BZ$1001,$A709,col_s3))&gt;0))+IF(col_s4=0,0,--(LEN(INDEX('Paste Export'!$A$2:$BZ$1001,$A709,col_s4))&gt;0))+IF(col_s5=0,0,--(LEN(INDEX('Paste Export'!$A$2:$BZ$1001,$A709,col_s5))&gt;0))+IF(col_s6=0,0,--(LEN(INDEX('Paste Export'!$A$2:$BZ$1001,$A709,col_s6))&gt;0))+IF(col_s7=0,0,--(LEN(INDEX('Paste Export'!$A$2:$BZ$1001,$A709,col_s7))&gt;0))+IF(col_s8=0,0,--(LEN(INDEX('Paste Export'!$A$2:$BZ$1001,$A709,col_s8))&gt;0)))</f>
        <v/>
      </c>
      <c r="I709" s="25" t="str">
        <f t="shared" si="80"/>
        <v/>
      </c>
      <c r="J709" s="25" t="str">
        <f t="shared" si="81"/>
        <v/>
      </c>
      <c r="K709" s="24" t="str">
        <f t="shared" si="82"/>
        <v/>
      </c>
      <c r="L709" s="24" t="str">
        <f t="shared" si="83"/>
        <v/>
      </c>
    </row>
    <row r="710" spans="1:12" x14ac:dyDescent="0.25">
      <c r="A710" s="24">
        <f t="shared" si="77"/>
        <v>709</v>
      </c>
      <c r="B710" s="25" t="str">
        <f>IF($A710&gt;nrows,"",IF(col_user=0,"",INDEX('Paste Export'!$A$2:$BZ$1001,$A710,col_user)))</f>
        <v/>
      </c>
      <c r="C710" s="24" t="str">
        <f>IF($A710&gt;nrows,"",IF(col_days=0,0,N(INDEX('Paste Export'!$A$2:$BZ$1001,$A710,col_days))))</f>
        <v/>
      </c>
      <c r="D710" s="24" t="str">
        <f>IF($A710&gt;nrows,"",IF(col_prompts=0,0,N(INDEX('Paste Export'!$A$2:$BZ$1001,$A710,col_prompts))))</f>
        <v/>
      </c>
      <c r="E710" s="24" t="str">
        <f>IF($A710&gt;nrows,"",IF(col_web=0,0,N(INDEX('Paste Export'!$A$2:$BZ$1001,$A710,col_web))))</f>
        <v/>
      </c>
      <c r="F710" s="26" t="str">
        <f t="shared" si="78"/>
        <v/>
      </c>
      <c r="G710" s="27" t="str">
        <f t="shared" si="79"/>
        <v/>
      </c>
      <c r="H710" s="24" t="str">
        <f>IF($A710&gt;nrows,"",IF(col_s1=0,0,--(LEN(INDEX('Paste Export'!$A$2:$BZ$1001,$A710,col_s1))&gt;0))+IF(col_s2=0,0,--(LEN(INDEX('Paste Export'!$A$2:$BZ$1001,$A710,col_s2))&gt;0))+IF(col_s3=0,0,--(LEN(INDEX('Paste Export'!$A$2:$BZ$1001,$A710,col_s3))&gt;0))+IF(col_s4=0,0,--(LEN(INDEX('Paste Export'!$A$2:$BZ$1001,$A710,col_s4))&gt;0))+IF(col_s5=0,0,--(LEN(INDEX('Paste Export'!$A$2:$BZ$1001,$A710,col_s5))&gt;0))+IF(col_s6=0,0,--(LEN(INDEX('Paste Export'!$A$2:$BZ$1001,$A710,col_s6))&gt;0))+IF(col_s7=0,0,--(LEN(INDEX('Paste Export'!$A$2:$BZ$1001,$A710,col_s7))&gt;0))+IF(col_s8=0,0,--(LEN(INDEX('Paste Export'!$A$2:$BZ$1001,$A710,col_s8))&gt;0)))</f>
        <v/>
      </c>
      <c r="I710" s="25" t="str">
        <f t="shared" si="80"/>
        <v/>
      </c>
      <c r="J710" s="25" t="str">
        <f t="shared" si="81"/>
        <v/>
      </c>
      <c r="K710" s="24" t="str">
        <f t="shared" si="82"/>
        <v/>
      </c>
      <c r="L710" s="24" t="str">
        <f t="shared" si="83"/>
        <v/>
      </c>
    </row>
    <row r="711" spans="1:12" x14ac:dyDescent="0.25">
      <c r="A711" s="24">
        <f t="shared" si="77"/>
        <v>710</v>
      </c>
      <c r="B711" s="25" t="str">
        <f>IF($A711&gt;nrows,"",IF(col_user=0,"",INDEX('Paste Export'!$A$2:$BZ$1001,$A711,col_user)))</f>
        <v/>
      </c>
      <c r="C711" s="24" t="str">
        <f>IF($A711&gt;nrows,"",IF(col_days=0,0,N(INDEX('Paste Export'!$A$2:$BZ$1001,$A711,col_days))))</f>
        <v/>
      </c>
      <c r="D711" s="24" t="str">
        <f>IF($A711&gt;nrows,"",IF(col_prompts=0,0,N(INDEX('Paste Export'!$A$2:$BZ$1001,$A711,col_prompts))))</f>
        <v/>
      </c>
      <c r="E711" s="24" t="str">
        <f>IF($A711&gt;nrows,"",IF(col_web=0,0,N(INDEX('Paste Export'!$A$2:$BZ$1001,$A711,col_web))))</f>
        <v/>
      </c>
      <c r="F711" s="26" t="str">
        <f t="shared" si="78"/>
        <v/>
      </c>
      <c r="G711" s="27" t="str">
        <f t="shared" si="79"/>
        <v/>
      </c>
      <c r="H711" s="24" t="str">
        <f>IF($A711&gt;nrows,"",IF(col_s1=0,0,--(LEN(INDEX('Paste Export'!$A$2:$BZ$1001,$A711,col_s1))&gt;0))+IF(col_s2=0,0,--(LEN(INDEX('Paste Export'!$A$2:$BZ$1001,$A711,col_s2))&gt;0))+IF(col_s3=0,0,--(LEN(INDEX('Paste Export'!$A$2:$BZ$1001,$A711,col_s3))&gt;0))+IF(col_s4=0,0,--(LEN(INDEX('Paste Export'!$A$2:$BZ$1001,$A711,col_s4))&gt;0))+IF(col_s5=0,0,--(LEN(INDEX('Paste Export'!$A$2:$BZ$1001,$A711,col_s5))&gt;0))+IF(col_s6=0,0,--(LEN(INDEX('Paste Export'!$A$2:$BZ$1001,$A711,col_s6))&gt;0))+IF(col_s7=0,0,--(LEN(INDEX('Paste Export'!$A$2:$BZ$1001,$A711,col_s7))&gt;0))+IF(col_s8=0,0,--(LEN(INDEX('Paste Export'!$A$2:$BZ$1001,$A711,col_s8))&gt;0)))</f>
        <v/>
      </c>
      <c r="I711" s="25" t="str">
        <f t="shared" si="80"/>
        <v/>
      </c>
      <c r="J711" s="25" t="str">
        <f t="shared" si="81"/>
        <v/>
      </c>
      <c r="K711" s="24" t="str">
        <f t="shared" si="82"/>
        <v/>
      </c>
      <c r="L711" s="24" t="str">
        <f t="shared" si="83"/>
        <v/>
      </c>
    </row>
    <row r="712" spans="1:12" x14ac:dyDescent="0.25">
      <c r="A712" s="24">
        <f t="shared" si="77"/>
        <v>711</v>
      </c>
      <c r="B712" s="25" t="str">
        <f>IF($A712&gt;nrows,"",IF(col_user=0,"",INDEX('Paste Export'!$A$2:$BZ$1001,$A712,col_user)))</f>
        <v/>
      </c>
      <c r="C712" s="24" t="str">
        <f>IF($A712&gt;nrows,"",IF(col_days=0,0,N(INDEX('Paste Export'!$A$2:$BZ$1001,$A712,col_days))))</f>
        <v/>
      </c>
      <c r="D712" s="24" t="str">
        <f>IF($A712&gt;nrows,"",IF(col_prompts=0,0,N(INDEX('Paste Export'!$A$2:$BZ$1001,$A712,col_prompts))))</f>
        <v/>
      </c>
      <c r="E712" s="24" t="str">
        <f>IF($A712&gt;nrows,"",IF(col_web=0,0,N(INDEX('Paste Export'!$A$2:$BZ$1001,$A712,col_web))))</f>
        <v/>
      </c>
      <c r="F712" s="26" t="str">
        <f t="shared" si="78"/>
        <v/>
      </c>
      <c r="G712" s="27" t="str">
        <f t="shared" si="79"/>
        <v/>
      </c>
      <c r="H712" s="24" t="str">
        <f>IF($A712&gt;nrows,"",IF(col_s1=0,0,--(LEN(INDEX('Paste Export'!$A$2:$BZ$1001,$A712,col_s1))&gt;0))+IF(col_s2=0,0,--(LEN(INDEX('Paste Export'!$A$2:$BZ$1001,$A712,col_s2))&gt;0))+IF(col_s3=0,0,--(LEN(INDEX('Paste Export'!$A$2:$BZ$1001,$A712,col_s3))&gt;0))+IF(col_s4=0,0,--(LEN(INDEX('Paste Export'!$A$2:$BZ$1001,$A712,col_s4))&gt;0))+IF(col_s5=0,0,--(LEN(INDEX('Paste Export'!$A$2:$BZ$1001,$A712,col_s5))&gt;0))+IF(col_s6=0,0,--(LEN(INDEX('Paste Export'!$A$2:$BZ$1001,$A712,col_s6))&gt;0))+IF(col_s7=0,0,--(LEN(INDEX('Paste Export'!$A$2:$BZ$1001,$A712,col_s7))&gt;0))+IF(col_s8=0,0,--(LEN(INDEX('Paste Export'!$A$2:$BZ$1001,$A712,col_s8))&gt;0)))</f>
        <v/>
      </c>
      <c r="I712" s="25" t="str">
        <f t="shared" si="80"/>
        <v/>
      </c>
      <c r="J712" s="25" t="str">
        <f t="shared" si="81"/>
        <v/>
      </c>
      <c r="K712" s="24" t="str">
        <f t="shared" si="82"/>
        <v/>
      </c>
      <c r="L712" s="24" t="str">
        <f t="shared" si="83"/>
        <v/>
      </c>
    </row>
    <row r="713" spans="1:12" x14ac:dyDescent="0.25">
      <c r="A713" s="24">
        <f t="shared" si="77"/>
        <v>712</v>
      </c>
      <c r="B713" s="25" t="str">
        <f>IF($A713&gt;nrows,"",IF(col_user=0,"",INDEX('Paste Export'!$A$2:$BZ$1001,$A713,col_user)))</f>
        <v/>
      </c>
      <c r="C713" s="24" t="str">
        <f>IF($A713&gt;nrows,"",IF(col_days=0,0,N(INDEX('Paste Export'!$A$2:$BZ$1001,$A713,col_days))))</f>
        <v/>
      </c>
      <c r="D713" s="24" t="str">
        <f>IF($A713&gt;nrows,"",IF(col_prompts=0,0,N(INDEX('Paste Export'!$A$2:$BZ$1001,$A713,col_prompts))))</f>
        <v/>
      </c>
      <c r="E713" s="24" t="str">
        <f>IF($A713&gt;nrows,"",IF(col_web=0,0,N(INDEX('Paste Export'!$A$2:$BZ$1001,$A713,col_web))))</f>
        <v/>
      </c>
      <c r="F713" s="26" t="str">
        <f t="shared" si="78"/>
        <v/>
      </c>
      <c r="G713" s="27" t="str">
        <f t="shared" si="79"/>
        <v/>
      </c>
      <c r="H713" s="24" t="str">
        <f>IF($A713&gt;nrows,"",IF(col_s1=0,0,--(LEN(INDEX('Paste Export'!$A$2:$BZ$1001,$A713,col_s1))&gt;0))+IF(col_s2=0,0,--(LEN(INDEX('Paste Export'!$A$2:$BZ$1001,$A713,col_s2))&gt;0))+IF(col_s3=0,0,--(LEN(INDEX('Paste Export'!$A$2:$BZ$1001,$A713,col_s3))&gt;0))+IF(col_s4=0,0,--(LEN(INDEX('Paste Export'!$A$2:$BZ$1001,$A713,col_s4))&gt;0))+IF(col_s5=0,0,--(LEN(INDEX('Paste Export'!$A$2:$BZ$1001,$A713,col_s5))&gt;0))+IF(col_s6=0,0,--(LEN(INDEX('Paste Export'!$A$2:$BZ$1001,$A713,col_s6))&gt;0))+IF(col_s7=0,0,--(LEN(INDEX('Paste Export'!$A$2:$BZ$1001,$A713,col_s7))&gt;0))+IF(col_s8=0,0,--(LEN(INDEX('Paste Export'!$A$2:$BZ$1001,$A713,col_s8))&gt;0)))</f>
        <v/>
      </c>
      <c r="I713" s="25" t="str">
        <f t="shared" si="80"/>
        <v/>
      </c>
      <c r="J713" s="25" t="str">
        <f t="shared" si="81"/>
        <v/>
      </c>
      <c r="K713" s="24" t="str">
        <f t="shared" si="82"/>
        <v/>
      </c>
      <c r="L713" s="24" t="str">
        <f t="shared" si="83"/>
        <v/>
      </c>
    </row>
    <row r="714" spans="1:12" x14ac:dyDescent="0.25">
      <c r="A714" s="24">
        <f t="shared" si="77"/>
        <v>713</v>
      </c>
      <c r="B714" s="25" t="str">
        <f>IF($A714&gt;nrows,"",IF(col_user=0,"",INDEX('Paste Export'!$A$2:$BZ$1001,$A714,col_user)))</f>
        <v/>
      </c>
      <c r="C714" s="24" t="str">
        <f>IF($A714&gt;nrows,"",IF(col_days=0,0,N(INDEX('Paste Export'!$A$2:$BZ$1001,$A714,col_days))))</f>
        <v/>
      </c>
      <c r="D714" s="24" t="str">
        <f>IF($A714&gt;nrows,"",IF(col_prompts=0,0,N(INDEX('Paste Export'!$A$2:$BZ$1001,$A714,col_prompts))))</f>
        <v/>
      </c>
      <c r="E714" s="24" t="str">
        <f>IF($A714&gt;nrows,"",IF(col_web=0,0,N(INDEX('Paste Export'!$A$2:$BZ$1001,$A714,col_web))))</f>
        <v/>
      </c>
      <c r="F714" s="26" t="str">
        <f t="shared" si="78"/>
        <v/>
      </c>
      <c r="G714" s="27" t="str">
        <f t="shared" si="79"/>
        <v/>
      </c>
      <c r="H714" s="24" t="str">
        <f>IF($A714&gt;nrows,"",IF(col_s1=0,0,--(LEN(INDEX('Paste Export'!$A$2:$BZ$1001,$A714,col_s1))&gt;0))+IF(col_s2=0,0,--(LEN(INDEX('Paste Export'!$A$2:$BZ$1001,$A714,col_s2))&gt;0))+IF(col_s3=0,0,--(LEN(INDEX('Paste Export'!$A$2:$BZ$1001,$A714,col_s3))&gt;0))+IF(col_s4=0,0,--(LEN(INDEX('Paste Export'!$A$2:$BZ$1001,$A714,col_s4))&gt;0))+IF(col_s5=0,0,--(LEN(INDEX('Paste Export'!$A$2:$BZ$1001,$A714,col_s5))&gt;0))+IF(col_s6=0,0,--(LEN(INDEX('Paste Export'!$A$2:$BZ$1001,$A714,col_s6))&gt;0))+IF(col_s7=0,0,--(LEN(INDEX('Paste Export'!$A$2:$BZ$1001,$A714,col_s7))&gt;0))+IF(col_s8=0,0,--(LEN(INDEX('Paste Export'!$A$2:$BZ$1001,$A714,col_s8))&gt;0)))</f>
        <v/>
      </c>
      <c r="I714" s="25" t="str">
        <f t="shared" si="80"/>
        <v/>
      </c>
      <c r="J714" s="25" t="str">
        <f t="shared" si="81"/>
        <v/>
      </c>
      <c r="K714" s="24" t="str">
        <f t="shared" si="82"/>
        <v/>
      </c>
      <c r="L714" s="24" t="str">
        <f t="shared" si="83"/>
        <v/>
      </c>
    </row>
    <row r="715" spans="1:12" x14ac:dyDescent="0.25">
      <c r="A715" s="24">
        <f t="shared" si="77"/>
        <v>714</v>
      </c>
      <c r="B715" s="25" t="str">
        <f>IF($A715&gt;nrows,"",IF(col_user=0,"",INDEX('Paste Export'!$A$2:$BZ$1001,$A715,col_user)))</f>
        <v/>
      </c>
      <c r="C715" s="24" t="str">
        <f>IF($A715&gt;nrows,"",IF(col_days=0,0,N(INDEX('Paste Export'!$A$2:$BZ$1001,$A715,col_days))))</f>
        <v/>
      </c>
      <c r="D715" s="24" t="str">
        <f>IF($A715&gt;nrows,"",IF(col_prompts=0,0,N(INDEX('Paste Export'!$A$2:$BZ$1001,$A715,col_prompts))))</f>
        <v/>
      </c>
      <c r="E715" s="24" t="str">
        <f>IF($A715&gt;nrows,"",IF(col_web=0,0,N(INDEX('Paste Export'!$A$2:$BZ$1001,$A715,col_web))))</f>
        <v/>
      </c>
      <c r="F715" s="26" t="str">
        <f t="shared" si="78"/>
        <v/>
      </c>
      <c r="G715" s="27" t="str">
        <f t="shared" si="79"/>
        <v/>
      </c>
      <c r="H715" s="24" t="str">
        <f>IF($A715&gt;nrows,"",IF(col_s1=0,0,--(LEN(INDEX('Paste Export'!$A$2:$BZ$1001,$A715,col_s1))&gt;0))+IF(col_s2=0,0,--(LEN(INDEX('Paste Export'!$A$2:$BZ$1001,$A715,col_s2))&gt;0))+IF(col_s3=0,0,--(LEN(INDEX('Paste Export'!$A$2:$BZ$1001,$A715,col_s3))&gt;0))+IF(col_s4=0,0,--(LEN(INDEX('Paste Export'!$A$2:$BZ$1001,$A715,col_s4))&gt;0))+IF(col_s5=0,0,--(LEN(INDEX('Paste Export'!$A$2:$BZ$1001,$A715,col_s5))&gt;0))+IF(col_s6=0,0,--(LEN(INDEX('Paste Export'!$A$2:$BZ$1001,$A715,col_s6))&gt;0))+IF(col_s7=0,0,--(LEN(INDEX('Paste Export'!$A$2:$BZ$1001,$A715,col_s7))&gt;0))+IF(col_s8=0,0,--(LEN(INDEX('Paste Export'!$A$2:$BZ$1001,$A715,col_s8))&gt;0)))</f>
        <v/>
      </c>
      <c r="I715" s="25" t="str">
        <f t="shared" si="80"/>
        <v/>
      </c>
      <c r="J715" s="25" t="str">
        <f t="shared" si="81"/>
        <v/>
      </c>
      <c r="K715" s="24" t="str">
        <f t="shared" si="82"/>
        <v/>
      </c>
      <c r="L715" s="24" t="str">
        <f t="shared" si="83"/>
        <v/>
      </c>
    </row>
    <row r="716" spans="1:12" x14ac:dyDescent="0.25">
      <c r="A716" s="24">
        <f t="shared" si="77"/>
        <v>715</v>
      </c>
      <c r="B716" s="25" t="str">
        <f>IF($A716&gt;nrows,"",IF(col_user=0,"",INDEX('Paste Export'!$A$2:$BZ$1001,$A716,col_user)))</f>
        <v/>
      </c>
      <c r="C716" s="24" t="str">
        <f>IF($A716&gt;nrows,"",IF(col_days=0,0,N(INDEX('Paste Export'!$A$2:$BZ$1001,$A716,col_days))))</f>
        <v/>
      </c>
      <c r="D716" s="24" t="str">
        <f>IF($A716&gt;nrows,"",IF(col_prompts=0,0,N(INDEX('Paste Export'!$A$2:$BZ$1001,$A716,col_prompts))))</f>
        <v/>
      </c>
      <c r="E716" s="24" t="str">
        <f>IF($A716&gt;nrows,"",IF(col_web=0,0,N(INDEX('Paste Export'!$A$2:$BZ$1001,$A716,col_web))))</f>
        <v/>
      </c>
      <c r="F716" s="26" t="str">
        <f t="shared" si="78"/>
        <v/>
      </c>
      <c r="G716" s="27" t="str">
        <f t="shared" si="79"/>
        <v/>
      </c>
      <c r="H716" s="24" t="str">
        <f>IF($A716&gt;nrows,"",IF(col_s1=0,0,--(LEN(INDEX('Paste Export'!$A$2:$BZ$1001,$A716,col_s1))&gt;0))+IF(col_s2=0,0,--(LEN(INDEX('Paste Export'!$A$2:$BZ$1001,$A716,col_s2))&gt;0))+IF(col_s3=0,0,--(LEN(INDEX('Paste Export'!$A$2:$BZ$1001,$A716,col_s3))&gt;0))+IF(col_s4=0,0,--(LEN(INDEX('Paste Export'!$A$2:$BZ$1001,$A716,col_s4))&gt;0))+IF(col_s5=0,0,--(LEN(INDEX('Paste Export'!$A$2:$BZ$1001,$A716,col_s5))&gt;0))+IF(col_s6=0,0,--(LEN(INDEX('Paste Export'!$A$2:$BZ$1001,$A716,col_s6))&gt;0))+IF(col_s7=0,0,--(LEN(INDEX('Paste Export'!$A$2:$BZ$1001,$A716,col_s7))&gt;0))+IF(col_s8=0,0,--(LEN(INDEX('Paste Export'!$A$2:$BZ$1001,$A716,col_s8))&gt;0)))</f>
        <v/>
      </c>
      <c r="I716" s="25" t="str">
        <f t="shared" si="80"/>
        <v/>
      </c>
      <c r="J716" s="25" t="str">
        <f t="shared" si="81"/>
        <v/>
      </c>
      <c r="K716" s="24" t="str">
        <f t="shared" si="82"/>
        <v/>
      </c>
      <c r="L716" s="24" t="str">
        <f t="shared" si="83"/>
        <v/>
      </c>
    </row>
    <row r="717" spans="1:12" x14ac:dyDescent="0.25">
      <c r="A717" s="24">
        <f t="shared" si="77"/>
        <v>716</v>
      </c>
      <c r="B717" s="25" t="str">
        <f>IF($A717&gt;nrows,"",IF(col_user=0,"",INDEX('Paste Export'!$A$2:$BZ$1001,$A717,col_user)))</f>
        <v/>
      </c>
      <c r="C717" s="24" t="str">
        <f>IF($A717&gt;nrows,"",IF(col_days=0,0,N(INDEX('Paste Export'!$A$2:$BZ$1001,$A717,col_days))))</f>
        <v/>
      </c>
      <c r="D717" s="24" t="str">
        <f>IF($A717&gt;nrows,"",IF(col_prompts=0,0,N(INDEX('Paste Export'!$A$2:$BZ$1001,$A717,col_prompts))))</f>
        <v/>
      </c>
      <c r="E717" s="24" t="str">
        <f>IF($A717&gt;nrows,"",IF(col_web=0,0,N(INDEX('Paste Export'!$A$2:$BZ$1001,$A717,col_web))))</f>
        <v/>
      </c>
      <c r="F717" s="26" t="str">
        <f t="shared" si="78"/>
        <v/>
      </c>
      <c r="G717" s="27" t="str">
        <f t="shared" si="79"/>
        <v/>
      </c>
      <c r="H717" s="24" t="str">
        <f>IF($A717&gt;nrows,"",IF(col_s1=0,0,--(LEN(INDEX('Paste Export'!$A$2:$BZ$1001,$A717,col_s1))&gt;0))+IF(col_s2=0,0,--(LEN(INDEX('Paste Export'!$A$2:$BZ$1001,$A717,col_s2))&gt;0))+IF(col_s3=0,0,--(LEN(INDEX('Paste Export'!$A$2:$BZ$1001,$A717,col_s3))&gt;0))+IF(col_s4=0,0,--(LEN(INDEX('Paste Export'!$A$2:$BZ$1001,$A717,col_s4))&gt;0))+IF(col_s5=0,0,--(LEN(INDEX('Paste Export'!$A$2:$BZ$1001,$A717,col_s5))&gt;0))+IF(col_s6=0,0,--(LEN(INDEX('Paste Export'!$A$2:$BZ$1001,$A717,col_s6))&gt;0))+IF(col_s7=0,0,--(LEN(INDEX('Paste Export'!$A$2:$BZ$1001,$A717,col_s7))&gt;0))+IF(col_s8=0,0,--(LEN(INDEX('Paste Export'!$A$2:$BZ$1001,$A717,col_s8))&gt;0)))</f>
        <v/>
      </c>
      <c r="I717" s="25" t="str">
        <f t="shared" si="80"/>
        <v/>
      </c>
      <c r="J717" s="25" t="str">
        <f t="shared" si="81"/>
        <v/>
      </c>
      <c r="K717" s="24" t="str">
        <f t="shared" si="82"/>
        <v/>
      </c>
      <c r="L717" s="24" t="str">
        <f t="shared" si="83"/>
        <v/>
      </c>
    </row>
    <row r="718" spans="1:12" x14ac:dyDescent="0.25">
      <c r="A718" s="24">
        <f t="shared" si="77"/>
        <v>717</v>
      </c>
      <c r="B718" s="25" t="str">
        <f>IF($A718&gt;nrows,"",IF(col_user=0,"",INDEX('Paste Export'!$A$2:$BZ$1001,$A718,col_user)))</f>
        <v/>
      </c>
      <c r="C718" s="24" t="str">
        <f>IF($A718&gt;nrows,"",IF(col_days=0,0,N(INDEX('Paste Export'!$A$2:$BZ$1001,$A718,col_days))))</f>
        <v/>
      </c>
      <c r="D718" s="24" t="str">
        <f>IF($A718&gt;nrows,"",IF(col_prompts=0,0,N(INDEX('Paste Export'!$A$2:$BZ$1001,$A718,col_prompts))))</f>
        <v/>
      </c>
      <c r="E718" s="24" t="str">
        <f>IF($A718&gt;nrows,"",IF(col_web=0,0,N(INDEX('Paste Export'!$A$2:$BZ$1001,$A718,col_web))))</f>
        <v/>
      </c>
      <c r="F718" s="26" t="str">
        <f t="shared" si="78"/>
        <v/>
      </c>
      <c r="G718" s="27" t="str">
        <f t="shared" si="79"/>
        <v/>
      </c>
      <c r="H718" s="24" t="str">
        <f>IF($A718&gt;nrows,"",IF(col_s1=0,0,--(LEN(INDEX('Paste Export'!$A$2:$BZ$1001,$A718,col_s1))&gt;0))+IF(col_s2=0,0,--(LEN(INDEX('Paste Export'!$A$2:$BZ$1001,$A718,col_s2))&gt;0))+IF(col_s3=0,0,--(LEN(INDEX('Paste Export'!$A$2:$BZ$1001,$A718,col_s3))&gt;0))+IF(col_s4=0,0,--(LEN(INDEX('Paste Export'!$A$2:$BZ$1001,$A718,col_s4))&gt;0))+IF(col_s5=0,0,--(LEN(INDEX('Paste Export'!$A$2:$BZ$1001,$A718,col_s5))&gt;0))+IF(col_s6=0,0,--(LEN(INDEX('Paste Export'!$A$2:$BZ$1001,$A718,col_s6))&gt;0))+IF(col_s7=0,0,--(LEN(INDEX('Paste Export'!$A$2:$BZ$1001,$A718,col_s7))&gt;0))+IF(col_s8=0,0,--(LEN(INDEX('Paste Export'!$A$2:$BZ$1001,$A718,col_s8))&gt;0)))</f>
        <v/>
      </c>
      <c r="I718" s="25" t="str">
        <f t="shared" si="80"/>
        <v/>
      </c>
      <c r="J718" s="25" t="str">
        <f t="shared" si="81"/>
        <v/>
      </c>
      <c r="K718" s="24" t="str">
        <f t="shared" si="82"/>
        <v/>
      </c>
      <c r="L718" s="24" t="str">
        <f t="shared" si="83"/>
        <v/>
      </c>
    </row>
    <row r="719" spans="1:12" x14ac:dyDescent="0.25">
      <c r="A719" s="24">
        <f t="shared" si="77"/>
        <v>718</v>
      </c>
      <c r="B719" s="25" t="str">
        <f>IF($A719&gt;nrows,"",IF(col_user=0,"",INDEX('Paste Export'!$A$2:$BZ$1001,$A719,col_user)))</f>
        <v/>
      </c>
      <c r="C719" s="24" t="str">
        <f>IF($A719&gt;nrows,"",IF(col_days=0,0,N(INDEX('Paste Export'!$A$2:$BZ$1001,$A719,col_days))))</f>
        <v/>
      </c>
      <c r="D719" s="24" t="str">
        <f>IF($A719&gt;nrows,"",IF(col_prompts=0,0,N(INDEX('Paste Export'!$A$2:$BZ$1001,$A719,col_prompts))))</f>
        <v/>
      </c>
      <c r="E719" s="24" t="str">
        <f>IF($A719&gt;nrows,"",IF(col_web=0,0,N(INDEX('Paste Export'!$A$2:$BZ$1001,$A719,col_web))))</f>
        <v/>
      </c>
      <c r="F719" s="26" t="str">
        <f t="shared" si="78"/>
        <v/>
      </c>
      <c r="G719" s="27" t="str">
        <f t="shared" si="79"/>
        <v/>
      </c>
      <c r="H719" s="24" t="str">
        <f>IF($A719&gt;nrows,"",IF(col_s1=0,0,--(LEN(INDEX('Paste Export'!$A$2:$BZ$1001,$A719,col_s1))&gt;0))+IF(col_s2=0,0,--(LEN(INDEX('Paste Export'!$A$2:$BZ$1001,$A719,col_s2))&gt;0))+IF(col_s3=0,0,--(LEN(INDEX('Paste Export'!$A$2:$BZ$1001,$A719,col_s3))&gt;0))+IF(col_s4=0,0,--(LEN(INDEX('Paste Export'!$A$2:$BZ$1001,$A719,col_s4))&gt;0))+IF(col_s5=0,0,--(LEN(INDEX('Paste Export'!$A$2:$BZ$1001,$A719,col_s5))&gt;0))+IF(col_s6=0,0,--(LEN(INDEX('Paste Export'!$A$2:$BZ$1001,$A719,col_s6))&gt;0))+IF(col_s7=0,0,--(LEN(INDEX('Paste Export'!$A$2:$BZ$1001,$A719,col_s7))&gt;0))+IF(col_s8=0,0,--(LEN(INDEX('Paste Export'!$A$2:$BZ$1001,$A719,col_s8))&gt;0)))</f>
        <v/>
      </c>
      <c r="I719" s="25" t="str">
        <f t="shared" si="80"/>
        <v/>
      </c>
      <c r="J719" s="25" t="str">
        <f t="shared" si="81"/>
        <v/>
      </c>
      <c r="K719" s="24" t="str">
        <f t="shared" si="82"/>
        <v/>
      </c>
      <c r="L719" s="24" t="str">
        <f t="shared" si="83"/>
        <v/>
      </c>
    </row>
    <row r="720" spans="1:12" x14ac:dyDescent="0.25">
      <c r="A720" s="24">
        <f t="shared" si="77"/>
        <v>719</v>
      </c>
      <c r="B720" s="25" t="str">
        <f>IF($A720&gt;nrows,"",IF(col_user=0,"",INDEX('Paste Export'!$A$2:$BZ$1001,$A720,col_user)))</f>
        <v/>
      </c>
      <c r="C720" s="24" t="str">
        <f>IF($A720&gt;nrows,"",IF(col_days=0,0,N(INDEX('Paste Export'!$A$2:$BZ$1001,$A720,col_days))))</f>
        <v/>
      </c>
      <c r="D720" s="24" t="str">
        <f>IF($A720&gt;nrows,"",IF(col_prompts=0,0,N(INDEX('Paste Export'!$A$2:$BZ$1001,$A720,col_prompts))))</f>
        <v/>
      </c>
      <c r="E720" s="24" t="str">
        <f>IF($A720&gt;nrows,"",IF(col_web=0,0,N(INDEX('Paste Export'!$A$2:$BZ$1001,$A720,col_web))))</f>
        <v/>
      </c>
      <c r="F720" s="26" t="str">
        <f t="shared" si="78"/>
        <v/>
      </c>
      <c r="G720" s="27" t="str">
        <f t="shared" si="79"/>
        <v/>
      </c>
      <c r="H720" s="24" t="str">
        <f>IF($A720&gt;nrows,"",IF(col_s1=0,0,--(LEN(INDEX('Paste Export'!$A$2:$BZ$1001,$A720,col_s1))&gt;0))+IF(col_s2=0,0,--(LEN(INDEX('Paste Export'!$A$2:$BZ$1001,$A720,col_s2))&gt;0))+IF(col_s3=0,0,--(LEN(INDEX('Paste Export'!$A$2:$BZ$1001,$A720,col_s3))&gt;0))+IF(col_s4=0,0,--(LEN(INDEX('Paste Export'!$A$2:$BZ$1001,$A720,col_s4))&gt;0))+IF(col_s5=0,0,--(LEN(INDEX('Paste Export'!$A$2:$BZ$1001,$A720,col_s5))&gt;0))+IF(col_s6=0,0,--(LEN(INDEX('Paste Export'!$A$2:$BZ$1001,$A720,col_s6))&gt;0))+IF(col_s7=0,0,--(LEN(INDEX('Paste Export'!$A$2:$BZ$1001,$A720,col_s7))&gt;0))+IF(col_s8=0,0,--(LEN(INDEX('Paste Export'!$A$2:$BZ$1001,$A720,col_s8))&gt;0)))</f>
        <v/>
      </c>
      <c r="I720" s="25" t="str">
        <f t="shared" si="80"/>
        <v/>
      </c>
      <c r="J720" s="25" t="str">
        <f t="shared" si="81"/>
        <v/>
      </c>
      <c r="K720" s="24" t="str">
        <f t="shared" si="82"/>
        <v/>
      </c>
      <c r="L720" s="24" t="str">
        <f t="shared" si="83"/>
        <v/>
      </c>
    </row>
    <row r="721" spans="1:12" x14ac:dyDescent="0.25">
      <c r="A721" s="24">
        <f t="shared" si="77"/>
        <v>720</v>
      </c>
      <c r="B721" s="25" t="str">
        <f>IF($A721&gt;nrows,"",IF(col_user=0,"",INDEX('Paste Export'!$A$2:$BZ$1001,$A721,col_user)))</f>
        <v/>
      </c>
      <c r="C721" s="24" t="str">
        <f>IF($A721&gt;nrows,"",IF(col_days=0,0,N(INDEX('Paste Export'!$A$2:$BZ$1001,$A721,col_days))))</f>
        <v/>
      </c>
      <c r="D721" s="24" t="str">
        <f>IF($A721&gt;nrows,"",IF(col_prompts=0,0,N(INDEX('Paste Export'!$A$2:$BZ$1001,$A721,col_prompts))))</f>
        <v/>
      </c>
      <c r="E721" s="24" t="str">
        <f>IF($A721&gt;nrows,"",IF(col_web=0,0,N(INDEX('Paste Export'!$A$2:$BZ$1001,$A721,col_web))))</f>
        <v/>
      </c>
      <c r="F721" s="26" t="str">
        <f t="shared" si="78"/>
        <v/>
      </c>
      <c r="G721" s="27" t="str">
        <f t="shared" si="79"/>
        <v/>
      </c>
      <c r="H721" s="24" t="str">
        <f>IF($A721&gt;nrows,"",IF(col_s1=0,0,--(LEN(INDEX('Paste Export'!$A$2:$BZ$1001,$A721,col_s1))&gt;0))+IF(col_s2=0,0,--(LEN(INDEX('Paste Export'!$A$2:$BZ$1001,$A721,col_s2))&gt;0))+IF(col_s3=0,0,--(LEN(INDEX('Paste Export'!$A$2:$BZ$1001,$A721,col_s3))&gt;0))+IF(col_s4=0,0,--(LEN(INDEX('Paste Export'!$A$2:$BZ$1001,$A721,col_s4))&gt;0))+IF(col_s5=0,0,--(LEN(INDEX('Paste Export'!$A$2:$BZ$1001,$A721,col_s5))&gt;0))+IF(col_s6=0,0,--(LEN(INDEX('Paste Export'!$A$2:$BZ$1001,$A721,col_s6))&gt;0))+IF(col_s7=0,0,--(LEN(INDEX('Paste Export'!$A$2:$BZ$1001,$A721,col_s7))&gt;0))+IF(col_s8=0,0,--(LEN(INDEX('Paste Export'!$A$2:$BZ$1001,$A721,col_s8))&gt;0)))</f>
        <v/>
      </c>
      <c r="I721" s="25" t="str">
        <f t="shared" si="80"/>
        <v/>
      </c>
      <c r="J721" s="25" t="str">
        <f t="shared" si="81"/>
        <v/>
      </c>
      <c r="K721" s="24" t="str">
        <f t="shared" si="82"/>
        <v/>
      </c>
      <c r="L721" s="24" t="str">
        <f t="shared" si="83"/>
        <v/>
      </c>
    </row>
    <row r="722" spans="1:12" x14ac:dyDescent="0.25">
      <c r="A722" s="24">
        <f t="shared" si="77"/>
        <v>721</v>
      </c>
      <c r="B722" s="25" t="str">
        <f>IF($A722&gt;nrows,"",IF(col_user=0,"",INDEX('Paste Export'!$A$2:$BZ$1001,$A722,col_user)))</f>
        <v/>
      </c>
      <c r="C722" s="24" t="str">
        <f>IF($A722&gt;nrows,"",IF(col_days=0,0,N(INDEX('Paste Export'!$A$2:$BZ$1001,$A722,col_days))))</f>
        <v/>
      </c>
      <c r="D722" s="24" t="str">
        <f>IF($A722&gt;nrows,"",IF(col_prompts=0,0,N(INDEX('Paste Export'!$A$2:$BZ$1001,$A722,col_prompts))))</f>
        <v/>
      </c>
      <c r="E722" s="24" t="str">
        <f>IF($A722&gt;nrows,"",IF(col_web=0,0,N(INDEX('Paste Export'!$A$2:$BZ$1001,$A722,col_web))))</f>
        <v/>
      </c>
      <c r="F722" s="26" t="str">
        <f t="shared" si="78"/>
        <v/>
      </c>
      <c r="G722" s="27" t="str">
        <f t="shared" si="79"/>
        <v/>
      </c>
      <c r="H722" s="24" t="str">
        <f>IF($A722&gt;nrows,"",IF(col_s1=0,0,--(LEN(INDEX('Paste Export'!$A$2:$BZ$1001,$A722,col_s1))&gt;0))+IF(col_s2=0,0,--(LEN(INDEX('Paste Export'!$A$2:$BZ$1001,$A722,col_s2))&gt;0))+IF(col_s3=0,0,--(LEN(INDEX('Paste Export'!$A$2:$BZ$1001,$A722,col_s3))&gt;0))+IF(col_s4=0,0,--(LEN(INDEX('Paste Export'!$A$2:$BZ$1001,$A722,col_s4))&gt;0))+IF(col_s5=0,0,--(LEN(INDEX('Paste Export'!$A$2:$BZ$1001,$A722,col_s5))&gt;0))+IF(col_s6=0,0,--(LEN(INDEX('Paste Export'!$A$2:$BZ$1001,$A722,col_s6))&gt;0))+IF(col_s7=0,0,--(LEN(INDEX('Paste Export'!$A$2:$BZ$1001,$A722,col_s7))&gt;0))+IF(col_s8=0,0,--(LEN(INDEX('Paste Export'!$A$2:$BZ$1001,$A722,col_s8))&gt;0)))</f>
        <v/>
      </c>
      <c r="I722" s="25" t="str">
        <f t="shared" si="80"/>
        <v/>
      </c>
      <c r="J722" s="25" t="str">
        <f t="shared" si="81"/>
        <v/>
      </c>
      <c r="K722" s="24" t="str">
        <f t="shared" si="82"/>
        <v/>
      </c>
      <c r="L722" s="24" t="str">
        <f t="shared" si="83"/>
        <v/>
      </c>
    </row>
    <row r="723" spans="1:12" x14ac:dyDescent="0.25">
      <c r="A723" s="24">
        <f t="shared" si="77"/>
        <v>722</v>
      </c>
      <c r="B723" s="25" t="str">
        <f>IF($A723&gt;nrows,"",IF(col_user=0,"",INDEX('Paste Export'!$A$2:$BZ$1001,$A723,col_user)))</f>
        <v/>
      </c>
      <c r="C723" s="24" t="str">
        <f>IF($A723&gt;nrows,"",IF(col_days=0,0,N(INDEX('Paste Export'!$A$2:$BZ$1001,$A723,col_days))))</f>
        <v/>
      </c>
      <c r="D723" s="24" t="str">
        <f>IF($A723&gt;nrows,"",IF(col_prompts=0,0,N(INDEX('Paste Export'!$A$2:$BZ$1001,$A723,col_prompts))))</f>
        <v/>
      </c>
      <c r="E723" s="24" t="str">
        <f>IF($A723&gt;nrows,"",IF(col_web=0,0,N(INDEX('Paste Export'!$A$2:$BZ$1001,$A723,col_web))))</f>
        <v/>
      </c>
      <c r="F723" s="26" t="str">
        <f t="shared" si="78"/>
        <v/>
      </c>
      <c r="G723" s="27" t="str">
        <f t="shared" si="79"/>
        <v/>
      </c>
      <c r="H723" s="24" t="str">
        <f>IF($A723&gt;nrows,"",IF(col_s1=0,0,--(LEN(INDEX('Paste Export'!$A$2:$BZ$1001,$A723,col_s1))&gt;0))+IF(col_s2=0,0,--(LEN(INDEX('Paste Export'!$A$2:$BZ$1001,$A723,col_s2))&gt;0))+IF(col_s3=0,0,--(LEN(INDEX('Paste Export'!$A$2:$BZ$1001,$A723,col_s3))&gt;0))+IF(col_s4=0,0,--(LEN(INDEX('Paste Export'!$A$2:$BZ$1001,$A723,col_s4))&gt;0))+IF(col_s5=0,0,--(LEN(INDEX('Paste Export'!$A$2:$BZ$1001,$A723,col_s5))&gt;0))+IF(col_s6=0,0,--(LEN(INDEX('Paste Export'!$A$2:$BZ$1001,$A723,col_s6))&gt;0))+IF(col_s7=0,0,--(LEN(INDEX('Paste Export'!$A$2:$BZ$1001,$A723,col_s7))&gt;0))+IF(col_s8=0,0,--(LEN(INDEX('Paste Export'!$A$2:$BZ$1001,$A723,col_s8))&gt;0)))</f>
        <v/>
      </c>
      <c r="I723" s="25" t="str">
        <f t="shared" si="80"/>
        <v/>
      </c>
      <c r="J723" s="25" t="str">
        <f t="shared" si="81"/>
        <v/>
      </c>
      <c r="K723" s="24" t="str">
        <f t="shared" si="82"/>
        <v/>
      </c>
      <c r="L723" s="24" t="str">
        <f t="shared" si="83"/>
        <v/>
      </c>
    </row>
    <row r="724" spans="1:12" x14ac:dyDescent="0.25">
      <c r="A724" s="24">
        <f t="shared" si="77"/>
        <v>723</v>
      </c>
      <c r="B724" s="25" t="str">
        <f>IF($A724&gt;nrows,"",IF(col_user=0,"",INDEX('Paste Export'!$A$2:$BZ$1001,$A724,col_user)))</f>
        <v/>
      </c>
      <c r="C724" s="24" t="str">
        <f>IF($A724&gt;nrows,"",IF(col_days=0,0,N(INDEX('Paste Export'!$A$2:$BZ$1001,$A724,col_days))))</f>
        <v/>
      </c>
      <c r="D724" s="24" t="str">
        <f>IF($A724&gt;nrows,"",IF(col_prompts=0,0,N(INDEX('Paste Export'!$A$2:$BZ$1001,$A724,col_prompts))))</f>
        <v/>
      </c>
      <c r="E724" s="24" t="str">
        <f>IF($A724&gt;nrows,"",IF(col_web=0,0,N(INDEX('Paste Export'!$A$2:$BZ$1001,$A724,col_web))))</f>
        <v/>
      </c>
      <c r="F724" s="26" t="str">
        <f t="shared" si="78"/>
        <v/>
      </c>
      <c r="G724" s="27" t="str">
        <f t="shared" si="79"/>
        <v/>
      </c>
      <c r="H724" s="24" t="str">
        <f>IF($A724&gt;nrows,"",IF(col_s1=0,0,--(LEN(INDEX('Paste Export'!$A$2:$BZ$1001,$A724,col_s1))&gt;0))+IF(col_s2=0,0,--(LEN(INDEX('Paste Export'!$A$2:$BZ$1001,$A724,col_s2))&gt;0))+IF(col_s3=0,0,--(LEN(INDEX('Paste Export'!$A$2:$BZ$1001,$A724,col_s3))&gt;0))+IF(col_s4=0,0,--(LEN(INDEX('Paste Export'!$A$2:$BZ$1001,$A724,col_s4))&gt;0))+IF(col_s5=0,0,--(LEN(INDEX('Paste Export'!$A$2:$BZ$1001,$A724,col_s5))&gt;0))+IF(col_s6=0,0,--(LEN(INDEX('Paste Export'!$A$2:$BZ$1001,$A724,col_s6))&gt;0))+IF(col_s7=0,0,--(LEN(INDEX('Paste Export'!$A$2:$BZ$1001,$A724,col_s7))&gt;0))+IF(col_s8=0,0,--(LEN(INDEX('Paste Export'!$A$2:$BZ$1001,$A724,col_s8))&gt;0)))</f>
        <v/>
      </c>
      <c r="I724" s="25" t="str">
        <f t="shared" si="80"/>
        <v/>
      </c>
      <c r="J724" s="25" t="str">
        <f t="shared" si="81"/>
        <v/>
      </c>
      <c r="K724" s="24" t="str">
        <f t="shared" si="82"/>
        <v/>
      </c>
      <c r="L724" s="24" t="str">
        <f t="shared" si="83"/>
        <v/>
      </c>
    </row>
    <row r="725" spans="1:12" x14ac:dyDescent="0.25">
      <c r="A725" s="24">
        <f t="shared" si="77"/>
        <v>724</v>
      </c>
      <c r="B725" s="25" t="str">
        <f>IF($A725&gt;nrows,"",IF(col_user=0,"",INDEX('Paste Export'!$A$2:$BZ$1001,$A725,col_user)))</f>
        <v/>
      </c>
      <c r="C725" s="24" t="str">
        <f>IF($A725&gt;nrows,"",IF(col_days=0,0,N(INDEX('Paste Export'!$A$2:$BZ$1001,$A725,col_days))))</f>
        <v/>
      </c>
      <c r="D725" s="24" t="str">
        <f>IF($A725&gt;nrows,"",IF(col_prompts=0,0,N(INDEX('Paste Export'!$A$2:$BZ$1001,$A725,col_prompts))))</f>
        <v/>
      </c>
      <c r="E725" s="24" t="str">
        <f>IF($A725&gt;nrows,"",IF(col_web=0,0,N(INDEX('Paste Export'!$A$2:$BZ$1001,$A725,col_web))))</f>
        <v/>
      </c>
      <c r="F725" s="26" t="str">
        <f t="shared" si="78"/>
        <v/>
      </c>
      <c r="G725" s="27" t="str">
        <f t="shared" si="79"/>
        <v/>
      </c>
      <c r="H725" s="24" t="str">
        <f>IF($A725&gt;nrows,"",IF(col_s1=0,0,--(LEN(INDEX('Paste Export'!$A$2:$BZ$1001,$A725,col_s1))&gt;0))+IF(col_s2=0,0,--(LEN(INDEX('Paste Export'!$A$2:$BZ$1001,$A725,col_s2))&gt;0))+IF(col_s3=0,0,--(LEN(INDEX('Paste Export'!$A$2:$BZ$1001,$A725,col_s3))&gt;0))+IF(col_s4=0,0,--(LEN(INDEX('Paste Export'!$A$2:$BZ$1001,$A725,col_s4))&gt;0))+IF(col_s5=0,0,--(LEN(INDEX('Paste Export'!$A$2:$BZ$1001,$A725,col_s5))&gt;0))+IF(col_s6=0,0,--(LEN(INDEX('Paste Export'!$A$2:$BZ$1001,$A725,col_s6))&gt;0))+IF(col_s7=0,0,--(LEN(INDEX('Paste Export'!$A$2:$BZ$1001,$A725,col_s7))&gt;0))+IF(col_s8=0,0,--(LEN(INDEX('Paste Export'!$A$2:$BZ$1001,$A725,col_s8))&gt;0)))</f>
        <v/>
      </c>
      <c r="I725" s="25" t="str">
        <f t="shared" si="80"/>
        <v/>
      </c>
      <c r="J725" s="25" t="str">
        <f t="shared" si="81"/>
        <v/>
      </c>
      <c r="K725" s="24" t="str">
        <f t="shared" si="82"/>
        <v/>
      </c>
      <c r="L725" s="24" t="str">
        <f t="shared" si="83"/>
        <v/>
      </c>
    </row>
    <row r="726" spans="1:12" x14ac:dyDescent="0.25">
      <c r="A726" s="24">
        <f t="shared" si="77"/>
        <v>725</v>
      </c>
      <c r="B726" s="25" t="str">
        <f>IF($A726&gt;nrows,"",IF(col_user=0,"",INDEX('Paste Export'!$A$2:$BZ$1001,$A726,col_user)))</f>
        <v/>
      </c>
      <c r="C726" s="24" t="str">
        <f>IF($A726&gt;nrows,"",IF(col_days=0,0,N(INDEX('Paste Export'!$A$2:$BZ$1001,$A726,col_days))))</f>
        <v/>
      </c>
      <c r="D726" s="24" t="str">
        <f>IF($A726&gt;nrows,"",IF(col_prompts=0,0,N(INDEX('Paste Export'!$A$2:$BZ$1001,$A726,col_prompts))))</f>
        <v/>
      </c>
      <c r="E726" s="24" t="str">
        <f>IF($A726&gt;nrows,"",IF(col_web=0,0,N(INDEX('Paste Export'!$A$2:$BZ$1001,$A726,col_web))))</f>
        <v/>
      </c>
      <c r="F726" s="26" t="str">
        <f t="shared" si="78"/>
        <v/>
      </c>
      <c r="G726" s="27" t="str">
        <f t="shared" si="79"/>
        <v/>
      </c>
      <c r="H726" s="24" t="str">
        <f>IF($A726&gt;nrows,"",IF(col_s1=0,0,--(LEN(INDEX('Paste Export'!$A$2:$BZ$1001,$A726,col_s1))&gt;0))+IF(col_s2=0,0,--(LEN(INDEX('Paste Export'!$A$2:$BZ$1001,$A726,col_s2))&gt;0))+IF(col_s3=0,0,--(LEN(INDEX('Paste Export'!$A$2:$BZ$1001,$A726,col_s3))&gt;0))+IF(col_s4=0,0,--(LEN(INDEX('Paste Export'!$A$2:$BZ$1001,$A726,col_s4))&gt;0))+IF(col_s5=0,0,--(LEN(INDEX('Paste Export'!$A$2:$BZ$1001,$A726,col_s5))&gt;0))+IF(col_s6=0,0,--(LEN(INDEX('Paste Export'!$A$2:$BZ$1001,$A726,col_s6))&gt;0))+IF(col_s7=0,0,--(LEN(INDEX('Paste Export'!$A$2:$BZ$1001,$A726,col_s7))&gt;0))+IF(col_s8=0,0,--(LEN(INDEX('Paste Export'!$A$2:$BZ$1001,$A726,col_s8))&gt;0)))</f>
        <v/>
      </c>
      <c r="I726" s="25" t="str">
        <f t="shared" si="80"/>
        <v/>
      </c>
      <c r="J726" s="25" t="str">
        <f t="shared" si="81"/>
        <v/>
      </c>
      <c r="K726" s="24" t="str">
        <f t="shared" si="82"/>
        <v/>
      </c>
      <c r="L726" s="24" t="str">
        <f t="shared" si="83"/>
        <v/>
      </c>
    </row>
    <row r="727" spans="1:12" x14ac:dyDescent="0.25">
      <c r="A727" s="24">
        <f t="shared" si="77"/>
        <v>726</v>
      </c>
      <c r="B727" s="25" t="str">
        <f>IF($A727&gt;nrows,"",IF(col_user=0,"",INDEX('Paste Export'!$A$2:$BZ$1001,$A727,col_user)))</f>
        <v/>
      </c>
      <c r="C727" s="24" t="str">
        <f>IF($A727&gt;nrows,"",IF(col_days=0,0,N(INDEX('Paste Export'!$A$2:$BZ$1001,$A727,col_days))))</f>
        <v/>
      </c>
      <c r="D727" s="24" t="str">
        <f>IF($A727&gt;nrows,"",IF(col_prompts=0,0,N(INDEX('Paste Export'!$A$2:$BZ$1001,$A727,col_prompts))))</f>
        <v/>
      </c>
      <c r="E727" s="24" t="str">
        <f>IF($A727&gt;nrows,"",IF(col_web=0,0,N(INDEX('Paste Export'!$A$2:$BZ$1001,$A727,col_web))))</f>
        <v/>
      </c>
      <c r="F727" s="26" t="str">
        <f t="shared" si="78"/>
        <v/>
      </c>
      <c r="G727" s="27" t="str">
        <f t="shared" si="79"/>
        <v/>
      </c>
      <c r="H727" s="24" t="str">
        <f>IF($A727&gt;nrows,"",IF(col_s1=0,0,--(LEN(INDEX('Paste Export'!$A$2:$BZ$1001,$A727,col_s1))&gt;0))+IF(col_s2=0,0,--(LEN(INDEX('Paste Export'!$A$2:$BZ$1001,$A727,col_s2))&gt;0))+IF(col_s3=0,0,--(LEN(INDEX('Paste Export'!$A$2:$BZ$1001,$A727,col_s3))&gt;0))+IF(col_s4=0,0,--(LEN(INDEX('Paste Export'!$A$2:$BZ$1001,$A727,col_s4))&gt;0))+IF(col_s5=0,0,--(LEN(INDEX('Paste Export'!$A$2:$BZ$1001,$A727,col_s5))&gt;0))+IF(col_s6=0,0,--(LEN(INDEX('Paste Export'!$A$2:$BZ$1001,$A727,col_s6))&gt;0))+IF(col_s7=0,0,--(LEN(INDEX('Paste Export'!$A$2:$BZ$1001,$A727,col_s7))&gt;0))+IF(col_s8=0,0,--(LEN(INDEX('Paste Export'!$A$2:$BZ$1001,$A727,col_s8))&gt;0)))</f>
        <v/>
      </c>
      <c r="I727" s="25" t="str">
        <f t="shared" si="80"/>
        <v/>
      </c>
      <c r="J727" s="25" t="str">
        <f t="shared" si="81"/>
        <v/>
      </c>
      <c r="K727" s="24" t="str">
        <f t="shared" si="82"/>
        <v/>
      </c>
      <c r="L727" s="24" t="str">
        <f t="shared" si="83"/>
        <v/>
      </c>
    </row>
    <row r="728" spans="1:12" x14ac:dyDescent="0.25">
      <c r="A728" s="24">
        <f t="shared" si="77"/>
        <v>727</v>
      </c>
      <c r="B728" s="25" t="str">
        <f>IF($A728&gt;nrows,"",IF(col_user=0,"",INDEX('Paste Export'!$A$2:$BZ$1001,$A728,col_user)))</f>
        <v/>
      </c>
      <c r="C728" s="24" t="str">
        <f>IF($A728&gt;nrows,"",IF(col_days=0,0,N(INDEX('Paste Export'!$A$2:$BZ$1001,$A728,col_days))))</f>
        <v/>
      </c>
      <c r="D728" s="24" t="str">
        <f>IF($A728&gt;nrows,"",IF(col_prompts=0,0,N(INDEX('Paste Export'!$A$2:$BZ$1001,$A728,col_prompts))))</f>
        <v/>
      </c>
      <c r="E728" s="24" t="str">
        <f>IF($A728&gt;nrows,"",IF(col_web=0,0,N(INDEX('Paste Export'!$A$2:$BZ$1001,$A728,col_web))))</f>
        <v/>
      </c>
      <c r="F728" s="26" t="str">
        <f t="shared" si="78"/>
        <v/>
      </c>
      <c r="G728" s="27" t="str">
        <f t="shared" si="79"/>
        <v/>
      </c>
      <c r="H728" s="24" t="str">
        <f>IF($A728&gt;nrows,"",IF(col_s1=0,0,--(LEN(INDEX('Paste Export'!$A$2:$BZ$1001,$A728,col_s1))&gt;0))+IF(col_s2=0,0,--(LEN(INDEX('Paste Export'!$A$2:$BZ$1001,$A728,col_s2))&gt;0))+IF(col_s3=0,0,--(LEN(INDEX('Paste Export'!$A$2:$BZ$1001,$A728,col_s3))&gt;0))+IF(col_s4=0,0,--(LEN(INDEX('Paste Export'!$A$2:$BZ$1001,$A728,col_s4))&gt;0))+IF(col_s5=0,0,--(LEN(INDEX('Paste Export'!$A$2:$BZ$1001,$A728,col_s5))&gt;0))+IF(col_s6=0,0,--(LEN(INDEX('Paste Export'!$A$2:$BZ$1001,$A728,col_s6))&gt;0))+IF(col_s7=0,0,--(LEN(INDEX('Paste Export'!$A$2:$BZ$1001,$A728,col_s7))&gt;0))+IF(col_s8=0,0,--(LEN(INDEX('Paste Export'!$A$2:$BZ$1001,$A728,col_s8))&gt;0)))</f>
        <v/>
      </c>
      <c r="I728" s="25" t="str">
        <f t="shared" si="80"/>
        <v/>
      </c>
      <c r="J728" s="25" t="str">
        <f t="shared" si="81"/>
        <v/>
      </c>
      <c r="K728" s="24" t="str">
        <f t="shared" si="82"/>
        <v/>
      </c>
      <c r="L728" s="24" t="str">
        <f t="shared" si="83"/>
        <v/>
      </c>
    </row>
    <row r="729" spans="1:12" x14ac:dyDescent="0.25">
      <c r="A729" s="24">
        <f t="shared" si="77"/>
        <v>728</v>
      </c>
      <c r="B729" s="25" t="str">
        <f>IF($A729&gt;nrows,"",IF(col_user=0,"",INDEX('Paste Export'!$A$2:$BZ$1001,$A729,col_user)))</f>
        <v/>
      </c>
      <c r="C729" s="24" t="str">
        <f>IF($A729&gt;nrows,"",IF(col_days=0,0,N(INDEX('Paste Export'!$A$2:$BZ$1001,$A729,col_days))))</f>
        <v/>
      </c>
      <c r="D729" s="24" t="str">
        <f>IF($A729&gt;nrows,"",IF(col_prompts=0,0,N(INDEX('Paste Export'!$A$2:$BZ$1001,$A729,col_prompts))))</f>
        <v/>
      </c>
      <c r="E729" s="24" t="str">
        <f>IF($A729&gt;nrows,"",IF(col_web=0,0,N(INDEX('Paste Export'!$A$2:$BZ$1001,$A729,col_web))))</f>
        <v/>
      </c>
      <c r="F729" s="26" t="str">
        <f t="shared" si="78"/>
        <v/>
      </c>
      <c r="G729" s="27" t="str">
        <f t="shared" si="79"/>
        <v/>
      </c>
      <c r="H729" s="24" t="str">
        <f>IF($A729&gt;nrows,"",IF(col_s1=0,0,--(LEN(INDEX('Paste Export'!$A$2:$BZ$1001,$A729,col_s1))&gt;0))+IF(col_s2=0,0,--(LEN(INDEX('Paste Export'!$A$2:$BZ$1001,$A729,col_s2))&gt;0))+IF(col_s3=0,0,--(LEN(INDEX('Paste Export'!$A$2:$BZ$1001,$A729,col_s3))&gt;0))+IF(col_s4=0,0,--(LEN(INDEX('Paste Export'!$A$2:$BZ$1001,$A729,col_s4))&gt;0))+IF(col_s5=0,0,--(LEN(INDEX('Paste Export'!$A$2:$BZ$1001,$A729,col_s5))&gt;0))+IF(col_s6=0,0,--(LEN(INDEX('Paste Export'!$A$2:$BZ$1001,$A729,col_s6))&gt;0))+IF(col_s7=0,0,--(LEN(INDEX('Paste Export'!$A$2:$BZ$1001,$A729,col_s7))&gt;0))+IF(col_s8=0,0,--(LEN(INDEX('Paste Export'!$A$2:$BZ$1001,$A729,col_s8))&gt;0)))</f>
        <v/>
      </c>
      <c r="I729" s="25" t="str">
        <f t="shared" si="80"/>
        <v/>
      </c>
      <c r="J729" s="25" t="str">
        <f t="shared" si="81"/>
        <v/>
      </c>
      <c r="K729" s="24" t="str">
        <f t="shared" si="82"/>
        <v/>
      </c>
      <c r="L729" s="24" t="str">
        <f t="shared" si="83"/>
        <v/>
      </c>
    </row>
    <row r="730" spans="1:12" x14ac:dyDescent="0.25">
      <c r="A730" s="24">
        <f t="shared" si="77"/>
        <v>729</v>
      </c>
      <c r="B730" s="25" t="str">
        <f>IF($A730&gt;nrows,"",IF(col_user=0,"",INDEX('Paste Export'!$A$2:$BZ$1001,$A730,col_user)))</f>
        <v/>
      </c>
      <c r="C730" s="24" t="str">
        <f>IF($A730&gt;nrows,"",IF(col_days=0,0,N(INDEX('Paste Export'!$A$2:$BZ$1001,$A730,col_days))))</f>
        <v/>
      </c>
      <c r="D730" s="24" t="str">
        <f>IF($A730&gt;nrows,"",IF(col_prompts=0,0,N(INDEX('Paste Export'!$A$2:$BZ$1001,$A730,col_prompts))))</f>
        <v/>
      </c>
      <c r="E730" s="24" t="str">
        <f>IF($A730&gt;nrows,"",IF(col_web=0,0,N(INDEX('Paste Export'!$A$2:$BZ$1001,$A730,col_web))))</f>
        <v/>
      </c>
      <c r="F730" s="26" t="str">
        <f t="shared" si="78"/>
        <v/>
      </c>
      <c r="G730" s="27" t="str">
        <f t="shared" si="79"/>
        <v/>
      </c>
      <c r="H730" s="24" t="str">
        <f>IF($A730&gt;nrows,"",IF(col_s1=0,0,--(LEN(INDEX('Paste Export'!$A$2:$BZ$1001,$A730,col_s1))&gt;0))+IF(col_s2=0,0,--(LEN(INDEX('Paste Export'!$A$2:$BZ$1001,$A730,col_s2))&gt;0))+IF(col_s3=0,0,--(LEN(INDEX('Paste Export'!$A$2:$BZ$1001,$A730,col_s3))&gt;0))+IF(col_s4=0,0,--(LEN(INDEX('Paste Export'!$A$2:$BZ$1001,$A730,col_s4))&gt;0))+IF(col_s5=0,0,--(LEN(INDEX('Paste Export'!$A$2:$BZ$1001,$A730,col_s5))&gt;0))+IF(col_s6=0,0,--(LEN(INDEX('Paste Export'!$A$2:$BZ$1001,$A730,col_s6))&gt;0))+IF(col_s7=0,0,--(LEN(INDEX('Paste Export'!$A$2:$BZ$1001,$A730,col_s7))&gt;0))+IF(col_s8=0,0,--(LEN(INDEX('Paste Export'!$A$2:$BZ$1001,$A730,col_s8))&gt;0)))</f>
        <v/>
      </c>
      <c r="I730" s="25" t="str">
        <f t="shared" si="80"/>
        <v/>
      </c>
      <c r="J730" s="25" t="str">
        <f t="shared" si="81"/>
        <v/>
      </c>
      <c r="K730" s="24" t="str">
        <f t="shared" si="82"/>
        <v/>
      </c>
      <c r="L730" s="24" t="str">
        <f t="shared" si="83"/>
        <v/>
      </c>
    </row>
    <row r="731" spans="1:12" x14ac:dyDescent="0.25">
      <c r="A731" s="24">
        <f t="shared" si="77"/>
        <v>730</v>
      </c>
      <c r="B731" s="25" t="str">
        <f>IF($A731&gt;nrows,"",IF(col_user=0,"",INDEX('Paste Export'!$A$2:$BZ$1001,$A731,col_user)))</f>
        <v/>
      </c>
      <c r="C731" s="24" t="str">
        <f>IF($A731&gt;nrows,"",IF(col_days=0,0,N(INDEX('Paste Export'!$A$2:$BZ$1001,$A731,col_days))))</f>
        <v/>
      </c>
      <c r="D731" s="24" t="str">
        <f>IF($A731&gt;nrows,"",IF(col_prompts=0,0,N(INDEX('Paste Export'!$A$2:$BZ$1001,$A731,col_prompts))))</f>
        <v/>
      </c>
      <c r="E731" s="24" t="str">
        <f>IF($A731&gt;nrows,"",IF(col_web=0,0,N(INDEX('Paste Export'!$A$2:$BZ$1001,$A731,col_web))))</f>
        <v/>
      </c>
      <c r="F731" s="26" t="str">
        <f t="shared" si="78"/>
        <v/>
      </c>
      <c r="G731" s="27" t="str">
        <f t="shared" si="79"/>
        <v/>
      </c>
      <c r="H731" s="24" t="str">
        <f>IF($A731&gt;nrows,"",IF(col_s1=0,0,--(LEN(INDEX('Paste Export'!$A$2:$BZ$1001,$A731,col_s1))&gt;0))+IF(col_s2=0,0,--(LEN(INDEX('Paste Export'!$A$2:$BZ$1001,$A731,col_s2))&gt;0))+IF(col_s3=0,0,--(LEN(INDEX('Paste Export'!$A$2:$BZ$1001,$A731,col_s3))&gt;0))+IF(col_s4=0,0,--(LEN(INDEX('Paste Export'!$A$2:$BZ$1001,$A731,col_s4))&gt;0))+IF(col_s5=0,0,--(LEN(INDEX('Paste Export'!$A$2:$BZ$1001,$A731,col_s5))&gt;0))+IF(col_s6=0,0,--(LEN(INDEX('Paste Export'!$A$2:$BZ$1001,$A731,col_s6))&gt;0))+IF(col_s7=0,0,--(LEN(INDEX('Paste Export'!$A$2:$BZ$1001,$A731,col_s7))&gt;0))+IF(col_s8=0,0,--(LEN(INDEX('Paste Export'!$A$2:$BZ$1001,$A731,col_s8))&gt;0)))</f>
        <v/>
      </c>
      <c r="I731" s="25" t="str">
        <f t="shared" si="80"/>
        <v/>
      </c>
      <c r="J731" s="25" t="str">
        <f t="shared" si="81"/>
        <v/>
      </c>
      <c r="K731" s="24" t="str">
        <f t="shared" si="82"/>
        <v/>
      </c>
      <c r="L731" s="24" t="str">
        <f t="shared" si="83"/>
        <v/>
      </c>
    </row>
    <row r="732" spans="1:12" x14ac:dyDescent="0.25">
      <c r="A732" s="24">
        <f t="shared" si="77"/>
        <v>731</v>
      </c>
      <c r="B732" s="25" t="str">
        <f>IF($A732&gt;nrows,"",IF(col_user=0,"",INDEX('Paste Export'!$A$2:$BZ$1001,$A732,col_user)))</f>
        <v/>
      </c>
      <c r="C732" s="24" t="str">
        <f>IF($A732&gt;nrows,"",IF(col_days=0,0,N(INDEX('Paste Export'!$A$2:$BZ$1001,$A732,col_days))))</f>
        <v/>
      </c>
      <c r="D732" s="24" t="str">
        <f>IF($A732&gt;nrows,"",IF(col_prompts=0,0,N(INDEX('Paste Export'!$A$2:$BZ$1001,$A732,col_prompts))))</f>
        <v/>
      </c>
      <c r="E732" s="24" t="str">
        <f>IF($A732&gt;nrows,"",IF(col_web=0,0,N(INDEX('Paste Export'!$A$2:$BZ$1001,$A732,col_web))))</f>
        <v/>
      </c>
      <c r="F732" s="26" t="str">
        <f t="shared" si="78"/>
        <v/>
      </c>
      <c r="G732" s="27" t="str">
        <f t="shared" si="79"/>
        <v/>
      </c>
      <c r="H732" s="24" t="str">
        <f>IF($A732&gt;nrows,"",IF(col_s1=0,0,--(LEN(INDEX('Paste Export'!$A$2:$BZ$1001,$A732,col_s1))&gt;0))+IF(col_s2=0,0,--(LEN(INDEX('Paste Export'!$A$2:$BZ$1001,$A732,col_s2))&gt;0))+IF(col_s3=0,0,--(LEN(INDEX('Paste Export'!$A$2:$BZ$1001,$A732,col_s3))&gt;0))+IF(col_s4=0,0,--(LEN(INDEX('Paste Export'!$A$2:$BZ$1001,$A732,col_s4))&gt;0))+IF(col_s5=0,0,--(LEN(INDEX('Paste Export'!$A$2:$BZ$1001,$A732,col_s5))&gt;0))+IF(col_s6=0,0,--(LEN(INDEX('Paste Export'!$A$2:$BZ$1001,$A732,col_s6))&gt;0))+IF(col_s7=0,0,--(LEN(INDEX('Paste Export'!$A$2:$BZ$1001,$A732,col_s7))&gt;0))+IF(col_s8=0,0,--(LEN(INDEX('Paste Export'!$A$2:$BZ$1001,$A732,col_s8))&gt;0)))</f>
        <v/>
      </c>
      <c r="I732" s="25" t="str">
        <f t="shared" si="80"/>
        <v/>
      </c>
      <c r="J732" s="25" t="str">
        <f t="shared" si="81"/>
        <v/>
      </c>
      <c r="K732" s="24" t="str">
        <f t="shared" si="82"/>
        <v/>
      </c>
      <c r="L732" s="24" t="str">
        <f t="shared" si="83"/>
        <v/>
      </c>
    </row>
    <row r="733" spans="1:12" x14ac:dyDescent="0.25">
      <c r="A733" s="24">
        <f t="shared" si="77"/>
        <v>732</v>
      </c>
      <c r="B733" s="25" t="str">
        <f>IF($A733&gt;nrows,"",IF(col_user=0,"",INDEX('Paste Export'!$A$2:$BZ$1001,$A733,col_user)))</f>
        <v/>
      </c>
      <c r="C733" s="24" t="str">
        <f>IF($A733&gt;nrows,"",IF(col_days=0,0,N(INDEX('Paste Export'!$A$2:$BZ$1001,$A733,col_days))))</f>
        <v/>
      </c>
      <c r="D733" s="24" t="str">
        <f>IF($A733&gt;nrows,"",IF(col_prompts=0,0,N(INDEX('Paste Export'!$A$2:$BZ$1001,$A733,col_prompts))))</f>
        <v/>
      </c>
      <c r="E733" s="24" t="str">
        <f>IF($A733&gt;nrows,"",IF(col_web=0,0,N(INDEX('Paste Export'!$A$2:$BZ$1001,$A733,col_web))))</f>
        <v/>
      </c>
      <c r="F733" s="26" t="str">
        <f t="shared" si="78"/>
        <v/>
      </c>
      <c r="G733" s="27" t="str">
        <f t="shared" si="79"/>
        <v/>
      </c>
      <c r="H733" s="24" t="str">
        <f>IF($A733&gt;nrows,"",IF(col_s1=0,0,--(LEN(INDEX('Paste Export'!$A$2:$BZ$1001,$A733,col_s1))&gt;0))+IF(col_s2=0,0,--(LEN(INDEX('Paste Export'!$A$2:$BZ$1001,$A733,col_s2))&gt;0))+IF(col_s3=0,0,--(LEN(INDEX('Paste Export'!$A$2:$BZ$1001,$A733,col_s3))&gt;0))+IF(col_s4=0,0,--(LEN(INDEX('Paste Export'!$A$2:$BZ$1001,$A733,col_s4))&gt;0))+IF(col_s5=0,0,--(LEN(INDEX('Paste Export'!$A$2:$BZ$1001,$A733,col_s5))&gt;0))+IF(col_s6=0,0,--(LEN(INDEX('Paste Export'!$A$2:$BZ$1001,$A733,col_s6))&gt;0))+IF(col_s7=0,0,--(LEN(INDEX('Paste Export'!$A$2:$BZ$1001,$A733,col_s7))&gt;0))+IF(col_s8=0,0,--(LEN(INDEX('Paste Export'!$A$2:$BZ$1001,$A733,col_s8))&gt;0)))</f>
        <v/>
      </c>
      <c r="I733" s="25" t="str">
        <f t="shared" si="80"/>
        <v/>
      </c>
      <c r="J733" s="25" t="str">
        <f t="shared" si="81"/>
        <v/>
      </c>
      <c r="K733" s="24" t="str">
        <f t="shared" si="82"/>
        <v/>
      </c>
      <c r="L733" s="24" t="str">
        <f t="shared" si="83"/>
        <v/>
      </c>
    </row>
    <row r="734" spans="1:12" x14ac:dyDescent="0.25">
      <c r="A734" s="24">
        <f t="shared" si="77"/>
        <v>733</v>
      </c>
      <c r="B734" s="25" t="str">
        <f>IF($A734&gt;nrows,"",IF(col_user=0,"",INDEX('Paste Export'!$A$2:$BZ$1001,$A734,col_user)))</f>
        <v/>
      </c>
      <c r="C734" s="24" t="str">
        <f>IF($A734&gt;nrows,"",IF(col_days=0,0,N(INDEX('Paste Export'!$A$2:$BZ$1001,$A734,col_days))))</f>
        <v/>
      </c>
      <c r="D734" s="24" t="str">
        <f>IF($A734&gt;nrows,"",IF(col_prompts=0,0,N(INDEX('Paste Export'!$A$2:$BZ$1001,$A734,col_prompts))))</f>
        <v/>
      </c>
      <c r="E734" s="24" t="str">
        <f>IF($A734&gt;nrows,"",IF(col_web=0,0,N(INDEX('Paste Export'!$A$2:$BZ$1001,$A734,col_web))))</f>
        <v/>
      </c>
      <c r="F734" s="26" t="str">
        <f t="shared" si="78"/>
        <v/>
      </c>
      <c r="G734" s="27" t="str">
        <f t="shared" si="79"/>
        <v/>
      </c>
      <c r="H734" s="24" t="str">
        <f>IF($A734&gt;nrows,"",IF(col_s1=0,0,--(LEN(INDEX('Paste Export'!$A$2:$BZ$1001,$A734,col_s1))&gt;0))+IF(col_s2=0,0,--(LEN(INDEX('Paste Export'!$A$2:$BZ$1001,$A734,col_s2))&gt;0))+IF(col_s3=0,0,--(LEN(INDEX('Paste Export'!$A$2:$BZ$1001,$A734,col_s3))&gt;0))+IF(col_s4=0,0,--(LEN(INDEX('Paste Export'!$A$2:$BZ$1001,$A734,col_s4))&gt;0))+IF(col_s5=0,0,--(LEN(INDEX('Paste Export'!$A$2:$BZ$1001,$A734,col_s5))&gt;0))+IF(col_s6=0,0,--(LEN(INDEX('Paste Export'!$A$2:$BZ$1001,$A734,col_s6))&gt;0))+IF(col_s7=0,0,--(LEN(INDEX('Paste Export'!$A$2:$BZ$1001,$A734,col_s7))&gt;0))+IF(col_s8=0,0,--(LEN(INDEX('Paste Export'!$A$2:$BZ$1001,$A734,col_s8))&gt;0)))</f>
        <v/>
      </c>
      <c r="I734" s="25" t="str">
        <f t="shared" si="80"/>
        <v/>
      </c>
      <c r="J734" s="25" t="str">
        <f t="shared" si="81"/>
        <v/>
      </c>
      <c r="K734" s="24" t="str">
        <f t="shared" si="82"/>
        <v/>
      </c>
      <c r="L734" s="24" t="str">
        <f t="shared" si="83"/>
        <v/>
      </c>
    </row>
    <row r="735" spans="1:12" x14ac:dyDescent="0.25">
      <c r="A735" s="24">
        <f t="shared" si="77"/>
        <v>734</v>
      </c>
      <c r="B735" s="25" t="str">
        <f>IF($A735&gt;nrows,"",IF(col_user=0,"",INDEX('Paste Export'!$A$2:$BZ$1001,$A735,col_user)))</f>
        <v/>
      </c>
      <c r="C735" s="24" t="str">
        <f>IF($A735&gt;nrows,"",IF(col_days=0,0,N(INDEX('Paste Export'!$A$2:$BZ$1001,$A735,col_days))))</f>
        <v/>
      </c>
      <c r="D735" s="24" t="str">
        <f>IF($A735&gt;nrows,"",IF(col_prompts=0,0,N(INDEX('Paste Export'!$A$2:$BZ$1001,$A735,col_prompts))))</f>
        <v/>
      </c>
      <c r="E735" s="24" t="str">
        <f>IF($A735&gt;nrows,"",IF(col_web=0,0,N(INDEX('Paste Export'!$A$2:$BZ$1001,$A735,col_web))))</f>
        <v/>
      </c>
      <c r="F735" s="26" t="str">
        <f t="shared" si="78"/>
        <v/>
      </c>
      <c r="G735" s="27" t="str">
        <f t="shared" si="79"/>
        <v/>
      </c>
      <c r="H735" s="24" t="str">
        <f>IF($A735&gt;nrows,"",IF(col_s1=0,0,--(LEN(INDEX('Paste Export'!$A$2:$BZ$1001,$A735,col_s1))&gt;0))+IF(col_s2=0,0,--(LEN(INDEX('Paste Export'!$A$2:$BZ$1001,$A735,col_s2))&gt;0))+IF(col_s3=0,0,--(LEN(INDEX('Paste Export'!$A$2:$BZ$1001,$A735,col_s3))&gt;0))+IF(col_s4=0,0,--(LEN(INDEX('Paste Export'!$A$2:$BZ$1001,$A735,col_s4))&gt;0))+IF(col_s5=0,0,--(LEN(INDEX('Paste Export'!$A$2:$BZ$1001,$A735,col_s5))&gt;0))+IF(col_s6=0,0,--(LEN(INDEX('Paste Export'!$A$2:$BZ$1001,$A735,col_s6))&gt;0))+IF(col_s7=0,0,--(LEN(INDEX('Paste Export'!$A$2:$BZ$1001,$A735,col_s7))&gt;0))+IF(col_s8=0,0,--(LEN(INDEX('Paste Export'!$A$2:$BZ$1001,$A735,col_s8))&gt;0)))</f>
        <v/>
      </c>
      <c r="I735" s="25" t="str">
        <f t="shared" si="80"/>
        <v/>
      </c>
      <c r="J735" s="25" t="str">
        <f t="shared" si="81"/>
        <v/>
      </c>
      <c r="K735" s="24" t="str">
        <f t="shared" si="82"/>
        <v/>
      </c>
      <c r="L735" s="24" t="str">
        <f t="shared" si="83"/>
        <v/>
      </c>
    </row>
    <row r="736" spans="1:12" x14ac:dyDescent="0.25">
      <c r="A736" s="24">
        <f t="shared" si="77"/>
        <v>735</v>
      </c>
      <c r="B736" s="25" t="str">
        <f>IF($A736&gt;nrows,"",IF(col_user=0,"",INDEX('Paste Export'!$A$2:$BZ$1001,$A736,col_user)))</f>
        <v/>
      </c>
      <c r="C736" s="24" t="str">
        <f>IF($A736&gt;nrows,"",IF(col_days=0,0,N(INDEX('Paste Export'!$A$2:$BZ$1001,$A736,col_days))))</f>
        <v/>
      </c>
      <c r="D736" s="24" t="str">
        <f>IF($A736&gt;nrows,"",IF(col_prompts=0,0,N(INDEX('Paste Export'!$A$2:$BZ$1001,$A736,col_prompts))))</f>
        <v/>
      </c>
      <c r="E736" s="24" t="str">
        <f>IF($A736&gt;nrows,"",IF(col_web=0,0,N(INDEX('Paste Export'!$A$2:$BZ$1001,$A736,col_web))))</f>
        <v/>
      </c>
      <c r="F736" s="26" t="str">
        <f t="shared" si="78"/>
        <v/>
      </c>
      <c r="G736" s="27" t="str">
        <f t="shared" si="79"/>
        <v/>
      </c>
      <c r="H736" s="24" t="str">
        <f>IF($A736&gt;nrows,"",IF(col_s1=0,0,--(LEN(INDEX('Paste Export'!$A$2:$BZ$1001,$A736,col_s1))&gt;0))+IF(col_s2=0,0,--(LEN(INDEX('Paste Export'!$A$2:$BZ$1001,$A736,col_s2))&gt;0))+IF(col_s3=0,0,--(LEN(INDEX('Paste Export'!$A$2:$BZ$1001,$A736,col_s3))&gt;0))+IF(col_s4=0,0,--(LEN(INDEX('Paste Export'!$A$2:$BZ$1001,$A736,col_s4))&gt;0))+IF(col_s5=0,0,--(LEN(INDEX('Paste Export'!$A$2:$BZ$1001,$A736,col_s5))&gt;0))+IF(col_s6=0,0,--(LEN(INDEX('Paste Export'!$A$2:$BZ$1001,$A736,col_s6))&gt;0))+IF(col_s7=0,0,--(LEN(INDEX('Paste Export'!$A$2:$BZ$1001,$A736,col_s7))&gt;0))+IF(col_s8=0,0,--(LEN(INDEX('Paste Export'!$A$2:$BZ$1001,$A736,col_s8))&gt;0)))</f>
        <v/>
      </c>
      <c r="I736" s="25" t="str">
        <f t="shared" si="80"/>
        <v/>
      </c>
      <c r="J736" s="25" t="str">
        <f t="shared" si="81"/>
        <v/>
      </c>
      <c r="K736" s="24" t="str">
        <f t="shared" si="82"/>
        <v/>
      </c>
      <c r="L736" s="24" t="str">
        <f t="shared" si="83"/>
        <v/>
      </c>
    </row>
    <row r="737" spans="1:12" x14ac:dyDescent="0.25">
      <c r="A737" s="24">
        <f t="shared" si="77"/>
        <v>736</v>
      </c>
      <c r="B737" s="25" t="str">
        <f>IF($A737&gt;nrows,"",IF(col_user=0,"",INDEX('Paste Export'!$A$2:$BZ$1001,$A737,col_user)))</f>
        <v/>
      </c>
      <c r="C737" s="24" t="str">
        <f>IF($A737&gt;nrows,"",IF(col_days=0,0,N(INDEX('Paste Export'!$A$2:$BZ$1001,$A737,col_days))))</f>
        <v/>
      </c>
      <c r="D737" s="24" t="str">
        <f>IF($A737&gt;nrows,"",IF(col_prompts=0,0,N(INDEX('Paste Export'!$A$2:$BZ$1001,$A737,col_prompts))))</f>
        <v/>
      </c>
      <c r="E737" s="24" t="str">
        <f>IF($A737&gt;nrows,"",IF(col_web=0,0,N(INDEX('Paste Export'!$A$2:$BZ$1001,$A737,col_web))))</f>
        <v/>
      </c>
      <c r="F737" s="26" t="str">
        <f t="shared" si="78"/>
        <v/>
      </c>
      <c r="G737" s="27" t="str">
        <f t="shared" si="79"/>
        <v/>
      </c>
      <c r="H737" s="24" t="str">
        <f>IF($A737&gt;nrows,"",IF(col_s1=0,0,--(LEN(INDEX('Paste Export'!$A$2:$BZ$1001,$A737,col_s1))&gt;0))+IF(col_s2=0,0,--(LEN(INDEX('Paste Export'!$A$2:$BZ$1001,$A737,col_s2))&gt;0))+IF(col_s3=0,0,--(LEN(INDEX('Paste Export'!$A$2:$BZ$1001,$A737,col_s3))&gt;0))+IF(col_s4=0,0,--(LEN(INDEX('Paste Export'!$A$2:$BZ$1001,$A737,col_s4))&gt;0))+IF(col_s5=0,0,--(LEN(INDEX('Paste Export'!$A$2:$BZ$1001,$A737,col_s5))&gt;0))+IF(col_s6=0,0,--(LEN(INDEX('Paste Export'!$A$2:$BZ$1001,$A737,col_s6))&gt;0))+IF(col_s7=0,0,--(LEN(INDEX('Paste Export'!$A$2:$BZ$1001,$A737,col_s7))&gt;0))+IF(col_s8=0,0,--(LEN(INDEX('Paste Export'!$A$2:$BZ$1001,$A737,col_s8))&gt;0)))</f>
        <v/>
      </c>
      <c r="I737" s="25" t="str">
        <f t="shared" si="80"/>
        <v/>
      </c>
      <c r="J737" s="25" t="str">
        <f t="shared" si="81"/>
        <v/>
      </c>
      <c r="K737" s="24" t="str">
        <f t="shared" si="82"/>
        <v/>
      </c>
      <c r="L737" s="24" t="str">
        <f t="shared" si="83"/>
        <v/>
      </c>
    </row>
    <row r="738" spans="1:12" x14ac:dyDescent="0.25">
      <c r="A738" s="24">
        <f t="shared" si="77"/>
        <v>737</v>
      </c>
      <c r="B738" s="25" t="str">
        <f>IF($A738&gt;nrows,"",IF(col_user=0,"",INDEX('Paste Export'!$A$2:$BZ$1001,$A738,col_user)))</f>
        <v/>
      </c>
      <c r="C738" s="24" t="str">
        <f>IF($A738&gt;nrows,"",IF(col_days=0,0,N(INDEX('Paste Export'!$A$2:$BZ$1001,$A738,col_days))))</f>
        <v/>
      </c>
      <c r="D738" s="24" t="str">
        <f>IF($A738&gt;nrows,"",IF(col_prompts=0,0,N(INDEX('Paste Export'!$A$2:$BZ$1001,$A738,col_prompts))))</f>
        <v/>
      </c>
      <c r="E738" s="24" t="str">
        <f>IF($A738&gt;nrows,"",IF(col_web=0,0,N(INDEX('Paste Export'!$A$2:$BZ$1001,$A738,col_web))))</f>
        <v/>
      </c>
      <c r="F738" s="26" t="str">
        <f t="shared" si="78"/>
        <v/>
      </c>
      <c r="G738" s="27" t="str">
        <f t="shared" si="79"/>
        <v/>
      </c>
      <c r="H738" s="24" t="str">
        <f>IF($A738&gt;nrows,"",IF(col_s1=0,0,--(LEN(INDEX('Paste Export'!$A$2:$BZ$1001,$A738,col_s1))&gt;0))+IF(col_s2=0,0,--(LEN(INDEX('Paste Export'!$A$2:$BZ$1001,$A738,col_s2))&gt;0))+IF(col_s3=0,0,--(LEN(INDEX('Paste Export'!$A$2:$BZ$1001,$A738,col_s3))&gt;0))+IF(col_s4=0,0,--(LEN(INDEX('Paste Export'!$A$2:$BZ$1001,$A738,col_s4))&gt;0))+IF(col_s5=0,0,--(LEN(INDEX('Paste Export'!$A$2:$BZ$1001,$A738,col_s5))&gt;0))+IF(col_s6=0,0,--(LEN(INDEX('Paste Export'!$A$2:$BZ$1001,$A738,col_s6))&gt;0))+IF(col_s7=0,0,--(LEN(INDEX('Paste Export'!$A$2:$BZ$1001,$A738,col_s7))&gt;0))+IF(col_s8=0,0,--(LEN(INDEX('Paste Export'!$A$2:$BZ$1001,$A738,col_s8))&gt;0)))</f>
        <v/>
      </c>
      <c r="I738" s="25" t="str">
        <f t="shared" si="80"/>
        <v/>
      </c>
      <c r="J738" s="25" t="str">
        <f t="shared" si="81"/>
        <v/>
      </c>
      <c r="K738" s="24" t="str">
        <f t="shared" si="82"/>
        <v/>
      </c>
      <c r="L738" s="24" t="str">
        <f t="shared" si="83"/>
        <v/>
      </c>
    </row>
    <row r="739" spans="1:12" x14ac:dyDescent="0.25">
      <c r="A739" s="24">
        <f t="shared" si="77"/>
        <v>738</v>
      </c>
      <c r="B739" s="25" t="str">
        <f>IF($A739&gt;nrows,"",IF(col_user=0,"",INDEX('Paste Export'!$A$2:$BZ$1001,$A739,col_user)))</f>
        <v/>
      </c>
      <c r="C739" s="24" t="str">
        <f>IF($A739&gt;nrows,"",IF(col_days=0,0,N(INDEX('Paste Export'!$A$2:$BZ$1001,$A739,col_days))))</f>
        <v/>
      </c>
      <c r="D739" s="24" t="str">
        <f>IF($A739&gt;nrows,"",IF(col_prompts=0,0,N(INDEX('Paste Export'!$A$2:$BZ$1001,$A739,col_prompts))))</f>
        <v/>
      </c>
      <c r="E739" s="24" t="str">
        <f>IF($A739&gt;nrows,"",IF(col_web=0,0,N(INDEX('Paste Export'!$A$2:$BZ$1001,$A739,col_web))))</f>
        <v/>
      </c>
      <c r="F739" s="26" t="str">
        <f t="shared" si="78"/>
        <v/>
      </c>
      <c r="G739" s="27" t="str">
        <f t="shared" si="79"/>
        <v/>
      </c>
      <c r="H739" s="24" t="str">
        <f>IF($A739&gt;nrows,"",IF(col_s1=0,0,--(LEN(INDEX('Paste Export'!$A$2:$BZ$1001,$A739,col_s1))&gt;0))+IF(col_s2=0,0,--(LEN(INDEX('Paste Export'!$A$2:$BZ$1001,$A739,col_s2))&gt;0))+IF(col_s3=0,0,--(LEN(INDEX('Paste Export'!$A$2:$BZ$1001,$A739,col_s3))&gt;0))+IF(col_s4=0,0,--(LEN(INDEX('Paste Export'!$A$2:$BZ$1001,$A739,col_s4))&gt;0))+IF(col_s5=0,0,--(LEN(INDEX('Paste Export'!$A$2:$BZ$1001,$A739,col_s5))&gt;0))+IF(col_s6=0,0,--(LEN(INDEX('Paste Export'!$A$2:$BZ$1001,$A739,col_s6))&gt;0))+IF(col_s7=0,0,--(LEN(INDEX('Paste Export'!$A$2:$BZ$1001,$A739,col_s7))&gt;0))+IF(col_s8=0,0,--(LEN(INDEX('Paste Export'!$A$2:$BZ$1001,$A739,col_s8))&gt;0)))</f>
        <v/>
      </c>
      <c r="I739" s="25" t="str">
        <f t="shared" si="80"/>
        <v/>
      </c>
      <c r="J739" s="25" t="str">
        <f t="shared" si="81"/>
        <v/>
      </c>
      <c r="K739" s="24" t="str">
        <f t="shared" si="82"/>
        <v/>
      </c>
      <c r="L739" s="24" t="str">
        <f t="shared" si="83"/>
        <v/>
      </c>
    </row>
    <row r="740" spans="1:12" x14ac:dyDescent="0.25">
      <c r="A740" s="24">
        <f t="shared" si="77"/>
        <v>739</v>
      </c>
      <c r="B740" s="25" t="str">
        <f>IF($A740&gt;nrows,"",IF(col_user=0,"",INDEX('Paste Export'!$A$2:$BZ$1001,$A740,col_user)))</f>
        <v/>
      </c>
      <c r="C740" s="24" t="str">
        <f>IF($A740&gt;nrows,"",IF(col_days=0,0,N(INDEX('Paste Export'!$A$2:$BZ$1001,$A740,col_days))))</f>
        <v/>
      </c>
      <c r="D740" s="24" t="str">
        <f>IF($A740&gt;nrows,"",IF(col_prompts=0,0,N(INDEX('Paste Export'!$A$2:$BZ$1001,$A740,col_prompts))))</f>
        <v/>
      </c>
      <c r="E740" s="24" t="str">
        <f>IF($A740&gt;nrows,"",IF(col_web=0,0,N(INDEX('Paste Export'!$A$2:$BZ$1001,$A740,col_web))))</f>
        <v/>
      </c>
      <c r="F740" s="26" t="str">
        <f t="shared" si="78"/>
        <v/>
      </c>
      <c r="G740" s="27" t="str">
        <f t="shared" si="79"/>
        <v/>
      </c>
      <c r="H740" s="24" t="str">
        <f>IF($A740&gt;nrows,"",IF(col_s1=0,0,--(LEN(INDEX('Paste Export'!$A$2:$BZ$1001,$A740,col_s1))&gt;0))+IF(col_s2=0,0,--(LEN(INDEX('Paste Export'!$A$2:$BZ$1001,$A740,col_s2))&gt;0))+IF(col_s3=0,0,--(LEN(INDEX('Paste Export'!$A$2:$BZ$1001,$A740,col_s3))&gt;0))+IF(col_s4=0,0,--(LEN(INDEX('Paste Export'!$A$2:$BZ$1001,$A740,col_s4))&gt;0))+IF(col_s5=0,0,--(LEN(INDEX('Paste Export'!$A$2:$BZ$1001,$A740,col_s5))&gt;0))+IF(col_s6=0,0,--(LEN(INDEX('Paste Export'!$A$2:$BZ$1001,$A740,col_s6))&gt;0))+IF(col_s7=0,0,--(LEN(INDEX('Paste Export'!$A$2:$BZ$1001,$A740,col_s7))&gt;0))+IF(col_s8=0,0,--(LEN(INDEX('Paste Export'!$A$2:$BZ$1001,$A740,col_s8))&gt;0)))</f>
        <v/>
      </c>
      <c r="I740" s="25" t="str">
        <f t="shared" si="80"/>
        <v/>
      </c>
      <c r="J740" s="25" t="str">
        <f t="shared" si="81"/>
        <v/>
      </c>
      <c r="K740" s="24" t="str">
        <f t="shared" si="82"/>
        <v/>
      </c>
      <c r="L740" s="24" t="str">
        <f t="shared" si="83"/>
        <v/>
      </c>
    </row>
    <row r="741" spans="1:12" x14ac:dyDescent="0.25">
      <c r="A741" s="24">
        <f t="shared" si="77"/>
        <v>740</v>
      </c>
      <c r="B741" s="25" t="str">
        <f>IF($A741&gt;nrows,"",IF(col_user=0,"",INDEX('Paste Export'!$A$2:$BZ$1001,$A741,col_user)))</f>
        <v/>
      </c>
      <c r="C741" s="24" t="str">
        <f>IF($A741&gt;nrows,"",IF(col_days=0,0,N(INDEX('Paste Export'!$A$2:$BZ$1001,$A741,col_days))))</f>
        <v/>
      </c>
      <c r="D741" s="24" t="str">
        <f>IF($A741&gt;nrows,"",IF(col_prompts=0,0,N(INDEX('Paste Export'!$A$2:$BZ$1001,$A741,col_prompts))))</f>
        <v/>
      </c>
      <c r="E741" s="24" t="str">
        <f>IF($A741&gt;nrows,"",IF(col_web=0,0,N(INDEX('Paste Export'!$A$2:$BZ$1001,$A741,col_web))))</f>
        <v/>
      </c>
      <c r="F741" s="26" t="str">
        <f t="shared" si="78"/>
        <v/>
      </c>
      <c r="G741" s="27" t="str">
        <f t="shared" si="79"/>
        <v/>
      </c>
      <c r="H741" s="24" t="str">
        <f>IF($A741&gt;nrows,"",IF(col_s1=0,0,--(LEN(INDEX('Paste Export'!$A$2:$BZ$1001,$A741,col_s1))&gt;0))+IF(col_s2=0,0,--(LEN(INDEX('Paste Export'!$A$2:$BZ$1001,$A741,col_s2))&gt;0))+IF(col_s3=0,0,--(LEN(INDEX('Paste Export'!$A$2:$BZ$1001,$A741,col_s3))&gt;0))+IF(col_s4=0,0,--(LEN(INDEX('Paste Export'!$A$2:$BZ$1001,$A741,col_s4))&gt;0))+IF(col_s5=0,0,--(LEN(INDEX('Paste Export'!$A$2:$BZ$1001,$A741,col_s5))&gt;0))+IF(col_s6=0,0,--(LEN(INDEX('Paste Export'!$A$2:$BZ$1001,$A741,col_s6))&gt;0))+IF(col_s7=0,0,--(LEN(INDEX('Paste Export'!$A$2:$BZ$1001,$A741,col_s7))&gt;0))+IF(col_s8=0,0,--(LEN(INDEX('Paste Export'!$A$2:$BZ$1001,$A741,col_s8))&gt;0)))</f>
        <v/>
      </c>
      <c r="I741" s="25" t="str">
        <f t="shared" si="80"/>
        <v/>
      </c>
      <c r="J741" s="25" t="str">
        <f t="shared" si="81"/>
        <v/>
      </c>
      <c r="K741" s="24" t="str">
        <f t="shared" si="82"/>
        <v/>
      </c>
      <c r="L741" s="24" t="str">
        <f t="shared" si="83"/>
        <v/>
      </c>
    </row>
    <row r="742" spans="1:12" x14ac:dyDescent="0.25">
      <c r="A742" s="24">
        <f t="shared" si="77"/>
        <v>741</v>
      </c>
      <c r="B742" s="25" t="str">
        <f>IF($A742&gt;nrows,"",IF(col_user=0,"",INDEX('Paste Export'!$A$2:$BZ$1001,$A742,col_user)))</f>
        <v/>
      </c>
      <c r="C742" s="24" t="str">
        <f>IF($A742&gt;nrows,"",IF(col_days=0,0,N(INDEX('Paste Export'!$A$2:$BZ$1001,$A742,col_days))))</f>
        <v/>
      </c>
      <c r="D742" s="24" t="str">
        <f>IF($A742&gt;nrows,"",IF(col_prompts=0,0,N(INDEX('Paste Export'!$A$2:$BZ$1001,$A742,col_prompts))))</f>
        <v/>
      </c>
      <c r="E742" s="24" t="str">
        <f>IF($A742&gt;nrows,"",IF(col_web=0,0,N(INDEX('Paste Export'!$A$2:$BZ$1001,$A742,col_web))))</f>
        <v/>
      </c>
      <c r="F742" s="26" t="str">
        <f t="shared" si="78"/>
        <v/>
      </c>
      <c r="G742" s="27" t="str">
        <f t="shared" si="79"/>
        <v/>
      </c>
      <c r="H742" s="24" t="str">
        <f>IF($A742&gt;nrows,"",IF(col_s1=0,0,--(LEN(INDEX('Paste Export'!$A$2:$BZ$1001,$A742,col_s1))&gt;0))+IF(col_s2=0,0,--(LEN(INDEX('Paste Export'!$A$2:$BZ$1001,$A742,col_s2))&gt;0))+IF(col_s3=0,0,--(LEN(INDEX('Paste Export'!$A$2:$BZ$1001,$A742,col_s3))&gt;0))+IF(col_s4=0,0,--(LEN(INDEX('Paste Export'!$A$2:$BZ$1001,$A742,col_s4))&gt;0))+IF(col_s5=0,0,--(LEN(INDEX('Paste Export'!$A$2:$BZ$1001,$A742,col_s5))&gt;0))+IF(col_s6=0,0,--(LEN(INDEX('Paste Export'!$A$2:$BZ$1001,$A742,col_s6))&gt;0))+IF(col_s7=0,0,--(LEN(INDEX('Paste Export'!$A$2:$BZ$1001,$A742,col_s7))&gt;0))+IF(col_s8=0,0,--(LEN(INDEX('Paste Export'!$A$2:$BZ$1001,$A742,col_s8))&gt;0)))</f>
        <v/>
      </c>
      <c r="I742" s="25" t="str">
        <f t="shared" si="80"/>
        <v/>
      </c>
      <c r="J742" s="25" t="str">
        <f t="shared" si="81"/>
        <v/>
      </c>
      <c r="K742" s="24" t="str">
        <f t="shared" si="82"/>
        <v/>
      </c>
      <c r="L742" s="24" t="str">
        <f t="shared" si="83"/>
        <v/>
      </c>
    </row>
    <row r="743" spans="1:12" x14ac:dyDescent="0.25">
      <c r="A743" s="24">
        <f t="shared" si="77"/>
        <v>742</v>
      </c>
      <c r="B743" s="25" t="str">
        <f>IF($A743&gt;nrows,"",IF(col_user=0,"",INDEX('Paste Export'!$A$2:$BZ$1001,$A743,col_user)))</f>
        <v/>
      </c>
      <c r="C743" s="24" t="str">
        <f>IF($A743&gt;nrows,"",IF(col_days=0,0,N(INDEX('Paste Export'!$A$2:$BZ$1001,$A743,col_days))))</f>
        <v/>
      </c>
      <c r="D743" s="24" t="str">
        <f>IF($A743&gt;nrows,"",IF(col_prompts=0,0,N(INDEX('Paste Export'!$A$2:$BZ$1001,$A743,col_prompts))))</f>
        <v/>
      </c>
      <c r="E743" s="24" t="str">
        <f>IF($A743&gt;nrows,"",IF(col_web=0,0,N(INDEX('Paste Export'!$A$2:$BZ$1001,$A743,col_web))))</f>
        <v/>
      </c>
      <c r="F743" s="26" t="str">
        <f t="shared" si="78"/>
        <v/>
      </c>
      <c r="G743" s="27" t="str">
        <f t="shared" si="79"/>
        <v/>
      </c>
      <c r="H743" s="24" t="str">
        <f>IF($A743&gt;nrows,"",IF(col_s1=0,0,--(LEN(INDEX('Paste Export'!$A$2:$BZ$1001,$A743,col_s1))&gt;0))+IF(col_s2=0,0,--(LEN(INDEX('Paste Export'!$A$2:$BZ$1001,$A743,col_s2))&gt;0))+IF(col_s3=0,0,--(LEN(INDEX('Paste Export'!$A$2:$BZ$1001,$A743,col_s3))&gt;0))+IF(col_s4=0,0,--(LEN(INDEX('Paste Export'!$A$2:$BZ$1001,$A743,col_s4))&gt;0))+IF(col_s5=0,0,--(LEN(INDEX('Paste Export'!$A$2:$BZ$1001,$A743,col_s5))&gt;0))+IF(col_s6=0,0,--(LEN(INDEX('Paste Export'!$A$2:$BZ$1001,$A743,col_s6))&gt;0))+IF(col_s7=0,0,--(LEN(INDEX('Paste Export'!$A$2:$BZ$1001,$A743,col_s7))&gt;0))+IF(col_s8=0,0,--(LEN(INDEX('Paste Export'!$A$2:$BZ$1001,$A743,col_s8))&gt;0)))</f>
        <v/>
      </c>
      <c r="I743" s="25" t="str">
        <f t="shared" si="80"/>
        <v/>
      </c>
      <c r="J743" s="25" t="str">
        <f t="shared" si="81"/>
        <v/>
      </c>
      <c r="K743" s="24" t="str">
        <f t="shared" si="82"/>
        <v/>
      </c>
      <c r="L743" s="24" t="str">
        <f t="shared" si="83"/>
        <v/>
      </c>
    </row>
    <row r="744" spans="1:12" x14ac:dyDescent="0.25">
      <c r="A744" s="24">
        <f t="shared" si="77"/>
        <v>743</v>
      </c>
      <c r="B744" s="25" t="str">
        <f>IF($A744&gt;nrows,"",IF(col_user=0,"",INDEX('Paste Export'!$A$2:$BZ$1001,$A744,col_user)))</f>
        <v/>
      </c>
      <c r="C744" s="24" t="str">
        <f>IF($A744&gt;nrows,"",IF(col_days=0,0,N(INDEX('Paste Export'!$A$2:$BZ$1001,$A744,col_days))))</f>
        <v/>
      </c>
      <c r="D744" s="24" t="str">
        <f>IF($A744&gt;nrows,"",IF(col_prompts=0,0,N(INDEX('Paste Export'!$A$2:$BZ$1001,$A744,col_prompts))))</f>
        <v/>
      </c>
      <c r="E744" s="24" t="str">
        <f>IF($A744&gt;nrows,"",IF(col_web=0,0,N(INDEX('Paste Export'!$A$2:$BZ$1001,$A744,col_web))))</f>
        <v/>
      </c>
      <c r="F744" s="26" t="str">
        <f t="shared" si="78"/>
        <v/>
      </c>
      <c r="G744" s="27" t="str">
        <f t="shared" si="79"/>
        <v/>
      </c>
      <c r="H744" s="24" t="str">
        <f>IF($A744&gt;nrows,"",IF(col_s1=0,0,--(LEN(INDEX('Paste Export'!$A$2:$BZ$1001,$A744,col_s1))&gt;0))+IF(col_s2=0,0,--(LEN(INDEX('Paste Export'!$A$2:$BZ$1001,$A744,col_s2))&gt;0))+IF(col_s3=0,0,--(LEN(INDEX('Paste Export'!$A$2:$BZ$1001,$A744,col_s3))&gt;0))+IF(col_s4=0,0,--(LEN(INDEX('Paste Export'!$A$2:$BZ$1001,$A744,col_s4))&gt;0))+IF(col_s5=0,0,--(LEN(INDEX('Paste Export'!$A$2:$BZ$1001,$A744,col_s5))&gt;0))+IF(col_s6=0,0,--(LEN(INDEX('Paste Export'!$A$2:$BZ$1001,$A744,col_s6))&gt;0))+IF(col_s7=0,0,--(LEN(INDEX('Paste Export'!$A$2:$BZ$1001,$A744,col_s7))&gt;0))+IF(col_s8=0,0,--(LEN(INDEX('Paste Export'!$A$2:$BZ$1001,$A744,col_s8))&gt;0)))</f>
        <v/>
      </c>
      <c r="I744" s="25" t="str">
        <f t="shared" si="80"/>
        <v/>
      </c>
      <c r="J744" s="25" t="str">
        <f t="shared" si="81"/>
        <v/>
      </c>
      <c r="K744" s="24" t="str">
        <f t="shared" si="82"/>
        <v/>
      </c>
      <c r="L744" s="24" t="str">
        <f t="shared" si="83"/>
        <v/>
      </c>
    </row>
    <row r="745" spans="1:12" x14ac:dyDescent="0.25">
      <c r="A745" s="24">
        <f t="shared" si="77"/>
        <v>744</v>
      </c>
      <c r="B745" s="25" t="str">
        <f>IF($A745&gt;nrows,"",IF(col_user=0,"",INDEX('Paste Export'!$A$2:$BZ$1001,$A745,col_user)))</f>
        <v/>
      </c>
      <c r="C745" s="24" t="str">
        <f>IF($A745&gt;nrows,"",IF(col_days=0,0,N(INDEX('Paste Export'!$A$2:$BZ$1001,$A745,col_days))))</f>
        <v/>
      </c>
      <c r="D745" s="24" t="str">
        <f>IF($A745&gt;nrows,"",IF(col_prompts=0,0,N(INDEX('Paste Export'!$A$2:$BZ$1001,$A745,col_prompts))))</f>
        <v/>
      </c>
      <c r="E745" s="24" t="str">
        <f>IF($A745&gt;nrows,"",IF(col_web=0,0,N(INDEX('Paste Export'!$A$2:$BZ$1001,$A745,col_web))))</f>
        <v/>
      </c>
      <c r="F745" s="26" t="str">
        <f t="shared" si="78"/>
        <v/>
      </c>
      <c r="G745" s="27" t="str">
        <f t="shared" si="79"/>
        <v/>
      </c>
      <c r="H745" s="24" t="str">
        <f>IF($A745&gt;nrows,"",IF(col_s1=0,0,--(LEN(INDEX('Paste Export'!$A$2:$BZ$1001,$A745,col_s1))&gt;0))+IF(col_s2=0,0,--(LEN(INDEX('Paste Export'!$A$2:$BZ$1001,$A745,col_s2))&gt;0))+IF(col_s3=0,0,--(LEN(INDEX('Paste Export'!$A$2:$BZ$1001,$A745,col_s3))&gt;0))+IF(col_s4=0,0,--(LEN(INDEX('Paste Export'!$A$2:$BZ$1001,$A745,col_s4))&gt;0))+IF(col_s5=0,0,--(LEN(INDEX('Paste Export'!$A$2:$BZ$1001,$A745,col_s5))&gt;0))+IF(col_s6=0,0,--(LEN(INDEX('Paste Export'!$A$2:$BZ$1001,$A745,col_s6))&gt;0))+IF(col_s7=0,0,--(LEN(INDEX('Paste Export'!$A$2:$BZ$1001,$A745,col_s7))&gt;0))+IF(col_s8=0,0,--(LEN(INDEX('Paste Export'!$A$2:$BZ$1001,$A745,col_s8))&gt;0)))</f>
        <v/>
      </c>
      <c r="I745" s="25" t="str">
        <f t="shared" si="80"/>
        <v/>
      </c>
      <c r="J745" s="25" t="str">
        <f t="shared" si="81"/>
        <v/>
      </c>
      <c r="K745" s="24" t="str">
        <f t="shared" si="82"/>
        <v/>
      </c>
      <c r="L745" s="24" t="str">
        <f t="shared" si="83"/>
        <v/>
      </c>
    </row>
    <row r="746" spans="1:12" x14ac:dyDescent="0.25">
      <c r="A746" s="24">
        <f t="shared" si="77"/>
        <v>745</v>
      </c>
      <c r="B746" s="25" t="str">
        <f>IF($A746&gt;nrows,"",IF(col_user=0,"",INDEX('Paste Export'!$A$2:$BZ$1001,$A746,col_user)))</f>
        <v/>
      </c>
      <c r="C746" s="24" t="str">
        <f>IF($A746&gt;nrows,"",IF(col_days=0,0,N(INDEX('Paste Export'!$A$2:$BZ$1001,$A746,col_days))))</f>
        <v/>
      </c>
      <c r="D746" s="24" t="str">
        <f>IF($A746&gt;nrows,"",IF(col_prompts=0,0,N(INDEX('Paste Export'!$A$2:$BZ$1001,$A746,col_prompts))))</f>
        <v/>
      </c>
      <c r="E746" s="24" t="str">
        <f>IF($A746&gt;nrows,"",IF(col_web=0,0,N(INDEX('Paste Export'!$A$2:$BZ$1001,$A746,col_web))))</f>
        <v/>
      </c>
      <c r="F746" s="26" t="str">
        <f t="shared" si="78"/>
        <v/>
      </c>
      <c r="G746" s="27" t="str">
        <f t="shared" si="79"/>
        <v/>
      </c>
      <c r="H746" s="24" t="str">
        <f>IF($A746&gt;nrows,"",IF(col_s1=0,0,--(LEN(INDEX('Paste Export'!$A$2:$BZ$1001,$A746,col_s1))&gt;0))+IF(col_s2=0,0,--(LEN(INDEX('Paste Export'!$A$2:$BZ$1001,$A746,col_s2))&gt;0))+IF(col_s3=0,0,--(LEN(INDEX('Paste Export'!$A$2:$BZ$1001,$A746,col_s3))&gt;0))+IF(col_s4=0,0,--(LEN(INDEX('Paste Export'!$A$2:$BZ$1001,$A746,col_s4))&gt;0))+IF(col_s5=0,0,--(LEN(INDEX('Paste Export'!$A$2:$BZ$1001,$A746,col_s5))&gt;0))+IF(col_s6=0,0,--(LEN(INDEX('Paste Export'!$A$2:$BZ$1001,$A746,col_s6))&gt;0))+IF(col_s7=0,0,--(LEN(INDEX('Paste Export'!$A$2:$BZ$1001,$A746,col_s7))&gt;0))+IF(col_s8=0,0,--(LEN(INDEX('Paste Export'!$A$2:$BZ$1001,$A746,col_s8))&gt;0)))</f>
        <v/>
      </c>
      <c r="I746" s="25" t="str">
        <f t="shared" si="80"/>
        <v/>
      </c>
      <c r="J746" s="25" t="str">
        <f t="shared" si="81"/>
        <v/>
      </c>
      <c r="K746" s="24" t="str">
        <f t="shared" si="82"/>
        <v/>
      </c>
      <c r="L746" s="24" t="str">
        <f t="shared" si="83"/>
        <v/>
      </c>
    </row>
    <row r="747" spans="1:12" x14ac:dyDescent="0.25">
      <c r="A747" s="24">
        <f t="shared" si="77"/>
        <v>746</v>
      </c>
      <c r="B747" s="25" t="str">
        <f>IF($A747&gt;nrows,"",IF(col_user=0,"",INDEX('Paste Export'!$A$2:$BZ$1001,$A747,col_user)))</f>
        <v/>
      </c>
      <c r="C747" s="24" t="str">
        <f>IF($A747&gt;nrows,"",IF(col_days=0,0,N(INDEX('Paste Export'!$A$2:$BZ$1001,$A747,col_days))))</f>
        <v/>
      </c>
      <c r="D747" s="24" t="str">
        <f>IF($A747&gt;nrows,"",IF(col_prompts=0,0,N(INDEX('Paste Export'!$A$2:$BZ$1001,$A747,col_prompts))))</f>
        <v/>
      </c>
      <c r="E747" s="24" t="str">
        <f>IF($A747&gt;nrows,"",IF(col_web=0,0,N(INDEX('Paste Export'!$A$2:$BZ$1001,$A747,col_web))))</f>
        <v/>
      </c>
      <c r="F747" s="26" t="str">
        <f t="shared" si="78"/>
        <v/>
      </c>
      <c r="G747" s="27" t="str">
        <f t="shared" si="79"/>
        <v/>
      </c>
      <c r="H747" s="24" t="str">
        <f>IF($A747&gt;nrows,"",IF(col_s1=0,0,--(LEN(INDEX('Paste Export'!$A$2:$BZ$1001,$A747,col_s1))&gt;0))+IF(col_s2=0,0,--(LEN(INDEX('Paste Export'!$A$2:$BZ$1001,$A747,col_s2))&gt;0))+IF(col_s3=0,0,--(LEN(INDEX('Paste Export'!$A$2:$BZ$1001,$A747,col_s3))&gt;0))+IF(col_s4=0,0,--(LEN(INDEX('Paste Export'!$A$2:$BZ$1001,$A747,col_s4))&gt;0))+IF(col_s5=0,0,--(LEN(INDEX('Paste Export'!$A$2:$BZ$1001,$A747,col_s5))&gt;0))+IF(col_s6=0,0,--(LEN(INDEX('Paste Export'!$A$2:$BZ$1001,$A747,col_s6))&gt;0))+IF(col_s7=0,0,--(LEN(INDEX('Paste Export'!$A$2:$BZ$1001,$A747,col_s7))&gt;0))+IF(col_s8=0,0,--(LEN(INDEX('Paste Export'!$A$2:$BZ$1001,$A747,col_s8))&gt;0)))</f>
        <v/>
      </c>
      <c r="I747" s="25" t="str">
        <f t="shared" si="80"/>
        <v/>
      </c>
      <c r="J747" s="25" t="str">
        <f t="shared" si="81"/>
        <v/>
      </c>
      <c r="K747" s="24" t="str">
        <f t="shared" si="82"/>
        <v/>
      </c>
      <c r="L747" s="24" t="str">
        <f t="shared" si="83"/>
        <v/>
      </c>
    </row>
    <row r="748" spans="1:12" x14ac:dyDescent="0.25">
      <c r="A748" s="24">
        <f t="shared" si="77"/>
        <v>747</v>
      </c>
      <c r="B748" s="25" t="str">
        <f>IF($A748&gt;nrows,"",IF(col_user=0,"",INDEX('Paste Export'!$A$2:$BZ$1001,$A748,col_user)))</f>
        <v/>
      </c>
      <c r="C748" s="24" t="str">
        <f>IF($A748&gt;nrows,"",IF(col_days=0,0,N(INDEX('Paste Export'!$A$2:$BZ$1001,$A748,col_days))))</f>
        <v/>
      </c>
      <c r="D748" s="24" t="str">
        <f>IF($A748&gt;nrows,"",IF(col_prompts=0,0,N(INDEX('Paste Export'!$A$2:$BZ$1001,$A748,col_prompts))))</f>
        <v/>
      </c>
      <c r="E748" s="24" t="str">
        <f>IF($A748&gt;nrows,"",IF(col_web=0,0,N(INDEX('Paste Export'!$A$2:$BZ$1001,$A748,col_web))))</f>
        <v/>
      </c>
      <c r="F748" s="26" t="str">
        <f t="shared" si="78"/>
        <v/>
      </c>
      <c r="G748" s="27" t="str">
        <f t="shared" si="79"/>
        <v/>
      </c>
      <c r="H748" s="24" t="str">
        <f>IF($A748&gt;nrows,"",IF(col_s1=0,0,--(LEN(INDEX('Paste Export'!$A$2:$BZ$1001,$A748,col_s1))&gt;0))+IF(col_s2=0,0,--(LEN(INDEX('Paste Export'!$A$2:$BZ$1001,$A748,col_s2))&gt;0))+IF(col_s3=0,0,--(LEN(INDEX('Paste Export'!$A$2:$BZ$1001,$A748,col_s3))&gt;0))+IF(col_s4=0,0,--(LEN(INDEX('Paste Export'!$A$2:$BZ$1001,$A748,col_s4))&gt;0))+IF(col_s5=0,0,--(LEN(INDEX('Paste Export'!$A$2:$BZ$1001,$A748,col_s5))&gt;0))+IF(col_s6=0,0,--(LEN(INDEX('Paste Export'!$A$2:$BZ$1001,$A748,col_s6))&gt;0))+IF(col_s7=0,0,--(LEN(INDEX('Paste Export'!$A$2:$BZ$1001,$A748,col_s7))&gt;0))+IF(col_s8=0,0,--(LEN(INDEX('Paste Export'!$A$2:$BZ$1001,$A748,col_s8))&gt;0)))</f>
        <v/>
      </c>
      <c r="I748" s="25" t="str">
        <f t="shared" si="80"/>
        <v/>
      </c>
      <c r="J748" s="25" t="str">
        <f t="shared" si="81"/>
        <v/>
      </c>
      <c r="K748" s="24" t="str">
        <f t="shared" si="82"/>
        <v/>
      </c>
      <c r="L748" s="24" t="str">
        <f t="shared" si="83"/>
        <v/>
      </c>
    </row>
    <row r="749" spans="1:12" x14ac:dyDescent="0.25">
      <c r="A749" s="24">
        <f t="shared" si="77"/>
        <v>748</v>
      </c>
      <c r="B749" s="25" t="str">
        <f>IF($A749&gt;nrows,"",IF(col_user=0,"",INDEX('Paste Export'!$A$2:$BZ$1001,$A749,col_user)))</f>
        <v/>
      </c>
      <c r="C749" s="24" t="str">
        <f>IF($A749&gt;nrows,"",IF(col_days=0,0,N(INDEX('Paste Export'!$A$2:$BZ$1001,$A749,col_days))))</f>
        <v/>
      </c>
      <c r="D749" s="24" t="str">
        <f>IF($A749&gt;nrows,"",IF(col_prompts=0,0,N(INDEX('Paste Export'!$A$2:$BZ$1001,$A749,col_prompts))))</f>
        <v/>
      </c>
      <c r="E749" s="24" t="str">
        <f>IF($A749&gt;nrows,"",IF(col_web=0,0,N(INDEX('Paste Export'!$A$2:$BZ$1001,$A749,col_web))))</f>
        <v/>
      </c>
      <c r="F749" s="26" t="str">
        <f t="shared" si="78"/>
        <v/>
      </c>
      <c r="G749" s="27" t="str">
        <f t="shared" si="79"/>
        <v/>
      </c>
      <c r="H749" s="24" t="str">
        <f>IF($A749&gt;nrows,"",IF(col_s1=0,0,--(LEN(INDEX('Paste Export'!$A$2:$BZ$1001,$A749,col_s1))&gt;0))+IF(col_s2=0,0,--(LEN(INDEX('Paste Export'!$A$2:$BZ$1001,$A749,col_s2))&gt;0))+IF(col_s3=0,0,--(LEN(INDEX('Paste Export'!$A$2:$BZ$1001,$A749,col_s3))&gt;0))+IF(col_s4=0,0,--(LEN(INDEX('Paste Export'!$A$2:$BZ$1001,$A749,col_s4))&gt;0))+IF(col_s5=0,0,--(LEN(INDEX('Paste Export'!$A$2:$BZ$1001,$A749,col_s5))&gt;0))+IF(col_s6=0,0,--(LEN(INDEX('Paste Export'!$A$2:$BZ$1001,$A749,col_s6))&gt;0))+IF(col_s7=0,0,--(LEN(INDEX('Paste Export'!$A$2:$BZ$1001,$A749,col_s7))&gt;0))+IF(col_s8=0,0,--(LEN(INDEX('Paste Export'!$A$2:$BZ$1001,$A749,col_s8))&gt;0)))</f>
        <v/>
      </c>
      <c r="I749" s="25" t="str">
        <f t="shared" si="80"/>
        <v/>
      </c>
      <c r="J749" s="25" t="str">
        <f t="shared" si="81"/>
        <v/>
      </c>
      <c r="K749" s="24" t="str">
        <f t="shared" si="82"/>
        <v/>
      </c>
      <c r="L749" s="24" t="str">
        <f t="shared" si="83"/>
        <v/>
      </c>
    </row>
    <row r="750" spans="1:12" x14ac:dyDescent="0.25">
      <c r="A750" s="24">
        <f t="shared" si="77"/>
        <v>749</v>
      </c>
      <c r="B750" s="25" t="str">
        <f>IF($A750&gt;nrows,"",IF(col_user=0,"",INDEX('Paste Export'!$A$2:$BZ$1001,$A750,col_user)))</f>
        <v/>
      </c>
      <c r="C750" s="24" t="str">
        <f>IF($A750&gt;nrows,"",IF(col_days=0,0,N(INDEX('Paste Export'!$A$2:$BZ$1001,$A750,col_days))))</f>
        <v/>
      </c>
      <c r="D750" s="24" t="str">
        <f>IF($A750&gt;nrows,"",IF(col_prompts=0,0,N(INDEX('Paste Export'!$A$2:$BZ$1001,$A750,col_prompts))))</f>
        <v/>
      </c>
      <c r="E750" s="24" t="str">
        <f>IF($A750&gt;nrows,"",IF(col_web=0,0,N(INDEX('Paste Export'!$A$2:$BZ$1001,$A750,col_web))))</f>
        <v/>
      </c>
      <c r="F750" s="26" t="str">
        <f t="shared" si="78"/>
        <v/>
      </c>
      <c r="G750" s="27" t="str">
        <f t="shared" si="79"/>
        <v/>
      </c>
      <c r="H750" s="24" t="str">
        <f>IF($A750&gt;nrows,"",IF(col_s1=0,0,--(LEN(INDEX('Paste Export'!$A$2:$BZ$1001,$A750,col_s1))&gt;0))+IF(col_s2=0,0,--(LEN(INDEX('Paste Export'!$A$2:$BZ$1001,$A750,col_s2))&gt;0))+IF(col_s3=0,0,--(LEN(INDEX('Paste Export'!$A$2:$BZ$1001,$A750,col_s3))&gt;0))+IF(col_s4=0,0,--(LEN(INDEX('Paste Export'!$A$2:$BZ$1001,$A750,col_s4))&gt;0))+IF(col_s5=0,0,--(LEN(INDEX('Paste Export'!$A$2:$BZ$1001,$A750,col_s5))&gt;0))+IF(col_s6=0,0,--(LEN(INDEX('Paste Export'!$A$2:$BZ$1001,$A750,col_s6))&gt;0))+IF(col_s7=0,0,--(LEN(INDEX('Paste Export'!$A$2:$BZ$1001,$A750,col_s7))&gt;0))+IF(col_s8=0,0,--(LEN(INDEX('Paste Export'!$A$2:$BZ$1001,$A750,col_s8))&gt;0)))</f>
        <v/>
      </c>
      <c r="I750" s="25" t="str">
        <f t="shared" si="80"/>
        <v/>
      </c>
      <c r="J750" s="25" t="str">
        <f t="shared" si="81"/>
        <v/>
      </c>
      <c r="K750" s="24" t="str">
        <f t="shared" si="82"/>
        <v/>
      </c>
      <c r="L750" s="24" t="str">
        <f t="shared" si="83"/>
        <v/>
      </c>
    </row>
    <row r="751" spans="1:12" x14ac:dyDescent="0.25">
      <c r="A751" s="24">
        <f t="shared" si="77"/>
        <v>750</v>
      </c>
      <c r="B751" s="25" t="str">
        <f>IF($A751&gt;nrows,"",IF(col_user=0,"",INDEX('Paste Export'!$A$2:$BZ$1001,$A751,col_user)))</f>
        <v/>
      </c>
      <c r="C751" s="24" t="str">
        <f>IF($A751&gt;nrows,"",IF(col_days=0,0,N(INDEX('Paste Export'!$A$2:$BZ$1001,$A751,col_days))))</f>
        <v/>
      </c>
      <c r="D751" s="24" t="str">
        <f>IF($A751&gt;nrows,"",IF(col_prompts=0,0,N(INDEX('Paste Export'!$A$2:$BZ$1001,$A751,col_prompts))))</f>
        <v/>
      </c>
      <c r="E751" s="24" t="str">
        <f>IF($A751&gt;nrows,"",IF(col_web=0,0,N(INDEX('Paste Export'!$A$2:$BZ$1001,$A751,col_web))))</f>
        <v/>
      </c>
      <c r="F751" s="26" t="str">
        <f t="shared" si="78"/>
        <v/>
      </c>
      <c r="G751" s="27" t="str">
        <f t="shared" si="79"/>
        <v/>
      </c>
      <c r="H751" s="24" t="str">
        <f>IF($A751&gt;nrows,"",IF(col_s1=0,0,--(LEN(INDEX('Paste Export'!$A$2:$BZ$1001,$A751,col_s1))&gt;0))+IF(col_s2=0,0,--(LEN(INDEX('Paste Export'!$A$2:$BZ$1001,$A751,col_s2))&gt;0))+IF(col_s3=0,0,--(LEN(INDEX('Paste Export'!$A$2:$BZ$1001,$A751,col_s3))&gt;0))+IF(col_s4=0,0,--(LEN(INDEX('Paste Export'!$A$2:$BZ$1001,$A751,col_s4))&gt;0))+IF(col_s5=0,0,--(LEN(INDEX('Paste Export'!$A$2:$BZ$1001,$A751,col_s5))&gt;0))+IF(col_s6=0,0,--(LEN(INDEX('Paste Export'!$A$2:$BZ$1001,$A751,col_s6))&gt;0))+IF(col_s7=0,0,--(LEN(INDEX('Paste Export'!$A$2:$BZ$1001,$A751,col_s7))&gt;0))+IF(col_s8=0,0,--(LEN(INDEX('Paste Export'!$A$2:$BZ$1001,$A751,col_s8))&gt;0)))</f>
        <v/>
      </c>
      <c r="I751" s="25" t="str">
        <f t="shared" si="80"/>
        <v/>
      </c>
      <c r="J751" s="25" t="str">
        <f t="shared" si="81"/>
        <v/>
      </c>
      <c r="K751" s="24" t="str">
        <f t="shared" si="82"/>
        <v/>
      </c>
      <c r="L751" s="24" t="str">
        <f t="shared" si="83"/>
        <v/>
      </c>
    </row>
    <row r="752" spans="1:12" x14ac:dyDescent="0.25">
      <c r="A752" s="24">
        <f t="shared" si="77"/>
        <v>751</v>
      </c>
      <c r="B752" s="25" t="str">
        <f>IF($A752&gt;nrows,"",IF(col_user=0,"",INDEX('Paste Export'!$A$2:$BZ$1001,$A752,col_user)))</f>
        <v/>
      </c>
      <c r="C752" s="24" t="str">
        <f>IF($A752&gt;nrows,"",IF(col_days=0,0,N(INDEX('Paste Export'!$A$2:$BZ$1001,$A752,col_days))))</f>
        <v/>
      </c>
      <c r="D752" s="24" t="str">
        <f>IF($A752&gt;nrows,"",IF(col_prompts=0,0,N(INDEX('Paste Export'!$A$2:$BZ$1001,$A752,col_prompts))))</f>
        <v/>
      </c>
      <c r="E752" s="24" t="str">
        <f>IF($A752&gt;nrows,"",IF(col_web=0,0,N(INDEX('Paste Export'!$A$2:$BZ$1001,$A752,col_web))))</f>
        <v/>
      </c>
      <c r="F752" s="26" t="str">
        <f t="shared" si="78"/>
        <v/>
      </c>
      <c r="G752" s="27" t="str">
        <f t="shared" si="79"/>
        <v/>
      </c>
      <c r="H752" s="24" t="str">
        <f>IF($A752&gt;nrows,"",IF(col_s1=0,0,--(LEN(INDEX('Paste Export'!$A$2:$BZ$1001,$A752,col_s1))&gt;0))+IF(col_s2=0,0,--(LEN(INDEX('Paste Export'!$A$2:$BZ$1001,$A752,col_s2))&gt;0))+IF(col_s3=0,0,--(LEN(INDEX('Paste Export'!$A$2:$BZ$1001,$A752,col_s3))&gt;0))+IF(col_s4=0,0,--(LEN(INDEX('Paste Export'!$A$2:$BZ$1001,$A752,col_s4))&gt;0))+IF(col_s5=0,0,--(LEN(INDEX('Paste Export'!$A$2:$BZ$1001,$A752,col_s5))&gt;0))+IF(col_s6=0,0,--(LEN(INDEX('Paste Export'!$A$2:$BZ$1001,$A752,col_s6))&gt;0))+IF(col_s7=0,0,--(LEN(INDEX('Paste Export'!$A$2:$BZ$1001,$A752,col_s7))&gt;0))+IF(col_s8=0,0,--(LEN(INDEX('Paste Export'!$A$2:$BZ$1001,$A752,col_s8))&gt;0)))</f>
        <v/>
      </c>
      <c r="I752" s="25" t="str">
        <f t="shared" si="80"/>
        <v/>
      </c>
      <c r="J752" s="25" t="str">
        <f t="shared" si="81"/>
        <v/>
      </c>
      <c r="K752" s="24" t="str">
        <f t="shared" si="82"/>
        <v/>
      </c>
      <c r="L752" s="24" t="str">
        <f t="shared" si="83"/>
        <v/>
      </c>
    </row>
    <row r="753" spans="1:12" x14ac:dyDescent="0.25">
      <c r="A753" s="24">
        <f t="shared" si="77"/>
        <v>752</v>
      </c>
      <c r="B753" s="25" t="str">
        <f>IF($A753&gt;nrows,"",IF(col_user=0,"",INDEX('Paste Export'!$A$2:$BZ$1001,$A753,col_user)))</f>
        <v/>
      </c>
      <c r="C753" s="24" t="str">
        <f>IF($A753&gt;nrows,"",IF(col_days=0,0,N(INDEX('Paste Export'!$A$2:$BZ$1001,$A753,col_days))))</f>
        <v/>
      </c>
      <c r="D753" s="24" t="str">
        <f>IF($A753&gt;nrows,"",IF(col_prompts=0,0,N(INDEX('Paste Export'!$A$2:$BZ$1001,$A753,col_prompts))))</f>
        <v/>
      </c>
      <c r="E753" s="24" t="str">
        <f>IF($A753&gt;nrows,"",IF(col_web=0,0,N(INDEX('Paste Export'!$A$2:$BZ$1001,$A753,col_web))))</f>
        <v/>
      </c>
      <c r="F753" s="26" t="str">
        <f t="shared" si="78"/>
        <v/>
      </c>
      <c r="G753" s="27" t="str">
        <f t="shared" si="79"/>
        <v/>
      </c>
      <c r="H753" s="24" t="str">
        <f>IF($A753&gt;nrows,"",IF(col_s1=0,0,--(LEN(INDEX('Paste Export'!$A$2:$BZ$1001,$A753,col_s1))&gt;0))+IF(col_s2=0,0,--(LEN(INDEX('Paste Export'!$A$2:$BZ$1001,$A753,col_s2))&gt;0))+IF(col_s3=0,0,--(LEN(INDEX('Paste Export'!$A$2:$BZ$1001,$A753,col_s3))&gt;0))+IF(col_s4=0,0,--(LEN(INDEX('Paste Export'!$A$2:$BZ$1001,$A753,col_s4))&gt;0))+IF(col_s5=0,0,--(LEN(INDEX('Paste Export'!$A$2:$BZ$1001,$A753,col_s5))&gt;0))+IF(col_s6=0,0,--(LEN(INDEX('Paste Export'!$A$2:$BZ$1001,$A753,col_s6))&gt;0))+IF(col_s7=0,0,--(LEN(INDEX('Paste Export'!$A$2:$BZ$1001,$A753,col_s7))&gt;0))+IF(col_s8=0,0,--(LEN(INDEX('Paste Export'!$A$2:$BZ$1001,$A753,col_s8))&gt;0)))</f>
        <v/>
      </c>
      <c r="I753" s="25" t="str">
        <f t="shared" si="80"/>
        <v/>
      </c>
      <c r="J753" s="25" t="str">
        <f t="shared" si="81"/>
        <v/>
      </c>
      <c r="K753" s="24" t="str">
        <f t="shared" si="82"/>
        <v/>
      </c>
      <c r="L753" s="24" t="str">
        <f t="shared" si="83"/>
        <v/>
      </c>
    </row>
    <row r="754" spans="1:12" x14ac:dyDescent="0.25">
      <c r="A754" s="24">
        <f t="shared" si="77"/>
        <v>753</v>
      </c>
      <c r="B754" s="25" t="str">
        <f>IF($A754&gt;nrows,"",IF(col_user=0,"",INDEX('Paste Export'!$A$2:$BZ$1001,$A754,col_user)))</f>
        <v/>
      </c>
      <c r="C754" s="24" t="str">
        <f>IF($A754&gt;nrows,"",IF(col_days=0,0,N(INDEX('Paste Export'!$A$2:$BZ$1001,$A754,col_days))))</f>
        <v/>
      </c>
      <c r="D754" s="24" t="str">
        <f>IF($A754&gt;nrows,"",IF(col_prompts=0,0,N(INDEX('Paste Export'!$A$2:$BZ$1001,$A754,col_prompts))))</f>
        <v/>
      </c>
      <c r="E754" s="24" t="str">
        <f>IF($A754&gt;nrows,"",IF(col_web=0,0,N(INDEX('Paste Export'!$A$2:$BZ$1001,$A754,col_web))))</f>
        <v/>
      </c>
      <c r="F754" s="26" t="str">
        <f t="shared" si="78"/>
        <v/>
      </c>
      <c r="G754" s="27" t="str">
        <f t="shared" si="79"/>
        <v/>
      </c>
      <c r="H754" s="24" t="str">
        <f>IF($A754&gt;nrows,"",IF(col_s1=0,0,--(LEN(INDEX('Paste Export'!$A$2:$BZ$1001,$A754,col_s1))&gt;0))+IF(col_s2=0,0,--(LEN(INDEX('Paste Export'!$A$2:$BZ$1001,$A754,col_s2))&gt;0))+IF(col_s3=0,0,--(LEN(INDEX('Paste Export'!$A$2:$BZ$1001,$A754,col_s3))&gt;0))+IF(col_s4=0,0,--(LEN(INDEX('Paste Export'!$A$2:$BZ$1001,$A754,col_s4))&gt;0))+IF(col_s5=0,0,--(LEN(INDEX('Paste Export'!$A$2:$BZ$1001,$A754,col_s5))&gt;0))+IF(col_s6=0,0,--(LEN(INDEX('Paste Export'!$A$2:$BZ$1001,$A754,col_s6))&gt;0))+IF(col_s7=0,0,--(LEN(INDEX('Paste Export'!$A$2:$BZ$1001,$A754,col_s7))&gt;0))+IF(col_s8=0,0,--(LEN(INDEX('Paste Export'!$A$2:$BZ$1001,$A754,col_s8))&gt;0)))</f>
        <v/>
      </c>
      <c r="I754" s="25" t="str">
        <f t="shared" si="80"/>
        <v/>
      </c>
      <c r="J754" s="25" t="str">
        <f t="shared" si="81"/>
        <v/>
      </c>
      <c r="K754" s="24" t="str">
        <f t="shared" si="82"/>
        <v/>
      </c>
      <c r="L754" s="24" t="str">
        <f t="shared" si="83"/>
        <v/>
      </c>
    </row>
    <row r="755" spans="1:12" x14ac:dyDescent="0.25">
      <c r="A755" s="24">
        <f t="shared" si="77"/>
        <v>754</v>
      </c>
      <c r="B755" s="25" t="str">
        <f>IF($A755&gt;nrows,"",IF(col_user=0,"",INDEX('Paste Export'!$A$2:$BZ$1001,$A755,col_user)))</f>
        <v/>
      </c>
      <c r="C755" s="24" t="str">
        <f>IF($A755&gt;nrows,"",IF(col_days=0,0,N(INDEX('Paste Export'!$A$2:$BZ$1001,$A755,col_days))))</f>
        <v/>
      </c>
      <c r="D755" s="24" t="str">
        <f>IF($A755&gt;nrows,"",IF(col_prompts=0,0,N(INDEX('Paste Export'!$A$2:$BZ$1001,$A755,col_prompts))))</f>
        <v/>
      </c>
      <c r="E755" s="24" t="str">
        <f>IF($A755&gt;nrows,"",IF(col_web=0,0,N(INDEX('Paste Export'!$A$2:$BZ$1001,$A755,col_web))))</f>
        <v/>
      </c>
      <c r="F755" s="26" t="str">
        <f t="shared" si="78"/>
        <v/>
      </c>
      <c r="G755" s="27" t="str">
        <f t="shared" si="79"/>
        <v/>
      </c>
      <c r="H755" s="24" t="str">
        <f>IF($A755&gt;nrows,"",IF(col_s1=0,0,--(LEN(INDEX('Paste Export'!$A$2:$BZ$1001,$A755,col_s1))&gt;0))+IF(col_s2=0,0,--(LEN(INDEX('Paste Export'!$A$2:$BZ$1001,$A755,col_s2))&gt;0))+IF(col_s3=0,0,--(LEN(INDEX('Paste Export'!$A$2:$BZ$1001,$A755,col_s3))&gt;0))+IF(col_s4=0,0,--(LEN(INDEX('Paste Export'!$A$2:$BZ$1001,$A755,col_s4))&gt;0))+IF(col_s5=0,0,--(LEN(INDEX('Paste Export'!$A$2:$BZ$1001,$A755,col_s5))&gt;0))+IF(col_s6=0,0,--(LEN(INDEX('Paste Export'!$A$2:$BZ$1001,$A755,col_s6))&gt;0))+IF(col_s7=0,0,--(LEN(INDEX('Paste Export'!$A$2:$BZ$1001,$A755,col_s7))&gt;0))+IF(col_s8=0,0,--(LEN(INDEX('Paste Export'!$A$2:$BZ$1001,$A755,col_s8))&gt;0)))</f>
        <v/>
      </c>
      <c r="I755" s="25" t="str">
        <f t="shared" si="80"/>
        <v/>
      </c>
      <c r="J755" s="25" t="str">
        <f t="shared" si="81"/>
        <v/>
      </c>
      <c r="K755" s="24" t="str">
        <f t="shared" si="82"/>
        <v/>
      </c>
      <c r="L755" s="24" t="str">
        <f t="shared" si="83"/>
        <v/>
      </c>
    </row>
    <row r="756" spans="1:12" x14ac:dyDescent="0.25">
      <c r="A756" s="24">
        <f t="shared" si="77"/>
        <v>755</v>
      </c>
      <c r="B756" s="25" t="str">
        <f>IF($A756&gt;nrows,"",IF(col_user=0,"",INDEX('Paste Export'!$A$2:$BZ$1001,$A756,col_user)))</f>
        <v/>
      </c>
      <c r="C756" s="24" t="str">
        <f>IF($A756&gt;nrows,"",IF(col_days=0,0,N(INDEX('Paste Export'!$A$2:$BZ$1001,$A756,col_days))))</f>
        <v/>
      </c>
      <c r="D756" s="24" t="str">
        <f>IF($A756&gt;nrows,"",IF(col_prompts=0,0,N(INDEX('Paste Export'!$A$2:$BZ$1001,$A756,col_prompts))))</f>
        <v/>
      </c>
      <c r="E756" s="24" t="str">
        <f>IF($A756&gt;nrows,"",IF(col_web=0,0,N(INDEX('Paste Export'!$A$2:$BZ$1001,$A756,col_web))))</f>
        <v/>
      </c>
      <c r="F756" s="26" t="str">
        <f t="shared" si="78"/>
        <v/>
      </c>
      <c r="G756" s="27" t="str">
        <f t="shared" si="79"/>
        <v/>
      </c>
      <c r="H756" s="24" t="str">
        <f>IF($A756&gt;nrows,"",IF(col_s1=0,0,--(LEN(INDEX('Paste Export'!$A$2:$BZ$1001,$A756,col_s1))&gt;0))+IF(col_s2=0,0,--(LEN(INDEX('Paste Export'!$A$2:$BZ$1001,$A756,col_s2))&gt;0))+IF(col_s3=0,0,--(LEN(INDEX('Paste Export'!$A$2:$BZ$1001,$A756,col_s3))&gt;0))+IF(col_s4=0,0,--(LEN(INDEX('Paste Export'!$A$2:$BZ$1001,$A756,col_s4))&gt;0))+IF(col_s5=0,0,--(LEN(INDEX('Paste Export'!$A$2:$BZ$1001,$A756,col_s5))&gt;0))+IF(col_s6=0,0,--(LEN(INDEX('Paste Export'!$A$2:$BZ$1001,$A756,col_s6))&gt;0))+IF(col_s7=0,0,--(LEN(INDEX('Paste Export'!$A$2:$BZ$1001,$A756,col_s7))&gt;0))+IF(col_s8=0,0,--(LEN(INDEX('Paste Export'!$A$2:$BZ$1001,$A756,col_s8))&gt;0)))</f>
        <v/>
      </c>
      <c r="I756" s="25" t="str">
        <f t="shared" si="80"/>
        <v/>
      </c>
      <c r="J756" s="25" t="str">
        <f t="shared" si="81"/>
        <v/>
      </c>
      <c r="K756" s="24" t="str">
        <f t="shared" si="82"/>
        <v/>
      </c>
      <c r="L756" s="24" t="str">
        <f t="shared" si="83"/>
        <v/>
      </c>
    </row>
    <row r="757" spans="1:12" x14ac:dyDescent="0.25">
      <c r="A757" s="24">
        <f t="shared" si="77"/>
        <v>756</v>
      </c>
      <c r="B757" s="25" t="str">
        <f>IF($A757&gt;nrows,"",IF(col_user=0,"",INDEX('Paste Export'!$A$2:$BZ$1001,$A757,col_user)))</f>
        <v/>
      </c>
      <c r="C757" s="24" t="str">
        <f>IF($A757&gt;nrows,"",IF(col_days=0,0,N(INDEX('Paste Export'!$A$2:$BZ$1001,$A757,col_days))))</f>
        <v/>
      </c>
      <c r="D757" s="24" t="str">
        <f>IF($A757&gt;nrows,"",IF(col_prompts=0,0,N(INDEX('Paste Export'!$A$2:$BZ$1001,$A757,col_prompts))))</f>
        <v/>
      </c>
      <c r="E757" s="24" t="str">
        <f>IF($A757&gt;nrows,"",IF(col_web=0,0,N(INDEX('Paste Export'!$A$2:$BZ$1001,$A757,col_web))))</f>
        <v/>
      </c>
      <c r="F757" s="26" t="str">
        <f t="shared" si="78"/>
        <v/>
      </c>
      <c r="G757" s="27" t="str">
        <f t="shared" si="79"/>
        <v/>
      </c>
      <c r="H757" s="24" t="str">
        <f>IF($A757&gt;nrows,"",IF(col_s1=0,0,--(LEN(INDEX('Paste Export'!$A$2:$BZ$1001,$A757,col_s1))&gt;0))+IF(col_s2=0,0,--(LEN(INDEX('Paste Export'!$A$2:$BZ$1001,$A757,col_s2))&gt;0))+IF(col_s3=0,0,--(LEN(INDEX('Paste Export'!$A$2:$BZ$1001,$A757,col_s3))&gt;0))+IF(col_s4=0,0,--(LEN(INDEX('Paste Export'!$A$2:$BZ$1001,$A757,col_s4))&gt;0))+IF(col_s5=0,0,--(LEN(INDEX('Paste Export'!$A$2:$BZ$1001,$A757,col_s5))&gt;0))+IF(col_s6=0,0,--(LEN(INDEX('Paste Export'!$A$2:$BZ$1001,$A757,col_s6))&gt;0))+IF(col_s7=0,0,--(LEN(INDEX('Paste Export'!$A$2:$BZ$1001,$A757,col_s7))&gt;0))+IF(col_s8=0,0,--(LEN(INDEX('Paste Export'!$A$2:$BZ$1001,$A757,col_s8))&gt;0)))</f>
        <v/>
      </c>
      <c r="I757" s="25" t="str">
        <f t="shared" si="80"/>
        <v/>
      </c>
      <c r="J757" s="25" t="str">
        <f t="shared" si="81"/>
        <v/>
      </c>
      <c r="K757" s="24" t="str">
        <f t="shared" si="82"/>
        <v/>
      </c>
      <c r="L757" s="24" t="str">
        <f t="shared" si="83"/>
        <v/>
      </c>
    </row>
    <row r="758" spans="1:12" x14ac:dyDescent="0.25">
      <c r="A758" s="24">
        <f t="shared" si="77"/>
        <v>757</v>
      </c>
      <c r="B758" s="25" t="str">
        <f>IF($A758&gt;nrows,"",IF(col_user=0,"",INDEX('Paste Export'!$A$2:$BZ$1001,$A758,col_user)))</f>
        <v/>
      </c>
      <c r="C758" s="24" t="str">
        <f>IF($A758&gt;nrows,"",IF(col_days=0,0,N(INDEX('Paste Export'!$A$2:$BZ$1001,$A758,col_days))))</f>
        <v/>
      </c>
      <c r="D758" s="24" t="str">
        <f>IF($A758&gt;nrows,"",IF(col_prompts=0,0,N(INDEX('Paste Export'!$A$2:$BZ$1001,$A758,col_prompts))))</f>
        <v/>
      </c>
      <c r="E758" s="24" t="str">
        <f>IF($A758&gt;nrows,"",IF(col_web=0,0,N(INDEX('Paste Export'!$A$2:$BZ$1001,$A758,col_web))))</f>
        <v/>
      </c>
      <c r="F758" s="26" t="str">
        <f t="shared" si="78"/>
        <v/>
      </c>
      <c r="G758" s="27" t="str">
        <f t="shared" si="79"/>
        <v/>
      </c>
      <c r="H758" s="24" t="str">
        <f>IF($A758&gt;nrows,"",IF(col_s1=0,0,--(LEN(INDEX('Paste Export'!$A$2:$BZ$1001,$A758,col_s1))&gt;0))+IF(col_s2=0,0,--(LEN(INDEX('Paste Export'!$A$2:$BZ$1001,$A758,col_s2))&gt;0))+IF(col_s3=0,0,--(LEN(INDEX('Paste Export'!$A$2:$BZ$1001,$A758,col_s3))&gt;0))+IF(col_s4=0,0,--(LEN(INDEX('Paste Export'!$A$2:$BZ$1001,$A758,col_s4))&gt;0))+IF(col_s5=0,0,--(LEN(INDEX('Paste Export'!$A$2:$BZ$1001,$A758,col_s5))&gt;0))+IF(col_s6=0,0,--(LEN(INDEX('Paste Export'!$A$2:$BZ$1001,$A758,col_s6))&gt;0))+IF(col_s7=0,0,--(LEN(INDEX('Paste Export'!$A$2:$BZ$1001,$A758,col_s7))&gt;0))+IF(col_s8=0,0,--(LEN(INDEX('Paste Export'!$A$2:$BZ$1001,$A758,col_s8))&gt;0)))</f>
        <v/>
      </c>
      <c r="I758" s="25" t="str">
        <f t="shared" si="80"/>
        <v/>
      </c>
      <c r="J758" s="25" t="str">
        <f t="shared" si="81"/>
        <v/>
      </c>
      <c r="K758" s="24" t="str">
        <f t="shared" si="82"/>
        <v/>
      </c>
      <c r="L758" s="24" t="str">
        <f t="shared" si="83"/>
        <v/>
      </c>
    </row>
    <row r="759" spans="1:12" x14ac:dyDescent="0.25">
      <c r="A759" s="24">
        <f t="shared" si="77"/>
        <v>758</v>
      </c>
      <c r="B759" s="25" t="str">
        <f>IF($A759&gt;nrows,"",IF(col_user=0,"",INDEX('Paste Export'!$A$2:$BZ$1001,$A759,col_user)))</f>
        <v/>
      </c>
      <c r="C759" s="24" t="str">
        <f>IF($A759&gt;nrows,"",IF(col_days=0,0,N(INDEX('Paste Export'!$A$2:$BZ$1001,$A759,col_days))))</f>
        <v/>
      </c>
      <c r="D759" s="24" t="str">
        <f>IF($A759&gt;nrows,"",IF(col_prompts=0,0,N(INDEX('Paste Export'!$A$2:$BZ$1001,$A759,col_prompts))))</f>
        <v/>
      </c>
      <c r="E759" s="24" t="str">
        <f>IF($A759&gt;nrows,"",IF(col_web=0,0,N(INDEX('Paste Export'!$A$2:$BZ$1001,$A759,col_web))))</f>
        <v/>
      </c>
      <c r="F759" s="26" t="str">
        <f t="shared" si="78"/>
        <v/>
      </c>
      <c r="G759" s="27" t="str">
        <f t="shared" si="79"/>
        <v/>
      </c>
      <c r="H759" s="24" t="str">
        <f>IF($A759&gt;nrows,"",IF(col_s1=0,0,--(LEN(INDEX('Paste Export'!$A$2:$BZ$1001,$A759,col_s1))&gt;0))+IF(col_s2=0,0,--(LEN(INDEX('Paste Export'!$A$2:$BZ$1001,$A759,col_s2))&gt;0))+IF(col_s3=0,0,--(LEN(INDEX('Paste Export'!$A$2:$BZ$1001,$A759,col_s3))&gt;0))+IF(col_s4=0,0,--(LEN(INDEX('Paste Export'!$A$2:$BZ$1001,$A759,col_s4))&gt;0))+IF(col_s5=0,0,--(LEN(INDEX('Paste Export'!$A$2:$BZ$1001,$A759,col_s5))&gt;0))+IF(col_s6=0,0,--(LEN(INDEX('Paste Export'!$A$2:$BZ$1001,$A759,col_s6))&gt;0))+IF(col_s7=0,0,--(LEN(INDEX('Paste Export'!$A$2:$BZ$1001,$A759,col_s7))&gt;0))+IF(col_s8=0,0,--(LEN(INDEX('Paste Export'!$A$2:$BZ$1001,$A759,col_s8))&gt;0)))</f>
        <v/>
      </c>
      <c r="I759" s="25" t="str">
        <f t="shared" si="80"/>
        <v/>
      </c>
      <c r="J759" s="25" t="str">
        <f t="shared" si="81"/>
        <v/>
      </c>
      <c r="K759" s="24" t="str">
        <f t="shared" si="82"/>
        <v/>
      </c>
      <c r="L759" s="24" t="str">
        <f t="shared" si="83"/>
        <v/>
      </c>
    </row>
    <row r="760" spans="1:12" x14ac:dyDescent="0.25">
      <c r="A760" s="24">
        <f t="shared" si="77"/>
        <v>759</v>
      </c>
      <c r="B760" s="25" t="str">
        <f>IF($A760&gt;nrows,"",IF(col_user=0,"",INDEX('Paste Export'!$A$2:$BZ$1001,$A760,col_user)))</f>
        <v/>
      </c>
      <c r="C760" s="24" t="str">
        <f>IF($A760&gt;nrows,"",IF(col_days=0,0,N(INDEX('Paste Export'!$A$2:$BZ$1001,$A760,col_days))))</f>
        <v/>
      </c>
      <c r="D760" s="24" t="str">
        <f>IF($A760&gt;nrows,"",IF(col_prompts=0,0,N(INDEX('Paste Export'!$A$2:$BZ$1001,$A760,col_prompts))))</f>
        <v/>
      </c>
      <c r="E760" s="24" t="str">
        <f>IF($A760&gt;nrows,"",IF(col_web=0,0,N(INDEX('Paste Export'!$A$2:$BZ$1001,$A760,col_web))))</f>
        <v/>
      </c>
      <c r="F760" s="26" t="str">
        <f t="shared" si="78"/>
        <v/>
      </c>
      <c r="G760" s="27" t="str">
        <f t="shared" si="79"/>
        <v/>
      </c>
      <c r="H760" s="24" t="str">
        <f>IF($A760&gt;nrows,"",IF(col_s1=0,0,--(LEN(INDEX('Paste Export'!$A$2:$BZ$1001,$A760,col_s1))&gt;0))+IF(col_s2=0,0,--(LEN(INDEX('Paste Export'!$A$2:$BZ$1001,$A760,col_s2))&gt;0))+IF(col_s3=0,0,--(LEN(INDEX('Paste Export'!$A$2:$BZ$1001,$A760,col_s3))&gt;0))+IF(col_s4=0,0,--(LEN(INDEX('Paste Export'!$A$2:$BZ$1001,$A760,col_s4))&gt;0))+IF(col_s5=0,0,--(LEN(INDEX('Paste Export'!$A$2:$BZ$1001,$A760,col_s5))&gt;0))+IF(col_s6=0,0,--(LEN(INDEX('Paste Export'!$A$2:$BZ$1001,$A760,col_s6))&gt;0))+IF(col_s7=0,0,--(LEN(INDEX('Paste Export'!$A$2:$BZ$1001,$A760,col_s7))&gt;0))+IF(col_s8=0,0,--(LEN(INDEX('Paste Export'!$A$2:$BZ$1001,$A760,col_s8))&gt;0)))</f>
        <v/>
      </c>
      <c r="I760" s="25" t="str">
        <f t="shared" si="80"/>
        <v/>
      </c>
      <c r="J760" s="25" t="str">
        <f t="shared" si="81"/>
        <v/>
      </c>
      <c r="K760" s="24" t="str">
        <f t="shared" si="82"/>
        <v/>
      </c>
      <c r="L760" s="24" t="str">
        <f t="shared" si="83"/>
        <v/>
      </c>
    </row>
    <row r="761" spans="1:12" x14ac:dyDescent="0.25">
      <c r="A761" s="24">
        <f t="shared" si="77"/>
        <v>760</v>
      </c>
      <c r="B761" s="25" t="str">
        <f>IF($A761&gt;nrows,"",IF(col_user=0,"",INDEX('Paste Export'!$A$2:$BZ$1001,$A761,col_user)))</f>
        <v/>
      </c>
      <c r="C761" s="24" t="str">
        <f>IF($A761&gt;nrows,"",IF(col_days=0,0,N(INDEX('Paste Export'!$A$2:$BZ$1001,$A761,col_days))))</f>
        <v/>
      </c>
      <c r="D761" s="24" t="str">
        <f>IF($A761&gt;nrows,"",IF(col_prompts=0,0,N(INDEX('Paste Export'!$A$2:$BZ$1001,$A761,col_prompts))))</f>
        <v/>
      </c>
      <c r="E761" s="24" t="str">
        <f>IF($A761&gt;nrows,"",IF(col_web=0,0,N(INDEX('Paste Export'!$A$2:$BZ$1001,$A761,col_web))))</f>
        <v/>
      </c>
      <c r="F761" s="26" t="str">
        <f t="shared" si="78"/>
        <v/>
      </c>
      <c r="G761" s="27" t="str">
        <f t="shared" si="79"/>
        <v/>
      </c>
      <c r="H761" s="24" t="str">
        <f>IF($A761&gt;nrows,"",IF(col_s1=0,0,--(LEN(INDEX('Paste Export'!$A$2:$BZ$1001,$A761,col_s1))&gt;0))+IF(col_s2=0,0,--(LEN(INDEX('Paste Export'!$A$2:$BZ$1001,$A761,col_s2))&gt;0))+IF(col_s3=0,0,--(LEN(INDEX('Paste Export'!$A$2:$BZ$1001,$A761,col_s3))&gt;0))+IF(col_s4=0,0,--(LEN(INDEX('Paste Export'!$A$2:$BZ$1001,$A761,col_s4))&gt;0))+IF(col_s5=0,0,--(LEN(INDEX('Paste Export'!$A$2:$BZ$1001,$A761,col_s5))&gt;0))+IF(col_s6=0,0,--(LEN(INDEX('Paste Export'!$A$2:$BZ$1001,$A761,col_s6))&gt;0))+IF(col_s7=0,0,--(LEN(INDEX('Paste Export'!$A$2:$BZ$1001,$A761,col_s7))&gt;0))+IF(col_s8=0,0,--(LEN(INDEX('Paste Export'!$A$2:$BZ$1001,$A761,col_s8))&gt;0)))</f>
        <v/>
      </c>
      <c r="I761" s="25" t="str">
        <f t="shared" si="80"/>
        <v/>
      </c>
      <c r="J761" s="25" t="str">
        <f t="shared" si="81"/>
        <v/>
      </c>
      <c r="K761" s="24" t="str">
        <f t="shared" si="82"/>
        <v/>
      </c>
      <c r="L761" s="24" t="str">
        <f t="shared" si="83"/>
        <v/>
      </c>
    </row>
    <row r="762" spans="1:12" x14ac:dyDescent="0.25">
      <c r="A762" s="24">
        <f t="shared" si="77"/>
        <v>761</v>
      </c>
      <c r="B762" s="25" t="str">
        <f>IF($A762&gt;nrows,"",IF(col_user=0,"",INDEX('Paste Export'!$A$2:$BZ$1001,$A762,col_user)))</f>
        <v/>
      </c>
      <c r="C762" s="24" t="str">
        <f>IF($A762&gt;nrows,"",IF(col_days=0,0,N(INDEX('Paste Export'!$A$2:$BZ$1001,$A762,col_days))))</f>
        <v/>
      </c>
      <c r="D762" s="24" t="str">
        <f>IF($A762&gt;nrows,"",IF(col_prompts=0,0,N(INDEX('Paste Export'!$A$2:$BZ$1001,$A762,col_prompts))))</f>
        <v/>
      </c>
      <c r="E762" s="24" t="str">
        <f>IF($A762&gt;nrows,"",IF(col_web=0,0,N(INDEX('Paste Export'!$A$2:$BZ$1001,$A762,col_web))))</f>
        <v/>
      </c>
      <c r="F762" s="26" t="str">
        <f t="shared" si="78"/>
        <v/>
      </c>
      <c r="G762" s="27" t="str">
        <f t="shared" si="79"/>
        <v/>
      </c>
      <c r="H762" s="24" t="str">
        <f>IF($A762&gt;nrows,"",IF(col_s1=0,0,--(LEN(INDEX('Paste Export'!$A$2:$BZ$1001,$A762,col_s1))&gt;0))+IF(col_s2=0,0,--(LEN(INDEX('Paste Export'!$A$2:$BZ$1001,$A762,col_s2))&gt;0))+IF(col_s3=0,0,--(LEN(INDEX('Paste Export'!$A$2:$BZ$1001,$A762,col_s3))&gt;0))+IF(col_s4=0,0,--(LEN(INDEX('Paste Export'!$A$2:$BZ$1001,$A762,col_s4))&gt;0))+IF(col_s5=0,0,--(LEN(INDEX('Paste Export'!$A$2:$BZ$1001,$A762,col_s5))&gt;0))+IF(col_s6=0,0,--(LEN(INDEX('Paste Export'!$A$2:$BZ$1001,$A762,col_s6))&gt;0))+IF(col_s7=0,0,--(LEN(INDEX('Paste Export'!$A$2:$BZ$1001,$A762,col_s7))&gt;0))+IF(col_s8=0,0,--(LEN(INDEX('Paste Export'!$A$2:$BZ$1001,$A762,col_s8))&gt;0)))</f>
        <v/>
      </c>
      <c r="I762" s="25" t="str">
        <f t="shared" si="80"/>
        <v/>
      </c>
      <c r="J762" s="25" t="str">
        <f t="shared" si="81"/>
        <v/>
      </c>
      <c r="K762" s="24" t="str">
        <f t="shared" si="82"/>
        <v/>
      </c>
      <c r="L762" s="24" t="str">
        <f t="shared" si="83"/>
        <v/>
      </c>
    </row>
    <row r="763" spans="1:12" x14ac:dyDescent="0.25">
      <c r="A763" s="24">
        <f t="shared" si="77"/>
        <v>762</v>
      </c>
      <c r="B763" s="25" t="str">
        <f>IF($A763&gt;nrows,"",IF(col_user=0,"",INDEX('Paste Export'!$A$2:$BZ$1001,$A763,col_user)))</f>
        <v/>
      </c>
      <c r="C763" s="24" t="str">
        <f>IF($A763&gt;nrows,"",IF(col_days=0,0,N(INDEX('Paste Export'!$A$2:$BZ$1001,$A763,col_days))))</f>
        <v/>
      </c>
      <c r="D763" s="24" t="str">
        <f>IF($A763&gt;nrows,"",IF(col_prompts=0,0,N(INDEX('Paste Export'!$A$2:$BZ$1001,$A763,col_prompts))))</f>
        <v/>
      </c>
      <c r="E763" s="24" t="str">
        <f>IF($A763&gt;nrows,"",IF(col_web=0,0,N(INDEX('Paste Export'!$A$2:$BZ$1001,$A763,col_web))))</f>
        <v/>
      </c>
      <c r="F763" s="26" t="str">
        <f t="shared" si="78"/>
        <v/>
      </c>
      <c r="G763" s="27" t="str">
        <f t="shared" si="79"/>
        <v/>
      </c>
      <c r="H763" s="24" t="str">
        <f>IF($A763&gt;nrows,"",IF(col_s1=0,0,--(LEN(INDEX('Paste Export'!$A$2:$BZ$1001,$A763,col_s1))&gt;0))+IF(col_s2=0,0,--(LEN(INDEX('Paste Export'!$A$2:$BZ$1001,$A763,col_s2))&gt;0))+IF(col_s3=0,0,--(LEN(INDEX('Paste Export'!$A$2:$BZ$1001,$A763,col_s3))&gt;0))+IF(col_s4=0,0,--(LEN(INDEX('Paste Export'!$A$2:$BZ$1001,$A763,col_s4))&gt;0))+IF(col_s5=0,0,--(LEN(INDEX('Paste Export'!$A$2:$BZ$1001,$A763,col_s5))&gt;0))+IF(col_s6=0,0,--(LEN(INDEX('Paste Export'!$A$2:$BZ$1001,$A763,col_s6))&gt;0))+IF(col_s7=0,0,--(LEN(INDEX('Paste Export'!$A$2:$BZ$1001,$A763,col_s7))&gt;0))+IF(col_s8=0,0,--(LEN(INDEX('Paste Export'!$A$2:$BZ$1001,$A763,col_s8))&gt;0)))</f>
        <v/>
      </c>
      <c r="I763" s="25" t="str">
        <f t="shared" si="80"/>
        <v/>
      </c>
      <c r="J763" s="25" t="str">
        <f t="shared" si="81"/>
        <v/>
      </c>
      <c r="K763" s="24" t="str">
        <f t="shared" si="82"/>
        <v/>
      </c>
      <c r="L763" s="24" t="str">
        <f t="shared" si="83"/>
        <v/>
      </c>
    </row>
    <row r="764" spans="1:12" x14ac:dyDescent="0.25">
      <c r="A764" s="24">
        <f t="shared" si="77"/>
        <v>763</v>
      </c>
      <c r="B764" s="25" t="str">
        <f>IF($A764&gt;nrows,"",IF(col_user=0,"",INDEX('Paste Export'!$A$2:$BZ$1001,$A764,col_user)))</f>
        <v/>
      </c>
      <c r="C764" s="24" t="str">
        <f>IF($A764&gt;nrows,"",IF(col_days=0,0,N(INDEX('Paste Export'!$A$2:$BZ$1001,$A764,col_days))))</f>
        <v/>
      </c>
      <c r="D764" s="24" t="str">
        <f>IF($A764&gt;nrows,"",IF(col_prompts=0,0,N(INDEX('Paste Export'!$A$2:$BZ$1001,$A764,col_prompts))))</f>
        <v/>
      </c>
      <c r="E764" s="24" t="str">
        <f>IF($A764&gt;nrows,"",IF(col_web=0,0,N(INDEX('Paste Export'!$A$2:$BZ$1001,$A764,col_web))))</f>
        <v/>
      </c>
      <c r="F764" s="26" t="str">
        <f t="shared" si="78"/>
        <v/>
      </c>
      <c r="G764" s="27" t="str">
        <f t="shared" si="79"/>
        <v/>
      </c>
      <c r="H764" s="24" t="str">
        <f>IF($A764&gt;nrows,"",IF(col_s1=0,0,--(LEN(INDEX('Paste Export'!$A$2:$BZ$1001,$A764,col_s1))&gt;0))+IF(col_s2=0,0,--(LEN(INDEX('Paste Export'!$A$2:$BZ$1001,$A764,col_s2))&gt;0))+IF(col_s3=0,0,--(LEN(INDEX('Paste Export'!$A$2:$BZ$1001,$A764,col_s3))&gt;0))+IF(col_s4=0,0,--(LEN(INDEX('Paste Export'!$A$2:$BZ$1001,$A764,col_s4))&gt;0))+IF(col_s5=0,0,--(LEN(INDEX('Paste Export'!$A$2:$BZ$1001,$A764,col_s5))&gt;0))+IF(col_s6=0,0,--(LEN(INDEX('Paste Export'!$A$2:$BZ$1001,$A764,col_s6))&gt;0))+IF(col_s7=0,0,--(LEN(INDEX('Paste Export'!$A$2:$BZ$1001,$A764,col_s7))&gt;0))+IF(col_s8=0,0,--(LEN(INDEX('Paste Export'!$A$2:$BZ$1001,$A764,col_s8))&gt;0)))</f>
        <v/>
      </c>
      <c r="I764" s="25" t="str">
        <f t="shared" si="80"/>
        <v/>
      </c>
      <c r="J764" s="25" t="str">
        <f t="shared" si="81"/>
        <v/>
      </c>
      <c r="K764" s="24" t="str">
        <f t="shared" si="82"/>
        <v/>
      </c>
      <c r="L764" s="24" t="str">
        <f t="shared" si="83"/>
        <v/>
      </c>
    </row>
    <row r="765" spans="1:12" x14ac:dyDescent="0.25">
      <c r="A765" s="24">
        <f t="shared" si="77"/>
        <v>764</v>
      </c>
      <c r="B765" s="25" t="str">
        <f>IF($A765&gt;nrows,"",IF(col_user=0,"",INDEX('Paste Export'!$A$2:$BZ$1001,$A765,col_user)))</f>
        <v/>
      </c>
      <c r="C765" s="24" t="str">
        <f>IF($A765&gt;nrows,"",IF(col_days=0,0,N(INDEX('Paste Export'!$A$2:$BZ$1001,$A765,col_days))))</f>
        <v/>
      </c>
      <c r="D765" s="24" t="str">
        <f>IF($A765&gt;nrows,"",IF(col_prompts=0,0,N(INDEX('Paste Export'!$A$2:$BZ$1001,$A765,col_prompts))))</f>
        <v/>
      </c>
      <c r="E765" s="24" t="str">
        <f>IF($A765&gt;nrows,"",IF(col_web=0,0,N(INDEX('Paste Export'!$A$2:$BZ$1001,$A765,col_web))))</f>
        <v/>
      </c>
      <c r="F765" s="26" t="str">
        <f t="shared" si="78"/>
        <v/>
      </c>
      <c r="G765" s="27" t="str">
        <f t="shared" si="79"/>
        <v/>
      </c>
      <c r="H765" s="24" t="str">
        <f>IF($A765&gt;nrows,"",IF(col_s1=0,0,--(LEN(INDEX('Paste Export'!$A$2:$BZ$1001,$A765,col_s1))&gt;0))+IF(col_s2=0,0,--(LEN(INDEX('Paste Export'!$A$2:$BZ$1001,$A765,col_s2))&gt;0))+IF(col_s3=0,0,--(LEN(INDEX('Paste Export'!$A$2:$BZ$1001,$A765,col_s3))&gt;0))+IF(col_s4=0,0,--(LEN(INDEX('Paste Export'!$A$2:$BZ$1001,$A765,col_s4))&gt;0))+IF(col_s5=0,0,--(LEN(INDEX('Paste Export'!$A$2:$BZ$1001,$A765,col_s5))&gt;0))+IF(col_s6=0,0,--(LEN(INDEX('Paste Export'!$A$2:$BZ$1001,$A765,col_s6))&gt;0))+IF(col_s7=0,0,--(LEN(INDEX('Paste Export'!$A$2:$BZ$1001,$A765,col_s7))&gt;0))+IF(col_s8=0,0,--(LEN(INDEX('Paste Export'!$A$2:$BZ$1001,$A765,col_s8))&gt;0)))</f>
        <v/>
      </c>
      <c r="I765" s="25" t="str">
        <f t="shared" si="80"/>
        <v/>
      </c>
      <c r="J765" s="25" t="str">
        <f t="shared" si="81"/>
        <v/>
      </c>
      <c r="K765" s="24" t="str">
        <f t="shared" si="82"/>
        <v/>
      </c>
      <c r="L765" s="24" t="str">
        <f t="shared" si="83"/>
        <v/>
      </c>
    </row>
    <row r="766" spans="1:12" x14ac:dyDescent="0.25">
      <c r="A766" s="24">
        <f t="shared" si="77"/>
        <v>765</v>
      </c>
      <c r="B766" s="25" t="str">
        <f>IF($A766&gt;nrows,"",IF(col_user=0,"",INDEX('Paste Export'!$A$2:$BZ$1001,$A766,col_user)))</f>
        <v/>
      </c>
      <c r="C766" s="24" t="str">
        <f>IF($A766&gt;nrows,"",IF(col_days=0,0,N(INDEX('Paste Export'!$A$2:$BZ$1001,$A766,col_days))))</f>
        <v/>
      </c>
      <c r="D766" s="24" t="str">
        <f>IF($A766&gt;nrows,"",IF(col_prompts=0,0,N(INDEX('Paste Export'!$A$2:$BZ$1001,$A766,col_prompts))))</f>
        <v/>
      </c>
      <c r="E766" s="24" t="str">
        <f>IF($A766&gt;nrows,"",IF(col_web=0,0,N(INDEX('Paste Export'!$A$2:$BZ$1001,$A766,col_web))))</f>
        <v/>
      </c>
      <c r="F766" s="26" t="str">
        <f t="shared" si="78"/>
        <v/>
      </c>
      <c r="G766" s="27" t="str">
        <f t="shared" si="79"/>
        <v/>
      </c>
      <c r="H766" s="24" t="str">
        <f>IF($A766&gt;nrows,"",IF(col_s1=0,0,--(LEN(INDEX('Paste Export'!$A$2:$BZ$1001,$A766,col_s1))&gt;0))+IF(col_s2=0,0,--(LEN(INDEX('Paste Export'!$A$2:$BZ$1001,$A766,col_s2))&gt;0))+IF(col_s3=0,0,--(LEN(INDEX('Paste Export'!$A$2:$BZ$1001,$A766,col_s3))&gt;0))+IF(col_s4=0,0,--(LEN(INDEX('Paste Export'!$A$2:$BZ$1001,$A766,col_s4))&gt;0))+IF(col_s5=0,0,--(LEN(INDEX('Paste Export'!$A$2:$BZ$1001,$A766,col_s5))&gt;0))+IF(col_s6=0,0,--(LEN(INDEX('Paste Export'!$A$2:$BZ$1001,$A766,col_s6))&gt;0))+IF(col_s7=0,0,--(LEN(INDEX('Paste Export'!$A$2:$BZ$1001,$A766,col_s7))&gt;0))+IF(col_s8=0,0,--(LEN(INDEX('Paste Export'!$A$2:$BZ$1001,$A766,col_s8))&gt;0)))</f>
        <v/>
      </c>
      <c r="I766" s="25" t="str">
        <f t="shared" si="80"/>
        <v/>
      </c>
      <c r="J766" s="25" t="str">
        <f t="shared" si="81"/>
        <v/>
      </c>
      <c r="K766" s="24" t="str">
        <f t="shared" si="82"/>
        <v/>
      </c>
      <c r="L766" s="24" t="str">
        <f t="shared" si="83"/>
        <v/>
      </c>
    </row>
    <row r="767" spans="1:12" x14ac:dyDescent="0.25">
      <c r="A767" s="24">
        <f t="shared" si="77"/>
        <v>766</v>
      </c>
      <c r="B767" s="25" t="str">
        <f>IF($A767&gt;nrows,"",IF(col_user=0,"",INDEX('Paste Export'!$A$2:$BZ$1001,$A767,col_user)))</f>
        <v/>
      </c>
      <c r="C767" s="24" t="str">
        <f>IF($A767&gt;nrows,"",IF(col_days=0,0,N(INDEX('Paste Export'!$A$2:$BZ$1001,$A767,col_days))))</f>
        <v/>
      </c>
      <c r="D767" s="24" t="str">
        <f>IF($A767&gt;nrows,"",IF(col_prompts=0,0,N(INDEX('Paste Export'!$A$2:$BZ$1001,$A767,col_prompts))))</f>
        <v/>
      </c>
      <c r="E767" s="24" t="str">
        <f>IF($A767&gt;nrows,"",IF(col_web=0,0,N(INDEX('Paste Export'!$A$2:$BZ$1001,$A767,col_web))))</f>
        <v/>
      </c>
      <c r="F767" s="26" t="str">
        <f t="shared" si="78"/>
        <v/>
      </c>
      <c r="G767" s="27" t="str">
        <f t="shared" si="79"/>
        <v/>
      </c>
      <c r="H767" s="24" t="str">
        <f>IF($A767&gt;nrows,"",IF(col_s1=0,0,--(LEN(INDEX('Paste Export'!$A$2:$BZ$1001,$A767,col_s1))&gt;0))+IF(col_s2=0,0,--(LEN(INDEX('Paste Export'!$A$2:$BZ$1001,$A767,col_s2))&gt;0))+IF(col_s3=0,0,--(LEN(INDEX('Paste Export'!$A$2:$BZ$1001,$A767,col_s3))&gt;0))+IF(col_s4=0,0,--(LEN(INDEX('Paste Export'!$A$2:$BZ$1001,$A767,col_s4))&gt;0))+IF(col_s5=0,0,--(LEN(INDEX('Paste Export'!$A$2:$BZ$1001,$A767,col_s5))&gt;0))+IF(col_s6=0,0,--(LEN(INDEX('Paste Export'!$A$2:$BZ$1001,$A767,col_s6))&gt;0))+IF(col_s7=0,0,--(LEN(INDEX('Paste Export'!$A$2:$BZ$1001,$A767,col_s7))&gt;0))+IF(col_s8=0,0,--(LEN(INDEX('Paste Export'!$A$2:$BZ$1001,$A767,col_s8))&gt;0)))</f>
        <v/>
      </c>
      <c r="I767" s="25" t="str">
        <f t="shared" si="80"/>
        <v/>
      </c>
      <c r="J767" s="25" t="str">
        <f t="shared" si="81"/>
        <v/>
      </c>
      <c r="K767" s="24" t="str">
        <f t="shared" si="82"/>
        <v/>
      </c>
      <c r="L767" s="24" t="str">
        <f t="shared" si="83"/>
        <v/>
      </c>
    </row>
    <row r="768" spans="1:12" x14ac:dyDescent="0.25">
      <c r="A768" s="24">
        <f t="shared" si="77"/>
        <v>767</v>
      </c>
      <c r="B768" s="25" t="str">
        <f>IF($A768&gt;nrows,"",IF(col_user=0,"",INDEX('Paste Export'!$A$2:$BZ$1001,$A768,col_user)))</f>
        <v/>
      </c>
      <c r="C768" s="24" t="str">
        <f>IF($A768&gt;nrows,"",IF(col_days=0,0,N(INDEX('Paste Export'!$A$2:$BZ$1001,$A768,col_days))))</f>
        <v/>
      </c>
      <c r="D768" s="24" t="str">
        <f>IF($A768&gt;nrows,"",IF(col_prompts=0,0,N(INDEX('Paste Export'!$A$2:$BZ$1001,$A768,col_prompts))))</f>
        <v/>
      </c>
      <c r="E768" s="24" t="str">
        <f>IF($A768&gt;nrows,"",IF(col_web=0,0,N(INDEX('Paste Export'!$A$2:$BZ$1001,$A768,col_web))))</f>
        <v/>
      </c>
      <c r="F768" s="26" t="str">
        <f t="shared" si="78"/>
        <v/>
      </c>
      <c r="G768" s="27" t="str">
        <f t="shared" si="79"/>
        <v/>
      </c>
      <c r="H768" s="24" t="str">
        <f>IF($A768&gt;nrows,"",IF(col_s1=0,0,--(LEN(INDEX('Paste Export'!$A$2:$BZ$1001,$A768,col_s1))&gt;0))+IF(col_s2=0,0,--(LEN(INDEX('Paste Export'!$A$2:$BZ$1001,$A768,col_s2))&gt;0))+IF(col_s3=0,0,--(LEN(INDEX('Paste Export'!$A$2:$BZ$1001,$A768,col_s3))&gt;0))+IF(col_s4=0,0,--(LEN(INDEX('Paste Export'!$A$2:$BZ$1001,$A768,col_s4))&gt;0))+IF(col_s5=0,0,--(LEN(INDEX('Paste Export'!$A$2:$BZ$1001,$A768,col_s5))&gt;0))+IF(col_s6=0,0,--(LEN(INDEX('Paste Export'!$A$2:$BZ$1001,$A768,col_s6))&gt;0))+IF(col_s7=0,0,--(LEN(INDEX('Paste Export'!$A$2:$BZ$1001,$A768,col_s7))&gt;0))+IF(col_s8=0,0,--(LEN(INDEX('Paste Export'!$A$2:$BZ$1001,$A768,col_s8))&gt;0)))</f>
        <v/>
      </c>
      <c r="I768" s="25" t="str">
        <f t="shared" si="80"/>
        <v/>
      </c>
      <c r="J768" s="25" t="str">
        <f t="shared" si="81"/>
        <v/>
      </c>
      <c r="K768" s="24" t="str">
        <f t="shared" si="82"/>
        <v/>
      </c>
      <c r="L768" s="24" t="str">
        <f t="shared" si="83"/>
        <v/>
      </c>
    </row>
    <row r="769" spans="1:12" x14ac:dyDescent="0.25">
      <c r="A769" s="24">
        <f t="shared" si="77"/>
        <v>768</v>
      </c>
      <c r="B769" s="25" t="str">
        <f>IF($A769&gt;nrows,"",IF(col_user=0,"",INDEX('Paste Export'!$A$2:$BZ$1001,$A769,col_user)))</f>
        <v/>
      </c>
      <c r="C769" s="24" t="str">
        <f>IF($A769&gt;nrows,"",IF(col_days=0,0,N(INDEX('Paste Export'!$A$2:$BZ$1001,$A769,col_days))))</f>
        <v/>
      </c>
      <c r="D769" s="24" t="str">
        <f>IF($A769&gt;nrows,"",IF(col_prompts=0,0,N(INDEX('Paste Export'!$A$2:$BZ$1001,$A769,col_prompts))))</f>
        <v/>
      </c>
      <c r="E769" s="24" t="str">
        <f>IF($A769&gt;nrows,"",IF(col_web=0,0,N(INDEX('Paste Export'!$A$2:$BZ$1001,$A769,col_web))))</f>
        <v/>
      </c>
      <c r="F769" s="26" t="str">
        <f t="shared" si="78"/>
        <v/>
      </c>
      <c r="G769" s="27" t="str">
        <f t="shared" si="79"/>
        <v/>
      </c>
      <c r="H769" s="24" t="str">
        <f>IF($A769&gt;nrows,"",IF(col_s1=0,0,--(LEN(INDEX('Paste Export'!$A$2:$BZ$1001,$A769,col_s1))&gt;0))+IF(col_s2=0,0,--(LEN(INDEX('Paste Export'!$A$2:$BZ$1001,$A769,col_s2))&gt;0))+IF(col_s3=0,0,--(LEN(INDEX('Paste Export'!$A$2:$BZ$1001,$A769,col_s3))&gt;0))+IF(col_s4=0,0,--(LEN(INDEX('Paste Export'!$A$2:$BZ$1001,$A769,col_s4))&gt;0))+IF(col_s5=0,0,--(LEN(INDEX('Paste Export'!$A$2:$BZ$1001,$A769,col_s5))&gt;0))+IF(col_s6=0,0,--(LEN(INDEX('Paste Export'!$A$2:$BZ$1001,$A769,col_s6))&gt;0))+IF(col_s7=0,0,--(LEN(INDEX('Paste Export'!$A$2:$BZ$1001,$A769,col_s7))&gt;0))+IF(col_s8=0,0,--(LEN(INDEX('Paste Export'!$A$2:$BZ$1001,$A769,col_s8))&gt;0)))</f>
        <v/>
      </c>
      <c r="I769" s="25" t="str">
        <f t="shared" si="80"/>
        <v/>
      </c>
      <c r="J769" s="25" t="str">
        <f t="shared" si="81"/>
        <v/>
      </c>
      <c r="K769" s="24" t="str">
        <f t="shared" si="82"/>
        <v/>
      </c>
      <c r="L769" s="24" t="str">
        <f t="shared" si="83"/>
        <v/>
      </c>
    </row>
    <row r="770" spans="1:12" x14ac:dyDescent="0.25">
      <c r="A770" s="24">
        <f t="shared" ref="A770:A833" si="84">ROW()-1</f>
        <v>769</v>
      </c>
      <c r="B770" s="25" t="str">
        <f>IF($A770&gt;nrows,"",IF(col_user=0,"",INDEX('Paste Export'!$A$2:$BZ$1001,$A770,col_user)))</f>
        <v/>
      </c>
      <c r="C770" s="24" t="str">
        <f>IF($A770&gt;nrows,"",IF(col_days=0,0,N(INDEX('Paste Export'!$A$2:$BZ$1001,$A770,col_days))))</f>
        <v/>
      </c>
      <c r="D770" s="24" t="str">
        <f>IF($A770&gt;nrows,"",IF(col_prompts=0,0,N(INDEX('Paste Export'!$A$2:$BZ$1001,$A770,col_prompts))))</f>
        <v/>
      </c>
      <c r="E770" s="24" t="str">
        <f>IF($A770&gt;nrows,"",IF(col_web=0,0,N(INDEX('Paste Export'!$A$2:$BZ$1001,$A770,col_web))))</f>
        <v/>
      </c>
      <c r="F770" s="26" t="str">
        <f t="shared" ref="F770:F833" si="85">IF($A770&gt;nrows,"",IFERROR($D770/$C770,0))</f>
        <v/>
      </c>
      <c r="G770" s="27" t="str">
        <f t="shared" ref="G770:G833" si="86">IF($A770&gt;nrows,"",IFERROR($E770/$D770,""))</f>
        <v/>
      </c>
      <c r="H770" s="24" t="str">
        <f>IF($A770&gt;nrows,"",IF(col_s1=0,0,--(LEN(INDEX('Paste Export'!$A$2:$BZ$1001,$A770,col_s1))&gt;0))+IF(col_s2=0,0,--(LEN(INDEX('Paste Export'!$A$2:$BZ$1001,$A770,col_s2))&gt;0))+IF(col_s3=0,0,--(LEN(INDEX('Paste Export'!$A$2:$BZ$1001,$A770,col_s3))&gt;0))+IF(col_s4=0,0,--(LEN(INDEX('Paste Export'!$A$2:$BZ$1001,$A770,col_s4))&gt;0))+IF(col_s5=0,0,--(LEN(INDEX('Paste Export'!$A$2:$BZ$1001,$A770,col_s5))&gt;0))+IF(col_s6=0,0,--(LEN(INDEX('Paste Export'!$A$2:$BZ$1001,$A770,col_s6))&gt;0))+IF(col_s7=0,0,--(LEN(INDEX('Paste Export'!$A$2:$BZ$1001,$A770,col_s7))&gt;0))+IF(col_s8=0,0,--(LEN(INDEX('Paste Export'!$A$2:$BZ$1001,$A770,col_s8))&gt;0)))</f>
        <v/>
      </c>
      <c r="I770" s="25" t="str">
        <f t="shared" ref="I770:I833" si="87">IF($A770&gt;nrows,"",IF($C770&gt;=freq_line,IF($D770&gt;=depth_line,"Embedded","Loyal but shallow"),IF($D770&gt;=depth_line,"Project-driven","Drifting")))</f>
        <v/>
      </c>
      <c r="J770" s="25" t="str">
        <f t="shared" ref="J770:J833" si="88">IF($A770&gt;nrows,"",IF($I770="Drifting",IF($H770&gt;=3,"tried and stopped","never started"),""))</f>
        <v/>
      </c>
      <c r="K770" s="24" t="str">
        <f t="shared" ref="K770:K833" si="89">IF($A770&gt;nrows,"",MAX($D770,1))</f>
        <v/>
      </c>
      <c r="L770" s="24" t="str">
        <f t="shared" ref="L770:L833" si="90">IF($A770&gt;nrows,"",IF(AND($C770=0,$D770=0),1,0))</f>
        <v/>
      </c>
    </row>
    <row r="771" spans="1:12" x14ac:dyDescent="0.25">
      <c r="A771" s="24">
        <f t="shared" si="84"/>
        <v>770</v>
      </c>
      <c r="B771" s="25" t="str">
        <f>IF($A771&gt;nrows,"",IF(col_user=0,"",INDEX('Paste Export'!$A$2:$BZ$1001,$A771,col_user)))</f>
        <v/>
      </c>
      <c r="C771" s="24" t="str">
        <f>IF($A771&gt;nrows,"",IF(col_days=0,0,N(INDEX('Paste Export'!$A$2:$BZ$1001,$A771,col_days))))</f>
        <v/>
      </c>
      <c r="D771" s="24" t="str">
        <f>IF($A771&gt;nrows,"",IF(col_prompts=0,0,N(INDEX('Paste Export'!$A$2:$BZ$1001,$A771,col_prompts))))</f>
        <v/>
      </c>
      <c r="E771" s="24" t="str">
        <f>IF($A771&gt;nrows,"",IF(col_web=0,0,N(INDEX('Paste Export'!$A$2:$BZ$1001,$A771,col_web))))</f>
        <v/>
      </c>
      <c r="F771" s="26" t="str">
        <f t="shared" si="85"/>
        <v/>
      </c>
      <c r="G771" s="27" t="str">
        <f t="shared" si="86"/>
        <v/>
      </c>
      <c r="H771" s="24" t="str">
        <f>IF($A771&gt;nrows,"",IF(col_s1=0,0,--(LEN(INDEX('Paste Export'!$A$2:$BZ$1001,$A771,col_s1))&gt;0))+IF(col_s2=0,0,--(LEN(INDEX('Paste Export'!$A$2:$BZ$1001,$A771,col_s2))&gt;0))+IF(col_s3=0,0,--(LEN(INDEX('Paste Export'!$A$2:$BZ$1001,$A771,col_s3))&gt;0))+IF(col_s4=0,0,--(LEN(INDEX('Paste Export'!$A$2:$BZ$1001,$A771,col_s4))&gt;0))+IF(col_s5=0,0,--(LEN(INDEX('Paste Export'!$A$2:$BZ$1001,$A771,col_s5))&gt;0))+IF(col_s6=0,0,--(LEN(INDEX('Paste Export'!$A$2:$BZ$1001,$A771,col_s6))&gt;0))+IF(col_s7=0,0,--(LEN(INDEX('Paste Export'!$A$2:$BZ$1001,$A771,col_s7))&gt;0))+IF(col_s8=0,0,--(LEN(INDEX('Paste Export'!$A$2:$BZ$1001,$A771,col_s8))&gt;0)))</f>
        <v/>
      </c>
      <c r="I771" s="25" t="str">
        <f t="shared" si="87"/>
        <v/>
      </c>
      <c r="J771" s="25" t="str">
        <f t="shared" si="88"/>
        <v/>
      </c>
      <c r="K771" s="24" t="str">
        <f t="shared" si="89"/>
        <v/>
      </c>
      <c r="L771" s="24" t="str">
        <f t="shared" si="90"/>
        <v/>
      </c>
    </row>
    <row r="772" spans="1:12" x14ac:dyDescent="0.25">
      <c r="A772" s="24">
        <f t="shared" si="84"/>
        <v>771</v>
      </c>
      <c r="B772" s="25" t="str">
        <f>IF($A772&gt;nrows,"",IF(col_user=0,"",INDEX('Paste Export'!$A$2:$BZ$1001,$A772,col_user)))</f>
        <v/>
      </c>
      <c r="C772" s="24" t="str">
        <f>IF($A772&gt;nrows,"",IF(col_days=0,0,N(INDEX('Paste Export'!$A$2:$BZ$1001,$A772,col_days))))</f>
        <v/>
      </c>
      <c r="D772" s="24" t="str">
        <f>IF($A772&gt;nrows,"",IF(col_prompts=0,0,N(INDEX('Paste Export'!$A$2:$BZ$1001,$A772,col_prompts))))</f>
        <v/>
      </c>
      <c r="E772" s="24" t="str">
        <f>IF($A772&gt;nrows,"",IF(col_web=0,0,N(INDEX('Paste Export'!$A$2:$BZ$1001,$A772,col_web))))</f>
        <v/>
      </c>
      <c r="F772" s="26" t="str">
        <f t="shared" si="85"/>
        <v/>
      </c>
      <c r="G772" s="27" t="str">
        <f t="shared" si="86"/>
        <v/>
      </c>
      <c r="H772" s="24" t="str">
        <f>IF($A772&gt;nrows,"",IF(col_s1=0,0,--(LEN(INDEX('Paste Export'!$A$2:$BZ$1001,$A772,col_s1))&gt;0))+IF(col_s2=0,0,--(LEN(INDEX('Paste Export'!$A$2:$BZ$1001,$A772,col_s2))&gt;0))+IF(col_s3=0,0,--(LEN(INDEX('Paste Export'!$A$2:$BZ$1001,$A772,col_s3))&gt;0))+IF(col_s4=0,0,--(LEN(INDEX('Paste Export'!$A$2:$BZ$1001,$A772,col_s4))&gt;0))+IF(col_s5=0,0,--(LEN(INDEX('Paste Export'!$A$2:$BZ$1001,$A772,col_s5))&gt;0))+IF(col_s6=0,0,--(LEN(INDEX('Paste Export'!$A$2:$BZ$1001,$A772,col_s6))&gt;0))+IF(col_s7=0,0,--(LEN(INDEX('Paste Export'!$A$2:$BZ$1001,$A772,col_s7))&gt;0))+IF(col_s8=0,0,--(LEN(INDEX('Paste Export'!$A$2:$BZ$1001,$A772,col_s8))&gt;0)))</f>
        <v/>
      </c>
      <c r="I772" s="25" t="str">
        <f t="shared" si="87"/>
        <v/>
      </c>
      <c r="J772" s="25" t="str">
        <f t="shared" si="88"/>
        <v/>
      </c>
      <c r="K772" s="24" t="str">
        <f t="shared" si="89"/>
        <v/>
      </c>
      <c r="L772" s="24" t="str">
        <f t="shared" si="90"/>
        <v/>
      </c>
    </row>
    <row r="773" spans="1:12" x14ac:dyDescent="0.25">
      <c r="A773" s="24">
        <f t="shared" si="84"/>
        <v>772</v>
      </c>
      <c r="B773" s="25" t="str">
        <f>IF($A773&gt;nrows,"",IF(col_user=0,"",INDEX('Paste Export'!$A$2:$BZ$1001,$A773,col_user)))</f>
        <v/>
      </c>
      <c r="C773" s="24" t="str">
        <f>IF($A773&gt;nrows,"",IF(col_days=0,0,N(INDEX('Paste Export'!$A$2:$BZ$1001,$A773,col_days))))</f>
        <v/>
      </c>
      <c r="D773" s="24" t="str">
        <f>IF($A773&gt;nrows,"",IF(col_prompts=0,0,N(INDEX('Paste Export'!$A$2:$BZ$1001,$A773,col_prompts))))</f>
        <v/>
      </c>
      <c r="E773" s="24" t="str">
        <f>IF($A773&gt;nrows,"",IF(col_web=0,0,N(INDEX('Paste Export'!$A$2:$BZ$1001,$A773,col_web))))</f>
        <v/>
      </c>
      <c r="F773" s="26" t="str">
        <f t="shared" si="85"/>
        <v/>
      </c>
      <c r="G773" s="27" t="str">
        <f t="shared" si="86"/>
        <v/>
      </c>
      <c r="H773" s="24" t="str">
        <f>IF($A773&gt;nrows,"",IF(col_s1=0,0,--(LEN(INDEX('Paste Export'!$A$2:$BZ$1001,$A773,col_s1))&gt;0))+IF(col_s2=0,0,--(LEN(INDEX('Paste Export'!$A$2:$BZ$1001,$A773,col_s2))&gt;0))+IF(col_s3=0,0,--(LEN(INDEX('Paste Export'!$A$2:$BZ$1001,$A773,col_s3))&gt;0))+IF(col_s4=0,0,--(LEN(INDEX('Paste Export'!$A$2:$BZ$1001,$A773,col_s4))&gt;0))+IF(col_s5=0,0,--(LEN(INDEX('Paste Export'!$A$2:$BZ$1001,$A773,col_s5))&gt;0))+IF(col_s6=0,0,--(LEN(INDEX('Paste Export'!$A$2:$BZ$1001,$A773,col_s6))&gt;0))+IF(col_s7=0,0,--(LEN(INDEX('Paste Export'!$A$2:$BZ$1001,$A773,col_s7))&gt;0))+IF(col_s8=0,0,--(LEN(INDEX('Paste Export'!$A$2:$BZ$1001,$A773,col_s8))&gt;0)))</f>
        <v/>
      </c>
      <c r="I773" s="25" t="str">
        <f t="shared" si="87"/>
        <v/>
      </c>
      <c r="J773" s="25" t="str">
        <f t="shared" si="88"/>
        <v/>
      </c>
      <c r="K773" s="24" t="str">
        <f t="shared" si="89"/>
        <v/>
      </c>
      <c r="L773" s="24" t="str">
        <f t="shared" si="90"/>
        <v/>
      </c>
    </row>
    <row r="774" spans="1:12" x14ac:dyDescent="0.25">
      <c r="A774" s="24">
        <f t="shared" si="84"/>
        <v>773</v>
      </c>
      <c r="B774" s="25" t="str">
        <f>IF($A774&gt;nrows,"",IF(col_user=0,"",INDEX('Paste Export'!$A$2:$BZ$1001,$A774,col_user)))</f>
        <v/>
      </c>
      <c r="C774" s="24" t="str">
        <f>IF($A774&gt;nrows,"",IF(col_days=0,0,N(INDEX('Paste Export'!$A$2:$BZ$1001,$A774,col_days))))</f>
        <v/>
      </c>
      <c r="D774" s="24" t="str">
        <f>IF($A774&gt;nrows,"",IF(col_prompts=0,0,N(INDEX('Paste Export'!$A$2:$BZ$1001,$A774,col_prompts))))</f>
        <v/>
      </c>
      <c r="E774" s="24" t="str">
        <f>IF($A774&gt;nrows,"",IF(col_web=0,0,N(INDEX('Paste Export'!$A$2:$BZ$1001,$A774,col_web))))</f>
        <v/>
      </c>
      <c r="F774" s="26" t="str">
        <f t="shared" si="85"/>
        <v/>
      </c>
      <c r="G774" s="27" t="str">
        <f t="shared" si="86"/>
        <v/>
      </c>
      <c r="H774" s="24" t="str">
        <f>IF($A774&gt;nrows,"",IF(col_s1=0,0,--(LEN(INDEX('Paste Export'!$A$2:$BZ$1001,$A774,col_s1))&gt;0))+IF(col_s2=0,0,--(LEN(INDEX('Paste Export'!$A$2:$BZ$1001,$A774,col_s2))&gt;0))+IF(col_s3=0,0,--(LEN(INDEX('Paste Export'!$A$2:$BZ$1001,$A774,col_s3))&gt;0))+IF(col_s4=0,0,--(LEN(INDEX('Paste Export'!$A$2:$BZ$1001,$A774,col_s4))&gt;0))+IF(col_s5=0,0,--(LEN(INDEX('Paste Export'!$A$2:$BZ$1001,$A774,col_s5))&gt;0))+IF(col_s6=0,0,--(LEN(INDEX('Paste Export'!$A$2:$BZ$1001,$A774,col_s6))&gt;0))+IF(col_s7=0,0,--(LEN(INDEX('Paste Export'!$A$2:$BZ$1001,$A774,col_s7))&gt;0))+IF(col_s8=0,0,--(LEN(INDEX('Paste Export'!$A$2:$BZ$1001,$A774,col_s8))&gt;0)))</f>
        <v/>
      </c>
      <c r="I774" s="25" t="str">
        <f t="shared" si="87"/>
        <v/>
      </c>
      <c r="J774" s="25" t="str">
        <f t="shared" si="88"/>
        <v/>
      </c>
      <c r="K774" s="24" t="str">
        <f t="shared" si="89"/>
        <v/>
      </c>
      <c r="L774" s="24" t="str">
        <f t="shared" si="90"/>
        <v/>
      </c>
    </row>
    <row r="775" spans="1:12" x14ac:dyDescent="0.25">
      <c r="A775" s="24">
        <f t="shared" si="84"/>
        <v>774</v>
      </c>
      <c r="B775" s="25" t="str">
        <f>IF($A775&gt;nrows,"",IF(col_user=0,"",INDEX('Paste Export'!$A$2:$BZ$1001,$A775,col_user)))</f>
        <v/>
      </c>
      <c r="C775" s="24" t="str">
        <f>IF($A775&gt;nrows,"",IF(col_days=0,0,N(INDEX('Paste Export'!$A$2:$BZ$1001,$A775,col_days))))</f>
        <v/>
      </c>
      <c r="D775" s="24" t="str">
        <f>IF($A775&gt;nrows,"",IF(col_prompts=0,0,N(INDEX('Paste Export'!$A$2:$BZ$1001,$A775,col_prompts))))</f>
        <v/>
      </c>
      <c r="E775" s="24" t="str">
        <f>IF($A775&gt;nrows,"",IF(col_web=0,0,N(INDEX('Paste Export'!$A$2:$BZ$1001,$A775,col_web))))</f>
        <v/>
      </c>
      <c r="F775" s="26" t="str">
        <f t="shared" si="85"/>
        <v/>
      </c>
      <c r="G775" s="27" t="str">
        <f t="shared" si="86"/>
        <v/>
      </c>
      <c r="H775" s="24" t="str">
        <f>IF($A775&gt;nrows,"",IF(col_s1=0,0,--(LEN(INDEX('Paste Export'!$A$2:$BZ$1001,$A775,col_s1))&gt;0))+IF(col_s2=0,0,--(LEN(INDEX('Paste Export'!$A$2:$BZ$1001,$A775,col_s2))&gt;0))+IF(col_s3=0,0,--(LEN(INDEX('Paste Export'!$A$2:$BZ$1001,$A775,col_s3))&gt;0))+IF(col_s4=0,0,--(LEN(INDEX('Paste Export'!$A$2:$BZ$1001,$A775,col_s4))&gt;0))+IF(col_s5=0,0,--(LEN(INDEX('Paste Export'!$A$2:$BZ$1001,$A775,col_s5))&gt;0))+IF(col_s6=0,0,--(LEN(INDEX('Paste Export'!$A$2:$BZ$1001,$A775,col_s6))&gt;0))+IF(col_s7=0,0,--(LEN(INDEX('Paste Export'!$A$2:$BZ$1001,$A775,col_s7))&gt;0))+IF(col_s8=0,0,--(LEN(INDEX('Paste Export'!$A$2:$BZ$1001,$A775,col_s8))&gt;0)))</f>
        <v/>
      </c>
      <c r="I775" s="25" t="str">
        <f t="shared" si="87"/>
        <v/>
      </c>
      <c r="J775" s="25" t="str">
        <f t="shared" si="88"/>
        <v/>
      </c>
      <c r="K775" s="24" t="str">
        <f t="shared" si="89"/>
        <v/>
      </c>
      <c r="L775" s="24" t="str">
        <f t="shared" si="90"/>
        <v/>
      </c>
    </row>
    <row r="776" spans="1:12" x14ac:dyDescent="0.25">
      <c r="A776" s="24">
        <f t="shared" si="84"/>
        <v>775</v>
      </c>
      <c r="B776" s="25" t="str">
        <f>IF($A776&gt;nrows,"",IF(col_user=0,"",INDEX('Paste Export'!$A$2:$BZ$1001,$A776,col_user)))</f>
        <v/>
      </c>
      <c r="C776" s="24" t="str">
        <f>IF($A776&gt;nrows,"",IF(col_days=0,0,N(INDEX('Paste Export'!$A$2:$BZ$1001,$A776,col_days))))</f>
        <v/>
      </c>
      <c r="D776" s="24" t="str">
        <f>IF($A776&gt;nrows,"",IF(col_prompts=0,0,N(INDEX('Paste Export'!$A$2:$BZ$1001,$A776,col_prompts))))</f>
        <v/>
      </c>
      <c r="E776" s="24" t="str">
        <f>IF($A776&gt;nrows,"",IF(col_web=0,0,N(INDEX('Paste Export'!$A$2:$BZ$1001,$A776,col_web))))</f>
        <v/>
      </c>
      <c r="F776" s="26" t="str">
        <f t="shared" si="85"/>
        <v/>
      </c>
      <c r="G776" s="27" t="str">
        <f t="shared" si="86"/>
        <v/>
      </c>
      <c r="H776" s="24" t="str">
        <f>IF($A776&gt;nrows,"",IF(col_s1=0,0,--(LEN(INDEX('Paste Export'!$A$2:$BZ$1001,$A776,col_s1))&gt;0))+IF(col_s2=0,0,--(LEN(INDEX('Paste Export'!$A$2:$BZ$1001,$A776,col_s2))&gt;0))+IF(col_s3=0,0,--(LEN(INDEX('Paste Export'!$A$2:$BZ$1001,$A776,col_s3))&gt;0))+IF(col_s4=0,0,--(LEN(INDEX('Paste Export'!$A$2:$BZ$1001,$A776,col_s4))&gt;0))+IF(col_s5=0,0,--(LEN(INDEX('Paste Export'!$A$2:$BZ$1001,$A776,col_s5))&gt;0))+IF(col_s6=0,0,--(LEN(INDEX('Paste Export'!$A$2:$BZ$1001,$A776,col_s6))&gt;0))+IF(col_s7=0,0,--(LEN(INDEX('Paste Export'!$A$2:$BZ$1001,$A776,col_s7))&gt;0))+IF(col_s8=0,0,--(LEN(INDEX('Paste Export'!$A$2:$BZ$1001,$A776,col_s8))&gt;0)))</f>
        <v/>
      </c>
      <c r="I776" s="25" t="str">
        <f t="shared" si="87"/>
        <v/>
      </c>
      <c r="J776" s="25" t="str">
        <f t="shared" si="88"/>
        <v/>
      </c>
      <c r="K776" s="24" t="str">
        <f t="shared" si="89"/>
        <v/>
      </c>
      <c r="L776" s="24" t="str">
        <f t="shared" si="90"/>
        <v/>
      </c>
    </row>
    <row r="777" spans="1:12" x14ac:dyDescent="0.25">
      <c r="A777" s="24">
        <f t="shared" si="84"/>
        <v>776</v>
      </c>
      <c r="B777" s="25" t="str">
        <f>IF($A777&gt;nrows,"",IF(col_user=0,"",INDEX('Paste Export'!$A$2:$BZ$1001,$A777,col_user)))</f>
        <v/>
      </c>
      <c r="C777" s="24" t="str">
        <f>IF($A777&gt;nrows,"",IF(col_days=0,0,N(INDEX('Paste Export'!$A$2:$BZ$1001,$A777,col_days))))</f>
        <v/>
      </c>
      <c r="D777" s="24" t="str">
        <f>IF($A777&gt;nrows,"",IF(col_prompts=0,0,N(INDEX('Paste Export'!$A$2:$BZ$1001,$A777,col_prompts))))</f>
        <v/>
      </c>
      <c r="E777" s="24" t="str">
        <f>IF($A777&gt;nrows,"",IF(col_web=0,0,N(INDEX('Paste Export'!$A$2:$BZ$1001,$A777,col_web))))</f>
        <v/>
      </c>
      <c r="F777" s="26" t="str">
        <f t="shared" si="85"/>
        <v/>
      </c>
      <c r="G777" s="27" t="str">
        <f t="shared" si="86"/>
        <v/>
      </c>
      <c r="H777" s="24" t="str">
        <f>IF($A777&gt;nrows,"",IF(col_s1=0,0,--(LEN(INDEX('Paste Export'!$A$2:$BZ$1001,$A777,col_s1))&gt;0))+IF(col_s2=0,0,--(LEN(INDEX('Paste Export'!$A$2:$BZ$1001,$A777,col_s2))&gt;0))+IF(col_s3=0,0,--(LEN(INDEX('Paste Export'!$A$2:$BZ$1001,$A777,col_s3))&gt;0))+IF(col_s4=0,0,--(LEN(INDEX('Paste Export'!$A$2:$BZ$1001,$A777,col_s4))&gt;0))+IF(col_s5=0,0,--(LEN(INDEX('Paste Export'!$A$2:$BZ$1001,$A777,col_s5))&gt;0))+IF(col_s6=0,0,--(LEN(INDEX('Paste Export'!$A$2:$BZ$1001,$A777,col_s6))&gt;0))+IF(col_s7=0,0,--(LEN(INDEX('Paste Export'!$A$2:$BZ$1001,$A777,col_s7))&gt;0))+IF(col_s8=0,0,--(LEN(INDEX('Paste Export'!$A$2:$BZ$1001,$A777,col_s8))&gt;0)))</f>
        <v/>
      </c>
      <c r="I777" s="25" t="str">
        <f t="shared" si="87"/>
        <v/>
      </c>
      <c r="J777" s="25" t="str">
        <f t="shared" si="88"/>
        <v/>
      </c>
      <c r="K777" s="24" t="str">
        <f t="shared" si="89"/>
        <v/>
      </c>
      <c r="L777" s="24" t="str">
        <f t="shared" si="90"/>
        <v/>
      </c>
    </row>
    <row r="778" spans="1:12" x14ac:dyDescent="0.25">
      <c r="A778" s="24">
        <f t="shared" si="84"/>
        <v>777</v>
      </c>
      <c r="B778" s="25" t="str">
        <f>IF($A778&gt;nrows,"",IF(col_user=0,"",INDEX('Paste Export'!$A$2:$BZ$1001,$A778,col_user)))</f>
        <v/>
      </c>
      <c r="C778" s="24" t="str">
        <f>IF($A778&gt;nrows,"",IF(col_days=0,0,N(INDEX('Paste Export'!$A$2:$BZ$1001,$A778,col_days))))</f>
        <v/>
      </c>
      <c r="D778" s="24" t="str">
        <f>IF($A778&gt;nrows,"",IF(col_prompts=0,0,N(INDEX('Paste Export'!$A$2:$BZ$1001,$A778,col_prompts))))</f>
        <v/>
      </c>
      <c r="E778" s="24" t="str">
        <f>IF($A778&gt;nrows,"",IF(col_web=0,0,N(INDEX('Paste Export'!$A$2:$BZ$1001,$A778,col_web))))</f>
        <v/>
      </c>
      <c r="F778" s="26" t="str">
        <f t="shared" si="85"/>
        <v/>
      </c>
      <c r="G778" s="27" t="str">
        <f t="shared" si="86"/>
        <v/>
      </c>
      <c r="H778" s="24" t="str">
        <f>IF($A778&gt;nrows,"",IF(col_s1=0,0,--(LEN(INDEX('Paste Export'!$A$2:$BZ$1001,$A778,col_s1))&gt;0))+IF(col_s2=0,0,--(LEN(INDEX('Paste Export'!$A$2:$BZ$1001,$A778,col_s2))&gt;0))+IF(col_s3=0,0,--(LEN(INDEX('Paste Export'!$A$2:$BZ$1001,$A778,col_s3))&gt;0))+IF(col_s4=0,0,--(LEN(INDEX('Paste Export'!$A$2:$BZ$1001,$A778,col_s4))&gt;0))+IF(col_s5=0,0,--(LEN(INDEX('Paste Export'!$A$2:$BZ$1001,$A778,col_s5))&gt;0))+IF(col_s6=0,0,--(LEN(INDEX('Paste Export'!$A$2:$BZ$1001,$A778,col_s6))&gt;0))+IF(col_s7=0,0,--(LEN(INDEX('Paste Export'!$A$2:$BZ$1001,$A778,col_s7))&gt;0))+IF(col_s8=0,0,--(LEN(INDEX('Paste Export'!$A$2:$BZ$1001,$A778,col_s8))&gt;0)))</f>
        <v/>
      </c>
      <c r="I778" s="25" t="str">
        <f t="shared" si="87"/>
        <v/>
      </c>
      <c r="J778" s="25" t="str">
        <f t="shared" si="88"/>
        <v/>
      </c>
      <c r="K778" s="24" t="str">
        <f t="shared" si="89"/>
        <v/>
      </c>
      <c r="L778" s="24" t="str">
        <f t="shared" si="90"/>
        <v/>
      </c>
    </row>
    <row r="779" spans="1:12" x14ac:dyDescent="0.25">
      <c r="A779" s="24">
        <f t="shared" si="84"/>
        <v>778</v>
      </c>
      <c r="B779" s="25" t="str">
        <f>IF($A779&gt;nrows,"",IF(col_user=0,"",INDEX('Paste Export'!$A$2:$BZ$1001,$A779,col_user)))</f>
        <v/>
      </c>
      <c r="C779" s="24" t="str">
        <f>IF($A779&gt;nrows,"",IF(col_days=0,0,N(INDEX('Paste Export'!$A$2:$BZ$1001,$A779,col_days))))</f>
        <v/>
      </c>
      <c r="D779" s="24" t="str">
        <f>IF($A779&gt;nrows,"",IF(col_prompts=0,0,N(INDEX('Paste Export'!$A$2:$BZ$1001,$A779,col_prompts))))</f>
        <v/>
      </c>
      <c r="E779" s="24" t="str">
        <f>IF($A779&gt;nrows,"",IF(col_web=0,0,N(INDEX('Paste Export'!$A$2:$BZ$1001,$A779,col_web))))</f>
        <v/>
      </c>
      <c r="F779" s="26" t="str">
        <f t="shared" si="85"/>
        <v/>
      </c>
      <c r="G779" s="27" t="str">
        <f t="shared" si="86"/>
        <v/>
      </c>
      <c r="H779" s="24" t="str">
        <f>IF($A779&gt;nrows,"",IF(col_s1=0,0,--(LEN(INDEX('Paste Export'!$A$2:$BZ$1001,$A779,col_s1))&gt;0))+IF(col_s2=0,0,--(LEN(INDEX('Paste Export'!$A$2:$BZ$1001,$A779,col_s2))&gt;0))+IF(col_s3=0,0,--(LEN(INDEX('Paste Export'!$A$2:$BZ$1001,$A779,col_s3))&gt;0))+IF(col_s4=0,0,--(LEN(INDEX('Paste Export'!$A$2:$BZ$1001,$A779,col_s4))&gt;0))+IF(col_s5=0,0,--(LEN(INDEX('Paste Export'!$A$2:$BZ$1001,$A779,col_s5))&gt;0))+IF(col_s6=0,0,--(LEN(INDEX('Paste Export'!$A$2:$BZ$1001,$A779,col_s6))&gt;0))+IF(col_s7=0,0,--(LEN(INDEX('Paste Export'!$A$2:$BZ$1001,$A779,col_s7))&gt;0))+IF(col_s8=0,0,--(LEN(INDEX('Paste Export'!$A$2:$BZ$1001,$A779,col_s8))&gt;0)))</f>
        <v/>
      </c>
      <c r="I779" s="25" t="str">
        <f t="shared" si="87"/>
        <v/>
      </c>
      <c r="J779" s="25" t="str">
        <f t="shared" si="88"/>
        <v/>
      </c>
      <c r="K779" s="24" t="str">
        <f t="shared" si="89"/>
        <v/>
      </c>
      <c r="L779" s="24" t="str">
        <f t="shared" si="90"/>
        <v/>
      </c>
    </row>
    <row r="780" spans="1:12" x14ac:dyDescent="0.25">
      <c r="A780" s="24">
        <f t="shared" si="84"/>
        <v>779</v>
      </c>
      <c r="B780" s="25" t="str">
        <f>IF($A780&gt;nrows,"",IF(col_user=0,"",INDEX('Paste Export'!$A$2:$BZ$1001,$A780,col_user)))</f>
        <v/>
      </c>
      <c r="C780" s="24" t="str">
        <f>IF($A780&gt;nrows,"",IF(col_days=0,0,N(INDEX('Paste Export'!$A$2:$BZ$1001,$A780,col_days))))</f>
        <v/>
      </c>
      <c r="D780" s="24" t="str">
        <f>IF($A780&gt;nrows,"",IF(col_prompts=0,0,N(INDEX('Paste Export'!$A$2:$BZ$1001,$A780,col_prompts))))</f>
        <v/>
      </c>
      <c r="E780" s="24" t="str">
        <f>IF($A780&gt;nrows,"",IF(col_web=0,0,N(INDEX('Paste Export'!$A$2:$BZ$1001,$A780,col_web))))</f>
        <v/>
      </c>
      <c r="F780" s="26" t="str">
        <f t="shared" si="85"/>
        <v/>
      </c>
      <c r="G780" s="27" t="str">
        <f t="shared" si="86"/>
        <v/>
      </c>
      <c r="H780" s="24" t="str">
        <f>IF($A780&gt;nrows,"",IF(col_s1=0,0,--(LEN(INDEX('Paste Export'!$A$2:$BZ$1001,$A780,col_s1))&gt;0))+IF(col_s2=0,0,--(LEN(INDEX('Paste Export'!$A$2:$BZ$1001,$A780,col_s2))&gt;0))+IF(col_s3=0,0,--(LEN(INDEX('Paste Export'!$A$2:$BZ$1001,$A780,col_s3))&gt;0))+IF(col_s4=0,0,--(LEN(INDEX('Paste Export'!$A$2:$BZ$1001,$A780,col_s4))&gt;0))+IF(col_s5=0,0,--(LEN(INDEX('Paste Export'!$A$2:$BZ$1001,$A780,col_s5))&gt;0))+IF(col_s6=0,0,--(LEN(INDEX('Paste Export'!$A$2:$BZ$1001,$A780,col_s6))&gt;0))+IF(col_s7=0,0,--(LEN(INDEX('Paste Export'!$A$2:$BZ$1001,$A780,col_s7))&gt;0))+IF(col_s8=0,0,--(LEN(INDEX('Paste Export'!$A$2:$BZ$1001,$A780,col_s8))&gt;0)))</f>
        <v/>
      </c>
      <c r="I780" s="25" t="str">
        <f t="shared" si="87"/>
        <v/>
      </c>
      <c r="J780" s="25" t="str">
        <f t="shared" si="88"/>
        <v/>
      </c>
      <c r="K780" s="24" t="str">
        <f t="shared" si="89"/>
        <v/>
      </c>
      <c r="L780" s="24" t="str">
        <f t="shared" si="90"/>
        <v/>
      </c>
    </row>
    <row r="781" spans="1:12" x14ac:dyDescent="0.25">
      <c r="A781" s="24">
        <f t="shared" si="84"/>
        <v>780</v>
      </c>
      <c r="B781" s="25" t="str">
        <f>IF($A781&gt;nrows,"",IF(col_user=0,"",INDEX('Paste Export'!$A$2:$BZ$1001,$A781,col_user)))</f>
        <v/>
      </c>
      <c r="C781" s="24" t="str">
        <f>IF($A781&gt;nrows,"",IF(col_days=0,0,N(INDEX('Paste Export'!$A$2:$BZ$1001,$A781,col_days))))</f>
        <v/>
      </c>
      <c r="D781" s="24" t="str">
        <f>IF($A781&gt;nrows,"",IF(col_prompts=0,0,N(INDEX('Paste Export'!$A$2:$BZ$1001,$A781,col_prompts))))</f>
        <v/>
      </c>
      <c r="E781" s="24" t="str">
        <f>IF($A781&gt;nrows,"",IF(col_web=0,0,N(INDEX('Paste Export'!$A$2:$BZ$1001,$A781,col_web))))</f>
        <v/>
      </c>
      <c r="F781" s="26" t="str">
        <f t="shared" si="85"/>
        <v/>
      </c>
      <c r="G781" s="27" t="str">
        <f t="shared" si="86"/>
        <v/>
      </c>
      <c r="H781" s="24" t="str">
        <f>IF($A781&gt;nrows,"",IF(col_s1=0,0,--(LEN(INDEX('Paste Export'!$A$2:$BZ$1001,$A781,col_s1))&gt;0))+IF(col_s2=0,0,--(LEN(INDEX('Paste Export'!$A$2:$BZ$1001,$A781,col_s2))&gt;0))+IF(col_s3=0,0,--(LEN(INDEX('Paste Export'!$A$2:$BZ$1001,$A781,col_s3))&gt;0))+IF(col_s4=0,0,--(LEN(INDEX('Paste Export'!$A$2:$BZ$1001,$A781,col_s4))&gt;0))+IF(col_s5=0,0,--(LEN(INDEX('Paste Export'!$A$2:$BZ$1001,$A781,col_s5))&gt;0))+IF(col_s6=0,0,--(LEN(INDEX('Paste Export'!$A$2:$BZ$1001,$A781,col_s6))&gt;0))+IF(col_s7=0,0,--(LEN(INDEX('Paste Export'!$A$2:$BZ$1001,$A781,col_s7))&gt;0))+IF(col_s8=0,0,--(LEN(INDEX('Paste Export'!$A$2:$BZ$1001,$A781,col_s8))&gt;0)))</f>
        <v/>
      </c>
      <c r="I781" s="25" t="str">
        <f t="shared" si="87"/>
        <v/>
      </c>
      <c r="J781" s="25" t="str">
        <f t="shared" si="88"/>
        <v/>
      </c>
      <c r="K781" s="24" t="str">
        <f t="shared" si="89"/>
        <v/>
      </c>
      <c r="L781" s="24" t="str">
        <f t="shared" si="90"/>
        <v/>
      </c>
    </row>
    <row r="782" spans="1:12" x14ac:dyDescent="0.25">
      <c r="A782" s="24">
        <f t="shared" si="84"/>
        <v>781</v>
      </c>
      <c r="B782" s="25" t="str">
        <f>IF($A782&gt;nrows,"",IF(col_user=0,"",INDEX('Paste Export'!$A$2:$BZ$1001,$A782,col_user)))</f>
        <v/>
      </c>
      <c r="C782" s="24" t="str">
        <f>IF($A782&gt;nrows,"",IF(col_days=0,0,N(INDEX('Paste Export'!$A$2:$BZ$1001,$A782,col_days))))</f>
        <v/>
      </c>
      <c r="D782" s="24" t="str">
        <f>IF($A782&gt;nrows,"",IF(col_prompts=0,0,N(INDEX('Paste Export'!$A$2:$BZ$1001,$A782,col_prompts))))</f>
        <v/>
      </c>
      <c r="E782" s="24" t="str">
        <f>IF($A782&gt;nrows,"",IF(col_web=0,0,N(INDEX('Paste Export'!$A$2:$BZ$1001,$A782,col_web))))</f>
        <v/>
      </c>
      <c r="F782" s="26" t="str">
        <f t="shared" si="85"/>
        <v/>
      </c>
      <c r="G782" s="27" t="str">
        <f t="shared" si="86"/>
        <v/>
      </c>
      <c r="H782" s="24" t="str">
        <f>IF($A782&gt;nrows,"",IF(col_s1=0,0,--(LEN(INDEX('Paste Export'!$A$2:$BZ$1001,$A782,col_s1))&gt;0))+IF(col_s2=0,0,--(LEN(INDEX('Paste Export'!$A$2:$BZ$1001,$A782,col_s2))&gt;0))+IF(col_s3=0,0,--(LEN(INDEX('Paste Export'!$A$2:$BZ$1001,$A782,col_s3))&gt;0))+IF(col_s4=0,0,--(LEN(INDEX('Paste Export'!$A$2:$BZ$1001,$A782,col_s4))&gt;0))+IF(col_s5=0,0,--(LEN(INDEX('Paste Export'!$A$2:$BZ$1001,$A782,col_s5))&gt;0))+IF(col_s6=0,0,--(LEN(INDEX('Paste Export'!$A$2:$BZ$1001,$A782,col_s6))&gt;0))+IF(col_s7=0,0,--(LEN(INDEX('Paste Export'!$A$2:$BZ$1001,$A782,col_s7))&gt;0))+IF(col_s8=0,0,--(LEN(INDEX('Paste Export'!$A$2:$BZ$1001,$A782,col_s8))&gt;0)))</f>
        <v/>
      </c>
      <c r="I782" s="25" t="str">
        <f t="shared" si="87"/>
        <v/>
      </c>
      <c r="J782" s="25" t="str">
        <f t="shared" si="88"/>
        <v/>
      </c>
      <c r="K782" s="24" t="str">
        <f t="shared" si="89"/>
        <v/>
      </c>
      <c r="L782" s="24" t="str">
        <f t="shared" si="90"/>
        <v/>
      </c>
    </row>
    <row r="783" spans="1:12" x14ac:dyDescent="0.25">
      <c r="A783" s="24">
        <f t="shared" si="84"/>
        <v>782</v>
      </c>
      <c r="B783" s="25" t="str">
        <f>IF($A783&gt;nrows,"",IF(col_user=0,"",INDEX('Paste Export'!$A$2:$BZ$1001,$A783,col_user)))</f>
        <v/>
      </c>
      <c r="C783" s="24" t="str">
        <f>IF($A783&gt;nrows,"",IF(col_days=0,0,N(INDEX('Paste Export'!$A$2:$BZ$1001,$A783,col_days))))</f>
        <v/>
      </c>
      <c r="D783" s="24" t="str">
        <f>IF($A783&gt;nrows,"",IF(col_prompts=0,0,N(INDEX('Paste Export'!$A$2:$BZ$1001,$A783,col_prompts))))</f>
        <v/>
      </c>
      <c r="E783" s="24" t="str">
        <f>IF($A783&gt;nrows,"",IF(col_web=0,0,N(INDEX('Paste Export'!$A$2:$BZ$1001,$A783,col_web))))</f>
        <v/>
      </c>
      <c r="F783" s="26" t="str">
        <f t="shared" si="85"/>
        <v/>
      </c>
      <c r="G783" s="27" t="str">
        <f t="shared" si="86"/>
        <v/>
      </c>
      <c r="H783" s="24" t="str">
        <f>IF($A783&gt;nrows,"",IF(col_s1=0,0,--(LEN(INDEX('Paste Export'!$A$2:$BZ$1001,$A783,col_s1))&gt;0))+IF(col_s2=0,0,--(LEN(INDEX('Paste Export'!$A$2:$BZ$1001,$A783,col_s2))&gt;0))+IF(col_s3=0,0,--(LEN(INDEX('Paste Export'!$A$2:$BZ$1001,$A783,col_s3))&gt;0))+IF(col_s4=0,0,--(LEN(INDEX('Paste Export'!$A$2:$BZ$1001,$A783,col_s4))&gt;0))+IF(col_s5=0,0,--(LEN(INDEX('Paste Export'!$A$2:$BZ$1001,$A783,col_s5))&gt;0))+IF(col_s6=0,0,--(LEN(INDEX('Paste Export'!$A$2:$BZ$1001,$A783,col_s6))&gt;0))+IF(col_s7=0,0,--(LEN(INDEX('Paste Export'!$A$2:$BZ$1001,$A783,col_s7))&gt;0))+IF(col_s8=0,0,--(LEN(INDEX('Paste Export'!$A$2:$BZ$1001,$A783,col_s8))&gt;0)))</f>
        <v/>
      </c>
      <c r="I783" s="25" t="str">
        <f t="shared" si="87"/>
        <v/>
      </c>
      <c r="J783" s="25" t="str">
        <f t="shared" si="88"/>
        <v/>
      </c>
      <c r="K783" s="24" t="str">
        <f t="shared" si="89"/>
        <v/>
      </c>
      <c r="L783" s="24" t="str">
        <f t="shared" si="90"/>
        <v/>
      </c>
    </row>
    <row r="784" spans="1:12" x14ac:dyDescent="0.25">
      <c r="A784" s="24">
        <f t="shared" si="84"/>
        <v>783</v>
      </c>
      <c r="B784" s="25" t="str">
        <f>IF($A784&gt;nrows,"",IF(col_user=0,"",INDEX('Paste Export'!$A$2:$BZ$1001,$A784,col_user)))</f>
        <v/>
      </c>
      <c r="C784" s="24" t="str">
        <f>IF($A784&gt;nrows,"",IF(col_days=0,0,N(INDEX('Paste Export'!$A$2:$BZ$1001,$A784,col_days))))</f>
        <v/>
      </c>
      <c r="D784" s="24" t="str">
        <f>IF($A784&gt;nrows,"",IF(col_prompts=0,0,N(INDEX('Paste Export'!$A$2:$BZ$1001,$A784,col_prompts))))</f>
        <v/>
      </c>
      <c r="E784" s="24" t="str">
        <f>IF($A784&gt;nrows,"",IF(col_web=0,0,N(INDEX('Paste Export'!$A$2:$BZ$1001,$A784,col_web))))</f>
        <v/>
      </c>
      <c r="F784" s="26" t="str">
        <f t="shared" si="85"/>
        <v/>
      </c>
      <c r="G784" s="27" t="str">
        <f t="shared" si="86"/>
        <v/>
      </c>
      <c r="H784" s="24" t="str">
        <f>IF($A784&gt;nrows,"",IF(col_s1=0,0,--(LEN(INDEX('Paste Export'!$A$2:$BZ$1001,$A784,col_s1))&gt;0))+IF(col_s2=0,0,--(LEN(INDEX('Paste Export'!$A$2:$BZ$1001,$A784,col_s2))&gt;0))+IF(col_s3=0,0,--(LEN(INDEX('Paste Export'!$A$2:$BZ$1001,$A784,col_s3))&gt;0))+IF(col_s4=0,0,--(LEN(INDEX('Paste Export'!$A$2:$BZ$1001,$A784,col_s4))&gt;0))+IF(col_s5=0,0,--(LEN(INDEX('Paste Export'!$A$2:$BZ$1001,$A784,col_s5))&gt;0))+IF(col_s6=0,0,--(LEN(INDEX('Paste Export'!$A$2:$BZ$1001,$A784,col_s6))&gt;0))+IF(col_s7=0,0,--(LEN(INDEX('Paste Export'!$A$2:$BZ$1001,$A784,col_s7))&gt;0))+IF(col_s8=0,0,--(LEN(INDEX('Paste Export'!$A$2:$BZ$1001,$A784,col_s8))&gt;0)))</f>
        <v/>
      </c>
      <c r="I784" s="25" t="str">
        <f t="shared" si="87"/>
        <v/>
      </c>
      <c r="J784" s="25" t="str">
        <f t="shared" si="88"/>
        <v/>
      </c>
      <c r="K784" s="24" t="str">
        <f t="shared" si="89"/>
        <v/>
      </c>
      <c r="L784" s="24" t="str">
        <f t="shared" si="90"/>
        <v/>
      </c>
    </row>
    <row r="785" spans="1:12" x14ac:dyDescent="0.25">
      <c r="A785" s="24">
        <f t="shared" si="84"/>
        <v>784</v>
      </c>
      <c r="B785" s="25" t="str">
        <f>IF($A785&gt;nrows,"",IF(col_user=0,"",INDEX('Paste Export'!$A$2:$BZ$1001,$A785,col_user)))</f>
        <v/>
      </c>
      <c r="C785" s="24" t="str">
        <f>IF($A785&gt;nrows,"",IF(col_days=0,0,N(INDEX('Paste Export'!$A$2:$BZ$1001,$A785,col_days))))</f>
        <v/>
      </c>
      <c r="D785" s="24" t="str">
        <f>IF($A785&gt;nrows,"",IF(col_prompts=0,0,N(INDEX('Paste Export'!$A$2:$BZ$1001,$A785,col_prompts))))</f>
        <v/>
      </c>
      <c r="E785" s="24" t="str">
        <f>IF($A785&gt;nrows,"",IF(col_web=0,0,N(INDEX('Paste Export'!$A$2:$BZ$1001,$A785,col_web))))</f>
        <v/>
      </c>
      <c r="F785" s="26" t="str">
        <f t="shared" si="85"/>
        <v/>
      </c>
      <c r="G785" s="27" t="str">
        <f t="shared" si="86"/>
        <v/>
      </c>
      <c r="H785" s="24" t="str">
        <f>IF($A785&gt;nrows,"",IF(col_s1=0,0,--(LEN(INDEX('Paste Export'!$A$2:$BZ$1001,$A785,col_s1))&gt;0))+IF(col_s2=0,0,--(LEN(INDEX('Paste Export'!$A$2:$BZ$1001,$A785,col_s2))&gt;0))+IF(col_s3=0,0,--(LEN(INDEX('Paste Export'!$A$2:$BZ$1001,$A785,col_s3))&gt;0))+IF(col_s4=0,0,--(LEN(INDEX('Paste Export'!$A$2:$BZ$1001,$A785,col_s4))&gt;0))+IF(col_s5=0,0,--(LEN(INDEX('Paste Export'!$A$2:$BZ$1001,$A785,col_s5))&gt;0))+IF(col_s6=0,0,--(LEN(INDEX('Paste Export'!$A$2:$BZ$1001,$A785,col_s6))&gt;0))+IF(col_s7=0,0,--(LEN(INDEX('Paste Export'!$A$2:$BZ$1001,$A785,col_s7))&gt;0))+IF(col_s8=0,0,--(LEN(INDEX('Paste Export'!$A$2:$BZ$1001,$A785,col_s8))&gt;0)))</f>
        <v/>
      </c>
      <c r="I785" s="25" t="str">
        <f t="shared" si="87"/>
        <v/>
      </c>
      <c r="J785" s="25" t="str">
        <f t="shared" si="88"/>
        <v/>
      </c>
      <c r="K785" s="24" t="str">
        <f t="shared" si="89"/>
        <v/>
      </c>
      <c r="L785" s="24" t="str">
        <f t="shared" si="90"/>
        <v/>
      </c>
    </row>
    <row r="786" spans="1:12" x14ac:dyDescent="0.25">
      <c r="A786" s="24">
        <f t="shared" si="84"/>
        <v>785</v>
      </c>
      <c r="B786" s="25" t="str">
        <f>IF($A786&gt;nrows,"",IF(col_user=0,"",INDEX('Paste Export'!$A$2:$BZ$1001,$A786,col_user)))</f>
        <v/>
      </c>
      <c r="C786" s="24" t="str">
        <f>IF($A786&gt;nrows,"",IF(col_days=0,0,N(INDEX('Paste Export'!$A$2:$BZ$1001,$A786,col_days))))</f>
        <v/>
      </c>
      <c r="D786" s="24" t="str">
        <f>IF($A786&gt;nrows,"",IF(col_prompts=0,0,N(INDEX('Paste Export'!$A$2:$BZ$1001,$A786,col_prompts))))</f>
        <v/>
      </c>
      <c r="E786" s="24" t="str">
        <f>IF($A786&gt;nrows,"",IF(col_web=0,0,N(INDEX('Paste Export'!$A$2:$BZ$1001,$A786,col_web))))</f>
        <v/>
      </c>
      <c r="F786" s="26" t="str">
        <f t="shared" si="85"/>
        <v/>
      </c>
      <c r="G786" s="27" t="str">
        <f t="shared" si="86"/>
        <v/>
      </c>
      <c r="H786" s="24" t="str">
        <f>IF($A786&gt;nrows,"",IF(col_s1=0,0,--(LEN(INDEX('Paste Export'!$A$2:$BZ$1001,$A786,col_s1))&gt;0))+IF(col_s2=0,0,--(LEN(INDEX('Paste Export'!$A$2:$BZ$1001,$A786,col_s2))&gt;0))+IF(col_s3=0,0,--(LEN(INDEX('Paste Export'!$A$2:$BZ$1001,$A786,col_s3))&gt;0))+IF(col_s4=0,0,--(LEN(INDEX('Paste Export'!$A$2:$BZ$1001,$A786,col_s4))&gt;0))+IF(col_s5=0,0,--(LEN(INDEX('Paste Export'!$A$2:$BZ$1001,$A786,col_s5))&gt;0))+IF(col_s6=0,0,--(LEN(INDEX('Paste Export'!$A$2:$BZ$1001,$A786,col_s6))&gt;0))+IF(col_s7=0,0,--(LEN(INDEX('Paste Export'!$A$2:$BZ$1001,$A786,col_s7))&gt;0))+IF(col_s8=0,0,--(LEN(INDEX('Paste Export'!$A$2:$BZ$1001,$A786,col_s8))&gt;0)))</f>
        <v/>
      </c>
      <c r="I786" s="25" t="str">
        <f t="shared" si="87"/>
        <v/>
      </c>
      <c r="J786" s="25" t="str">
        <f t="shared" si="88"/>
        <v/>
      </c>
      <c r="K786" s="24" t="str">
        <f t="shared" si="89"/>
        <v/>
      </c>
      <c r="L786" s="24" t="str">
        <f t="shared" si="90"/>
        <v/>
      </c>
    </row>
    <row r="787" spans="1:12" x14ac:dyDescent="0.25">
      <c r="A787" s="24">
        <f t="shared" si="84"/>
        <v>786</v>
      </c>
      <c r="B787" s="25" t="str">
        <f>IF($A787&gt;nrows,"",IF(col_user=0,"",INDEX('Paste Export'!$A$2:$BZ$1001,$A787,col_user)))</f>
        <v/>
      </c>
      <c r="C787" s="24" t="str">
        <f>IF($A787&gt;nrows,"",IF(col_days=0,0,N(INDEX('Paste Export'!$A$2:$BZ$1001,$A787,col_days))))</f>
        <v/>
      </c>
      <c r="D787" s="24" t="str">
        <f>IF($A787&gt;nrows,"",IF(col_prompts=0,0,N(INDEX('Paste Export'!$A$2:$BZ$1001,$A787,col_prompts))))</f>
        <v/>
      </c>
      <c r="E787" s="24" t="str">
        <f>IF($A787&gt;nrows,"",IF(col_web=0,0,N(INDEX('Paste Export'!$A$2:$BZ$1001,$A787,col_web))))</f>
        <v/>
      </c>
      <c r="F787" s="26" t="str">
        <f t="shared" si="85"/>
        <v/>
      </c>
      <c r="G787" s="27" t="str">
        <f t="shared" si="86"/>
        <v/>
      </c>
      <c r="H787" s="24" t="str">
        <f>IF($A787&gt;nrows,"",IF(col_s1=0,0,--(LEN(INDEX('Paste Export'!$A$2:$BZ$1001,$A787,col_s1))&gt;0))+IF(col_s2=0,0,--(LEN(INDEX('Paste Export'!$A$2:$BZ$1001,$A787,col_s2))&gt;0))+IF(col_s3=0,0,--(LEN(INDEX('Paste Export'!$A$2:$BZ$1001,$A787,col_s3))&gt;0))+IF(col_s4=0,0,--(LEN(INDEX('Paste Export'!$A$2:$BZ$1001,$A787,col_s4))&gt;0))+IF(col_s5=0,0,--(LEN(INDEX('Paste Export'!$A$2:$BZ$1001,$A787,col_s5))&gt;0))+IF(col_s6=0,0,--(LEN(INDEX('Paste Export'!$A$2:$BZ$1001,$A787,col_s6))&gt;0))+IF(col_s7=0,0,--(LEN(INDEX('Paste Export'!$A$2:$BZ$1001,$A787,col_s7))&gt;0))+IF(col_s8=0,0,--(LEN(INDEX('Paste Export'!$A$2:$BZ$1001,$A787,col_s8))&gt;0)))</f>
        <v/>
      </c>
      <c r="I787" s="25" t="str">
        <f t="shared" si="87"/>
        <v/>
      </c>
      <c r="J787" s="25" t="str">
        <f t="shared" si="88"/>
        <v/>
      </c>
      <c r="K787" s="24" t="str">
        <f t="shared" si="89"/>
        <v/>
      </c>
      <c r="L787" s="24" t="str">
        <f t="shared" si="90"/>
        <v/>
      </c>
    </row>
    <row r="788" spans="1:12" x14ac:dyDescent="0.25">
      <c r="A788" s="24">
        <f t="shared" si="84"/>
        <v>787</v>
      </c>
      <c r="B788" s="25" t="str">
        <f>IF($A788&gt;nrows,"",IF(col_user=0,"",INDEX('Paste Export'!$A$2:$BZ$1001,$A788,col_user)))</f>
        <v/>
      </c>
      <c r="C788" s="24" t="str">
        <f>IF($A788&gt;nrows,"",IF(col_days=0,0,N(INDEX('Paste Export'!$A$2:$BZ$1001,$A788,col_days))))</f>
        <v/>
      </c>
      <c r="D788" s="24" t="str">
        <f>IF($A788&gt;nrows,"",IF(col_prompts=0,0,N(INDEX('Paste Export'!$A$2:$BZ$1001,$A788,col_prompts))))</f>
        <v/>
      </c>
      <c r="E788" s="24" t="str">
        <f>IF($A788&gt;nrows,"",IF(col_web=0,0,N(INDEX('Paste Export'!$A$2:$BZ$1001,$A788,col_web))))</f>
        <v/>
      </c>
      <c r="F788" s="26" t="str">
        <f t="shared" si="85"/>
        <v/>
      </c>
      <c r="G788" s="27" t="str">
        <f t="shared" si="86"/>
        <v/>
      </c>
      <c r="H788" s="24" t="str">
        <f>IF($A788&gt;nrows,"",IF(col_s1=0,0,--(LEN(INDEX('Paste Export'!$A$2:$BZ$1001,$A788,col_s1))&gt;0))+IF(col_s2=0,0,--(LEN(INDEX('Paste Export'!$A$2:$BZ$1001,$A788,col_s2))&gt;0))+IF(col_s3=0,0,--(LEN(INDEX('Paste Export'!$A$2:$BZ$1001,$A788,col_s3))&gt;0))+IF(col_s4=0,0,--(LEN(INDEX('Paste Export'!$A$2:$BZ$1001,$A788,col_s4))&gt;0))+IF(col_s5=0,0,--(LEN(INDEX('Paste Export'!$A$2:$BZ$1001,$A788,col_s5))&gt;0))+IF(col_s6=0,0,--(LEN(INDEX('Paste Export'!$A$2:$BZ$1001,$A788,col_s6))&gt;0))+IF(col_s7=0,0,--(LEN(INDEX('Paste Export'!$A$2:$BZ$1001,$A788,col_s7))&gt;0))+IF(col_s8=0,0,--(LEN(INDEX('Paste Export'!$A$2:$BZ$1001,$A788,col_s8))&gt;0)))</f>
        <v/>
      </c>
      <c r="I788" s="25" t="str">
        <f t="shared" si="87"/>
        <v/>
      </c>
      <c r="J788" s="25" t="str">
        <f t="shared" si="88"/>
        <v/>
      </c>
      <c r="K788" s="24" t="str">
        <f t="shared" si="89"/>
        <v/>
      </c>
      <c r="L788" s="24" t="str">
        <f t="shared" si="90"/>
        <v/>
      </c>
    </row>
    <row r="789" spans="1:12" x14ac:dyDescent="0.25">
      <c r="A789" s="24">
        <f t="shared" si="84"/>
        <v>788</v>
      </c>
      <c r="B789" s="25" t="str">
        <f>IF($A789&gt;nrows,"",IF(col_user=0,"",INDEX('Paste Export'!$A$2:$BZ$1001,$A789,col_user)))</f>
        <v/>
      </c>
      <c r="C789" s="24" t="str">
        <f>IF($A789&gt;nrows,"",IF(col_days=0,0,N(INDEX('Paste Export'!$A$2:$BZ$1001,$A789,col_days))))</f>
        <v/>
      </c>
      <c r="D789" s="24" t="str">
        <f>IF($A789&gt;nrows,"",IF(col_prompts=0,0,N(INDEX('Paste Export'!$A$2:$BZ$1001,$A789,col_prompts))))</f>
        <v/>
      </c>
      <c r="E789" s="24" t="str">
        <f>IF($A789&gt;nrows,"",IF(col_web=0,0,N(INDEX('Paste Export'!$A$2:$BZ$1001,$A789,col_web))))</f>
        <v/>
      </c>
      <c r="F789" s="26" t="str">
        <f t="shared" si="85"/>
        <v/>
      </c>
      <c r="G789" s="27" t="str">
        <f t="shared" si="86"/>
        <v/>
      </c>
      <c r="H789" s="24" t="str">
        <f>IF($A789&gt;nrows,"",IF(col_s1=0,0,--(LEN(INDEX('Paste Export'!$A$2:$BZ$1001,$A789,col_s1))&gt;0))+IF(col_s2=0,0,--(LEN(INDEX('Paste Export'!$A$2:$BZ$1001,$A789,col_s2))&gt;0))+IF(col_s3=0,0,--(LEN(INDEX('Paste Export'!$A$2:$BZ$1001,$A789,col_s3))&gt;0))+IF(col_s4=0,0,--(LEN(INDEX('Paste Export'!$A$2:$BZ$1001,$A789,col_s4))&gt;0))+IF(col_s5=0,0,--(LEN(INDEX('Paste Export'!$A$2:$BZ$1001,$A789,col_s5))&gt;0))+IF(col_s6=0,0,--(LEN(INDEX('Paste Export'!$A$2:$BZ$1001,$A789,col_s6))&gt;0))+IF(col_s7=0,0,--(LEN(INDEX('Paste Export'!$A$2:$BZ$1001,$A789,col_s7))&gt;0))+IF(col_s8=0,0,--(LEN(INDEX('Paste Export'!$A$2:$BZ$1001,$A789,col_s8))&gt;0)))</f>
        <v/>
      </c>
      <c r="I789" s="25" t="str">
        <f t="shared" si="87"/>
        <v/>
      </c>
      <c r="J789" s="25" t="str">
        <f t="shared" si="88"/>
        <v/>
      </c>
      <c r="K789" s="24" t="str">
        <f t="shared" si="89"/>
        <v/>
      </c>
      <c r="L789" s="24" t="str">
        <f t="shared" si="90"/>
        <v/>
      </c>
    </row>
    <row r="790" spans="1:12" x14ac:dyDescent="0.25">
      <c r="A790" s="24">
        <f t="shared" si="84"/>
        <v>789</v>
      </c>
      <c r="B790" s="25" t="str">
        <f>IF($A790&gt;nrows,"",IF(col_user=0,"",INDEX('Paste Export'!$A$2:$BZ$1001,$A790,col_user)))</f>
        <v/>
      </c>
      <c r="C790" s="24" t="str">
        <f>IF($A790&gt;nrows,"",IF(col_days=0,0,N(INDEX('Paste Export'!$A$2:$BZ$1001,$A790,col_days))))</f>
        <v/>
      </c>
      <c r="D790" s="24" t="str">
        <f>IF($A790&gt;nrows,"",IF(col_prompts=0,0,N(INDEX('Paste Export'!$A$2:$BZ$1001,$A790,col_prompts))))</f>
        <v/>
      </c>
      <c r="E790" s="24" t="str">
        <f>IF($A790&gt;nrows,"",IF(col_web=0,0,N(INDEX('Paste Export'!$A$2:$BZ$1001,$A790,col_web))))</f>
        <v/>
      </c>
      <c r="F790" s="26" t="str">
        <f t="shared" si="85"/>
        <v/>
      </c>
      <c r="G790" s="27" t="str">
        <f t="shared" si="86"/>
        <v/>
      </c>
      <c r="H790" s="24" t="str">
        <f>IF($A790&gt;nrows,"",IF(col_s1=0,0,--(LEN(INDEX('Paste Export'!$A$2:$BZ$1001,$A790,col_s1))&gt;0))+IF(col_s2=0,0,--(LEN(INDEX('Paste Export'!$A$2:$BZ$1001,$A790,col_s2))&gt;0))+IF(col_s3=0,0,--(LEN(INDEX('Paste Export'!$A$2:$BZ$1001,$A790,col_s3))&gt;0))+IF(col_s4=0,0,--(LEN(INDEX('Paste Export'!$A$2:$BZ$1001,$A790,col_s4))&gt;0))+IF(col_s5=0,0,--(LEN(INDEX('Paste Export'!$A$2:$BZ$1001,$A790,col_s5))&gt;0))+IF(col_s6=0,0,--(LEN(INDEX('Paste Export'!$A$2:$BZ$1001,$A790,col_s6))&gt;0))+IF(col_s7=0,0,--(LEN(INDEX('Paste Export'!$A$2:$BZ$1001,$A790,col_s7))&gt;0))+IF(col_s8=0,0,--(LEN(INDEX('Paste Export'!$A$2:$BZ$1001,$A790,col_s8))&gt;0)))</f>
        <v/>
      </c>
      <c r="I790" s="25" t="str">
        <f t="shared" si="87"/>
        <v/>
      </c>
      <c r="J790" s="25" t="str">
        <f t="shared" si="88"/>
        <v/>
      </c>
      <c r="K790" s="24" t="str">
        <f t="shared" si="89"/>
        <v/>
      </c>
      <c r="L790" s="24" t="str">
        <f t="shared" si="90"/>
        <v/>
      </c>
    </row>
    <row r="791" spans="1:12" x14ac:dyDescent="0.25">
      <c r="A791" s="24">
        <f t="shared" si="84"/>
        <v>790</v>
      </c>
      <c r="B791" s="25" t="str">
        <f>IF($A791&gt;nrows,"",IF(col_user=0,"",INDEX('Paste Export'!$A$2:$BZ$1001,$A791,col_user)))</f>
        <v/>
      </c>
      <c r="C791" s="24" t="str">
        <f>IF($A791&gt;nrows,"",IF(col_days=0,0,N(INDEX('Paste Export'!$A$2:$BZ$1001,$A791,col_days))))</f>
        <v/>
      </c>
      <c r="D791" s="24" t="str">
        <f>IF($A791&gt;nrows,"",IF(col_prompts=0,0,N(INDEX('Paste Export'!$A$2:$BZ$1001,$A791,col_prompts))))</f>
        <v/>
      </c>
      <c r="E791" s="24" t="str">
        <f>IF($A791&gt;nrows,"",IF(col_web=0,0,N(INDEX('Paste Export'!$A$2:$BZ$1001,$A791,col_web))))</f>
        <v/>
      </c>
      <c r="F791" s="26" t="str">
        <f t="shared" si="85"/>
        <v/>
      </c>
      <c r="G791" s="27" t="str">
        <f t="shared" si="86"/>
        <v/>
      </c>
      <c r="H791" s="24" t="str">
        <f>IF($A791&gt;nrows,"",IF(col_s1=0,0,--(LEN(INDEX('Paste Export'!$A$2:$BZ$1001,$A791,col_s1))&gt;0))+IF(col_s2=0,0,--(LEN(INDEX('Paste Export'!$A$2:$BZ$1001,$A791,col_s2))&gt;0))+IF(col_s3=0,0,--(LEN(INDEX('Paste Export'!$A$2:$BZ$1001,$A791,col_s3))&gt;0))+IF(col_s4=0,0,--(LEN(INDEX('Paste Export'!$A$2:$BZ$1001,$A791,col_s4))&gt;0))+IF(col_s5=0,0,--(LEN(INDEX('Paste Export'!$A$2:$BZ$1001,$A791,col_s5))&gt;0))+IF(col_s6=0,0,--(LEN(INDEX('Paste Export'!$A$2:$BZ$1001,$A791,col_s6))&gt;0))+IF(col_s7=0,0,--(LEN(INDEX('Paste Export'!$A$2:$BZ$1001,$A791,col_s7))&gt;0))+IF(col_s8=0,0,--(LEN(INDEX('Paste Export'!$A$2:$BZ$1001,$A791,col_s8))&gt;0)))</f>
        <v/>
      </c>
      <c r="I791" s="25" t="str">
        <f t="shared" si="87"/>
        <v/>
      </c>
      <c r="J791" s="25" t="str">
        <f t="shared" si="88"/>
        <v/>
      </c>
      <c r="K791" s="24" t="str">
        <f t="shared" si="89"/>
        <v/>
      </c>
      <c r="L791" s="24" t="str">
        <f t="shared" si="90"/>
        <v/>
      </c>
    </row>
    <row r="792" spans="1:12" x14ac:dyDescent="0.25">
      <c r="A792" s="24">
        <f t="shared" si="84"/>
        <v>791</v>
      </c>
      <c r="B792" s="25" t="str">
        <f>IF($A792&gt;nrows,"",IF(col_user=0,"",INDEX('Paste Export'!$A$2:$BZ$1001,$A792,col_user)))</f>
        <v/>
      </c>
      <c r="C792" s="24" t="str">
        <f>IF($A792&gt;nrows,"",IF(col_days=0,0,N(INDEX('Paste Export'!$A$2:$BZ$1001,$A792,col_days))))</f>
        <v/>
      </c>
      <c r="D792" s="24" t="str">
        <f>IF($A792&gt;nrows,"",IF(col_prompts=0,0,N(INDEX('Paste Export'!$A$2:$BZ$1001,$A792,col_prompts))))</f>
        <v/>
      </c>
      <c r="E792" s="24" t="str">
        <f>IF($A792&gt;nrows,"",IF(col_web=0,0,N(INDEX('Paste Export'!$A$2:$BZ$1001,$A792,col_web))))</f>
        <v/>
      </c>
      <c r="F792" s="26" t="str">
        <f t="shared" si="85"/>
        <v/>
      </c>
      <c r="G792" s="27" t="str">
        <f t="shared" si="86"/>
        <v/>
      </c>
      <c r="H792" s="24" t="str">
        <f>IF($A792&gt;nrows,"",IF(col_s1=0,0,--(LEN(INDEX('Paste Export'!$A$2:$BZ$1001,$A792,col_s1))&gt;0))+IF(col_s2=0,0,--(LEN(INDEX('Paste Export'!$A$2:$BZ$1001,$A792,col_s2))&gt;0))+IF(col_s3=0,0,--(LEN(INDEX('Paste Export'!$A$2:$BZ$1001,$A792,col_s3))&gt;0))+IF(col_s4=0,0,--(LEN(INDEX('Paste Export'!$A$2:$BZ$1001,$A792,col_s4))&gt;0))+IF(col_s5=0,0,--(LEN(INDEX('Paste Export'!$A$2:$BZ$1001,$A792,col_s5))&gt;0))+IF(col_s6=0,0,--(LEN(INDEX('Paste Export'!$A$2:$BZ$1001,$A792,col_s6))&gt;0))+IF(col_s7=0,0,--(LEN(INDEX('Paste Export'!$A$2:$BZ$1001,$A792,col_s7))&gt;0))+IF(col_s8=0,0,--(LEN(INDEX('Paste Export'!$A$2:$BZ$1001,$A792,col_s8))&gt;0)))</f>
        <v/>
      </c>
      <c r="I792" s="25" t="str">
        <f t="shared" si="87"/>
        <v/>
      </c>
      <c r="J792" s="25" t="str">
        <f t="shared" si="88"/>
        <v/>
      </c>
      <c r="K792" s="24" t="str">
        <f t="shared" si="89"/>
        <v/>
      </c>
      <c r="L792" s="24" t="str">
        <f t="shared" si="90"/>
        <v/>
      </c>
    </row>
    <row r="793" spans="1:12" x14ac:dyDescent="0.25">
      <c r="A793" s="24">
        <f t="shared" si="84"/>
        <v>792</v>
      </c>
      <c r="B793" s="25" t="str">
        <f>IF($A793&gt;nrows,"",IF(col_user=0,"",INDEX('Paste Export'!$A$2:$BZ$1001,$A793,col_user)))</f>
        <v/>
      </c>
      <c r="C793" s="24" t="str">
        <f>IF($A793&gt;nrows,"",IF(col_days=0,0,N(INDEX('Paste Export'!$A$2:$BZ$1001,$A793,col_days))))</f>
        <v/>
      </c>
      <c r="D793" s="24" t="str">
        <f>IF($A793&gt;nrows,"",IF(col_prompts=0,0,N(INDEX('Paste Export'!$A$2:$BZ$1001,$A793,col_prompts))))</f>
        <v/>
      </c>
      <c r="E793" s="24" t="str">
        <f>IF($A793&gt;nrows,"",IF(col_web=0,0,N(INDEX('Paste Export'!$A$2:$BZ$1001,$A793,col_web))))</f>
        <v/>
      </c>
      <c r="F793" s="26" t="str">
        <f t="shared" si="85"/>
        <v/>
      </c>
      <c r="G793" s="27" t="str">
        <f t="shared" si="86"/>
        <v/>
      </c>
      <c r="H793" s="24" t="str">
        <f>IF($A793&gt;nrows,"",IF(col_s1=0,0,--(LEN(INDEX('Paste Export'!$A$2:$BZ$1001,$A793,col_s1))&gt;0))+IF(col_s2=0,0,--(LEN(INDEX('Paste Export'!$A$2:$BZ$1001,$A793,col_s2))&gt;0))+IF(col_s3=0,0,--(LEN(INDEX('Paste Export'!$A$2:$BZ$1001,$A793,col_s3))&gt;0))+IF(col_s4=0,0,--(LEN(INDEX('Paste Export'!$A$2:$BZ$1001,$A793,col_s4))&gt;0))+IF(col_s5=0,0,--(LEN(INDEX('Paste Export'!$A$2:$BZ$1001,$A793,col_s5))&gt;0))+IF(col_s6=0,0,--(LEN(INDEX('Paste Export'!$A$2:$BZ$1001,$A793,col_s6))&gt;0))+IF(col_s7=0,0,--(LEN(INDEX('Paste Export'!$A$2:$BZ$1001,$A793,col_s7))&gt;0))+IF(col_s8=0,0,--(LEN(INDEX('Paste Export'!$A$2:$BZ$1001,$A793,col_s8))&gt;0)))</f>
        <v/>
      </c>
      <c r="I793" s="25" t="str">
        <f t="shared" si="87"/>
        <v/>
      </c>
      <c r="J793" s="25" t="str">
        <f t="shared" si="88"/>
        <v/>
      </c>
      <c r="K793" s="24" t="str">
        <f t="shared" si="89"/>
        <v/>
      </c>
      <c r="L793" s="24" t="str">
        <f t="shared" si="90"/>
        <v/>
      </c>
    </row>
    <row r="794" spans="1:12" x14ac:dyDescent="0.25">
      <c r="A794" s="24">
        <f t="shared" si="84"/>
        <v>793</v>
      </c>
      <c r="B794" s="25" t="str">
        <f>IF($A794&gt;nrows,"",IF(col_user=0,"",INDEX('Paste Export'!$A$2:$BZ$1001,$A794,col_user)))</f>
        <v/>
      </c>
      <c r="C794" s="24" t="str">
        <f>IF($A794&gt;nrows,"",IF(col_days=0,0,N(INDEX('Paste Export'!$A$2:$BZ$1001,$A794,col_days))))</f>
        <v/>
      </c>
      <c r="D794" s="24" t="str">
        <f>IF($A794&gt;nrows,"",IF(col_prompts=0,0,N(INDEX('Paste Export'!$A$2:$BZ$1001,$A794,col_prompts))))</f>
        <v/>
      </c>
      <c r="E794" s="24" t="str">
        <f>IF($A794&gt;nrows,"",IF(col_web=0,0,N(INDEX('Paste Export'!$A$2:$BZ$1001,$A794,col_web))))</f>
        <v/>
      </c>
      <c r="F794" s="26" t="str">
        <f t="shared" si="85"/>
        <v/>
      </c>
      <c r="G794" s="27" t="str">
        <f t="shared" si="86"/>
        <v/>
      </c>
      <c r="H794" s="24" t="str">
        <f>IF($A794&gt;nrows,"",IF(col_s1=0,0,--(LEN(INDEX('Paste Export'!$A$2:$BZ$1001,$A794,col_s1))&gt;0))+IF(col_s2=0,0,--(LEN(INDEX('Paste Export'!$A$2:$BZ$1001,$A794,col_s2))&gt;0))+IF(col_s3=0,0,--(LEN(INDEX('Paste Export'!$A$2:$BZ$1001,$A794,col_s3))&gt;0))+IF(col_s4=0,0,--(LEN(INDEX('Paste Export'!$A$2:$BZ$1001,$A794,col_s4))&gt;0))+IF(col_s5=0,0,--(LEN(INDEX('Paste Export'!$A$2:$BZ$1001,$A794,col_s5))&gt;0))+IF(col_s6=0,0,--(LEN(INDEX('Paste Export'!$A$2:$BZ$1001,$A794,col_s6))&gt;0))+IF(col_s7=0,0,--(LEN(INDEX('Paste Export'!$A$2:$BZ$1001,$A794,col_s7))&gt;0))+IF(col_s8=0,0,--(LEN(INDEX('Paste Export'!$A$2:$BZ$1001,$A794,col_s8))&gt;0)))</f>
        <v/>
      </c>
      <c r="I794" s="25" t="str">
        <f t="shared" si="87"/>
        <v/>
      </c>
      <c r="J794" s="25" t="str">
        <f t="shared" si="88"/>
        <v/>
      </c>
      <c r="K794" s="24" t="str">
        <f t="shared" si="89"/>
        <v/>
      </c>
      <c r="L794" s="24" t="str">
        <f t="shared" si="90"/>
        <v/>
      </c>
    </row>
    <row r="795" spans="1:12" x14ac:dyDescent="0.25">
      <c r="A795" s="24">
        <f t="shared" si="84"/>
        <v>794</v>
      </c>
      <c r="B795" s="25" t="str">
        <f>IF($A795&gt;nrows,"",IF(col_user=0,"",INDEX('Paste Export'!$A$2:$BZ$1001,$A795,col_user)))</f>
        <v/>
      </c>
      <c r="C795" s="24" t="str">
        <f>IF($A795&gt;nrows,"",IF(col_days=0,0,N(INDEX('Paste Export'!$A$2:$BZ$1001,$A795,col_days))))</f>
        <v/>
      </c>
      <c r="D795" s="24" t="str">
        <f>IF($A795&gt;nrows,"",IF(col_prompts=0,0,N(INDEX('Paste Export'!$A$2:$BZ$1001,$A795,col_prompts))))</f>
        <v/>
      </c>
      <c r="E795" s="24" t="str">
        <f>IF($A795&gt;nrows,"",IF(col_web=0,0,N(INDEX('Paste Export'!$A$2:$BZ$1001,$A795,col_web))))</f>
        <v/>
      </c>
      <c r="F795" s="26" t="str">
        <f t="shared" si="85"/>
        <v/>
      </c>
      <c r="G795" s="27" t="str">
        <f t="shared" si="86"/>
        <v/>
      </c>
      <c r="H795" s="24" t="str">
        <f>IF($A795&gt;nrows,"",IF(col_s1=0,0,--(LEN(INDEX('Paste Export'!$A$2:$BZ$1001,$A795,col_s1))&gt;0))+IF(col_s2=0,0,--(LEN(INDEX('Paste Export'!$A$2:$BZ$1001,$A795,col_s2))&gt;0))+IF(col_s3=0,0,--(LEN(INDEX('Paste Export'!$A$2:$BZ$1001,$A795,col_s3))&gt;0))+IF(col_s4=0,0,--(LEN(INDEX('Paste Export'!$A$2:$BZ$1001,$A795,col_s4))&gt;0))+IF(col_s5=0,0,--(LEN(INDEX('Paste Export'!$A$2:$BZ$1001,$A795,col_s5))&gt;0))+IF(col_s6=0,0,--(LEN(INDEX('Paste Export'!$A$2:$BZ$1001,$A795,col_s6))&gt;0))+IF(col_s7=0,0,--(LEN(INDEX('Paste Export'!$A$2:$BZ$1001,$A795,col_s7))&gt;0))+IF(col_s8=0,0,--(LEN(INDEX('Paste Export'!$A$2:$BZ$1001,$A795,col_s8))&gt;0)))</f>
        <v/>
      </c>
      <c r="I795" s="25" t="str">
        <f t="shared" si="87"/>
        <v/>
      </c>
      <c r="J795" s="25" t="str">
        <f t="shared" si="88"/>
        <v/>
      </c>
      <c r="K795" s="24" t="str">
        <f t="shared" si="89"/>
        <v/>
      </c>
      <c r="L795" s="24" t="str">
        <f t="shared" si="90"/>
        <v/>
      </c>
    </row>
    <row r="796" spans="1:12" x14ac:dyDescent="0.25">
      <c r="A796" s="24">
        <f t="shared" si="84"/>
        <v>795</v>
      </c>
      <c r="B796" s="25" t="str">
        <f>IF($A796&gt;nrows,"",IF(col_user=0,"",INDEX('Paste Export'!$A$2:$BZ$1001,$A796,col_user)))</f>
        <v/>
      </c>
      <c r="C796" s="24" t="str">
        <f>IF($A796&gt;nrows,"",IF(col_days=0,0,N(INDEX('Paste Export'!$A$2:$BZ$1001,$A796,col_days))))</f>
        <v/>
      </c>
      <c r="D796" s="24" t="str">
        <f>IF($A796&gt;nrows,"",IF(col_prompts=0,0,N(INDEX('Paste Export'!$A$2:$BZ$1001,$A796,col_prompts))))</f>
        <v/>
      </c>
      <c r="E796" s="24" t="str">
        <f>IF($A796&gt;nrows,"",IF(col_web=0,0,N(INDEX('Paste Export'!$A$2:$BZ$1001,$A796,col_web))))</f>
        <v/>
      </c>
      <c r="F796" s="26" t="str">
        <f t="shared" si="85"/>
        <v/>
      </c>
      <c r="G796" s="27" t="str">
        <f t="shared" si="86"/>
        <v/>
      </c>
      <c r="H796" s="24" t="str">
        <f>IF($A796&gt;nrows,"",IF(col_s1=0,0,--(LEN(INDEX('Paste Export'!$A$2:$BZ$1001,$A796,col_s1))&gt;0))+IF(col_s2=0,0,--(LEN(INDEX('Paste Export'!$A$2:$BZ$1001,$A796,col_s2))&gt;0))+IF(col_s3=0,0,--(LEN(INDEX('Paste Export'!$A$2:$BZ$1001,$A796,col_s3))&gt;0))+IF(col_s4=0,0,--(LEN(INDEX('Paste Export'!$A$2:$BZ$1001,$A796,col_s4))&gt;0))+IF(col_s5=0,0,--(LEN(INDEX('Paste Export'!$A$2:$BZ$1001,$A796,col_s5))&gt;0))+IF(col_s6=0,0,--(LEN(INDEX('Paste Export'!$A$2:$BZ$1001,$A796,col_s6))&gt;0))+IF(col_s7=0,0,--(LEN(INDEX('Paste Export'!$A$2:$BZ$1001,$A796,col_s7))&gt;0))+IF(col_s8=0,0,--(LEN(INDEX('Paste Export'!$A$2:$BZ$1001,$A796,col_s8))&gt;0)))</f>
        <v/>
      </c>
      <c r="I796" s="25" t="str">
        <f t="shared" si="87"/>
        <v/>
      </c>
      <c r="J796" s="25" t="str">
        <f t="shared" si="88"/>
        <v/>
      </c>
      <c r="K796" s="24" t="str">
        <f t="shared" si="89"/>
        <v/>
      </c>
      <c r="L796" s="24" t="str">
        <f t="shared" si="90"/>
        <v/>
      </c>
    </row>
    <row r="797" spans="1:12" x14ac:dyDescent="0.25">
      <c r="A797" s="24">
        <f t="shared" si="84"/>
        <v>796</v>
      </c>
      <c r="B797" s="25" t="str">
        <f>IF($A797&gt;nrows,"",IF(col_user=0,"",INDEX('Paste Export'!$A$2:$BZ$1001,$A797,col_user)))</f>
        <v/>
      </c>
      <c r="C797" s="24" t="str">
        <f>IF($A797&gt;nrows,"",IF(col_days=0,0,N(INDEX('Paste Export'!$A$2:$BZ$1001,$A797,col_days))))</f>
        <v/>
      </c>
      <c r="D797" s="24" t="str">
        <f>IF($A797&gt;nrows,"",IF(col_prompts=0,0,N(INDEX('Paste Export'!$A$2:$BZ$1001,$A797,col_prompts))))</f>
        <v/>
      </c>
      <c r="E797" s="24" t="str">
        <f>IF($A797&gt;nrows,"",IF(col_web=0,0,N(INDEX('Paste Export'!$A$2:$BZ$1001,$A797,col_web))))</f>
        <v/>
      </c>
      <c r="F797" s="26" t="str">
        <f t="shared" si="85"/>
        <v/>
      </c>
      <c r="G797" s="27" t="str">
        <f t="shared" si="86"/>
        <v/>
      </c>
      <c r="H797" s="24" t="str">
        <f>IF($A797&gt;nrows,"",IF(col_s1=0,0,--(LEN(INDEX('Paste Export'!$A$2:$BZ$1001,$A797,col_s1))&gt;0))+IF(col_s2=0,0,--(LEN(INDEX('Paste Export'!$A$2:$BZ$1001,$A797,col_s2))&gt;0))+IF(col_s3=0,0,--(LEN(INDEX('Paste Export'!$A$2:$BZ$1001,$A797,col_s3))&gt;0))+IF(col_s4=0,0,--(LEN(INDEX('Paste Export'!$A$2:$BZ$1001,$A797,col_s4))&gt;0))+IF(col_s5=0,0,--(LEN(INDEX('Paste Export'!$A$2:$BZ$1001,$A797,col_s5))&gt;0))+IF(col_s6=0,0,--(LEN(INDEX('Paste Export'!$A$2:$BZ$1001,$A797,col_s6))&gt;0))+IF(col_s7=0,0,--(LEN(INDEX('Paste Export'!$A$2:$BZ$1001,$A797,col_s7))&gt;0))+IF(col_s8=0,0,--(LEN(INDEX('Paste Export'!$A$2:$BZ$1001,$A797,col_s8))&gt;0)))</f>
        <v/>
      </c>
      <c r="I797" s="25" t="str">
        <f t="shared" si="87"/>
        <v/>
      </c>
      <c r="J797" s="25" t="str">
        <f t="shared" si="88"/>
        <v/>
      </c>
      <c r="K797" s="24" t="str">
        <f t="shared" si="89"/>
        <v/>
      </c>
      <c r="L797" s="24" t="str">
        <f t="shared" si="90"/>
        <v/>
      </c>
    </row>
    <row r="798" spans="1:12" x14ac:dyDescent="0.25">
      <c r="A798" s="24">
        <f t="shared" si="84"/>
        <v>797</v>
      </c>
      <c r="B798" s="25" t="str">
        <f>IF($A798&gt;nrows,"",IF(col_user=0,"",INDEX('Paste Export'!$A$2:$BZ$1001,$A798,col_user)))</f>
        <v/>
      </c>
      <c r="C798" s="24" t="str">
        <f>IF($A798&gt;nrows,"",IF(col_days=0,0,N(INDEX('Paste Export'!$A$2:$BZ$1001,$A798,col_days))))</f>
        <v/>
      </c>
      <c r="D798" s="24" t="str">
        <f>IF($A798&gt;nrows,"",IF(col_prompts=0,0,N(INDEX('Paste Export'!$A$2:$BZ$1001,$A798,col_prompts))))</f>
        <v/>
      </c>
      <c r="E798" s="24" t="str">
        <f>IF($A798&gt;nrows,"",IF(col_web=0,0,N(INDEX('Paste Export'!$A$2:$BZ$1001,$A798,col_web))))</f>
        <v/>
      </c>
      <c r="F798" s="26" t="str">
        <f t="shared" si="85"/>
        <v/>
      </c>
      <c r="G798" s="27" t="str">
        <f t="shared" si="86"/>
        <v/>
      </c>
      <c r="H798" s="24" t="str">
        <f>IF($A798&gt;nrows,"",IF(col_s1=0,0,--(LEN(INDEX('Paste Export'!$A$2:$BZ$1001,$A798,col_s1))&gt;0))+IF(col_s2=0,0,--(LEN(INDEX('Paste Export'!$A$2:$BZ$1001,$A798,col_s2))&gt;0))+IF(col_s3=0,0,--(LEN(INDEX('Paste Export'!$A$2:$BZ$1001,$A798,col_s3))&gt;0))+IF(col_s4=0,0,--(LEN(INDEX('Paste Export'!$A$2:$BZ$1001,$A798,col_s4))&gt;0))+IF(col_s5=0,0,--(LEN(INDEX('Paste Export'!$A$2:$BZ$1001,$A798,col_s5))&gt;0))+IF(col_s6=0,0,--(LEN(INDEX('Paste Export'!$A$2:$BZ$1001,$A798,col_s6))&gt;0))+IF(col_s7=0,0,--(LEN(INDEX('Paste Export'!$A$2:$BZ$1001,$A798,col_s7))&gt;0))+IF(col_s8=0,0,--(LEN(INDEX('Paste Export'!$A$2:$BZ$1001,$A798,col_s8))&gt;0)))</f>
        <v/>
      </c>
      <c r="I798" s="25" t="str">
        <f t="shared" si="87"/>
        <v/>
      </c>
      <c r="J798" s="25" t="str">
        <f t="shared" si="88"/>
        <v/>
      </c>
      <c r="K798" s="24" t="str">
        <f t="shared" si="89"/>
        <v/>
      </c>
      <c r="L798" s="24" t="str">
        <f t="shared" si="90"/>
        <v/>
      </c>
    </row>
    <row r="799" spans="1:12" x14ac:dyDescent="0.25">
      <c r="A799" s="24">
        <f t="shared" si="84"/>
        <v>798</v>
      </c>
      <c r="B799" s="25" t="str">
        <f>IF($A799&gt;nrows,"",IF(col_user=0,"",INDEX('Paste Export'!$A$2:$BZ$1001,$A799,col_user)))</f>
        <v/>
      </c>
      <c r="C799" s="24" t="str">
        <f>IF($A799&gt;nrows,"",IF(col_days=0,0,N(INDEX('Paste Export'!$A$2:$BZ$1001,$A799,col_days))))</f>
        <v/>
      </c>
      <c r="D799" s="24" t="str">
        <f>IF($A799&gt;nrows,"",IF(col_prompts=0,0,N(INDEX('Paste Export'!$A$2:$BZ$1001,$A799,col_prompts))))</f>
        <v/>
      </c>
      <c r="E799" s="24" t="str">
        <f>IF($A799&gt;nrows,"",IF(col_web=0,0,N(INDEX('Paste Export'!$A$2:$BZ$1001,$A799,col_web))))</f>
        <v/>
      </c>
      <c r="F799" s="26" t="str">
        <f t="shared" si="85"/>
        <v/>
      </c>
      <c r="G799" s="27" t="str">
        <f t="shared" si="86"/>
        <v/>
      </c>
      <c r="H799" s="24" t="str">
        <f>IF($A799&gt;nrows,"",IF(col_s1=0,0,--(LEN(INDEX('Paste Export'!$A$2:$BZ$1001,$A799,col_s1))&gt;0))+IF(col_s2=0,0,--(LEN(INDEX('Paste Export'!$A$2:$BZ$1001,$A799,col_s2))&gt;0))+IF(col_s3=0,0,--(LEN(INDEX('Paste Export'!$A$2:$BZ$1001,$A799,col_s3))&gt;0))+IF(col_s4=0,0,--(LEN(INDEX('Paste Export'!$A$2:$BZ$1001,$A799,col_s4))&gt;0))+IF(col_s5=0,0,--(LEN(INDEX('Paste Export'!$A$2:$BZ$1001,$A799,col_s5))&gt;0))+IF(col_s6=0,0,--(LEN(INDEX('Paste Export'!$A$2:$BZ$1001,$A799,col_s6))&gt;0))+IF(col_s7=0,0,--(LEN(INDEX('Paste Export'!$A$2:$BZ$1001,$A799,col_s7))&gt;0))+IF(col_s8=0,0,--(LEN(INDEX('Paste Export'!$A$2:$BZ$1001,$A799,col_s8))&gt;0)))</f>
        <v/>
      </c>
      <c r="I799" s="25" t="str">
        <f t="shared" si="87"/>
        <v/>
      </c>
      <c r="J799" s="25" t="str">
        <f t="shared" si="88"/>
        <v/>
      </c>
      <c r="K799" s="24" t="str">
        <f t="shared" si="89"/>
        <v/>
      </c>
      <c r="L799" s="24" t="str">
        <f t="shared" si="90"/>
        <v/>
      </c>
    </row>
    <row r="800" spans="1:12" x14ac:dyDescent="0.25">
      <c r="A800" s="24">
        <f t="shared" si="84"/>
        <v>799</v>
      </c>
      <c r="B800" s="25" t="str">
        <f>IF($A800&gt;nrows,"",IF(col_user=0,"",INDEX('Paste Export'!$A$2:$BZ$1001,$A800,col_user)))</f>
        <v/>
      </c>
      <c r="C800" s="24" t="str">
        <f>IF($A800&gt;nrows,"",IF(col_days=0,0,N(INDEX('Paste Export'!$A$2:$BZ$1001,$A800,col_days))))</f>
        <v/>
      </c>
      <c r="D800" s="24" t="str">
        <f>IF($A800&gt;nrows,"",IF(col_prompts=0,0,N(INDEX('Paste Export'!$A$2:$BZ$1001,$A800,col_prompts))))</f>
        <v/>
      </c>
      <c r="E800" s="24" t="str">
        <f>IF($A800&gt;nrows,"",IF(col_web=0,0,N(INDEX('Paste Export'!$A$2:$BZ$1001,$A800,col_web))))</f>
        <v/>
      </c>
      <c r="F800" s="26" t="str">
        <f t="shared" si="85"/>
        <v/>
      </c>
      <c r="G800" s="27" t="str">
        <f t="shared" si="86"/>
        <v/>
      </c>
      <c r="H800" s="24" t="str">
        <f>IF($A800&gt;nrows,"",IF(col_s1=0,0,--(LEN(INDEX('Paste Export'!$A$2:$BZ$1001,$A800,col_s1))&gt;0))+IF(col_s2=0,0,--(LEN(INDEX('Paste Export'!$A$2:$BZ$1001,$A800,col_s2))&gt;0))+IF(col_s3=0,0,--(LEN(INDEX('Paste Export'!$A$2:$BZ$1001,$A800,col_s3))&gt;0))+IF(col_s4=0,0,--(LEN(INDEX('Paste Export'!$A$2:$BZ$1001,$A800,col_s4))&gt;0))+IF(col_s5=0,0,--(LEN(INDEX('Paste Export'!$A$2:$BZ$1001,$A800,col_s5))&gt;0))+IF(col_s6=0,0,--(LEN(INDEX('Paste Export'!$A$2:$BZ$1001,$A800,col_s6))&gt;0))+IF(col_s7=0,0,--(LEN(INDEX('Paste Export'!$A$2:$BZ$1001,$A800,col_s7))&gt;0))+IF(col_s8=0,0,--(LEN(INDEX('Paste Export'!$A$2:$BZ$1001,$A800,col_s8))&gt;0)))</f>
        <v/>
      </c>
      <c r="I800" s="25" t="str">
        <f t="shared" si="87"/>
        <v/>
      </c>
      <c r="J800" s="25" t="str">
        <f t="shared" si="88"/>
        <v/>
      </c>
      <c r="K800" s="24" t="str">
        <f t="shared" si="89"/>
        <v/>
      </c>
      <c r="L800" s="24" t="str">
        <f t="shared" si="90"/>
        <v/>
      </c>
    </row>
    <row r="801" spans="1:12" x14ac:dyDescent="0.25">
      <c r="A801" s="24">
        <f t="shared" si="84"/>
        <v>800</v>
      </c>
      <c r="B801" s="25" t="str">
        <f>IF($A801&gt;nrows,"",IF(col_user=0,"",INDEX('Paste Export'!$A$2:$BZ$1001,$A801,col_user)))</f>
        <v/>
      </c>
      <c r="C801" s="24" t="str">
        <f>IF($A801&gt;nrows,"",IF(col_days=0,0,N(INDEX('Paste Export'!$A$2:$BZ$1001,$A801,col_days))))</f>
        <v/>
      </c>
      <c r="D801" s="24" t="str">
        <f>IF($A801&gt;nrows,"",IF(col_prompts=0,0,N(INDEX('Paste Export'!$A$2:$BZ$1001,$A801,col_prompts))))</f>
        <v/>
      </c>
      <c r="E801" s="24" t="str">
        <f>IF($A801&gt;nrows,"",IF(col_web=0,0,N(INDEX('Paste Export'!$A$2:$BZ$1001,$A801,col_web))))</f>
        <v/>
      </c>
      <c r="F801" s="26" t="str">
        <f t="shared" si="85"/>
        <v/>
      </c>
      <c r="G801" s="27" t="str">
        <f t="shared" si="86"/>
        <v/>
      </c>
      <c r="H801" s="24" t="str">
        <f>IF($A801&gt;nrows,"",IF(col_s1=0,0,--(LEN(INDEX('Paste Export'!$A$2:$BZ$1001,$A801,col_s1))&gt;0))+IF(col_s2=0,0,--(LEN(INDEX('Paste Export'!$A$2:$BZ$1001,$A801,col_s2))&gt;0))+IF(col_s3=0,0,--(LEN(INDEX('Paste Export'!$A$2:$BZ$1001,$A801,col_s3))&gt;0))+IF(col_s4=0,0,--(LEN(INDEX('Paste Export'!$A$2:$BZ$1001,$A801,col_s4))&gt;0))+IF(col_s5=0,0,--(LEN(INDEX('Paste Export'!$A$2:$BZ$1001,$A801,col_s5))&gt;0))+IF(col_s6=0,0,--(LEN(INDEX('Paste Export'!$A$2:$BZ$1001,$A801,col_s6))&gt;0))+IF(col_s7=0,0,--(LEN(INDEX('Paste Export'!$A$2:$BZ$1001,$A801,col_s7))&gt;0))+IF(col_s8=0,0,--(LEN(INDEX('Paste Export'!$A$2:$BZ$1001,$A801,col_s8))&gt;0)))</f>
        <v/>
      </c>
      <c r="I801" s="25" t="str">
        <f t="shared" si="87"/>
        <v/>
      </c>
      <c r="J801" s="25" t="str">
        <f t="shared" si="88"/>
        <v/>
      </c>
      <c r="K801" s="24" t="str">
        <f t="shared" si="89"/>
        <v/>
      </c>
      <c r="L801" s="24" t="str">
        <f t="shared" si="90"/>
        <v/>
      </c>
    </row>
    <row r="802" spans="1:12" x14ac:dyDescent="0.25">
      <c r="A802" s="24">
        <f t="shared" si="84"/>
        <v>801</v>
      </c>
      <c r="B802" s="25" t="str">
        <f>IF($A802&gt;nrows,"",IF(col_user=0,"",INDEX('Paste Export'!$A$2:$BZ$1001,$A802,col_user)))</f>
        <v/>
      </c>
      <c r="C802" s="24" t="str">
        <f>IF($A802&gt;nrows,"",IF(col_days=0,0,N(INDEX('Paste Export'!$A$2:$BZ$1001,$A802,col_days))))</f>
        <v/>
      </c>
      <c r="D802" s="24" t="str">
        <f>IF($A802&gt;nrows,"",IF(col_prompts=0,0,N(INDEX('Paste Export'!$A$2:$BZ$1001,$A802,col_prompts))))</f>
        <v/>
      </c>
      <c r="E802" s="24" t="str">
        <f>IF($A802&gt;nrows,"",IF(col_web=0,0,N(INDEX('Paste Export'!$A$2:$BZ$1001,$A802,col_web))))</f>
        <v/>
      </c>
      <c r="F802" s="26" t="str">
        <f t="shared" si="85"/>
        <v/>
      </c>
      <c r="G802" s="27" t="str">
        <f t="shared" si="86"/>
        <v/>
      </c>
      <c r="H802" s="24" t="str">
        <f>IF($A802&gt;nrows,"",IF(col_s1=0,0,--(LEN(INDEX('Paste Export'!$A$2:$BZ$1001,$A802,col_s1))&gt;0))+IF(col_s2=0,0,--(LEN(INDEX('Paste Export'!$A$2:$BZ$1001,$A802,col_s2))&gt;0))+IF(col_s3=0,0,--(LEN(INDEX('Paste Export'!$A$2:$BZ$1001,$A802,col_s3))&gt;0))+IF(col_s4=0,0,--(LEN(INDEX('Paste Export'!$A$2:$BZ$1001,$A802,col_s4))&gt;0))+IF(col_s5=0,0,--(LEN(INDEX('Paste Export'!$A$2:$BZ$1001,$A802,col_s5))&gt;0))+IF(col_s6=0,0,--(LEN(INDEX('Paste Export'!$A$2:$BZ$1001,$A802,col_s6))&gt;0))+IF(col_s7=0,0,--(LEN(INDEX('Paste Export'!$A$2:$BZ$1001,$A802,col_s7))&gt;0))+IF(col_s8=0,0,--(LEN(INDEX('Paste Export'!$A$2:$BZ$1001,$A802,col_s8))&gt;0)))</f>
        <v/>
      </c>
      <c r="I802" s="25" t="str">
        <f t="shared" si="87"/>
        <v/>
      </c>
      <c r="J802" s="25" t="str">
        <f t="shared" si="88"/>
        <v/>
      </c>
      <c r="K802" s="24" t="str">
        <f t="shared" si="89"/>
        <v/>
      </c>
      <c r="L802" s="24" t="str">
        <f t="shared" si="90"/>
        <v/>
      </c>
    </row>
    <row r="803" spans="1:12" x14ac:dyDescent="0.25">
      <c r="A803" s="24">
        <f t="shared" si="84"/>
        <v>802</v>
      </c>
      <c r="B803" s="25" t="str">
        <f>IF($A803&gt;nrows,"",IF(col_user=0,"",INDEX('Paste Export'!$A$2:$BZ$1001,$A803,col_user)))</f>
        <v/>
      </c>
      <c r="C803" s="24" t="str">
        <f>IF($A803&gt;nrows,"",IF(col_days=0,0,N(INDEX('Paste Export'!$A$2:$BZ$1001,$A803,col_days))))</f>
        <v/>
      </c>
      <c r="D803" s="24" t="str">
        <f>IF($A803&gt;nrows,"",IF(col_prompts=0,0,N(INDEX('Paste Export'!$A$2:$BZ$1001,$A803,col_prompts))))</f>
        <v/>
      </c>
      <c r="E803" s="24" t="str">
        <f>IF($A803&gt;nrows,"",IF(col_web=0,0,N(INDEX('Paste Export'!$A$2:$BZ$1001,$A803,col_web))))</f>
        <v/>
      </c>
      <c r="F803" s="26" t="str">
        <f t="shared" si="85"/>
        <v/>
      </c>
      <c r="G803" s="27" t="str">
        <f t="shared" si="86"/>
        <v/>
      </c>
      <c r="H803" s="24" t="str">
        <f>IF($A803&gt;nrows,"",IF(col_s1=0,0,--(LEN(INDEX('Paste Export'!$A$2:$BZ$1001,$A803,col_s1))&gt;0))+IF(col_s2=0,0,--(LEN(INDEX('Paste Export'!$A$2:$BZ$1001,$A803,col_s2))&gt;0))+IF(col_s3=0,0,--(LEN(INDEX('Paste Export'!$A$2:$BZ$1001,$A803,col_s3))&gt;0))+IF(col_s4=0,0,--(LEN(INDEX('Paste Export'!$A$2:$BZ$1001,$A803,col_s4))&gt;0))+IF(col_s5=0,0,--(LEN(INDEX('Paste Export'!$A$2:$BZ$1001,$A803,col_s5))&gt;0))+IF(col_s6=0,0,--(LEN(INDEX('Paste Export'!$A$2:$BZ$1001,$A803,col_s6))&gt;0))+IF(col_s7=0,0,--(LEN(INDEX('Paste Export'!$A$2:$BZ$1001,$A803,col_s7))&gt;0))+IF(col_s8=0,0,--(LEN(INDEX('Paste Export'!$A$2:$BZ$1001,$A803,col_s8))&gt;0)))</f>
        <v/>
      </c>
      <c r="I803" s="25" t="str">
        <f t="shared" si="87"/>
        <v/>
      </c>
      <c r="J803" s="25" t="str">
        <f t="shared" si="88"/>
        <v/>
      </c>
      <c r="K803" s="24" t="str">
        <f t="shared" si="89"/>
        <v/>
      </c>
      <c r="L803" s="24" t="str">
        <f t="shared" si="90"/>
        <v/>
      </c>
    </row>
    <row r="804" spans="1:12" x14ac:dyDescent="0.25">
      <c r="A804" s="24">
        <f t="shared" si="84"/>
        <v>803</v>
      </c>
      <c r="B804" s="25" t="str">
        <f>IF($A804&gt;nrows,"",IF(col_user=0,"",INDEX('Paste Export'!$A$2:$BZ$1001,$A804,col_user)))</f>
        <v/>
      </c>
      <c r="C804" s="24" t="str">
        <f>IF($A804&gt;nrows,"",IF(col_days=0,0,N(INDEX('Paste Export'!$A$2:$BZ$1001,$A804,col_days))))</f>
        <v/>
      </c>
      <c r="D804" s="24" t="str">
        <f>IF($A804&gt;nrows,"",IF(col_prompts=0,0,N(INDEX('Paste Export'!$A$2:$BZ$1001,$A804,col_prompts))))</f>
        <v/>
      </c>
      <c r="E804" s="24" t="str">
        <f>IF($A804&gt;nrows,"",IF(col_web=0,0,N(INDEX('Paste Export'!$A$2:$BZ$1001,$A804,col_web))))</f>
        <v/>
      </c>
      <c r="F804" s="26" t="str">
        <f t="shared" si="85"/>
        <v/>
      </c>
      <c r="G804" s="27" t="str">
        <f t="shared" si="86"/>
        <v/>
      </c>
      <c r="H804" s="24" t="str">
        <f>IF($A804&gt;nrows,"",IF(col_s1=0,0,--(LEN(INDEX('Paste Export'!$A$2:$BZ$1001,$A804,col_s1))&gt;0))+IF(col_s2=0,0,--(LEN(INDEX('Paste Export'!$A$2:$BZ$1001,$A804,col_s2))&gt;0))+IF(col_s3=0,0,--(LEN(INDEX('Paste Export'!$A$2:$BZ$1001,$A804,col_s3))&gt;0))+IF(col_s4=0,0,--(LEN(INDEX('Paste Export'!$A$2:$BZ$1001,$A804,col_s4))&gt;0))+IF(col_s5=0,0,--(LEN(INDEX('Paste Export'!$A$2:$BZ$1001,$A804,col_s5))&gt;0))+IF(col_s6=0,0,--(LEN(INDEX('Paste Export'!$A$2:$BZ$1001,$A804,col_s6))&gt;0))+IF(col_s7=0,0,--(LEN(INDEX('Paste Export'!$A$2:$BZ$1001,$A804,col_s7))&gt;0))+IF(col_s8=0,0,--(LEN(INDEX('Paste Export'!$A$2:$BZ$1001,$A804,col_s8))&gt;0)))</f>
        <v/>
      </c>
      <c r="I804" s="25" t="str">
        <f t="shared" si="87"/>
        <v/>
      </c>
      <c r="J804" s="25" t="str">
        <f t="shared" si="88"/>
        <v/>
      </c>
      <c r="K804" s="24" t="str">
        <f t="shared" si="89"/>
        <v/>
      </c>
      <c r="L804" s="24" t="str">
        <f t="shared" si="90"/>
        <v/>
      </c>
    </row>
    <row r="805" spans="1:12" x14ac:dyDescent="0.25">
      <c r="A805" s="24">
        <f t="shared" si="84"/>
        <v>804</v>
      </c>
      <c r="B805" s="25" t="str">
        <f>IF($A805&gt;nrows,"",IF(col_user=0,"",INDEX('Paste Export'!$A$2:$BZ$1001,$A805,col_user)))</f>
        <v/>
      </c>
      <c r="C805" s="24" t="str">
        <f>IF($A805&gt;nrows,"",IF(col_days=0,0,N(INDEX('Paste Export'!$A$2:$BZ$1001,$A805,col_days))))</f>
        <v/>
      </c>
      <c r="D805" s="24" t="str">
        <f>IF($A805&gt;nrows,"",IF(col_prompts=0,0,N(INDEX('Paste Export'!$A$2:$BZ$1001,$A805,col_prompts))))</f>
        <v/>
      </c>
      <c r="E805" s="24" t="str">
        <f>IF($A805&gt;nrows,"",IF(col_web=0,0,N(INDEX('Paste Export'!$A$2:$BZ$1001,$A805,col_web))))</f>
        <v/>
      </c>
      <c r="F805" s="26" t="str">
        <f t="shared" si="85"/>
        <v/>
      </c>
      <c r="G805" s="27" t="str">
        <f t="shared" si="86"/>
        <v/>
      </c>
      <c r="H805" s="24" t="str">
        <f>IF($A805&gt;nrows,"",IF(col_s1=0,0,--(LEN(INDEX('Paste Export'!$A$2:$BZ$1001,$A805,col_s1))&gt;0))+IF(col_s2=0,0,--(LEN(INDEX('Paste Export'!$A$2:$BZ$1001,$A805,col_s2))&gt;0))+IF(col_s3=0,0,--(LEN(INDEX('Paste Export'!$A$2:$BZ$1001,$A805,col_s3))&gt;0))+IF(col_s4=0,0,--(LEN(INDEX('Paste Export'!$A$2:$BZ$1001,$A805,col_s4))&gt;0))+IF(col_s5=0,0,--(LEN(INDEX('Paste Export'!$A$2:$BZ$1001,$A805,col_s5))&gt;0))+IF(col_s6=0,0,--(LEN(INDEX('Paste Export'!$A$2:$BZ$1001,$A805,col_s6))&gt;0))+IF(col_s7=0,0,--(LEN(INDEX('Paste Export'!$A$2:$BZ$1001,$A805,col_s7))&gt;0))+IF(col_s8=0,0,--(LEN(INDEX('Paste Export'!$A$2:$BZ$1001,$A805,col_s8))&gt;0)))</f>
        <v/>
      </c>
      <c r="I805" s="25" t="str">
        <f t="shared" si="87"/>
        <v/>
      </c>
      <c r="J805" s="25" t="str">
        <f t="shared" si="88"/>
        <v/>
      </c>
      <c r="K805" s="24" t="str">
        <f t="shared" si="89"/>
        <v/>
      </c>
      <c r="L805" s="24" t="str">
        <f t="shared" si="90"/>
        <v/>
      </c>
    </row>
    <row r="806" spans="1:12" x14ac:dyDescent="0.25">
      <c r="A806" s="24">
        <f t="shared" si="84"/>
        <v>805</v>
      </c>
      <c r="B806" s="25" t="str">
        <f>IF($A806&gt;nrows,"",IF(col_user=0,"",INDEX('Paste Export'!$A$2:$BZ$1001,$A806,col_user)))</f>
        <v/>
      </c>
      <c r="C806" s="24" t="str">
        <f>IF($A806&gt;nrows,"",IF(col_days=0,0,N(INDEX('Paste Export'!$A$2:$BZ$1001,$A806,col_days))))</f>
        <v/>
      </c>
      <c r="D806" s="24" t="str">
        <f>IF($A806&gt;nrows,"",IF(col_prompts=0,0,N(INDEX('Paste Export'!$A$2:$BZ$1001,$A806,col_prompts))))</f>
        <v/>
      </c>
      <c r="E806" s="24" t="str">
        <f>IF($A806&gt;nrows,"",IF(col_web=0,0,N(INDEX('Paste Export'!$A$2:$BZ$1001,$A806,col_web))))</f>
        <v/>
      </c>
      <c r="F806" s="26" t="str">
        <f t="shared" si="85"/>
        <v/>
      </c>
      <c r="G806" s="27" t="str">
        <f t="shared" si="86"/>
        <v/>
      </c>
      <c r="H806" s="24" t="str">
        <f>IF($A806&gt;nrows,"",IF(col_s1=0,0,--(LEN(INDEX('Paste Export'!$A$2:$BZ$1001,$A806,col_s1))&gt;0))+IF(col_s2=0,0,--(LEN(INDEX('Paste Export'!$A$2:$BZ$1001,$A806,col_s2))&gt;0))+IF(col_s3=0,0,--(LEN(INDEX('Paste Export'!$A$2:$BZ$1001,$A806,col_s3))&gt;0))+IF(col_s4=0,0,--(LEN(INDEX('Paste Export'!$A$2:$BZ$1001,$A806,col_s4))&gt;0))+IF(col_s5=0,0,--(LEN(INDEX('Paste Export'!$A$2:$BZ$1001,$A806,col_s5))&gt;0))+IF(col_s6=0,0,--(LEN(INDEX('Paste Export'!$A$2:$BZ$1001,$A806,col_s6))&gt;0))+IF(col_s7=0,0,--(LEN(INDEX('Paste Export'!$A$2:$BZ$1001,$A806,col_s7))&gt;0))+IF(col_s8=0,0,--(LEN(INDEX('Paste Export'!$A$2:$BZ$1001,$A806,col_s8))&gt;0)))</f>
        <v/>
      </c>
      <c r="I806" s="25" t="str">
        <f t="shared" si="87"/>
        <v/>
      </c>
      <c r="J806" s="25" t="str">
        <f t="shared" si="88"/>
        <v/>
      </c>
      <c r="K806" s="24" t="str">
        <f t="shared" si="89"/>
        <v/>
      </c>
      <c r="L806" s="24" t="str">
        <f t="shared" si="90"/>
        <v/>
      </c>
    </row>
    <row r="807" spans="1:12" x14ac:dyDescent="0.25">
      <c r="A807" s="24">
        <f t="shared" si="84"/>
        <v>806</v>
      </c>
      <c r="B807" s="25" t="str">
        <f>IF($A807&gt;nrows,"",IF(col_user=0,"",INDEX('Paste Export'!$A$2:$BZ$1001,$A807,col_user)))</f>
        <v/>
      </c>
      <c r="C807" s="24" t="str">
        <f>IF($A807&gt;nrows,"",IF(col_days=0,0,N(INDEX('Paste Export'!$A$2:$BZ$1001,$A807,col_days))))</f>
        <v/>
      </c>
      <c r="D807" s="24" t="str">
        <f>IF($A807&gt;nrows,"",IF(col_prompts=0,0,N(INDEX('Paste Export'!$A$2:$BZ$1001,$A807,col_prompts))))</f>
        <v/>
      </c>
      <c r="E807" s="24" t="str">
        <f>IF($A807&gt;nrows,"",IF(col_web=0,0,N(INDEX('Paste Export'!$A$2:$BZ$1001,$A807,col_web))))</f>
        <v/>
      </c>
      <c r="F807" s="26" t="str">
        <f t="shared" si="85"/>
        <v/>
      </c>
      <c r="G807" s="27" t="str">
        <f t="shared" si="86"/>
        <v/>
      </c>
      <c r="H807" s="24" t="str">
        <f>IF($A807&gt;nrows,"",IF(col_s1=0,0,--(LEN(INDEX('Paste Export'!$A$2:$BZ$1001,$A807,col_s1))&gt;0))+IF(col_s2=0,0,--(LEN(INDEX('Paste Export'!$A$2:$BZ$1001,$A807,col_s2))&gt;0))+IF(col_s3=0,0,--(LEN(INDEX('Paste Export'!$A$2:$BZ$1001,$A807,col_s3))&gt;0))+IF(col_s4=0,0,--(LEN(INDEX('Paste Export'!$A$2:$BZ$1001,$A807,col_s4))&gt;0))+IF(col_s5=0,0,--(LEN(INDEX('Paste Export'!$A$2:$BZ$1001,$A807,col_s5))&gt;0))+IF(col_s6=0,0,--(LEN(INDEX('Paste Export'!$A$2:$BZ$1001,$A807,col_s6))&gt;0))+IF(col_s7=0,0,--(LEN(INDEX('Paste Export'!$A$2:$BZ$1001,$A807,col_s7))&gt;0))+IF(col_s8=0,0,--(LEN(INDEX('Paste Export'!$A$2:$BZ$1001,$A807,col_s8))&gt;0)))</f>
        <v/>
      </c>
      <c r="I807" s="25" t="str">
        <f t="shared" si="87"/>
        <v/>
      </c>
      <c r="J807" s="25" t="str">
        <f t="shared" si="88"/>
        <v/>
      </c>
      <c r="K807" s="24" t="str">
        <f t="shared" si="89"/>
        <v/>
      </c>
      <c r="L807" s="24" t="str">
        <f t="shared" si="90"/>
        <v/>
      </c>
    </row>
    <row r="808" spans="1:12" x14ac:dyDescent="0.25">
      <c r="A808" s="24">
        <f t="shared" si="84"/>
        <v>807</v>
      </c>
      <c r="B808" s="25" t="str">
        <f>IF($A808&gt;nrows,"",IF(col_user=0,"",INDEX('Paste Export'!$A$2:$BZ$1001,$A808,col_user)))</f>
        <v/>
      </c>
      <c r="C808" s="24" t="str">
        <f>IF($A808&gt;nrows,"",IF(col_days=0,0,N(INDEX('Paste Export'!$A$2:$BZ$1001,$A808,col_days))))</f>
        <v/>
      </c>
      <c r="D808" s="24" t="str">
        <f>IF($A808&gt;nrows,"",IF(col_prompts=0,0,N(INDEX('Paste Export'!$A$2:$BZ$1001,$A808,col_prompts))))</f>
        <v/>
      </c>
      <c r="E808" s="24" t="str">
        <f>IF($A808&gt;nrows,"",IF(col_web=0,0,N(INDEX('Paste Export'!$A$2:$BZ$1001,$A808,col_web))))</f>
        <v/>
      </c>
      <c r="F808" s="26" t="str">
        <f t="shared" si="85"/>
        <v/>
      </c>
      <c r="G808" s="27" t="str">
        <f t="shared" si="86"/>
        <v/>
      </c>
      <c r="H808" s="24" t="str">
        <f>IF($A808&gt;nrows,"",IF(col_s1=0,0,--(LEN(INDEX('Paste Export'!$A$2:$BZ$1001,$A808,col_s1))&gt;0))+IF(col_s2=0,0,--(LEN(INDEX('Paste Export'!$A$2:$BZ$1001,$A808,col_s2))&gt;0))+IF(col_s3=0,0,--(LEN(INDEX('Paste Export'!$A$2:$BZ$1001,$A808,col_s3))&gt;0))+IF(col_s4=0,0,--(LEN(INDEX('Paste Export'!$A$2:$BZ$1001,$A808,col_s4))&gt;0))+IF(col_s5=0,0,--(LEN(INDEX('Paste Export'!$A$2:$BZ$1001,$A808,col_s5))&gt;0))+IF(col_s6=0,0,--(LEN(INDEX('Paste Export'!$A$2:$BZ$1001,$A808,col_s6))&gt;0))+IF(col_s7=0,0,--(LEN(INDEX('Paste Export'!$A$2:$BZ$1001,$A808,col_s7))&gt;0))+IF(col_s8=0,0,--(LEN(INDEX('Paste Export'!$A$2:$BZ$1001,$A808,col_s8))&gt;0)))</f>
        <v/>
      </c>
      <c r="I808" s="25" t="str">
        <f t="shared" si="87"/>
        <v/>
      </c>
      <c r="J808" s="25" t="str">
        <f t="shared" si="88"/>
        <v/>
      </c>
      <c r="K808" s="24" t="str">
        <f t="shared" si="89"/>
        <v/>
      </c>
      <c r="L808" s="24" t="str">
        <f t="shared" si="90"/>
        <v/>
      </c>
    </row>
    <row r="809" spans="1:12" x14ac:dyDescent="0.25">
      <c r="A809" s="24">
        <f t="shared" si="84"/>
        <v>808</v>
      </c>
      <c r="B809" s="25" t="str">
        <f>IF($A809&gt;nrows,"",IF(col_user=0,"",INDEX('Paste Export'!$A$2:$BZ$1001,$A809,col_user)))</f>
        <v/>
      </c>
      <c r="C809" s="24" t="str">
        <f>IF($A809&gt;nrows,"",IF(col_days=0,0,N(INDEX('Paste Export'!$A$2:$BZ$1001,$A809,col_days))))</f>
        <v/>
      </c>
      <c r="D809" s="24" t="str">
        <f>IF($A809&gt;nrows,"",IF(col_prompts=0,0,N(INDEX('Paste Export'!$A$2:$BZ$1001,$A809,col_prompts))))</f>
        <v/>
      </c>
      <c r="E809" s="24" t="str">
        <f>IF($A809&gt;nrows,"",IF(col_web=0,0,N(INDEX('Paste Export'!$A$2:$BZ$1001,$A809,col_web))))</f>
        <v/>
      </c>
      <c r="F809" s="26" t="str">
        <f t="shared" si="85"/>
        <v/>
      </c>
      <c r="G809" s="27" t="str">
        <f t="shared" si="86"/>
        <v/>
      </c>
      <c r="H809" s="24" t="str">
        <f>IF($A809&gt;nrows,"",IF(col_s1=0,0,--(LEN(INDEX('Paste Export'!$A$2:$BZ$1001,$A809,col_s1))&gt;0))+IF(col_s2=0,0,--(LEN(INDEX('Paste Export'!$A$2:$BZ$1001,$A809,col_s2))&gt;0))+IF(col_s3=0,0,--(LEN(INDEX('Paste Export'!$A$2:$BZ$1001,$A809,col_s3))&gt;0))+IF(col_s4=0,0,--(LEN(INDEX('Paste Export'!$A$2:$BZ$1001,$A809,col_s4))&gt;0))+IF(col_s5=0,0,--(LEN(INDEX('Paste Export'!$A$2:$BZ$1001,$A809,col_s5))&gt;0))+IF(col_s6=0,0,--(LEN(INDEX('Paste Export'!$A$2:$BZ$1001,$A809,col_s6))&gt;0))+IF(col_s7=0,0,--(LEN(INDEX('Paste Export'!$A$2:$BZ$1001,$A809,col_s7))&gt;0))+IF(col_s8=0,0,--(LEN(INDEX('Paste Export'!$A$2:$BZ$1001,$A809,col_s8))&gt;0)))</f>
        <v/>
      </c>
      <c r="I809" s="25" t="str">
        <f t="shared" si="87"/>
        <v/>
      </c>
      <c r="J809" s="25" t="str">
        <f t="shared" si="88"/>
        <v/>
      </c>
      <c r="K809" s="24" t="str">
        <f t="shared" si="89"/>
        <v/>
      </c>
      <c r="L809" s="24" t="str">
        <f t="shared" si="90"/>
        <v/>
      </c>
    </row>
    <row r="810" spans="1:12" x14ac:dyDescent="0.25">
      <c r="A810" s="24">
        <f t="shared" si="84"/>
        <v>809</v>
      </c>
      <c r="B810" s="25" t="str">
        <f>IF($A810&gt;nrows,"",IF(col_user=0,"",INDEX('Paste Export'!$A$2:$BZ$1001,$A810,col_user)))</f>
        <v/>
      </c>
      <c r="C810" s="24" t="str">
        <f>IF($A810&gt;nrows,"",IF(col_days=0,0,N(INDEX('Paste Export'!$A$2:$BZ$1001,$A810,col_days))))</f>
        <v/>
      </c>
      <c r="D810" s="24" t="str">
        <f>IF($A810&gt;nrows,"",IF(col_prompts=0,0,N(INDEX('Paste Export'!$A$2:$BZ$1001,$A810,col_prompts))))</f>
        <v/>
      </c>
      <c r="E810" s="24" t="str">
        <f>IF($A810&gt;nrows,"",IF(col_web=0,0,N(INDEX('Paste Export'!$A$2:$BZ$1001,$A810,col_web))))</f>
        <v/>
      </c>
      <c r="F810" s="26" t="str">
        <f t="shared" si="85"/>
        <v/>
      </c>
      <c r="G810" s="27" t="str">
        <f t="shared" si="86"/>
        <v/>
      </c>
      <c r="H810" s="24" t="str">
        <f>IF($A810&gt;nrows,"",IF(col_s1=0,0,--(LEN(INDEX('Paste Export'!$A$2:$BZ$1001,$A810,col_s1))&gt;0))+IF(col_s2=0,0,--(LEN(INDEX('Paste Export'!$A$2:$BZ$1001,$A810,col_s2))&gt;0))+IF(col_s3=0,0,--(LEN(INDEX('Paste Export'!$A$2:$BZ$1001,$A810,col_s3))&gt;0))+IF(col_s4=0,0,--(LEN(INDEX('Paste Export'!$A$2:$BZ$1001,$A810,col_s4))&gt;0))+IF(col_s5=0,0,--(LEN(INDEX('Paste Export'!$A$2:$BZ$1001,$A810,col_s5))&gt;0))+IF(col_s6=0,0,--(LEN(INDEX('Paste Export'!$A$2:$BZ$1001,$A810,col_s6))&gt;0))+IF(col_s7=0,0,--(LEN(INDEX('Paste Export'!$A$2:$BZ$1001,$A810,col_s7))&gt;0))+IF(col_s8=0,0,--(LEN(INDEX('Paste Export'!$A$2:$BZ$1001,$A810,col_s8))&gt;0)))</f>
        <v/>
      </c>
      <c r="I810" s="25" t="str">
        <f t="shared" si="87"/>
        <v/>
      </c>
      <c r="J810" s="25" t="str">
        <f t="shared" si="88"/>
        <v/>
      </c>
      <c r="K810" s="24" t="str">
        <f t="shared" si="89"/>
        <v/>
      </c>
      <c r="L810" s="24" t="str">
        <f t="shared" si="90"/>
        <v/>
      </c>
    </row>
    <row r="811" spans="1:12" x14ac:dyDescent="0.25">
      <c r="A811" s="24">
        <f t="shared" si="84"/>
        <v>810</v>
      </c>
      <c r="B811" s="25" t="str">
        <f>IF($A811&gt;nrows,"",IF(col_user=0,"",INDEX('Paste Export'!$A$2:$BZ$1001,$A811,col_user)))</f>
        <v/>
      </c>
      <c r="C811" s="24" t="str">
        <f>IF($A811&gt;nrows,"",IF(col_days=0,0,N(INDEX('Paste Export'!$A$2:$BZ$1001,$A811,col_days))))</f>
        <v/>
      </c>
      <c r="D811" s="24" t="str">
        <f>IF($A811&gt;nrows,"",IF(col_prompts=0,0,N(INDEX('Paste Export'!$A$2:$BZ$1001,$A811,col_prompts))))</f>
        <v/>
      </c>
      <c r="E811" s="24" t="str">
        <f>IF($A811&gt;nrows,"",IF(col_web=0,0,N(INDEX('Paste Export'!$A$2:$BZ$1001,$A811,col_web))))</f>
        <v/>
      </c>
      <c r="F811" s="26" t="str">
        <f t="shared" si="85"/>
        <v/>
      </c>
      <c r="G811" s="27" t="str">
        <f t="shared" si="86"/>
        <v/>
      </c>
      <c r="H811" s="24" t="str">
        <f>IF($A811&gt;nrows,"",IF(col_s1=0,0,--(LEN(INDEX('Paste Export'!$A$2:$BZ$1001,$A811,col_s1))&gt;0))+IF(col_s2=0,0,--(LEN(INDEX('Paste Export'!$A$2:$BZ$1001,$A811,col_s2))&gt;0))+IF(col_s3=0,0,--(LEN(INDEX('Paste Export'!$A$2:$BZ$1001,$A811,col_s3))&gt;0))+IF(col_s4=0,0,--(LEN(INDEX('Paste Export'!$A$2:$BZ$1001,$A811,col_s4))&gt;0))+IF(col_s5=0,0,--(LEN(INDEX('Paste Export'!$A$2:$BZ$1001,$A811,col_s5))&gt;0))+IF(col_s6=0,0,--(LEN(INDEX('Paste Export'!$A$2:$BZ$1001,$A811,col_s6))&gt;0))+IF(col_s7=0,0,--(LEN(INDEX('Paste Export'!$A$2:$BZ$1001,$A811,col_s7))&gt;0))+IF(col_s8=0,0,--(LEN(INDEX('Paste Export'!$A$2:$BZ$1001,$A811,col_s8))&gt;0)))</f>
        <v/>
      </c>
      <c r="I811" s="25" t="str">
        <f t="shared" si="87"/>
        <v/>
      </c>
      <c r="J811" s="25" t="str">
        <f t="shared" si="88"/>
        <v/>
      </c>
      <c r="K811" s="24" t="str">
        <f t="shared" si="89"/>
        <v/>
      </c>
      <c r="L811" s="24" t="str">
        <f t="shared" si="90"/>
        <v/>
      </c>
    </row>
    <row r="812" spans="1:12" x14ac:dyDescent="0.25">
      <c r="A812" s="24">
        <f t="shared" si="84"/>
        <v>811</v>
      </c>
      <c r="B812" s="25" t="str">
        <f>IF($A812&gt;nrows,"",IF(col_user=0,"",INDEX('Paste Export'!$A$2:$BZ$1001,$A812,col_user)))</f>
        <v/>
      </c>
      <c r="C812" s="24" t="str">
        <f>IF($A812&gt;nrows,"",IF(col_days=0,0,N(INDEX('Paste Export'!$A$2:$BZ$1001,$A812,col_days))))</f>
        <v/>
      </c>
      <c r="D812" s="24" t="str">
        <f>IF($A812&gt;nrows,"",IF(col_prompts=0,0,N(INDEX('Paste Export'!$A$2:$BZ$1001,$A812,col_prompts))))</f>
        <v/>
      </c>
      <c r="E812" s="24" t="str">
        <f>IF($A812&gt;nrows,"",IF(col_web=0,0,N(INDEX('Paste Export'!$A$2:$BZ$1001,$A812,col_web))))</f>
        <v/>
      </c>
      <c r="F812" s="26" t="str">
        <f t="shared" si="85"/>
        <v/>
      </c>
      <c r="G812" s="27" t="str">
        <f t="shared" si="86"/>
        <v/>
      </c>
      <c r="H812" s="24" t="str">
        <f>IF($A812&gt;nrows,"",IF(col_s1=0,0,--(LEN(INDEX('Paste Export'!$A$2:$BZ$1001,$A812,col_s1))&gt;0))+IF(col_s2=0,0,--(LEN(INDEX('Paste Export'!$A$2:$BZ$1001,$A812,col_s2))&gt;0))+IF(col_s3=0,0,--(LEN(INDEX('Paste Export'!$A$2:$BZ$1001,$A812,col_s3))&gt;0))+IF(col_s4=0,0,--(LEN(INDEX('Paste Export'!$A$2:$BZ$1001,$A812,col_s4))&gt;0))+IF(col_s5=0,0,--(LEN(INDEX('Paste Export'!$A$2:$BZ$1001,$A812,col_s5))&gt;0))+IF(col_s6=0,0,--(LEN(INDEX('Paste Export'!$A$2:$BZ$1001,$A812,col_s6))&gt;0))+IF(col_s7=0,0,--(LEN(INDEX('Paste Export'!$A$2:$BZ$1001,$A812,col_s7))&gt;0))+IF(col_s8=0,0,--(LEN(INDEX('Paste Export'!$A$2:$BZ$1001,$A812,col_s8))&gt;0)))</f>
        <v/>
      </c>
      <c r="I812" s="25" t="str">
        <f t="shared" si="87"/>
        <v/>
      </c>
      <c r="J812" s="25" t="str">
        <f t="shared" si="88"/>
        <v/>
      </c>
      <c r="K812" s="24" t="str">
        <f t="shared" si="89"/>
        <v/>
      </c>
      <c r="L812" s="24" t="str">
        <f t="shared" si="90"/>
        <v/>
      </c>
    </row>
    <row r="813" spans="1:12" x14ac:dyDescent="0.25">
      <c r="A813" s="24">
        <f t="shared" si="84"/>
        <v>812</v>
      </c>
      <c r="B813" s="25" t="str">
        <f>IF($A813&gt;nrows,"",IF(col_user=0,"",INDEX('Paste Export'!$A$2:$BZ$1001,$A813,col_user)))</f>
        <v/>
      </c>
      <c r="C813" s="24" t="str">
        <f>IF($A813&gt;nrows,"",IF(col_days=0,0,N(INDEX('Paste Export'!$A$2:$BZ$1001,$A813,col_days))))</f>
        <v/>
      </c>
      <c r="D813" s="24" t="str">
        <f>IF($A813&gt;nrows,"",IF(col_prompts=0,0,N(INDEX('Paste Export'!$A$2:$BZ$1001,$A813,col_prompts))))</f>
        <v/>
      </c>
      <c r="E813" s="24" t="str">
        <f>IF($A813&gt;nrows,"",IF(col_web=0,0,N(INDEX('Paste Export'!$A$2:$BZ$1001,$A813,col_web))))</f>
        <v/>
      </c>
      <c r="F813" s="26" t="str">
        <f t="shared" si="85"/>
        <v/>
      </c>
      <c r="G813" s="27" t="str">
        <f t="shared" si="86"/>
        <v/>
      </c>
      <c r="H813" s="24" t="str">
        <f>IF($A813&gt;nrows,"",IF(col_s1=0,0,--(LEN(INDEX('Paste Export'!$A$2:$BZ$1001,$A813,col_s1))&gt;0))+IF(col_s2=0,0,--(LEN(INDEX('Paste Export'!$A$2:$BZ$1001,$A813,col_s2))&gt;0))+IF(col_s3=0,0,--(LEN(INDEX('Paste Export'!$A$2:$BZ$1001,$A813,col_s3))&gt;0))+IF(col_s4=0,0,--(LEN(INDEX('Paste Export'!$A$2:$BZ$1001,$A813,col_s4))&gt;0))+IF(col_s5=0,0,--(LEN(INDEX('Paste Export'!$A$2:$BZ$1001,$A813,col_s5))&gt;0))+IF(col_s6=0,0,--(LEN(INDEX('Paste Export'!$A$2:$BZ$1001,$A813,col_s6))&gt;0))+IF(col_s7=0,0,--(LEN(INDEX('Paste Export'!$A$2:$BZ$1001,$A813,col_s7))&gt;0))+IF(col_s8=0,0,--(LEN(INDEX('Paste Export'!$A$2:$BZ$1001,$A813,col_s8))&gt;0)))</f>
        <v/>
      </c>
      <c r="I813" s="25" t="str">
        <f t="shared" si="87"/>
        <v/>
      </c>
      <c r="J813" s="25" t="str">
        <f t="shared" si="88"/>
        <v/>
      </c>
      <c r="K813" s="24" t="str">
        <f t="shared" si="89"/>
        <v/>
      </c>
      <c r="L813" s="24" t="str">
        <f t="shared" si="90"/>
        <v/>
      </c>
    </row>
    <row r="814" spans="1:12" x14ac:dyDescent="0.25">
      <c r="A814" s="24">
        <f t="shared" si="84"/>
        <v>813</v>
      </c>
      <c r="B814" s="25" t="str">
        <f>IF($A814&gt;nrows,"",IF(col_user=0,"",INDEX('Paste Export'!$A$2:$BZ$1001,$A814,col_user)))</f>
        <v/>
      </c>
      <c r="C814" s="24" t="str">
        <f>IF($A814&gt;nrows,"",IF(col_days=0,0,N(INDEX('Paste Export'!$A$2:$BZ$1001,$A814,col_days))))</f>
        <v/>
      </c>
      <c r="D814" s="24" t="str">
        <f>IF($A814&gt;nrows,"",IF(col_prompts=0,0,N(INDEX('Paste Export'!$A$2:$BZ$1001,$A814,col_prompts))))</f>
        <v/>
      </c>
      <c r="E814" s="24" t="str">
        <f>IF($A814&gt;nrows,"",IF(col_web=0,0,N(INDEX('Paste Export'!$A$2:$BZ$1001,$A814,col_web))))</f>
        <v/>
      </c>
      <c r="F814" s="26" t="str">
        <f t="shared" si="85"/>
        <v/>
      </c>
      <c r="G814" s="27" t="str">
        <f t="shared" si="86"/>
        <v/>
      </c>
      <c r="H814" s="24" t="str">
        <f>IF($A814&gt;nrows,"",IF(col_s1=0,0,--(LEN(INDEX('Paste Export'!$A$2:$BZ$1001,$A814,col_s1))&gt;0))+IF(col_s2=0,0,--(LEN(INDEX('Paste Export'!$A$2:$BZ$1001,$A814,col_s2))&gt;0))+IF(col_s3=0,0,--(LEN(INDEX('Paste Export'!$A$2:$BZ$1001,$A814,col_s3))&gt;0))+IF(col_s4=0,0,--(LEN(INDEX('Paste Export'!$A$2:$BZ$1001,$A814,col_s4))&gt;0))+IF(col_s5=0,0,--(LEN(INDEX('Paste Export'!$A$2:$BZ$1001,$A814,col_s5))&gt;0))+IF(col_s6=0,0,--(LEN(INDEX('Paste Export'!$A$2:$BZ$1001,$A814,col_s6))&gt;0))+IF(col_s7=0,0,--(LEN(INDEX('Paste Export'!$A$2:$BZ$1001,$A814,col_s7))&gt;0))+IF(col_s8=0,0,--(LEN(INDEX('Paste Export'!$A$2:$BZ$1001,$A814,col_s8))&gt;0)))</f>
        <v/>
      </c>
      <c r="I814" s="25" t="str">
        <f t="shared" si="87"/>
        <v/>
      </c>
      <c r="J814" s="25" t="str">
        <f t="shared" si="88"/>
        <v/>
      </c>
      <c r="K814" s="24" t="str">
        <f t="shared" si="89"/>
        <v/>
      </c>
      <c r="L814" s="24" t="str">
        <f t="shared" si="90"/>
        <v/>
      </c>
    </row>
    <row r="815" spans="1:12" x14ac:dyDescent="0.25">
      <c r="A815" s="24">
        <f t="shared" si="84"/>
        <v>814</v>
      </c>
      <c r="B815" s="25" t="str">
        <f>IF($A815&gt;nrows,"",IF(col_user=0,"",INDEX('Paste Export'!$A$2:$BZ$1001,$A815,col_user)))</f>
        <v/>
      </c>
      <c r="C815" s="24" t="str">
        <f>IF($A815&gt;nrows,"",IF(col_days=0,0,N(INDEX('Paste Export'!$A$2:$BZ$1001,$A815,col_days))))</f>
        <v/>
      </c>
      <c r="D815" s="24" t="str">
        <f>IF($A815&gt;nrows,"",IF(col_prompts=0,0,N(INDEX('Paste Export'!$A$2:$BZ$1001,$A815,col_prompts))))</f>
        <v/>
      </c>
      <c r="E815" s="24" t="str">
        <f>IF($A815&gt;nrows,"",IF(col_web=0,0,N(INDEX('Paste Export'!$A$2:$BZ$1001,$A815,col_web))))</f>
        <v/>
      </c>
      <c r="F815" s="26" t="str">
        <f t="shared" si="85"/>
        <v/>
      </c>
      <c r="G815" s="27" t="str">
        <f t="shared" si="86"/>
        <v/>
      </c>
      <c r="H815" s="24" t="str">
        <f>IF($A815&gt;nrows,"",IF(col_s1=0,0,--(LEN(INDEX('Paste Export'!$A$2:$BZ$1001,$A815,col_s1))&gt;0))+IF(col_s2=0,0,--(LEN(INDEX('Paste Export'!$A$2:$BZ$1001,$A815,col_s2))&gt;0))+IF(col_s3=0,0,--(LEN(INDEX('Paste Export'!$A$2:$BZ$1001,$A815,col_s3))&gt;0))+IF(col_s4=0,0,--(LEN(INDEX('Paste Export'!$A$2:$BZ$1001,$A815,col_s4))&gt;0))+IF(col_s5=0,0,--(LEN(INDEX('Paste Export'!$A$2:$BZ$1001,$A815,col_s5))&gt;0))+IF(col_s6=0,0,--(LEN(INDEX('Paste Export'!$A$2:$BZ$1001,$A815,col_s6))&gt;0))+IF(col_s7=0,0,--(LEN(INDEX('Paste Export'!$A$2:$BZ$1001,$A815,col_s7))&gt;0))+IF(col_s8=0,0,--(LEN(INDEX('Paste Export'!$A$2:$BZ$1001,$A815,col_s8))&gt;0)))</f>
        <v/>
      </c>
      <c r="I815" s="25" t="str">
        <f t="shared" si="87"/>
        <v/>
      </c>
      <c r="J815" s="25" t="str">
        <f t="shared" si="88"/>
        <v/>
      </c>
      <c r="K815" s="24" t="str">
        <f t="shared" si="89"/>
        <v/>
      </c>
      <c r="L815" s="24" t="str">
        <f t="shared" si="90"/>
        <v/>
      </c>
    </row>
    <row r="816" spans="1:12" x14ac:dyDescent="0.25">
      <c r="A816" s="24">
        <f t="shared" si="84"/>
        <v>815</v>
      </c>
      <c r="B816" s="25" t="str">
        <f>IF($A816&gt;nrows,"",IF(col_user=0,"",INDEX('Paste Export'!$A$2:$BZ$1001,$A816,col_user)))</f>
        <v/>
      </c>
      <c r="C816" s="24" t="str">
        <f>IF($A816&gt;nrows,"",IF(col_days=0,0,N(INDEX('Paste Export'!$A$2:$BZ$1001,$A816,col_days))))</f>
        <v/>
      </c>
      <c r="D816" s="24" t="str">
        <f>IF($A816&gt;nrows,"",IF(col_prompts=0,0,N(INDEX('Paste Export'!$A$2:$BZ$1001,$A816,col_prompts))))</f>
        <v/>
      </c>
      <c r="E816" s="24" t="str">
        <f>IF($A816&gt;nrows,"",IF(col_web=0,0,N(INDEX('Paste Export'!$A$2:$BZ$1001,$A816,col_web))))</f>
        <v/>
      </c>
      <c r="F816" s="26" t="str">
        <f t="shared" si="85"/>
        <v/>
      </c>
      <c r="G816" s="27" t="str">
        <f t="shared" si="86"/>
        <v/>
      </c>
      <c r="H816" s="24" t="str">
        <f>IF($A816&gt;nrows,"",IF(col_s1=0,0,--(LEN(INDEX('Paste Export'!$A$2:$BZ$1001,$A816,col_s1))&gt;0))+IF(col_s2=0,0,--(LEN(INDEX('Paste Export'!$A$2:$BZ$1001,$A816,col_s2))&gt;0))+IF(col_s3=0,0,--(LEN(INDEX('Paste Export'!$A$2:$BZ$1001,$A816,col_s3))&gt;0))+IF(col_s4=0,0,--(LEN(INDEX('Paste Export'!$A$2:$BZ$1001,$A816,col_s4))&gt;0))+IF(col_s5=0,0,--(LEN(INDEX('Paste Export'!$A$2:$BZ$1001,$A816,col_s5))&gt;0))+IF(col_s6=0,0,--(LEN(INDEX('Paste Export'!$A$2:$BZ$1001,$A816,col_s6))&gt;0))+IF(col_s7=0,0,--(LEN(INDEX('Paste Export'!$A$2:$BZ$1001,$A816,col_s7))&gt;0))+IF(col_s8=0,0,--(LEN(INDEX('Paste Export'!$A$2:$BZ$1001,$A816,col_s8))&gt;0)))</f>
        <v/>
      </c>
      <c r="I816" s="25" t="str">
        <f t="shared" si="87"/>
        <v/>
      </c>
      <c r="J816" s="25" t="str">
        <f t="shared" si="88"/>
        <v/>
      </c>
      <c r="K816" s="24" t="str">
        <f t="shared" si="89"/>
        <v/>
      </c>
      <c r="L816" s="24" t="str">
        <f t="shared" si="90"/>
        <v/>
      </c>
    </row>
    <row r="817" spans="1:12" x14ac:dyDescent="0.25">
      <c r="A817" s="24">
        <f t="shared" si="84"/>
        <v>816</v>
      </c>
      <c r="B817" s="25" t="str">
        <f>IF($A817&gt;nrows,"",IF(col_user=0,"",INDEX('Paste Export'!$A$2:$BZ$1001,$A817,col_user)))</f>
        <v/>
      </c>
      <c r="C817" s="24" t="str">
        <f>IF($A817&gt;nrows,"",IF(col_days=0,0,N(INDEX('Paste Export'!$A$2:$BZ$1001,$A817,col_days))))</f>
        <v/>
      </c>
      <c r="D817" s="24" t="str">
        <f>IF($A817&gt;nrows,"",IF(col_prompts=0,0,N(INDEX('Paste Export'!$A$2:$BZ$1001,$A817,col_prompts))))</f>
        <v/>
      </c>
      <c r="E817" s="24" t="str">
        <f>IF($A817&gt;nrows,"",IF(col_web=0,0,N(INDEX('Paste Export'!$A$2:$BZ$1001,$A817,col_web))))</f>
        <v/>
      </c>
      <c r="F817" s="26" t="str">
        <f t="shared" si="85"/>
        <v/>
      </c>
      <c r="G817" s="27" t="str">
        <f t="shared" si="86"/>
        <v/>
      </c>
      <c r="H817" s="24" t="str">
        <f>IF($A817&gt;nrows,"",IF(col_s1=0,0,--(LEN(INDEX('Paste Export'!$A$2:$BZ$1001,$A817,col_s1))&gt;0))+IF(col_s2=0,0,--(LEN(INDEX('Paste Export'!$A$2:$BZ$1001,$A817,col_s2))&gt;0))+IF(col_s3=0,0,--(LEN(INDEX('Paste Export'!$A$2:$BZ$1001,$A817,col_s3))&gt;0))+IF(col_s4=0,0,--(LEN(INDEX('Paste Export'!$A$2:$BZ$1001,$A817,col_s4))&gt;0))+IF(col_s5=0,0,--(LEN(INDEX('Paste Export'!$A$2:$BZ$1001,$A817,col_s5))&gt;0))+IF(col_s6=0,0,--(LEN(INDEX('Paste Export'!$A$2:$BZ$1001,$A817,col_s6))&gt;0))+IF(col_s7=0,0,--(LEN(INDEX('Paste Export'!$A$2:$BZ$1001,$A817,col_s7))&gt;0))+IF(col_s8=0,0,--(LEN(INDEX('Paste Export'!$A$2:$BZ$1001,$A817,col_s8))&gt;0)))</f>
        <v/>
      </c>
      <c r="I817" s="25" t="str">
        <f t="shared" si="87"/>
        <v/>
      </c>
      <c r="J817" s="25" t="str">
        <f t="shared" si="88"/>
        <v/>
      </c>
      <c r="K817" s="24" t="str">
        <f t="shared" si="89"/>
        <v/>
      </c>
      <c r="L817" s="24" t="str">
        <f t="shared" si="90"/>
        <v/>
      </c>
    </row>
    <row r="818" spans="1:12" x14ac:dyDescent="0.25">
      <c r="A818" s="24">
        <f t="shared" si="84"/>
        <v>817</v>
      </c>
      <c r="B818" s="25" t="str">
        <f>IF($A818&gt;nrows,"",IF(col_user=0,"",INDEX('Paste Export'!$A$2:$BZ$1001,$A818,col_user)))</f>
        <v/>
      </c>
      <c r="C818" s="24" t="str">
        <f>IF($A818&gt;nrows,"",IF(col_days=0,0,N(INDEX('Paste Export'!$A$2:$BZ$1001,$A818,col_days))))</f>
        <v/>
      </c>
      <c r="D818" s="24" t="str">
        <f>IF($A818&gt;nrows,"",IF(col_prompts=0,0,N(INDEX('Paste Export'!$A$2:$BZ$1001,$A818,col_prompts))))</f>
        <v/>
      </c>
      <c r="E818" s="24" t="str">
        <f>IF($A818&gt;nrows,"",IF(col_web=0,0,N(INDEX('Paste Export'!$A$2:$BZ$1001,$A818,col_web))))</f>
        <v/>
      </c>
      <c r="F818" s="26" t="str">
        <f t="shared" si="85"/>
        <v/>
      </c>
      <c r="G818" s="27" t="str">
        <f t="shared" si="86"/>
        <v/>
      </c>
      <c r="H818" s="24" t="str">
        <f>IF($A818&gt;nrows,"",IF(col_s1=0,0,--(LEN(INDEX('Paste Export'!$A$2:$BZ$1001,$A818,col_s1))&gt;0))+IF(col_s2=0,0,--(LEN(INDEX('Paste Export'!$A$2:$BZ$1001,$A818,col_s2))&gt;0))+IF(col_s3=0,0,--(LEN(INDEX('Paste Export'!$A$2:$BZ$1001,$A818,col_s3))&gt;0))+IF(col_s4=0,0,--(LEN(INDEX('Paste Export'!$A$2:$BZ$1001,$A818,col_s4))&gt;0))+IF(col_s5=0,0,--(LEN(INDEX('Paste Export'!$A$2:$BZ$1001,$A818,col_s5))&gt;0))+IF(col_s6=0,0,--(LEN(INDEX('Paste Export'!$A$2:$BZ$1001,$A818,col_s6))&gt;0))+IF(col_s7=0,0,--(LEN(INDEX('Paste Export'!$A$2:$BZ$1001,$A818,col_s7))&gt;0))+IF(col_s8=0,0,--(LEN(INDEX('Paste Export'!$A$2:$BZ$1001,$A818,col_s8))&gt;0)))</f>
        <v/>
      </c>
      <c r="I818" s="25" t="str">
        <f t="shared" si="87"/>
        <v/>
      </c>
      <c r="J818" s="25" t="str">
        <f t="shared" si="88"/>
        <v/>
      </c>
      <c r="K818" s="24" t="str">
        <f t="shared" si="89"/>
        <v/>
      </c>
      <c r="L818" s="24" t="str">
        <f t="shared" si="90"/>
        <v/>
      </c>
    </row>
    <row r="819" spans="1:12" x14ac:dyDescent="0.25">
      <c r="A819" s="24">
        <f t="shared" si="84"/>
        <v>818</v>
      </c>
      <c r="B819" s="25" t="str">
        <f>IF($A819&gt;nrows,"",IF(col_user=0,"",INDEX('Paste Export'!$A$2:$BZ$1001,$A819,col_user)))</f>
        <v/>
      </c>
      <c r="C819" s="24" t="str">
        <f>IF($A819&gt;nrows,"",IF(col_days=0,0,N(INDEX('Paste Export'!$A$2:$BZ$1001,$A819,col_days))))</f>
        <v/>
      </c>
      <c r="D819" s="24" t="str">
        <f>IF($A819&gt;nrows,"",IF(col_prompts=0,0,N(INDEX('Paste Export'!$A$2:$BZ$1001,$A819,col_prompts))))</f>
        <v/>
      </c>
      <c r="E819" s="24" t="str">
        <f>IF($A819&gt;nrows,"",IF(col_web=0,0,N(INDEX('Paste Export'!$A$2:$BZ$1001,$A819,col_web))))</f>
        <v/>
      </c>
      <c r="F819" s="26" t="str">
        <f t="shared" si="85"/>
        <v/>
      </c>
      <c r="G819" s="27" t="str">
        <f t="shared" si="86"/>
        <v/>
      </c>
      <c r="H819" s="24" t="str">
        <f>IF($A819&gt;nrows,"",IF(col_s1=0,0,--(LEN(INDEX('Paste Export'!$A$2:$BZ$1001,$A819,col_s1))&gt;0))+IF(col_s2=0,0,--(LEN(INDEX('Paste Export'!$A$2:$BZ$1001,$A819,col_s2))&gt;0))+IF(col_s3=0,0,--(LEN(INDEX('Paste Export'!$A$2:$BZ$1001,$A819,col_s3))&gt;0))+IF(col_s4=0,0,--(LEN(INDEX('Paste Export'!$A$2:$BZ$1001,$A819,col_s4))&gt;0))+IF(col_s5=0,0,--(LEN(INDEX('Paste Export'!$A$2:$BZ$1001,$A819,col_s5))&gt;0))+IF(col_s6=0,0,--(LEN(INDEX('Paste Export'!$A$2:$BZ$1001,$A819,col_s6))&gt;0))+IF(col_s7=0,0,--(LEN(INDEX('Paste Export'!$A$2:$BZ$1001,$A819,col_s7))&gt;0))+IF(col_s8=0,0,--(LEN(INDEX('Paste Export'!$A$2:$BZ$1001,$A819,col_s8))&gt;0)))</f>
        <v/>
      </c>
      <c r="I819" s="25" t="str">
        <f t="shared" si="87"/>
        <v/>
      </c>
      <c r="J819" s="25" t="str">
        <f t="shared" si="88"/>
        <v/>
      </c>
      <c r="K819" s="24" t="str">
        <f t="shared" si="89"/>
        <v/>
      </c>
      <c r="L819" s="24" t="str">
        <f t="shared" si="90"/>
        <v/>
      </c>
    </row>
    <row r="820" spans="1:12" x14ac:dyDescent="0.25">
      <c r="A820" s="24">
        <f t="shared" si="84"/>
        <v>819</v>
      </c>
      <c r="B820" s="25" t="str">
        <f>IF($A820&gt;nrows,"",IF(col_user=0,"",INDEX('Paste Export'!$A$2:$BZ$1001,$A820,col_user)))</f>
        <v/>
      </c>
      <c r="C820" s="24" t="str">
        <f>IF($A820&gt;nrows,"",IF(col_days=0,0,N(INDEX('Paste Export'!$A$2:$BZ$1001,$A820,col_days))))</f>
        <v/>
      </c>
      <c r="D820" s="24" t="str">
        <f>IF($A820&gt;nrows,"",IF(col_prompts=0,0,N(INDEX('Paste Export'!$A$2:$BZ$1001,$A820,col_prompts))))</f>
        <v/>
      </c>
      <c r="E820" s="24" t="str">
        <f>IF($A820&gt;nrows,"",IF(col_web=0,0,N(INDEX('Paste Export'!$A$2:$BZ$1001,$A820,col_web))))</f>
        <v/>
      </c>
      <c r="F820" s="26" t="str">
        <f t="shared" si="85"/>
        <v/>
      </c>
      <c r="G820" s="27" t="str">
        <f t="shared" si="86"/>
        <v/>
      </c>
      <c r="H820" s="24" t="str">
        <f>IF($A820&gt;nrows,"",IF(col_s1=0,0,--(LEN(INDEX('Paste Export'!$A$2:$BZ$1001,$A820,col_s1))&gt;0))+IF(col_s2=0,0,--(LEN(INDEX('Paste Export'!$A$2:$BZ$1001,$A820,col_s2))&gt;0))+IF(col_s3=0,0,--(LEN(INDEX('Paste Export'!$A$2:$BZ$1001,$A820,col_s3))&gt;0))+IF(col_s4=0,0,--(LEN(INDEX('Paste Export'!$A$2:$BZ$1001,$A820,col_s4))&gt;0))+IF(col_s5=0,0,--(LEN(INDEX('Paste Export'!$A$2:$BZ$1001,$A820,col_s5))&gt;0))+IF(col_s6=0,0,--(LEN(INDEX('Paste Export'!$A$2:$BZ$1001,$A820,col_s6))&gt;0))+IF(col_s7=0,0,--(LEN(INDEX('Paste Export'!$A$2:$BZ$1001,$A820,col_s7))&gt;0))+IF(col_s8=0,0,--(LEN(INDEX('Paste Export'!$A$2:$BZ$1001,$A820,col_s8))&gt;0)))</f>
        <v/>
      </c>
      <c r="I820" s="25" t="str">
        <f t="shared" si="87"/>
        <v/>
      </c>
      <c r="J820" s="25" t="str">
        <f t="shared" si="88"/>
        <v/>
      </c>
      <c r="K820" s="24" t="str">
        <f t="shared" si="89"/>
        <v/>
      </c>
      <c r="L820" s="24" t="str">
        <f t="shared" si="90"/>
        <v/>
      </c>
    </row>
    <row r="821" spans="1:12" x14ac:dyDescent="0.25">
      <c r="A821" s="24">
        <f t="shared" si="84"/>
        <v>820</v>
      </c>
      <c r="B821" s="25" t="str">
        <f>IF($A821&gt;nrows,"",IF(col_user=0,"",INDEX('Paste Export'!$A$2:$BZ$1001,$A821,col_user)))</f>
        <v/>
      </c>
      <c r="C821" s="24" t="str">
        <f>IF($A821&gt;nrows,"",IF(col_days=0,0,N(INDEX('Paste Export'!$A$2:$BZ$1001,$A821,col_days))))</f>
        <v/>
      </c>
      <c r="D821" s="24" t="str">
        <f>IF($A821&gt;nrows,"",IF(col_prompts=0,0,N(INDEX('Paste Export'!$A$2:$BZ$1001,$A821,col_prompts))))</f>
        <v/>
      </c>
      <c r="E821" s="24" t="str">
        <f>IF($A821&gt;nrows,"",IF(col_web=0,0,N(INDEX('Paste Export'!$A$2:$BZ$1001,$A821,col_web))))</f>
        <v/>
      </c>
      <c r="F821" s="26" t="str">
        <f t="shared" si="85"/>
        <v/>
      </c>
      <c r="G821" s="27" t="str">
        <f t="shared" si="86"/>
        <v/>
      </c>
      <c r="H821" s="24" t="str">
        <f>IF($A821&gt;nrows,"",IF(col_s1=0,0,--(LEN(INDEX('Paste Export'!$A$2:$BZ$1001,$A821,col_s1))&gt;0))+IF(col_s2=0,0,--(LEN(INDEX('Paste Export'!$A$2:$BZ$1001,$A821,col_s2))&gt;0))+IF(col_s3=0,0,--(LEN(INDEX('Paste Export'!$A$2:$BZ$1001,$A821,col_s3))&gt;0))+IF(col_s4=0,0,--(LEN(INDEX('Paste Export'!$A$2:$BZ$1001,$A821,col_s4))&gt;0))+IF(col_s5=0,0,--(LEN(INDEX('Paste Export'!$A$2:$BZ$1001,$A821,col_s5))&gt;0))+IF(col_s6=0,0,--(LEN(INDEX('Paste Export'!$A$2:$BZ$1001,$A821,col_s6))&gt;0))+IF(col_s7=0,0,--(LEN(INDEX('Paste Export'!$A$2:$BZ$1001,$A821,col_s7))&gt;0))+IF(col_s8=0,0,--(LEN(INDEX('Paste Export'!$A$2:$BZ$1001,$A821,col_s8))&gt;0)))</f>
        <v/>
      </c>
      <c r="I821" s="25" t="str">
        <f t="shared" si="87"/>
        <v/>
      </c>
      <c r="J821" s="25" t="str">
        <f t="shared" si="88"/>
        <v/>
      </c>
      <c r="K821" s="24" t="str">
        <f t="shared" si="89"/>
        <v/>
      </c>
      <c r="L821" s="24" t="str">
        <f t="shared" si="90"/>
        <v/>
      </c>
    </row>
    <row r="822" spans="1:12" x14ac:dyDescent="0.25">
      <c r="A822" s="24">
        <f t="shared" si="84"/>
        <v>821</v>
      </c>
      <c r="B822" s="25" t="str">
        <f>IF($A822&gt;nrows,"",IF(col_user=0,"",INDEX('Paste Export'!$A$2:$BZ$1001,$A822,col_user)))</f>
        <v/>
      </c>
      <c r="C822" s="24" t="str">
        <f>IF($A822&gt;nrows,"",IF(col_days=0,0,N(INDEX('Paste Export'!$A$2:$BZ$1001,$A822,col_days))))</f>
        <v/>
      </c>
      <c r="D822" s="24" t="str">
        <f>IF($A822&gt;nrows,"",IF(col_prompts=0,0,N(INDEX('Paste Export'!$A$2:$BZ$1001,$A822,col_prompts))))</f>
        <v/>
      </c>
      <c r="E822" s="24" t="str">
        <f>IF($A822&gt;nrows,"",IF(col_web=0,0,N(INDEX('Paste Export'!$A$2:$BZ$1001,$A822,col_web))))</f>
        <v/>
      </c>
      <c r="F822" s="26" t="str">
        <f t="shared" si="85"/>
        <v/>
      </c>
      <c r="G822" s="27" t="str">
        <f t="shared" si="86"/>
        <v/>
      </c>
      <c r="H822" s="24" t="str">
        <f>IF($A822&gt;nrows,"",IF(col_s1=0,0,--(LEN(INDEX('Paste Export'!$A$2:$BZ$1001,$A822,col_s1))&gt;0))+IF(col_s2=0,0,--(LEN(INDEX('Paste Export'!$A$2:$BZ$1001,$A822,col_s2))&gt;0))+IF(col_s3=0,0,--(LEN(INDEX('Paste Export'!$A$2:$BZ$1001,$A822,col_s3))&gt;0))+IF(col_s4=0,0,--(LEN(INDEX('Paste Export'!$A$2:$BZ$1001,$A822,col_s4))&gt;0))+IF(col_s5=0,0,--(LEN(INDEX('Paste Export'!$A$2:$BZ$1001,$A822,col_s5))&gt;0))+IF(col_s6=0,0,--(LEN(INDEX('Paste Export'!$A$2:$BZ$1001,$A822,col_s6))&gt;0))+IF(col_s7=0,0,--(LEN(INDEX('Paste Export'!$A$2:$BZ$1001,$A822,col_s7))&gt;0))+IF(col_s8=0,0,--(LEN(INDEX('Paste Export'!$A$2:$BZ$1001,$A822,col_s8))&gt;0)))</f>
        <v/>
      </c>
      <c r="I822" s="25" t="str">
        <f t="shared" si="87"/>
        <v/>
      </c>
      <c r="J822" s="25" t="str">
        <f t="shared" si="88"/>
        <v/>
      </c>
      <c r="K822" s="24" t="str">
        <f t="shared" si="89"/>
        <v/>
      </c>
      <c r="L822" s="24" t="str">
        <f t="shared" si="90"/>
        <v/>
      </c>
    </row>
    <row r="823" spans="1:12" x14ac:dyDescent="0.25">
      <c r="A823" s="24">
        <f t="shared" si="84"/>
        <v>822</v>
      </c>
      <c r="B823" s="25" t="str">
        <f>IF($A823&gt;nrows,"",IF(col_user=0,"",INDEX('Paste Export'!$A$2:$BZ$1001,$A823,col_user)))</f>
        <v/>
      </c>
      <c r="C823" s="24" t="str">
        <f>IF($A823&gt;nrows,"",IF(col_days=0,0,N(INDEX('Paste Export'!$A$2:$BZ$1001,$A823,col_days))))</f>
        <v/>
      </c>
      <c r="D823" s="24" t="str">
        <f>IF($A823&gt;nrows,"",IF(col_prompts=0,0,N(INDEX('Paste Export'!$A$2:$BZ$1001,$A823,col_prompts))))</f>
        <v/>
      </c>
      <c r="E823" s="24" t="str">
        <f>IF($A823&gt;nrows,"",IF(col_web=0,0,N(INDEX('Paste Export'!$A$2:$BZ$1001,$A823,col_web))))</f>
        <v/>
      </c>
      <c r="F823" s="26" t="str">
        <f t="shared" si="85"/>
        <v/>
      </c>
      <c r="G823" s="27" t="str">
        <f t="shared" si="86"/>
        <v/>
      </c>
      <c r="H823" s="24" t="str">
        <f>IF($A823&gt;nrows,"",IF(col_s1=0,0,--(LEN(INDEX('Paste Export'!$A$2:$BZ$1001,$A823,col_s1))&gt;0))+IF(col_s2=0,0,--(LEN(INDEX('Paste Export'!$A$2:$BZ$1001,$A823,col_s2))&gt;0))+IF(col_s3=0,0,--(LEN(INDEX('Paste Export'!$A$2:$BZ$1001,$A823,col_s3))&gt;0))+IF(col_s4=0,0,--(LEN(INDEX('Paste Export'!$A$2:$BZ$1001,$A823,col_s4))&gt;0))+IF(col_s5=0,0,--(LEN(INDEX('Paste Export'!$A$2:$BZ$1001,$A823,col_s5))&gt;0))+IF(col_s6=0,0,--(LEN(INDEX('Paste Export'!$A$2:$BZ$1001,$A823,col_s6))&gt;0))+IF(col_s7=0,0,--(LEN(INDEX('Paste Export'!$A$2:$BZ$1001,$A823,col_s7))&gt;0))+IF(col_s8=0,0,--(LEN(INDEX('Paste Export'!$A$2:$BZ$1001,$A823,col_s8))&gt;0)))</f>
        <v/>
      </c>
      <c r="I823" s="25" t="str">
        <f t="shared" si="87"/>
        <v/>
      </c>
      <c r="J823" s="25" t="str">
        <f t="shared" si="88"/>
        <v/>
      </c>
      <c r="K823" s="24" t="str">
        <f t="shared" si="89"/>
        <v/>
      </c>
      <c r="L823" s="24" t="str">
        <f t="shared" si="90"/>
        <v/>
      </c>
    </row>
    <row r="824" spans="1:12" x14ac:dyDescent="0.25">
      <c r="A824" s="24">
        <f t="shared" si="84"/>
        <v>823</v>
      </c>
      <c r="B824" s="25" t="str">
        <f>IF($A824&gt;nrows,"",IF(col_user=0,"",INDEX('Paste Export'!$A$2:$BZ$1001,$A824,col_user)))</f>
        <v/>
      </c>
      <c r="C824" s="24" t="str">
        <f>IF($A824&gt;nrows,"",IF(col_days=0,0,N(INDEX('Paste Export'!$A$2:$BZ$1001,$A824,col_days))))</f>
        <v/>
      </c>
      <c r="D824" s="24" t="str">
        <f>IF($A824&gt;nrows,"",IF(col_prompts=0,0,N(INDEX('Paste Export'!$A$2:$BZ$1001,$A824,col_prompts))))</f>
        <v/>
      </c>
      <c r="E824" s="24" t="str">
        <f>IF($A824&gt;nrows,"",IF(col_web=0,0,N(INDEX('Paste Export'!$A$2:$BZ$1001,$A824,col_web))))</f>
        <v/>
      </c>
      <c r="F824" s="26" t="str">
        <f t="shared" si="85"/>
        <v/>
      </c>
      <c r="G824" s="27" t="str">
        <f t="shared" si="86"/>
        <v/>
      </c>
      <c r="H824" s="24" t="str">
        <f>IF($A824&gt;nrows,"",IF(col_s1=0,0,--(LEN(INDEX('Paste Export'!$A$2:$BZ$1001,$A824,col_s1))&gt;0))+IF(col_s2=0,0,--(LEN(INDEX('Paste Export'!$A$2:$BZ$1001,$A824,col_s2))&gt;0))+IF(col_s3=0,0,--(LEN(INDEX('Paste Export'!$A$2:$BZ$1001,$A824,col_s3))&gt;0))+IF(col_s4=0,0,--(LEN(INDEX('Paste Export'!$A$2:$BZ$1001,$A824,col_s4))&gt;0))+IF(col_s5=0,0,--(LEN(INDEX('Paste Export'!$A$2:$BZ$1001,$A824,col_s5))&gt;0))+IF(col_s6=0,0,--(LEN(INDEX('Paste Export'!$A$2:$BZ$1001,$A824,col_s6))&gt;0))+IF(col_s7=0,0,--(LEN(INDEX('Paste Export'!$A$2:$BZ$1001,$A824,col_s7))&gt;0))+IF(col_s8=0,0,--(LEN(INDEX('Paste Export'!$A$2:$BZ$1001,$A824,col_s8))&gt;0)))</f>
        <v/>
      </c>
      <c r="I824" s="25" t="str">
        <f t="shared" si="87"/>
        <v/>
      </c>
      <c r="J824" s="25" t="str">
        <f t="shared" si="88"/>
        <v/>
      </c>
      <c r="K824" s="24" t="str">
        <f t="shared" si="89"/>
        <v/>
      </c>
      <c r="L824" s="24" t="str">
        <f t="shared" si="90"/>
        <v/>
      </c>
    </row>
    <row r="825" spans="1:12" x14ac:dyDescent="0.25">
      <c r="A825" s="24">
        <f t="shared" si="84"/>
        <v>824</v>
      </c>
      <c r="B825" s="25" t="str">
        <f>IF($A825&gt;nrows,"",IF(col_user=0,"",INDEX('Paste Export'!$A$2:$BZ$1001,$A825,col_user)))</f>
        <v/>
      </c>
      <c r="C825" s="24" t="str">
        <f>IF($A825&gt;nrows,"",IF(col_days=0,0,N(INDEX('Paste Export'!$A$2:$BZ$1001,$A825,col_days))))</f>
        <v/>
      </c>
      <c r="D825" s="24" t="str">
        <f>IF($A825&gt;nrows,"",IF(col_prompts=0,0,N(INDEX('Paste Export'!$A$2:$BZ$1001,$A825,col_prompts))))</f>
        <v/>
      </c>
      <c r="E825" s="24" t="str">
        <f>IF($A825&gt;nrows,"",IF(col_web=0,0,N(INDEX('Paste Export'!$A$2:$BZ$1001,$A825,col_web))))</f>
        <v/>
      </c>
      <c r="F825" s="26" t="str">
        <f t="shared" si="85"/>
        <v/>
      </c>
      <c r="G825" s="27" t="str">
        <f t="shared" si="86"/>
        <v/>
      </c>
      <c r="H825" s="24" t="str">
        <f>IF($A825&gt;nrows,"",IF(col_s1=0,0,--(LEN(INDEX('Paste Export'!$A$2:$BZ$1001,$A825,col_s1))&gt;0))+IF(col_s2=0,0,--(LEN(INDEX('Paste Export'!$A$2:$BZ$1001,$A825,col_s2))&gt;0))+IF(col_s3=0,0,--(LEN(INDEX('Paste Export'!$A$2:$BZ$1001,$A825,col_s3))&gt;0))+IF(col_s4=0,0,--(LEN(INDEX('Paste Export'!$A$2:$BZ$1001,$A825,col_s4))&gt;0))+IF(col_s5=0,0,--(LEN(INDEX('Paste Export'!$A$2:$BZ$1001,$A825,col_s5))&gt;0))+IF(col_s6=0,0,--(LEN(INDEX('Paste Export'!$A$2:$BZ$1001,$A825,col_s6))&gt;0))+IF(col_s7=0,0,--(LEN(INDEX('Paste Export'!$A$2:$BZ$1001,$A825,col_s7))&gt;0))+IF(col_s8=0,0,--(LEN(INDEX('Paste Export'!$A$2:$BZ$1001,$A825,col_s8))&gt;0)))</f>
        <v/>
      </c>
      <c r="I825" s="25" t="str">
        <f t="shared" si="87"/>
        <v/>
      </c>
      <c r="J825" s="25" t="str">
        <f t="shared" si="88"/>
        <v/>
      </c>
      <c r="K825" s="24" t="str">
        <f t="shared" si="89"/>
        <v/>
      </c>
      <c r="L825" s="24" t="str">
        <f t="shared" si="90"/>
        <v/>
      </c>
    </row>
    <row r="826" spans="1:12" x14ac:dyDescent="0.25">
      <c r="A826" s="24">
        <f t="shared" si="84"/>
        <v>825</v>
      </c>
      <c r="B826" s="25" t="str">
        <f>IF($A826&gt;nrows,"",IF(col_user=0,"",INDEX('Paste Export'!$A$2:$BZ$1001,$A826,col_user)))</f>
        <v/>
      </c>
      <c r="C826" s="24" t="str">
        <f>IF($A826&gt;nrows,"",IF(col_days=0,0,N(INDEX('Paste Export'!$A$2:$BZ$1001,$A826,col_days))))</f>
        <v/>
      </c>
      <c r="D826" s="24" t="str">
        <f>IF($A826&gt;nrows,"",IF(col_prompts=0,0,N(INDEX('Paste Export'!$A$2:$BZ$1001,$A826,col_prompts))))</f>
        <v/>
      </c>
      <c r="E826" s="24" t="str">
        <f>IF($A826&gt;nrows,"",IF(col_web=0,0,N(INDEX('Paste Export'!$A$2:$BZ$1001,$A826,col_web))))</f>
        <v/>
      </c>
      <c r="F826" s="26" t="str">
        <f t="shared" si="85"/>
        <v/>
      </c>
      <c r="G826" s="27" t="str">
        <f t="shared" si="86"/>
        <v/>
      </c>
      <c r="H826" s="24" t="str">
        <f>IF($A826&gt;nrows,"",IF(col_s1=0,0,--(LEN(INDEX('Paste Export'!$A$2:$BZ$1001,$A826,col_s1))&gt;0))+IF(col_s2=0,0,--(LEN(INDEX('Paste Export'!$A$2:$BZ$1001,$A826,col_s2))&gt;0))+IF(col_s3=0,0,--(LEN(INDEX('Paste Export'!$A$2:$BZ$1001,$A826,col_s3))&gt;0))+IF(col_s4=0,0,--(LEN(INDEX('Paste Export'!$A$2:$BZ$1001,$A826,col_s4))&gt;0))+IF(col_s5=0,0,--(LEN(INDEX('Paste Export'!$A$2:$BZ$1001,$A826,col_s5))&gt;0))+IF(col_s6=0,0,--(LEN(INDEX('Paste Export'!$A$2:$BZ$1001,$A826,col_s6))&gt;0))+IF(col_s7=0,0,--(LEN(INDEX('Paste Export'!$A$2:$BZ$1001,$A826,col_s7))&gt;0))+IF(col_s8=0,0,--(LEN(INDEX('Paste Export'!$A$2:$BZ$1001,$A826,col_s8))&gt;0)))</f>
        <v/>
      </c>
      <c r="I826" s="25" t="str">
        <f t="shared" si="87"/>
        <v/>
      </c>
      <c r="J826" s="25" t="str">
        <f t="shared" si="88"/>
        <v/>
      </c>
      <c r="K826" s="24" t="str">
        <f t="shared" si="89"/>
        <v/>
      </c>
      <c r="L826" s="24" t="str">
        <f t="shared" si="90"/>
        <v/>
      </c>
    </row>
    <row r="827" spans="1:12" x14ac:dyDescent="0.25">
      <c r="A827" s="24">
        <f t="shared" si="84"/>
        <v>826</v>
      </c>
      <c r="B827" s="25" t="str">
        <f>IF($A827&gt;nrows,"",IF(col_user=0,"",INDEX('Paste Export'!$A$2:$BZ$1001,$A827,col_user)))</f>
        <v/>
      </c>
      <c r="C827" s="24" t="str">
        <f>IF($A827&gt;nrows,"",IF(col_days=0,0,N(INDEX('Paste Export'!$A$2:$BZ$1001,$A827,col_days))))</f>
        <v/>
      </c>
      <c r="D827" s="24" t="str">
        <f>IF($A827&gt;nrows,"",IF(col_prompts=0,0,N(INDEX('Paste Export'!$A$2:$BZ$1001,$A827,col_prompts))))</f>
        <v/>
      </c>
      <c r="E827" s="24" t="str">
        <f>IF($A827&gt;nrows,"",IF(col_web=0,0,N(INDEX('Paste Export'!$A$2:$BZ$1001,$A827,col_web))))</f>
        <v/>
      </c>
      <c r="F827" s="26" t="str">
        <f t="shared" si="85"/>
        <v/>
      </c>
      <c r="G827" s="27" t="str">
        <f t="shared" si="86"/>
        <v/>
      </c>
      <c r="H827" s="24" t="str">
        <f>IF($A827&gt;nrows,"",IF(col_s1=0,0,--(LEN(INDEX('Paste Export'!$A$2:$BZ$1001,$A827,col_s1))&gt;0))+IF(col_s2=0,0,--(LEN(INDEX('Paste Export'!$A$2:$BZ$1001,$A827,col_s2))&gt;0))+IF(col_s3=0,0,--(LEN(INDEX('Paste Export'!$A$2:$BZ$1001,$A827,col_s3))&gt;0))+IF(col_s4=0,0,--(LEN(INDEX('Paste Export'!$A$2:$BZ$1001,$A827,col_s4))&gt;0))+IF(col_s5=0,0,--(LEN(INDEX('Paste Export'!$A$2:$BZ$1001,$A827,col_s5))&gt;0))+IF(col_s6=0,0,--(LEN(INDEX('Paste Export'!$A$2:$BZ$1001,$A827,col_s6))&gt;0))+IF(col_s7=0,0,--(LEN(INDEX('Paste Export'!$A$2:$BZ$1001,$A827,col_s7))&gt;0))+IF(col_s8=0,0,--(LEN(INDEX('Paste Export'!$A$2:$BZ$1001,$A827,col_s8))&gt;0)))</f>
        <v/>
      </c>
      <c r="I827" s="25" t="str">
        <f t="shared" si="87"/>
        <v/>
      </c>
      <c r="J827" s="25" t="str">
        <f t="shared" si="88"/>
        <v/>
      </c>
      <c r="K827" s="24" t="str">
        <f t="shared" si="89"/>
        <v/>
      </c>
      <c r="L827" s="24" t="str">
        <f t="shared" si="90"/>
        <v/>
      </c>
    </row>
    <row r="828" spans="1:12" x14ac:dyDescent="0.25">
      <c r="A828" s="24">
        <f t="shared" si="84"/>
        <v>827</v>
      </c>
      <c r="B828" s="25" t="str">
        <f>IF($A828&gt;nrows,"",IF(col_user=0,"",INDEX('Paste Export'!$A$2:$BZ$1001,$A828,col_user)))</f>
        <v/>
      </c>
      <c r="C828" s="24" t="str">
        <f>IF($A828&gt;nrows,"",IF(col_days=0,0,N(INDEX('Paste Export'!$A$2:$BZ$1001,$A828,col_days))))</f>
        <v/>
      </c>
      <c r="D828" s="24" t="str">
        <f>IF($A828&gt;nrows,"",IF(col_prompts=0,0,N(INDEX('Paste Export'!$A$2:$BZ$1001,$A828,col_prompts))))</f>
        <v/>
      </c>
      <c r="E828" s="24" t="str">
        <f>IF($A828&gt;nrows,"",IF(col_web=0,0,N(INDEX('Paste Export'!$A$2:$BZ$1001,$A828,col_web))))</f>
        <v/>
      </c>
      <c r="F828" s="26" t="str">
        <f t="shared" si="85"/>
        <v/>
      </c>
      <c r="G828" s="27" t="str">
        <f t="shared" si="86"/>
        <v/>
      </c>
      <c r="H828" s="24" t="str">
        <f>IF($A828&gt;nrows,"",IF(col_s1=0,0,--(LEN(INDEX('Paste Export'!$A$2:$BZ$1001,$A828,col_s1))&gt;0))+IF(col_s2=0,0,--(LEN(INDEX('Paste Export'!$A$2:$BZ$1001,$A828,col_s2))&gt;0))+IF(col_s3=0,0,--(LEN(INDEX('Paste Export'!$A$2:$BZ$1001,$A828,col_s3))&gt;0))+IF(col_s4=0,0,--(LEN(INDEX('Paste Export'!$A$2:$BZ$1001,$A828,col_s4))&gt;0))+IF(col_s5=0,0,--(LEN(INDEX('Paste Export'!$A$2:$BZ$1001,$A828,col_s5))&gt;0))+IF(col_s6=0,0,--(LEN(INDEX('Paste Export'!$A$2:$BZ$1001,$A828,col_s6))&gt;0))+IF(col_s7=0,0,--(LEN(INDEX('Paste Export'!$A$2:$BZ$1001,$A828,col_s7))&gt;0))+IF(col_s8=0,0,--(LEN(INDEX('Paste Export'!$A$2:$BZ$1001,$A828,col_s8))&gt;0)))</f>
        <v/>
      </c>
      <c r="I828" s="25" t="str">
        <f t="shared" si="87"/>
        <v/>
      </c>
      <c r="J828" s="25" t="str">
        <f t="shared" si="88"/>
        <v/>
      </c>
      <c r="K828" s="24" t="str">
        <f t="shared" si="89"/>
        <v/>
      </c>
      <c r="L828" s="24" t="str">
        <f t="shared" si="90"/>
        <v/>
      </c>
    </row>
    <row r="829" spans="1:12" x14ac:dyDescent="0.25">
      <c r="A829" s="24">
        <f t="shared" si="84"/>
        <v>828</v>
      </c>
      <c r="B829" s="25" t="str">
        <f>IF($A829&gt;nrows,"",IF(col_user=0,"",INDEX('Paste Export'!$A$2:$BZ$1001,$A829,col_user)))</f>
        <v/>
      </c>
      <c r="C829" s="24" t="str">
        <f>IF($A829&gt;nrows,"",IF(col_days=0,0,N(INDEX('Paste Export'!$A$2:$BZ$1001,$A829,col_days))))</f>
        <v/>
      </c>
      <c r="D829" s="24" t="str">
        <f>IF($A829&gt;nrows,"",IF(col_prompts=0,0,N(INDEX('Paste Export'!$A$2:$BZ$1001,$A829,col_prompts))))</f>
        <v/>
      </c>
      <c r="E829" s="24" t="str">
        <f>IF($A829&gt;nrows,"",IF(col_web=0,0,N(INDEX('Paste Export'!$A$2:$BZ$1001,$A829,col_web))))</f>
        <v/>
      </c>
      <c r="F829" s="26" t="str">
        <f t="shared" si="85"/>
        <v/>
      </c>
      <c r="G829" s="27" t="str">
        <f t="shared" si="86"/>
        <v/>
      </c>
      <c r="H829" s="24" t="str">
        <f>IF($A829&gt;nrows,"",IF(col_s1=0,0,--(LEN(INDEX('Paste Export'!$A$2:$BZ$1001,$A829,col_s1))&gt;0))+IF(col_s2=0,0,--(LEN(INDEX('Paste Export'!$A$2:$BZ$1001,$A829,col_s2))&gt;0))+IF(col_s3=0,0,--(LEN(INDEX('Paste Export'!$A$2:$BZ$1001,$A829,col_s3))&gt;0))+IF(col_s4=0,0,--(LEN(INDEX('Paste Export'!$A$2:$BZ$1001,$A829,col_s4))&gt;0))+IF(col_s5=0,0,--(LEN(INDEX('Paste Export'!$A$2:$BZ$1001,$A829,col_s5))&gt;0))+IF(col_s6=0,0,--(LEN(INDEX('Paste Export'!$A$2:$BZ$1001,$A829,col_s6))&gt;0))+IF(col_s7=0,0,--(LEN(INDEX('Paste Export'!$A$2:$BZ$1001,$A829,col_s7))&gt;0))+IF(col_s8=0,0,--(LEN(INDEX('Paste Export'!$A$2:$BZ$1001,$A829,col_s8))&gt;0)))</f>
        <v/>
      </c>
      <c r="I829" s="25" t="str">
        <f t="shared" si="87"/>
        <v/>
      </c>
      <c r="J829" s="25" t="str">
        <f t="shared" si="88"/>
        <v/>
      </c>
      <c r="K829" s="24" t="str">
        <f t="shared" si="89"/>
        <v/>
      </c>
      <c r="L829" s="24" t="str">
        <f t="shared" si="90"/>
        <v/>
      </c>
    </row>
    <row r="830" spans="1:12" x14ac:dyDescent="0.25">
      <c r="A830" s="24">
        <f t="shared" si="84"/>
        <v>829</v>
      </c>
      <c r="B830" s="25" t="str">
        <f>IF($A830&gt;nrows,"",IF(col_user=0,"",INDEX('Paste Export'!$A$2:$BZ$1001,$A830,col_user)))</f>
        <v/>
      </c>
      <c r="C830" s="24" t="str">
        <f>IF($A830&gt;nrows,"",IF(col_days=0,0,N(INDEX('Paste Export'!$A$2:$BZ$1001,$A830,col_days))))</f>
        <v/>
      </c>
      <c r="D830" s="24" t="str">
        <f>IF($A830&gt;nrows,"",IF(col_prompts=0,0,N(INDEX('Paste Export'!$A$2:$BZ$1001,$A830,col_prompts))))</f>
        <v/>
      </c>
      <c r="E830" s="24" t="str">
        <f>IF($A830&gt;nrows,"",IF(col_web=0,0,N(INDEX('Paste Export'!$A$2:$BZ$1001,$A830,col_web))))</f>
        <v/>
      </c>
      <c r="F830" s="26" t="str">
        <f t="shared" si="85"/>
        <v/>
      </c>
      <c r="G830" s="27" t="str">
        <f t="shared" si="86"/>
        <v/>
      </c>
      <c r="H830" s="24" t="str">
        <f>IF($A830&gt;nrows,"",IF(col_s1=0,0,--(LEN(INDEX('Paste Export'!$A$2:$BZ$1001,$A830,col_s1))&gt;0))+IF(col_s2=0,0,--(LEN(INDEX('Paste Export'!$A$2:$BZ$1001,$A830,col_s2))&gt;0))+IF(col_s3=0,0,--(LEN(INDEX('Paste Export'!$A$2:$BZ$1001,$A830,col_s3))&gt;0))+IF(col_s4=0,0,--(LEN(INDEX('Paste Export'!$A$2:$BZ$1001,$A830,col_s4))&gt;0))+IF(col_s5=0,0,--(LEN(INDEX('Paste Export'!$A$2:$BZ$1001,$A830,col_s5))&gt;0))+IF(col_s6=0,0,--(LEN(INDEX('Paste Export'!$A$2:$BZ$1001,$A830,col_s6))&gt;0))+IF(col_s7=0,0,--(LEN(INDEX('Paste Export'!$A$2:$BZ$1001,$A830,col_s7))&gt;0))+IF(col_s8=0,0,--(LEN(INDEX('Paste Export'!$A$2:$BZ$1001,$A830,col_s8))&gt;0)))</f>
        <v/>
      </c>
      <c r="I830" s="25" t="str">
        <f t="shared" si="87"/>
        <v/>
      </c>
      <c r="J830" s="25" t="str">
        <f t="shared" si="88"/>
        <v/>
      </c>
      <c r="K830" s="24" t="str">
        <f t="shared" si="89"/>
        <v/>
      </c>
      <c r="L830" s="24" t="str">
        <f t="shared" si="90"/>
        <v/>
      </c>
    </row>
    <row r="831" spans="1:12" x14ac:dyDescent="0.25">
      <c r="A831" s="24">
        <f t="shared" si="84"/>
        <v>830</v>
      </c>
      <c r="B831" s="25" t="str">
        <f>IF($A831&gt;nrows,"",IF(col_user=0,"",INDEX('Paste Export'!$A$2:$BZ$1001,$A831,col_user)))</f>
        <v/>
      </c>
      <c r="C831" s="24" t="str">
        <f>IF($A831&gt;nrows,"",IF(col_days=0,0,N(INDEX('Paste Export'!$A$2:$BZ$1001,$A831,col_days))))</f>
        <v/>
      </c>
      <c r="D831" s="24" t="str">
        <f>IF($A831&gt;nrows,"",IF(col_prompts=0,0,N(INDEX('Paste Export'!$A$2:$BZ$1001,$A831,col_prompts))))</f>
        <v/>
      </c>
      <c r="E831" s="24" t="str">
        <f>IF($A831&gt;nrows,"",IF(col_web=0,0,N(INDEX('Paste Export'!$A$2:$BZ$1001,$A831,col_web))))</f>
        <v/>
      </c>
      <c r="F831" s="26" t="str">
        <f t="shared" si="85"/>
        <v/>
      </c>
      <c r="G831" s="27" t="str">
        <f t="shared" si="86"/>
        <v/>
      </c>
      <c r="H831" s="24" t="str">
        <f>IF($A831&gt;nrows,"",IF(col_s1=0,0,--(LEN(INDEX('Paste Export'!$A$2:$BZ$1001,$A831,col_s1))&gt;0))+IF(col_s2=0,0,--(LEN(INDEX('Paste Export'!$A$2:$BZ$1001,$A831,col_s2))&gt;0))+IF(col_s3=0,0,--(LEN(INDEX('Paste Export'!$A$2:$BZ$1001,$A831,col_s3))&gt;0))+IF(col_s4=0,0,--(LEN(INDEX('Paste Export'!$A$2:$BZ$1001,$A831,col_s4))&gt;0))+IF(col_s5=0,0,--(LEN(INDEX('Paste Export'!$A$2:$BZ$1001,$A831,col_s5))&gt;0))+IF(col_s6=0,0,--(LEN(INDEX('Paste Export'!$A$2:$BZ$1001,$A831,col_s6))&gt;0))+IF(col_s7=0,0,--(LEN(INDEX('Paste Export'!$A$2:$BZ$1001,$A831,col_s7))&gt;0))+IF(col_s8=0,0,--(LEN(INDEX('Paste Export'!$A$2:$BZ$1001,$A831,col_s8))&gt;0)))</f>
        <v/>
      </c>
      <c r="I831" s="25" t="str">
        <f t="shared" si="87"/>
        <v/>
      </c>
      <c r="J831" s="25" t="str">
        <f t="shared" si="88"/>
        <v/>
      </c>
      <c r="K831" s="24" t="str">
        <f t="shared" si="89"/>
        <v/>
      </c>
      <c r="L831" s="24" t="str">
        <f t="shared" si="90"/>
        <v/>
      </c>
    </row>
    <row r="832" spans="1:12" x14ac:dyDescent="0.25">
      <c r="A832" s="24">
        <f t="shared" si="84"/>
        <v>831</v>
      </c>
      <c r="B832" s="25" t="str">
        <f>IF($A832&gt;nrows,"",IF(col_user=0,"",INDEX('Paste Export'!$A$2:$BZ$1001,$A832,col_user)))</f>
        <v/>
      </c>
      <c r="C832" s="24" t="str">
        <f>IF($A832&gt;nrows,"",IF(col_days=0,0,N(INDEX('Paste Export'!$A$2:$BZ$1001,$A832,col_days))))</f>
        <v/>
      </c>
      <c r="D832" s="24" t="str">
        <f>IF($A832&gt;nrows,"",IF(col_prompts=0,0,N(INDEX('Paste Export'!$A$2:$BZ$1001,$A832,col_prompts))))</f>
        <v/>
      </c>
      <c r="E832" s="24" t="str">
        <f>IF($A832&gt;nrows,"",IF(col_web=0,0,N(INDEX('Paste Export'!$A$2:$BZ$1001,$A832,col_web))))</f>
        <v/>
      </c>
      <c r="F832" s="26" t="str">
        <f t="shared" si="85"/>
        <v/>
      </c>
      <c r="G832" s="27" t="str">
        <f t="shared" si="86"/>
        <v/>
      </c>
      <c r="H832" s="24" t="str">
        <f>IF($A832&gt;nrows,"",IF(col_s1=0,0,--(LEN(INDEX('Paste Export'!$A$2:$BZ$1001,$A832,col_s1))&gt;0))+IF(col_s2=0,0,--(LEN(INDEX('Paste Export'!$A$2:$BZ$1001,$A832,col_s2))&gt;0))+IF(col_s3=0,0,--(LEN(INDEX('Paste Export'!$A$2:$BZ$1001,$A832,col_s3))&gt;0))+IF(col_s4=0,0,--(LEN(INDEX('Paste Export'!$A$2:$BZ$1001,$A832,col_s4))&gt;0))+IF(col_s5=0,0,--(LEN(INDEX('Paste Export'!$A$2:$BZ$1001,$A832,col_s5))&gt;0))+IF(col_s6=0,0,--(LEN(INDEX('Paste Export'!$A$2:$BZ$1001,$A832,col_s6))&gt;0))+IF(col_s7=0,0,--(LEN(INDEX('Paste Export'!$A$2:$BZ$1001,$A832,col_s7))&gt;0))+IF(col_s8=0,0,--(LEN(INDEX('Paste Export'!$A$2:$BZ$1001,$A832,col_s8))&gt;0)))</f>
        <v/>
      </c>
      <c r="I832" s="25" t="str">
        <f t="shared" si="87"/>
        <v/>
      </c>
      <c r="J832" s="25" t="str">
        <f t="shared" si="88"/>
        <v/>
      </c>
      <c r="K832" s="24" t="str">
        <f t="shared" si="89"/>
        <v/>
      </c>
      <c r="L832" s="24" t="str">
        <f t="shared" si="90"/>
        <v/>
      </c>
    </row>
    <row r="833" spans="1:12" x14ac:dyDescent="0.25">
      <c r="A833" s="24">
        <f t="shared" si="84"/>
        <v>832</v>
      </c>
      <c r="B833" s="25" t="str">
        <f>IF($A833&gt;nrows,"",IF(col_user=0,"",INDEX('Paste Export'!$A$2:$BZ$1001,$A833,col_user)))</f>
        <v/>
      </c>
      <c r="C833" s="24" t="str">
        <f>IF($A833&gt;nrows,"",IF(col_days=0,0,N(INDEX('Paste Export'!$A$2:$BZ$1001,$A833,col_days))))</f>
        <v/>
      </c>
      <c r="D833" s="24" t="str">
        <f>IF($A833&gt;nrows,"",IF(col_prompts=0,0,N(INDEX('Paste Export'!$A$2:$BZ$1001,$A833,col_prompts))))</f>
        <v/>
      </c>
      <c r="E833" s="24" t="str">
        <f>IF($A833&gt;nrows,"",IF(col_web=0,0,N(INDEX('Paste Export'!$A$2:$BZ$1001,$A833,col_web))))</f>
        <v/>
      </c>
      <c r="F833" s="26" t="str">
        <f t="shared" si="85"/>
        <v/>
      </c>
      <c r="G833" s="27" t="str">
        <f t="shared" si="86"/>
        <v/>
      </c>
      <c r="H833" s="24" t="str">
        <f>IF($A833&gt;nrows,"",IF(col_s1=0,0,--(LEN(INDEX('Paste Export'!$A$2:$BZ$1001,$A833,col_s1))&gt;0))+IF(col_s2=0,0,--(LEN(INDEX('Paste Export'!$A$2:$BZ$1001,$A833,col_s2))&gt;0))+IF(col_s3=0,0,--(LEN(INDEX('Paste Export'!$A$2:$BZ$1001,$A833,col_s3))&gt;0))+IF(col_s4=0,0,--(LEN(INDEX('Paste Export'!$A$2:$BZ$1001,$A833,col_s4))&gt;0))+IF(col_s5=0,0,--(LEN(INDEX('Paste Export'!$A$2:$BZ$1001,$A833,col_s5))&gt;0))+IF(col_s6=0,0,--(LEN(INDEX('Paste Export'!$A$2:$BZ$1001,$A833,col_s6))&gt;0))+IF(col_s7=0,0,--(LEN(INDEX('Paste Export'!$A$2:$BZ$1001,$A833,col_s7))&gt;0))+IF(col_s8=0,0,--(LEN(INDEX('Paste Export'!$A$2:$BZ$1001,$A833,col_s8))&gt;0)))</f>
        <v/>
      </c>
      <c r="I833" s="25" t="str">
        <f t="shared" si="87"/>
        <v/>
      </c>
      <c r="J833" s="25" t="str">
        <f t="shared" si="88"/>
        <v/>
      </c>
      <c r="K833" s="24" t="str">
        <f t="shared" si="89"/>
        <v/>
      </c>
      <c r="L833" s="24" t="str">
        <f t="shared" si="90"/>
        <v/>
      </c>
    </row>
    <row r="834" spans="1:12" x14ac:dyDescent="0.25">
      <c r="A834" s="24">
        <f t="shared" ref="A834:A897" si="91">ROW()-1</f>
        <v>833</v>
      </c>
      <c r="B834" s="25" t="str">
        <f>IF($A834&gt;nrows,"",IF(col_user=0,"",INDEX('Paste Export'!$A$2:$BZ$1001,$A834,col_user)))</f>
        <v/>
      </c>
      <c r="C834" s="24" t="str">
        <f>IF($A834&gt;nrows,"",IF(col_days=0,0,N(INDEX('Paste Export'!$A$2:$BZ$1001,$A834,col_days))))</f>
        <v/>
      </c>
      <c r="D834" s="24" t="str">
        <f>IF($A834&gt;nrows,"",IF(col_prompts=0,0,N(INDEX('Paste Export'!$A$2:$BZ$1001,$A834,col_prompts))))</f>
        <v/>
      </c>
      <c r="E834" s="24" t="str">
        <f>IF($A834&gt;nrows,"",IF(col_web=0,0,N(INDEX('Paste Export'!$A$2:$BZ$1001,$A834,col_web))))</f>
        <v/>
      </c>
      <c r="F834" s="26" t="str">
        <f t="shared" ref="F834:F897" si="92">IF($A834&gt;nrows,"",IFERROR($D834/$C834,0))</f>
        <v/>
      </c>
      <c r="G834" s="27" t="str">
        <f t="shared" ref="G834:G897" si="93">IF($A834&gt;nrows,"",IFERROR($E834/$D834,""))</f>
        <v/>
      </c>
      <c r="H834" s="24" t="str">
        <f>IF($A834&gt;nrows,"",IF(col_s1=0,0,--(LEN(INDEX('Paste Export'!$A$2:$BZ$1001,$A834,col_s1))&gt;0))+IF(col_s2=0,0,--(LEN(INDEX('Paste Export'!$A$2:$BZ$1001,$A834,col_s2))&gt;0))+IF(col_s3=0,0,--(LEN(INDEX('Paste Export'!$A$2:$BZ$1001,$A834,col_s3))&gt;0))+IF(col_s4=0,0,--(LEN(INDEX('Paste Export'!$A$2:$BZ$1001,$A834,col_s4))&gt;0))+IF(col_s5=0,0,--(LEN(INDEX('Paste Export'!$A$2:$BZ$1001,$A834,col_s5))&gt;0))+IF(col_s6=0,0,--(LEN(INDEX('Paste Export'!$A$2:$BZ$1001,$A834,col_s6))&gt;0))+IF(col_s7=0,0,--(LEN(INDEX('Paste Export'!$A$2:$BZ$1001,$A834,col_s7))&gt;0))+IF(col_s8=0,0,--(LEN(INDEX('Paste Export'!$A$2:$BZ$1001,$A834,col_s8))&gt;0)))</f>
        <v/>
      </c>
      <c r="I834" s="25" t="str">
        <f t="shared" ref="I834:I897" si="94">IF($A834&gt;nrows,"",IF($C834&gt;=freq_line,IF($D834&gt;=depth_line,"Embedded","Loyal but shallow"),IF($D834&gt;=depth_line,"Project-driven","Drifting")))</f>
        <v/>
      </c>
      <c r="J834" s="25" t="str">
        <f t="shared" ref="J834:J897" si="95">IF($A834&gt;nrows,"",IF($I834="Drifting",IF($H834&gt;=3,"tried and stopped","never started"),""))</f>
        <v/>
      </c>
      <c r="K834" s="24" t="str">
        <f t="shared" ref="K834:K897" si="96">IF($A834&gt;nrows,"",MAX($D834,1))</f>
        <v/>
      </c>
      <c r="L834" s="24" t="str">
        <f t="shared" ref="L834:L897" si="97">IF($A834&gt;nrows,"",IF(AND($C834=0,$D834=0),1,0))</f>
        <v/>
      </c>
    </row>
    <row r="835" spans="1:12" x14ac:dyDescent="0.25">
      <c r="A835" s="24">
        <f t="shared" si="91"/>
        <v>834</v>
      </c>
      <c r="B835" s="25" t="str">
        <f>IF($A835&gt;nrows,"",IF(col_user=0,"",INDEX('Paste Export'!$A$2:$BZ$1001,$A835,col_user)))</f>
        <v/>
      </c>
      <c r="C835" s="24" t="str">
        <f>IF($A835&gt;nrows,"",IF(col_days=0,0,N(INDEX('Paste Export'!$A$2:$BZ$1001,$A835,col_days))))</f>
        <v/>
      </c>
      <c r="D835" s="24" t="str">
        <f>IF($A835&gt;nrows,"",IF(col_prompts=0,0,N(INDEX('Paste Export'!$A$2:$BZ$1001,$A835,col_prompts))))</f>
        <v/>
      </c>
      <c r="E835" s="24" t="str">
        <f>IF($A835&gt;nrows,"",IF(col_web=0,0,N(INDEX('Paste Export'!$A$2:$BZ$1001,$A835,col_web))))</f>
        <v/>
      </c>
      <c r="F835" s="26" t="str">
        <f t="shared" si="92"/>
        <v/>
      </c>
      <c r="G835" s="27" t="str">
        <f t="shared" si="93"/>
        <v/>
      </c>
      <c r="H835" s="24" t="str">
        <f>IF($A835&gt;nrows,"",IF(col_s1=0,0,--(LEN(INDEX('Paste Export'!$A$2:$BZ$1001,$A835,col_s1))&gt;0))+IF(col_s2=0,0,--(LEN(INDEX('Paste Export'!$A$2:$BZ$1001,$A835,col_s2))&gt;0))+IF(col_s3=0,0,--(LEN(INDEX('Paste Export'!$A$2:$BZ$1001,$A835,col_s3))&gt;0))+IF(col_s4=0,0,--(LEN(INDEX('Paste Export'!$A$2:$BZ$1001,$A835,col_s4))&gt;0))+IF(col_s5=0,0,--(LEN(INDEX('Paste Export'!$A$2:$BZ$1001,$A835,col_s5))&gt;0))+IF(col_s6=0,0,--(LEN(INDEX('Paste Export'!$A$2:$BZ$1001,$A835,col_s6))&gt;0))+IF(col_s7=0,0,--(LEN(INDEX('Paste Export'!$A$2:$BZ$1001,$A835,col_s7))&gt;0))+IF(col_s8=0,0,--(LEN(INDEX('Paste Export'!$A$2:$BZ$1001,$A835,col_s8))&gt;0)))</f>
        <v/>
      </c>
      <c r="I835" s="25" t="str">
        <f t="shared" si="94"/>
        <v/>
      </c>
      <c r="J835" s="25" t="str">
        <f t="shared" si="95"/>
        <v/>
      </c>
      <c r="K835" s="24" t="str">
        <f t="shared" si="96"/>
        <v/>
      </c>
      <c r="L835" s="24" t="str">
        <f t="shared" si="97"/>
        <v/>
      </c>
    </row>
    <row r="836" spans="1:12" x14ac:dyDescent="0.25">
      <c r="A836" s="24">
        <f t="shared" si="91"/>
        <v>835</v>
      </c>
      <c r="B836" s="25" t="str">
        <f>IF($A836&gt;nrows,"",IF(col_user=0,"",INDEX('Paste Export'!$A$2:$BZ$1001,$A836,col_user)))</f>
        <v/>
      </c>
      <c r="C836" s="24" t="str">
        <f>IF($A836&gt;nrows,"",IF(col_days=0,0,N(INDEX('Paste Export'!$A$2:$BZ$1001,$A836,col_days))))</f>
        <v/>
      </c>
      <c r="D836" s="24" t="str">
        <f>IF($A836&gt;nrows,"",IF(col_prompts=0,0,N(INDEX('Paste Export'!$A$2:$BZ$1001,$A836,col_prompts))))</f>
        <v/>
      </c>
      <c r="E836" s="24" t="str">
        <f>IF($A836&gt;nrows,"",IF(col_web=0,0,N(INDEX('Paste Export'!$A$2:$BZ$1001,$A836,col_web))))</f>
        <v/>
      </c>
      <c r="F836" s="26" t="str">
        <f t="shared" si="92"/>
        <v/>
      </c>
      <c r="G836" s="27" t="str">
        <f t="shared" si="93"/>
        <v/>
      </c>
      <c r="H836" s="24" t="str">
        <f>IF($A836&gt;nrows,"",IF(col_s1=0,0,--(LEN(INDEX('Paste Export'!$A$2:$BZ$1001,$A836,col_s1))&gt;0))+IF(col_s2=0,0,--(LEN(INDEX('Paste Export'!$A$2:$BZ$1001,$A836,col_s2))&gt;0))+IF(col_s3=0,0,--(LEN(INDEX('Paste Export'!$A$2:$BZ$1001,$A836,col_s3))&gt;0))+IF(col_s4=0,0,--(LEN(INDEX('Paste Export'!$A$2:$BZ$1001,$A836,col_s4))&gt;0))+IF(col_s5=0,0,--(LEN(INDEX('Paste Export'!$A$2:$BZ$1001,$A836,col_s5))&gt;0))+IF(col_s6=0,0,--(LEN(INDEX('Paste Export'!$A$2:$BZ$1001,$A836,col_s6))&gt;0))+IF(col_s7=0,0,--(LEN(INDEX('Paste Export'!$A$2:$BZ$1001,$A836,col_s7))&gt;0))+IF(col_s8=0,0,--(LEN(INDEX('Paste Export'!$A$2:$BZ$1001,$A836,col_s8))&gt;0)))</f>
        <v/>
      </c>
      <c r="I836" s="25" t="str">
        <f t="shared" si="94"/>
        <v/>
      </c>
      <c r="J836" s="25" t="str">
        <f t="shared" si="95"/>
        <v/>
      </c>
      <c r="K836" s="24" t="str">
        <f t="shared" si="96"/>
        <v/>
      </c>
      <c r="L836" s="24" t="str">
        <f t="shared" si="97"/>
        <v/>
      </c>
    </row>
    <row r="837" spans="1:12" x14ac:dyDescent="0.25">
      <c r="A837" s="24">
        <f t="shared" si="91"/>
        <v>836</v>
      </c>
      <c r="B837" s="25" t="str">
        <f>IF($A837&gt;nrows,"",IF(col_user=0,"",INDEX('Paste Export'!$A$2:$BZ$1001,$A837,col_user)))</f>
        <v/>
      </c>
      <c r="C837" s="24" t="str">
        <f>IF($A837&gt;nrows,"",IF(col_days=0,0,N(INDEX('Paste Export'!$A$2:$BZ$1001,$A837,col_days))))</f>
        <v/>
      </c>
      <c r="D837" s="24" t="str">
        <f>IF($A837&gt;nrows,"",IF(col_prompts=0,0,N(INDEX('Paste Export'!$A$2:$BZ$1001,$A837,col_prompts))))</f>
        <v/>
      </c>
      <c r="E837" s="24" t="str">
        <f>IF($A837&gt;nrows,"",IF(col_web=0,0,N(INDEX('Paste Export'!$A$2:$BZ$1001,$A837,col_web))))</f>
        <v/>
      </c>
      <c r="F837" s="26" t="str">
        <f t="shared" si="92"/>
        <v/>
      </c>
      <c r="G837" s="27" t="str">
        <f t="shared" si="93"/>
        <v/>
      </c>
      <c r="H837" s="24" t="str">
        <f>IF($A837&gt;nrows,"",IF(col_s1=0,0,--(LEN(INDEX('Paste Export'!$A$2:$BZ$1001,$A837,col_s1))&gt;0))+IF(col_s2=0,0,--(LEN(INDEX('Paste Export'!$A$2:$BZ$1001,$A837,col_s2))&gt;0))+IF(col_s3=0,0,--(LEN(INDEX('Paste Export'!$A$2:$BZ$1001,$A837,col_s3))&gt;0))+IF(col_s4=0,0,--(LEN(INDEX('Paste Export'!$A$2:$BZ$1001,$A837,col_s4))&gt;0))+IF(col_s5=0,0,--(LEN(INDEX('Paste Export'!$A$2:$BZ$1001,$A837,col_s5))&gt;0))+IF(col_s6=0,0,--(LEN(INDEX('Paste Export'!$A$2:$BZ$1001,$A837,col_s6))&gt;0))+IF(col_s7=0,0,--(LEN(INDEX('Paste Export'!$A$2:$BZ$1001,$A837,col_s7))&gt;0))+IF(col_s8=0,0,--(LEN(INDEX('Paste Export'!$A$2:$BZ$1001,$A837,col_s8))&gt;0)))</f>
        <v/>
      </c>
      <c r="I837" s="25" t="str">
        <f t="shared" si="94"/>
        <v/>
      </c>
      <c r="J837" s="25" t="str">
        <f t="shared" si="95"/>
        <v/>
      </c>
      <c r="K837" s="24" t="str">
        <f t="shared" si="96"/>
        <v/>
      </c>
      <c r="L837" s="24" t="str">
        <f t="shared" si="97"/>
        <v/>
      </c>
    </row>
    <row r="838" spans="1:12" x14ac:dyDescent="0.25">
      <c r="A838" s="24">
        <f t="shared" si="91"/>
        <v>837</v>
      </c>
      <c r="B838" s="25" t="str">
        <f>IF($A838&gt;nrows,"",IF(col_user=0,"",INDEX('Paste Export'!$A$2:$BZ$1001,$A838,col_user)))</f>
        <v/>
      </c>
      <c r="C838" s="24" t="str">
        <f>IF($A838&gt;nrows,"",IF(col_days=0,0,N(INDEX('Paste Export'!$A$2:$BZ$1001,$A838,col_days))))</f>
        <v/>
      </c>
      <c r="D838" s="24" t="str">
        <f>IF($A838&gt;nrows,"",IF(col_prompts=0,0,N(INDEX('Paste Export'!$A$2:$BZ$1001,$A838,col_prompts))))</f>
        <v/>
      </c>
      <c r="E838" s="24" t="str">
        <f>IF($A838&gt;nrows,"",IF(col_web=0,0,N(INDEX('Paste Export'!$A$2:$BZ$1001,$A838,col_web))))</f>
        <v/>
      </c>
      <c r="F838" s="26" t="str">
        <f t="shared" si="92"/>
        <v/>
      </c>
      <c r="G838" s="27" t="str">
        <f t="shared" si="93"/>
        <v/>
      </c>
      <c r="H838" s="24" t="str">
        <f>IF($A838&gt;nrows,"",IF(col_s1=0,0,--(LEN(INDEX('Paste Export'!$A$2:$BZ$1001,$A838,col_s1))&gt;0))+IF(col_s2=0,0,--(LEN(INDEX('Paste Export'!$A$2:$BZ$1001,$A838,col_s2))&gt;0))+IF(col_s3=0,0,--(LEN(INDEX('Paste Export'!$A$2:$BZ$1001,$A838,col_s3))&gt;0))+IF(col_s4=0,0,--(LEN(INDEX('Paste Export'!$A$2:$BZ$1001,$A838,col_s4))&gt;0))+IF(col_s5=0,0,--(LEN(INDEX('Paste Export'!$A$2:$BZ$1001,$A838,col_s5))&gt;0))+IF(col_s6=0,0,--(LEN(INDEX('Paste Export'!$A$2:$BZ$1001,$A838,col_s6))&gt;0))+IF(col_s7=0,0,--(LEN(INDEX('Paste Export'!$A$2:$BZ$1001,$A838,col_s7))&gt;0))+IF(col_s8=0,0,--(LEN(INDEX('Paste Export'!$A$2:$BZ$1001,$A838,col_s8))&gt;0)))</f>
        <v/>
      </c>
      <c r="I838" s="25" t="str">
        <f t="shared" si="94"/>
        <v/>
      </c>
      <c r="J838" s="25" t="str">
        <f t="shared" si="95"/>
        <v/>
      </c>
      <c r="K838" s="24" t="str">
        <f t="shared" si="96"/>
        <v/>
      </c>
      <c r="L838" s="24" t="str">
        <f t="shared" si="97"/>
        <v/>
      </c>
    </row>
    <row r="839" spans="1:12" x14ac:dyDescent="0.25">
      <c r="A839" s="24">
        <f t="shared" si="91"/>
        <v>838</v>
      </c>
      <c r="B839" s="25" t="str">
        <f>IF($A839&gt;nrows,"",IF(col_user=0,"",INDEX('Paste Export'!$A$2:$BZ$1001,$A839,col_user)))</f>
        <v/>
      </c>
      <c r="C839" s="24" t="str">
        <f>IF($A839&gt;nrows,"",IF(col_days=0,0,N(INDEX('Paste Export'!$A$2:$BZ$1001,$A839,col_days))))</f>
        <v/>
      </c>
      <c r="D839" s="24" t="str">
        <f>IF($A839&gt;nrows,"",IF(col_prompts=0,0,N(INDEX('Paste Export'!$A$2:$BZ$1001,$A839,col_prompts))))</f>
        <v/>
      </c>
      <c r="E839" s="24" t="str">
        <f>IF($A839&gt;nrows,"",IF(col_web=0,0,N(INDEX('Paste Export'!$A$2:$BZ$1001,$A839,col_web))))</f>
        <v/>
      </c>
      <c r="F839" s="26" t="str">
        <f t="shared" si="92"/>
        <v/>
      </c>
      <c r="G839" s="27" t="str">
        <f t="shared" si="93"/>
        <v/>
      </c>
      <c r="H839" s="24" t="str">
        <f>IF($A839&gt;nrows,"",IF(col_s1=0,0,--(LEN(INDEX('Paste Export'!$A$2:$BZ$1001,$A839,col_s1))&gt;0))+IF(col_s2=0,0,--(LEN(INDEX('Paste Export'!$A$2:$BZ$1001,$A839,col_s2))&gt;0))+IF(col_s3=0,0,--(LEN(INDEX('Paste Export'!$A$2:$BZ$1001,$A839,col_s3))&gt;0))+IF(col_s4=0,0,--(LEN(INDEX('Paste Export'!$A$2:$BZ$1001,$A839,col_s4))&gt;0))+IF(col_s5=0,0,--(LEN(INDEX('Paste Export'!$A$2:$BZ$1001,$A839,col_s5))&gt;0))+IF(col_s6=0,0,--(LEN(INDEX('Paste Export'!$A$2:$BZ$1001,$A839,col_s6))&gt;0))+IF(col_s7=0,0,--(LEN(INDEX('Paste Export'!$A$2:$BZ$1001,$A839,col_s7))&gt;0))+IF(col_s8=0,0,--(LEN(INDEX('Paste Export'!$A$2:$BZ$1001,$A839,col_s8))&gt;0)))</f>
        <v/>
      </c>
      <c r="I839" s="25" t="str">
        <f t="shared" si="94"/>
        <v/>
      </c>
      <c r="J839" s="25" t="str">
        <f t="shared" si="95"/>
        <v/>
      </c>
      <c r="K839" s="24" t="str">
        <f t="shared" si="96"/>
        <v/>
      </c>
      <c r="L839" s="24" t="str">
        <f t="shared" si="97"/>
        <v/>
      </c>
    </row>
    <row r="840" spans="1:12" x14ac:dyDescent="0.25">
      <c r="A840" s="24">
        <f t="shared" si="91"/>
        <v>839</v>
      </c>
      <c r="B840" s="25" t="str">
        <f>IF($A840&gt;nrows,"",IF(col_user=0,"",INDEX('Paste Export'!$A$2:$BZ$1001,$A840,col_user)))</f>
        <v/>
      </c>
      <c r="C840" s="24" t="str">
        <f>IF($A840&gt;nrows,"",IF(col_days=0,0,N(INDEX('Paste Export'!$A$2:$BZ$1001,$A840,col_days))))</f>
        <v/>
      </c>
      <c r="D840" s="24" t="str">
        <f>IF($A840&gt;nrows,"",IF(col_prompts=0,0,N(INDEX('Paste Export'!$A$2:$BZ$1001,$A840,col_prompts))))</f>
        <v/>
      </c>
      <c r="E840" s="24" t="str">
        <f>IF($A840&gt;nrows,"",IF(col_web=0,0,N(INDEX('Paste Export'!$A$2:$BZ$1001,$A840,col_web))))</f>
        <v/>
      </c>
      <c r="F840" s="26" t="str">
        <f t="shared" si="92"/>
        <v/>
      </c>
      <c r="G840" s="27" t="str">
        <f t="shared" si="93"/>
        <v/>
      </c>
      <c r="H840" s="24" t="str">
        <f>IF($A840&gt;nrows,"",IF(col_s1=0,0,--(LEN(INDEX('Paste Export'!$A$2:$BZ$1001,$A840,col_s1))&gt;0))+IF(col_s2=0,0,--(LEN(INDEX('Paste Export'!$A$2:$BZ$1001,$A840,col_s2))&gt;0))+IF(col_s3=0,0,--(LEN(INDEX('Paste Export'!$A$2:$BZ$1001,$A840,col_s3))&gt;0))+IF(col_s4=0,0,--(LEN(INDEX('Paste Export'!$A$2:$BZ$1001,$A840,col_s4))&gt;0))+IF(col_s5=0,0,--(LEN(INDEX('Paste Export'!$A$2:$BZ$1001,$A840,col_s5))&gt;0))+IF(col_s6=0,0,--(LEN(INDEX('Paste Export'!$A$2:$BZ$1001,$A840,col_s6))&gt;0))+IF(col_s7=0,0,--(LEN(INDEX('Paste Export'!$A$2:$BZ$1001,$A840,col_s7))&gt;0))+IF(col_s8=0,0,--(LEN(INDEX('Paste Export'!$A$2:$BZ$1001,$A840,col_s8))&gt;0)))</f>
        <v/>
      </c>
      <c r="I840" s="25" t="str">
        <f t="shared" si="94"/>
        <v/>
      </c>
      <c r="J840" s="25" t="str">
        <f t="shared" si="95"/>
        <v/>
      </c>
      <c r="K840" s="24" t="str">
        <f t="shared" si="96"/>
        <v/>
      </c>
      <c r="L840" s="24" t="str">
        <f t="shared" si="97"/>
        <v/>
      </c>
    </row>
    <row r="841" spans="1:12" x14ac:dyDescent="0.25">
      <c r="A841" s="24">
        <f t="shared" si="91"/>
        <v>840</v>
      </c>
      <c r="B841" s="25" t="str">
        <f>IF($A841&gt;nrows,"",IF(col_user=0,"",INDEX('Paste Export'!$A$2:$BZ$1001,$A841,col_user)))</f>
        <v/>
      </c>
      <c r="C841" s="24" t="str">
        <f>IF($A841&gt;nrows,"",IF(col_days=0,0,N(INDEX('Paste Export'!$A$2:$BZ$1001,$A841,col_days))))</f>
        <v/>
      </c>
      <c r="D841" s="24" t="str">
        <f>IF($A841&gt;nrows,"",IF(col_prompts=0,0,N(INDEX('Paste Export'!$A$2:$BZ$1001,$A841,col_prompts))))</f>
        <v/>
      </c>
      <c r="E841" s="24" t="str">
        <f>IF($A841&gt;nrows,"",IF(col_web=0,0,N(INDEX('Paste Export'!$A$2:$BZ$1001,$A841,col_web))))</f>
        <v/>
      </c>
      <c r="F841" s="26" t="str">
        <f t="shared" si="92"/>
        <v/>
      </c>
      <c r="G841" s="27" t="str">
        <f t="shared" si="93"/>
        <v/>
      </c>
      <c r="H841" s="24" t="str">
        <f>IF($A841&gt;nrows,"",IF(col_s1=0,0,--(LEN(INDEX('Paste Export'!$A$2:$BZ$1001,$A841,col_s1))&gt;0))+IF(col_s2=0,0,--(LEN(INDEX('Paste Export'!$A$2:$BZ$1001,$A841,col_s2))&gt;0))+IF(col_s3=0,0,--(LEN(INDEX('Paste Export'!$A$2:$BZ$1001,$A841,col_s3))&gt;0))+IF(col_s4=0,0,--(LEN(INDEX('Paste Export'!$A$2:$BZ$1001,$A841,col_s4))&gt;0))+IF(col_s5=0,0,--(LEN(INDEX('Paste Export'!$A$2:$BZ$1001,$A841,col_s5))&gt;0))+IF(col_s6=0,0,--(LEN(INDEX('Paste Export'!$A$2:$BZ$1001,$A841,col_s6))&gt;0))+IF(col_s7=0,0,--(LEN(INDEX('Paste Export'!$A$2:$BZ$1001,$A841,col_s7))&gt;0))+IF(col_s8=0,0,--(LEN(INDEX('Paste Export'!$A$2:$BZ$1001,$A841,col_s8))&gt;0)))</f>
        <v/>
      </c>
      <c r="I841" s="25" t="str">
        <f t="shared" si="94"/>
        <v/>
      </c>
      <c r="J841" s="25" t="str">
        <f t="shared" si="95"/>
        <v/>
      </c>
      <c r="K841" s="24" t="str">
        <f t="shared" si="96"/>
        <v/>
      </c>
      <c r="L841" s="24" t="str">
        <f t="shared" si="97"/>
        <v/>
      </c>
    </row>
    <row r="842" spans="1:12" x14ac:dyDescent="0.25">
      <c r="A842" s="24">
        <f t="shared" si="91"/>
        <v>841</v>
      </c>
      <c r="B842" s="25" t="str">
        <f>IF($A842&gt;nrows,"",IF(col_user=0,"",INDEX('Paste Export'!$A$2:$BZ$1001,$A842,col_user)))</f>
        <v/>
      </c>
      <c r="C842" s="24" t="str">
        <f>IF($A842&gt;nrows,"",IF(col_days=0,0,N(INDEX('Paste Export'!$A$2:$BZ$1001,$A842,col_days))))</f>
        <v/>
      </c>
      <c r="D842" s="24" t="str">
        <f>IF($A842&gt;nrows,"",IF(col_prompts=0,0,N(INDEX('Paste Export'!$A$2:$BZ$1001,$A842,col_prompts))))</f>
        <v/>
      </c>
      <c r="E842" s="24" t="str">
        <f>IF($A842&gt;nrows,"",IF(col_web=0,0,N(INDEX('Paste Export'!$A$2:$BZ$1001,$A842,col_web))))</f>
        <v/>
      </c>
      <c r="F842" s="26" t="str">
        <f t="shared" si="92"/>
        <v/>
      </c>
      <c r="G842" s="27" t="str">
        <f t="shared" si="93"/>
        <v/>
      </c>
      <c r="H842" s="24" t="str">
        <f>IF($A842&gt;nrows,"",IF(col_s1=0,0,--(LEN(INDEX('Paste Export'!$A$2:$BZ$1001,$A842,col_s1))&gt;0))+IF(col_s2=0,0,--(LEN(INDEX('Paste Export'!$A$2:$BZ$1001,$A842,col_s2))&gt;0))+IF(col_s3=0,0,--(LEN(INDEX('Paste Export'!$A$2:$BZ$1001,$A842,col_s3))&gt;0))+IF(col_s4=0,0,--(LEN(INDEX('Paste Export'!$A$2:$BZ$1001,$A842,col_s4))&gt;0))+IF(col_s5=0,0,--(LEN(INDEX('Paste Export'!$A$2:$BZ$1001,$A842,col_s5))&gt;0))+IF(col_s6=0,0,--(LEN(INDEX('Paste Export'!$A$2:$BZ$1001,$A842,col_s6))&gt;0))+IF(col_s7=0,0,--(LEN(INDEX('Paste Export'!$A$2:$BZ$1001,$A842,col_s7))&gt;0))+IF(col_s8=0,0,--(LEN(INDEX('Paste Export'!$A$2:$BZ$1001,$A842,col_s8))&gt;0)))</f>
        <v/>
      </c>
      <c r="I842" s="25" t="str">
        <f t="shared" si="94"/>
        <v/>
      </c>
      <c r="J842" s="25" t="str">
        <f t="shared" si="95"/>
        <v/>
      </c>
      <c r="K842" s="24" t="str">
        <f t="shared" si="96"/>
        <v/>
      </c>
      <c r="L842" s="24" t="str">
        <f t="shared" si="97"/>
        <v/>
      </c>
    </row>
    <row r="843" spans="1:12" x14ac:dyDescent="0.25">
      <c r="A843" s="24">
        <f t="shared" si="91"/>
        <v>842</v>
      </c>
      <c r="B843" s="25" t="str">
        <f>IF($A843&gt;nrows,"",IF(col_user=0,"",INDEX('Paste Export'!$A$2:$BZ$1001,$A843,col_user)))</f>
        <v/>
      </c>
      <c r="C843" s="24" t="str">
        <f>IF($A843&gt;nrows,"",IF(col_days=0,0,N(INDEX('Paste Export'!$A$2:$BZ$1001,$A843,col_days))))</f>
        <v/>
      </c>
      <c r="D843" s="24" t="str">
        <f>IF($A843&gt;nrows,"",IF(col_prompts=0,0,N(INDEX('Paste Export'!$A$2:$BZ$1001,$A843,col_prompts))))</f>
        <v/>
      </c>
      <c r="E843" s="24" t="str">
        <f>IF($A843&gt;nrows,"",IF(col_web=0,0,N(INDEX('Paste Export'!$A$2:$BZ$1001,$A843,col_web))))</f>
        <v/>
      </c>
      <c r="F843" s="26" t="str">
        <f t="shared" si="92"/>
        <v/>
      </c>
      <c r="G843" s="27" t="str">
        <f t="shared" si="93"/>
        <v/>
      </c>
      <c r="H843" s="24" t="str">
        <f>IF($A843&gt;nrows,"",IF(col_s1=0,0,--(LEN(INDEX('Paste Export'!$A$2:$BZ$1001,$A843,col_s1))&gt;0))+IF(col_s2=0,0,--(LEN(INDEX('Paste Export'!$A$2:$BZ$1001,$A843,col_s2))&gt;0))+IF(col_s3=0,0,--(LEN(INDEX('Paste Export'!$A$2:$BZ$1001,$A843,col_s3))&gt;0))+IF(col_s4=0,0,--(LEN(INDEX('Paste Export'!$A$2:$BZ$1001,$A843,col_s4))&gt;0))+IF(col_s5=0,0,--(LEN(INDEX('Paste Export'!$A$2:$BZ$1001,$A843,col_s5))&gt;0))+IF(col_s6=0,0,--(LEN(INDEX('Paste Export'!$A$2:$BZ$1001,$A843,col_s6))&gt;0))+IF(col_s7=0,0,--(LEN(INDEX('Paste Export'!$A$2:$BZ$1001,$A843,col_s7))&gt;0))+IF(col_s8=0,0,--(LEN(INDEX('Paste Export'!$A$2:$BZ$1001,$A843,col_s8))&gt;0)))</f>
        <v/>
      </c>
      <c r="I843" s="25" t="str">
        <f t="shared" si="94"/>
        <v/>
      </c>
      <c r="J843" s="25" t="str">
        <f t="shared" si="95"/>
        <v/>
      </c>
      <c r="K843" s="24" t="str">
        <f t="shared" si="96"/>
        <v/>
      </c>
      <c r="L843" s="24" t="str">
        <f t="shared" si="97"/>
        <v/>
      </c>
    </row>
    <row r="844" spans="1:12" x14ac:dyDescent="0.25">
      <c r="A844" s="24">
        <f t="shared" si="91"/>
        <v>843</v>
      </c>
      <c r="B844" s="25" t="str">
        <f>IF($A844&gt;nrows,"",IF(col_user=0,"",INDEX('Paste Export'!$A$2:$BZ$1001,$A844,col_user)))</f>
        <v/>
      </c>
      <c r="C844" s="24" t="str">
        <f>IF($A844&gt;nrows,"",IF(col_days=0,0,N(INDEX('Paste Export'!$A$2:$BZ$1001,$A844,col_days))))</f>
        <v/>
      </c>
      <c r="D844" s="24" t="str">
        <f>IF($A844&gt;nrows,"",IF(col_prompts=0,0,N(INDEX('Paste Export'!$A$2:$BZ$1001,$A844,col_prompts))))</f>
        <v/>
      </c>
      <c r="E844" s="24" t="str">
        <f>IF($A844&gt;nrows,"",IF(col_web=0,0,N(INDEX('Paste Export'!$A$2:$BZ$1001,$A844,col_web))))</f>
        <v/>
      </c>
      <c r="F844" s="26" t="str">
        <f t="shared" si="92"/>
        <v/>
      </c>
      <c r="G844" s="27" t="str">
        <f t="shared" si="93"/>
        <v/>
      </c>
      <c r="H844" s="24" t="str">
        <f>IF($A844&gt;nrows,"",IF(col_s1=0,0,--(LEN(INDEX('Paste Export'!$A$2:$BZ$1001,$A844,col_s1))&gt;0))+IF(col_s2=0,0,--(LEN(INDEX('Paste Export'!$A$2:$BZ$1001,$A844,col_s2))&gt;0))+IF(col_s3=0,0,--(LEN(INDEX('Paste Export'!$A$2:$BZ$1001,$A844,col_s3))&gt;0))+IF(col_s4=0,0,--(LEN(INDEX('Paste Export'!$A$2:$BZ$1001,$A844,col_s4))&gt;0))+IF(col_s5=0,0,--(LEN(INDEX('Paste Export'!$A$2:$BZ$1001,$A844,col_s5))&gt;0))+IF(col_s6=0,0,--(LEN(INDEX('Paste Export'!$A$2:$BZ$1001,$A844,col_s6))&gt;0))+IF(col_s7=0,0,--(LEN(INDEX('Paste Export'!$A$2:$BZ$1001,$A844,col_s7))&gt;0))+IF(col_s8=0,0,--(LEN(INDEX('Paste Export'!$A$2:$BZ$1001,$A844,col_s8))&gt;0)))</f>
        <v/>
      </c>
      <c r="I844" s="25" t="str">
        <f t="shared" si="94"/>
        <v/>
      </c>
      <c r="J844" s="25" t="str">
        <f t="shared" si="95"/>
        <v/>
      </c>
      <c r="K844" s="24" t="str">
        <f t="shared" si="96"/>
        <v/>
      </c>
      <c r="L844" s="24" t="str">
        <f t="shared" si="97"/>
        <v/>
      </c>
    </row>
    <row r="845" spans="1:12" x14ac:dyDescent="0.25">
      <c r="A845" s="24">
        <f t="shared" si="91"/>
        <v>844</v>
      </c>
      <c r="B845" s="25" t="str">
        <f>IF($A845&gt;nrows,"",IF(col_user=0,"",INDEX('Paste Export'!$A$2:$BZ$1001,$A845,col_user)))</f>
        <v/>
      </c>
      <c r="C845" s="24" t="str">
        <f>IF($A845&gt;nrows,"",IF(col_days=0,0,N(INDEX('Paste Export'!$A$2:$BZ$1001,$A845,col_days))))</f>
        <v/>
      </c>
      <c r="D845" s="24" t="str">
        <f>IF($A845&gt;nrows,"",IF(col_prompts=0,0,N(INDEX('Paste Export'!$A$2:$BZ$1001,$A845,col_prompts))))</f>
        <v/>
      </c>
      <c r="E845" s="24" t="str">
        <f>IF($A845&gt;nrows,"",IF(col_web=0,0,N(INDEX('Paste Export'!$A$2:$BZ$1001,$A845,col_web))))</f>
        <v/>
      </c>
      <c r="F845" s="26" t="str">
        <f t="shared" si="92"/>
        <v/>
      </c>
      <c r="G845" s="27" t="str">
        <f t="shared" si="93"/>
        <v/>
      </c>
      <c r="H845" s="24" t="str">
        <f>IF($A845&gt;nrows,"",IF(col_s1=0,0,--(LEN(INDEX('Paste Export'!$A$2:$BZ$1001,$A845,col_s1))&gt;0))+IF(col_s2=0,0,--(LEN(INDEX('Paste Export'!$A$2:$BZ$1001,$A845,col_s2))&gt;0))+IF(col_s3=0,0,--(LEN(INDEX('Paste Export'!$A$2:$BZ$1001,$A845,col_s3))&gt;0))+IF(col_s4=0,0,--(LEN(INDEX('Paste Export'!$A$2:$BZ$1001,$A845,col_s4))&gt;0))+IF(col_s5=0,0,--(LEN(INDEX('Paste Export'!$A$2:$BZ$1001,$A845,col_s5))&gt;0))+IF(col_s6=0,0,--(LEN(INDEX('Paste Export'!$A$2:$BZ$1001,$A845,col_s6))&gt;0))+IF(col_s7=0,0,--(LEN(INDEX('Paste Export'!$A$2:$BZ$1001,$A845,col_s7))&gt;0))+IF(col_s8=0,0,--(LEN(INDEX('Paste Export'!$A$2:$BZ$1001,$A845,col_s8))&gt;0)))</f>
        <v/>
      </c>
      <c r="I845" s="25" t="str">
        <f t="shared" si="94"/>
        <v/>
      </c>
      <c r="J845" s="25" t="str">
        <f t="shared" si="95"/>
        <v/>
      </c>
      <c r="K845" s="24" t="str">
        <f t="shared" si="96"/>
        <v/>
      </c>
      <c r="L845" s="24" t="str">
        <f t="shared" si="97"/>
        <v/>
      </c>
    </row>
    <row r="846" spans="1:12" x14ac:dyDescent="0.25">
      <c r="A846" s="24">
        <f t="shared" si="91"/>
        <v>845</v>
      </c>
      <c r="B846" s="25" t="str">
        <f>IF($A846&gt;nrows,"",IF(col_user=0,"",INDEX('Paste Export'!$A$2:$BZ$1001,$A846,col_user)))</f>
        <v/>
      </c>
      <c r="C846" s="24" t="str">
        <f>IF($A846&gt;nrows,"",IF(col_days=0,0,N(INDEX('Paste Export'!$A$2:$BZ$1001,$A846,col_days))))</f>
        <v/>
      </c>
      <c r="D846" s="24" t="str">
        <f>IF($A846&gt;nrows,"",IF(col_prompts=0,0,N(INDEX('Paste Export'!$A$2:$BZ$1001,$A846,col_prompts))))</f>
        <v/>
      </c>
      <c r="E846" s="24" t="str">
        <f>IF($A846&gt;nrows,"",IF(col_web=0,0,N(INDEX('Paste Export'!$A$2:$BZ$1001,$A846,col_web))))</f>
        <v/>
      </c>
      <c r="F846" s="26" t="str">
        <f t="shared" si="92"/>
        <v/>
      </c>
      <c r="G846" s="27" t="str">
        <f t="shared" si="93"/>
        <v/>
      </c>
      <c r="H846" s="24" t="str">
        <f>IF($A846&gt;nrows,"",IF(col_s1=0,0,--(LEN(INDEX('Paste Export'!$A$2:$BZ$1001,$A846,col_s1))&gt;0))+IF(col_s2=0,0,--(LEN(INDEX('Paste Export'!$A$2:$BZ$1001,$A846,col_s2))&gt;0))+IF(col_s3=0,0,--(LEN(INDEX('Paste Export'!$A$2:$BZ$1001,$A846,col_s3))&gt;0))+IF(col_s4=0,0,--(LEN(INDEX('Paste Export'!$A$2:$BZ$1001,$A846,col_s4))&gt;0))+IF(col_s5=0,0,--(LEN(INDEX('Paste Export'!$A$2:$BZ$1001,$A846,col_s5))&gt;0))+IF(col_s6=0,0,--(LEN(INDEX('Paste Export'!$A$2:$BZ$1001,$A846,col_s6))&gt;0))+IF(col_s7=0,0,--(LEN(INDEX('Paste Export'!$A$2:$BZ$1001,$A846,col_s7))&gt;0))+IF(col_s8=0,0,--(LEN(INDEX('Paste Export'!$A$2:$BZ$1001,$A846,col_s8))&gt;0)))</f>
        <v/>
      </c>
      <c r="I846" s="25" t="str">
        <f t="shared" si="94"/>
        <v/>
      </c>
      <c r="J846" s="25" t="str">
        <f t="shared" si="95"/>
        <v/>
      </c>
      <c r="K846" s="24" t="str">
        <f t="shared" si="96"/>
        <v/>
      </c>
      <c r="L846" s="24" t="str">
        <f t="shared" si="97"/>
        <v/>
      </c>
    </row>
    <row r="847" spans="1:12" x14ac:dyDescent="0.25">
      <c r="A847" s="24">
        <f t="shared" si="91"/>
        <v>846</v>
      </c>
      <c r="B847" s="25" t="str">
        <f>IF($A847&gt;nrows,"",IF(col_user=0,"",INDEX('Paste Export'!$A$2:$BZ$1001,$A847,col_user)))</f>
        <v/>
      </c>
      <c r="C847" s="24" t="str">
        <f>IF($A847&gt;nrows,"",IF(col_days=0,0,N(INDEX('Paste Export'!$A$2:$BZ$1001,$A847,col_days))))</f>
        <v/>
      </c>
      <c r="D847" s="24" t="str">
        <f>IF($A847&gt;nrows,"",IF(col_prompts=0,0,N(INDEX('Paste Export'!$A$2:$BZ$1001,$A847,col_prompts))))</f>
        <v/>
      </c>
      <c r="E847" s="24" t="str">
        <f>IF($A847&gt;nrows,"",IF(col_web=0,0,N(INDEX('Paste Export'!$A$2:$BZ$1001,$A847,col_web))))</f>
        <v/>
      </c>
      <c r="F847" s="26" t="str">
        <f t="shared" si="92"/>
        <v/>
      </c>
      <c r="G847" s="27" t="str">
        <f t="shared" si="93"/>
        <v/>
      </c>
      <c r="H847" s="24" t="str">
        <f>IF($A847&gt;nrows,"",IF(col_s1=0,0,--(LEN(INDEX('Paste Export'!$A$2:$BZ$1001,$A847,col_s1))&gt;0))+IF(col_s2=0,0,--(LEN(INDEX('Paste Export'!$A$2:$BZ$1001,$A847,col_s2))&gt;0))+IF(col_s3=0,0,--(LEN(INDEX('Paste Export'!$A$2:$BZ$1001,$A847,col_s3))&gt;0))+IF(col_s4=0,0,--(LEN(INDEX('Paste Export'!$A$2:$BZ$1001,$A847,col_s4))&gt;0))+IF(col_s5=0,0,--(LEN(INDEX('Paste Export'!$A$2:$BZ$1001,$A847,col_s5))&gt;0))+IF(col_s6=0,0,--(LEN(INDEX('Paste Export'!$A$2:$BZ$1001,$A847,col_s6))&gt;0))+IF(col_s7=0,0,--(LEN(INDEX('Paste Export'!$A$2:$BZ$1001,$A847,col_s7))&gt;0))+IF(col_s8=0,0,--(LEN(INDEX('Paste Export'!$A$2:$BZ$1001,$A847,col_s8))&gt;0)))</f>
        <v/>
      </c>
      <c r="I847" s="25" t="str">
        <f t="shared" si="94"/>
        <v/>
      </c>
      <c r="J847" s="25" t="str">
        <f t="shared" si="95"/>
        <v/>
      </c>
      <c r="K847" s="24" t="str">
        <f t="shared" si="96"/>
        <v/>
      </c>
      <c r="L847" s="24" t="str">
        <f t="shared" si="97"/>
        <v/>
      </c>
    </row>
    <row r="848" spans="1:12" x14ac:dyDescent="0.25">
      <c r="A848" s="24">
        <f t="shared" si="91"/>
        <v>847</v>
      </c>
      <c r="B848" s="25" t="str">
        <f>IF($A848&gt;nrows,"",IF(col_user=0,"",INDEX('Paste Export'!$A$2:$BZ$1001,$A848,col_user)))</f>
        <v/>
      </c>
      <c r="C848" s="24" t="str">
        <f>IF($A848&gt;nrows,"",IF(col_days=0,0,N(INDEX('Paste Export'!$A$2:$BZ$1001,$A848,col_days))))</f>
        <v/>
      </c>
      <c r="D848" s="24" t="str">
        <f>IF($A848&gt;nrows,"",IF(col_prompts=0,0,N(INDEX('Paste Export'!$A$2:$BZ$1001,$A848,col_prompts))))</f>
        <v/>
      </c>
      <c r="E848" s="24" t="str">
        <f>IF($A848&gt;nrows,"",IF(col_web=0,0,N(INDEX('Paste Export'!$A$2:$BZ$1001,$A848,col_web))))</f>
        <v/>
      </c>
      <c r="F848" s="26" t="str">
        <f t="shared" si="92"/>
        <v/>
      </c>
      <c r="G848" s="27" t="str">
        <f t="shared" si="93"/>
        <v/>
      </c>
      <c r="H848" s="24" t="str">
        <f>IF($A848&gt;nrows,"",IF(col_s1=0,0,--(LEN(INDEX('Paste Export'!$A$2:$BZ$1001,$A848,col_s1))&gt;0))+IF(col_s2=0,0,--(LEN(INDEX('Paste Export'!$A$2:$BZ$1001,$A848,col_s2))&gt;0))+IF(col_s3=0,0,--(LEN(INDEX('Paste Export'!$A$2:$BZ$1001,$A848,col_s3))&gt;0))+IF(col_s4=0,0,--(LEN(INDEX('Paste Export'!$A$2:$BZ$1001,$A848,col_s4))&gt;0))+IF(col_s5=0,0,--(LEN(INDEX('Paste Export'!$A$2:$BZ$1001,$A848,col_s5))&gt;0))+IF(col_s6=0,0,--(LEN(INDEX('Paste Export'!$A$2:$BZ$1001,$A848,col_s6))&gt;0))+IF(col_s7=0,0,--(LEN(INDEX('Paste Export'!$A$2:$BZ$1001,$A848,col_s7))&gt;0))+IF(col_s8=0,0,--(LEN(INDEX('Paste Export'!$A$2:$BZ$1001,$A848,col_s8))&gt;0)))</f>
        <v/>
      </c>
      <c r="I848" s="25" t="str">
        <f t="shared" si="94"/>
        <v/>
      </c>
      <c r="J848" s="25" t="str">
        <f t="shared" si="95"/>
        <v/>
      </c>
      <c r="K848" s="24" t="str">
        <f t="shared" si="96"/>
        <v/>
      </c>
      <c r="L848" s="24" t="str">
        <f t="shared" si="97"/>
        <v/>
      </c>
    </row>
    <row r="849" spans="1:12" x14ac:dyDescent="0.25">
      <c r="A849" s="24">
        <f t="shared" si="91"/>
        <v>848</v>
      </c>
      <c r="B849" s="25" t="str">
        <f>IF($A849&gt;nrows,"",IF(col_user=0,"",INDEX('Paste Export'!$A$2:$BZ$1001,$A849,col_user)))</f>
        <v/>
      </c>
      <c r="C849" s="24" t="str">
        <f>IF($A849&gt;nrows,"",IF(col_days=0,0,N(INDEX('Paste Export'!$A$2:$BZ$1001,$A849,col_days))))</f>
        <v/>
      </c>
      <c r="D849" s="24" t="str">
        <f>IF($A849&gt;nrows,"",IF(col_prompts=0,0,N(INDEX('Paste Export'!$A$2:$BZ$1001,$A849,col_prompts))))</f>
        <v/>
      </c>
      <c r="E849" s="24" t="str">
        <f>IF($A849&gt;nrows,"",IF(col_web=0,0,N(INDEX('Paste Export'!$A$2:$BZ$1001,$A849,col_web))))</f>
        <v/>
      </c>
      <c r="F849" s="26" t="str">
        <f t="shared" si="92"/>
        <v/>
      </c>
      <c r="G849" s="27" t="str">
        <f t="shared" si="93"/>
        <v/>
      </c>
      <c r="H849" s="24" t="str">
        <f>IF($A849&gt;nrows,"",IF(col_s1=0,0,--(LEN(INDEX('Paste Export'!$A$2:$BZ$1001,$A849,col_s1))&gt;0))+IF(col_s2=0,0,--(LEN(INDEX('Paste Export'!$A$2:$BZ$1001,$A849,col_s2))&gt;0))+IF(col_s3=0,0,--(LEN(INDEX('Paste Export'!$A$2:$BZ$1001,$A849,col_s3))&gt;0))+IF(col_s4=0,0,--(LEN(INDEX('Paste Export'!$A$2:$BZ$1001,$A849,col_s4))&gt;0))+IF(col_s5=0,0,--(LEN(INDEX('Paste Export'!$A$2:$BZ$1001,$A849,col_s5))&gt;0))+IF(col_s6=0,0,--(LEN(INDEX('Paste Export'!$A$2:$BZ$1001,$A849,col_s6))&gt;0))+IF(col_s7=0,0,--(LEN(INDEX('Paste Export'!$A$2:$BZ$1001,$A849,col_s7))&gt;0))+IF(col_s8=0,0,--(LEN(INDEX('Paste Export'!$A$2:$BZ$1001,$A849,col_s8))&gt;0)))</f>
        <v/>
      </c>
      <c r="I849" s="25" t="str">
        <f t="shared" si="94"/>
        <v/>
      </c>
      <c r="J849" s="25" t="str">
        <f t="shared" si="95"/>
        <v/>
      </c>
      <c r="K849" s="24" t="str">
        <f t="shared" si="96"/>
        <v/>
      </c>
      <c r="L849" s="24" t="str">
        <f t="shared" si="97"/>
        <v/>
      </c>
    </row>
    <row r="850" spans="1:12" x14ac:dyDescent="0.25">
      <c r="A850" s="24">
        <f t="shared" si="91"/>
        <v>849</v>
      </c>
      <c r="B850" s="25" t="str">
        <f>IF($A850&gt;nrows,"",IF(col_user=0,"",INDEX('Paste Export'!$A$2:$BZ$1001,$A850,col_user)))</f>
        <v/>
      </c>
      <c r="C850" s="24" t="str">
        <f>IF($A850&gt;nrows,"",IF(col_days=0,0,N(INDEX('Paste Export'!$A$2:$BZ$1001,$A850,col_days))))</f>
        <v/>
      </c>
      <c r="D850" s="24" t="str">
        <f>IF($A850&gt;nrows,"",IF(col_prompts=0,0,N(INDEX('Paste Export'!$A$2:$BZ$1001,$A850,col_prompts))))</f>
        <v/>
      </c>
      <c r="E850" s="24" t="str">
        <f>IF($A850&gt;nrows,"",IF(col_web=0,0,N(INDEX('Paste Export'!$A$2:$BZ$1001,$A850,col_web))))</f>
        <v/>
      </c>
      <c r="F850" s="26" t="str">
        <f t="shared" si="92"/>
        <v/>
      </c>
      <c r="G850" s="27" t="str">
        <f t="shared" si="93"/>
        <v/>
      </c>
      <c r="H850" s="24" t="str">
        <f>IF($A850&gt;nrows,"",IF(col_s1=0,0,--(LEN(INDEX('Paste Export'!$A$2:$BZ$1001,$A850,col_s1))&gt;0))+IF(col_s2=0,0,--(LEN(INDEX('Paste Export'!$A$2:$BZ$1001,$A850,col_s2))&gt;0))+IF(col_s3=0,0,--(LEN(INDEX('Paste Export'!$A$2:$BZ$1001,$A850,col_s3))&gt;0))+IF(col_s4=0,0,--(LEN(INDEX('Paste Export'!$A$2:$BZ$1001,$A850,col_s4))&gt;0))+IF(col_s5=0,0,--(LEN(INDEX('Paste Export'!$A$2:$BZ$1001,$A850,col_s5))&gt;0))+IF(col_s6=0,0,--(LEN(INDEX('Paste Export'!$A$2:$BZ$1001,$A850,col_s6))&gt;0))+IF(col_s7=0,0,--(LEN(INDEX('Paste Export'!$A$2:$BZ$1001,$A850,col_s7))&gt;0))+IF(col_s8=0,0,--(LEN(INDEX('Paste Export'!$A$2:$BZ$1001,$A850,col_s8))&gt;0)))</f>
        <v/>
      </c>
      <c r="I850" s="25" t="str">
        <f t="shared" si="94"/>
        <v/>
      </c>
      <c r="J850" s="25" t="str">
        <f t="shared" si="95"/>
        <v/>
      </c>
      <c r="K850" s="24" t="str">
        <f t="shared" si="96"/>
        <v/>
      </c>
      <c r="L850" s="24" t="str">
        <f t="shared" si="97"/>
        <v/>
      </c>
    </row>
    <row r="851" spans="1:12" x14ac:dyDescent="0.25">
      <c r="A851" s="24">
        <f t="shared" si="91"/>
        <v>850</v>
      </c>
      <c r="B851" s="25" t="str">
        <f>IF($A851&gt;nrows,"",IF(col_user=0,"",INDEX('Paste Export'!$A$2:$BZ$1001,$A851,col_user)))</f>
        <v/>
      </c>
      <c r="C851" s="24" t="str">
        <f>IF($A851&gt;nrows,"",IF(col_days=0,0,N(INDEX('Paste Export'!$A$2:$BZ$1001,$A851,col_days))))</f>
        <v/>
      </c>
      <c r="D851" s="24" t="str">
        <f>IF($A851&gt;nrows,"",IF(col_prompts=0,0,N(INDEX('Paste Export'!$A$2:$BZ$1001,$A851,col_prompts))))</f>
        <v/>
      </c>
      <c r="E851" s="24" t="str">
        <f>IF($A851&gt;nrows,"",IF(col_web=0,0,N(INDEX('Paste Export'!$A$2:$BZ$1001,$A851,col_web))))</f>
        <v/>
      </c>
      <c r="F851" s="26" t="str">
        <f t="shared" si="92"/>
        <v/>
      </c>
      <c r="G851" s="27" t="str">
        <f t="shared" si="93"/>
        <v/>
      </c>
      <c r="H851" s="24" t="str">
        <f>IF($A851&gt;nrows,"",IF(col_s1=0,0,--(LEN(INDEX('Paste Export'!$A$2:$BZ$1001,$A851,col_s1))&gt;0))+IF(col_s2=0,0,--(LEN(INDEX('Paste Export'!$A$2:$BZ$1001,$A851,col_s2))&gt;0))+IF(col_s3=0,0,--(LEN(INDEX('Paste Export'!$A$2:$BZ$1001,$A851,col_s3))&gt;0))+IF(col_s4=0,0,--(LEN(INDEX('Paste Export'!$A$2:$BZ$1001,$A851,col_s4))&gt;0))+IF(col_s5=0,0,--(LEN(INDEX('Paste Export'!$A$2:$BZ$1001,$A851,col_s5))&gt;0))+IF(col_s6=0,0,--(LEN(INDEX('Paste Export'!$A$2:$BZ$1001,$A851,col_s6))&gt;0))+IF(col_s7=0,0,--(LEN(INDEX('Paste Export'!$A$2:$BZ$1001,$A851,col_s7))&gt;0))+IF(col_s8=0,0,--(LEN(INDEX('Paste Export'!$A$2:$BZ$1001,$A851,col_s8))&gt;0)))</f>
        <v/>
      </c>
      <c r="I851" s="25" t="str">
        <f t="shared" si="94"/>
        <v/>
      </c>
      <c r="J851" s="25" t="str">
        <f t="shared" si="95"/>
        <v/>
      </c>
      <c r="K851" s="24" t="str">
        <f t="shared" si="96"/>
        <v/>
      </c>
      <c r="L851" s="24" t="str">
        <f t="shared" si="97"/>
        <v/>
      </c>
    </row>
    <row r="852" spans="1:12" x14ac:dyDescent="0.25">
      <c r="A852" s="24">
        <f t="shared" si="91"/>
        <v>851</v>
      </c>
      <c r="B852" s="25" t="str">
        <f>IF($A852&gt;nrows,"",IF(col_user=0,"",INDEX('Paste Export'!$A$2:$BZ$1001,$A852,col_user)))</f>
        <v/>
      </c>
      <c r="C852" s="24" t="str">
        <f>IF($A852&gt;nrows,"",IF(col_days=0,0,N(INDEX('Paste Export'!$A$2:$BZ$1001,$A852,col_days))))</f>
        <v/>
      </c>
      <c r="D852" s="24" t="str">
        <f>IF($A852&gt;nrows,"",IF(col_prompts=0,0,N(INDEX('Paste Export'!$A$2:$BZ$1001,$A852,col_prompts))))</f>
        <v/>
      </c>
      <c r="E852" s="24" t="str">
        <f>IF($A852&gt;nrows,"",IF(col_web=0,0,N(INDEX('Paste Export'!$A$2:$BZ$1001,$A852,col_web))))</f>
        <v/>
      </c>
      <c r="F852" s="26" t="str">
        <f t="shared" si="92"/>
        <v/>
      </c>
      <c r="G852" s="27" t="str">
        <f t="shared" si="93"/>
        <v/>
      </c>
      <c r="H852" s="24" t="str">
        <f>IF($A852&gt;nrows,"",IF(col_s1=0,0,--(LEN(INDEX('Paste Export'!$A$2:$BZ$1001,$A852,col_s1))&gt;0))+IF(col_s2=0,0,--(LEN(INDEX('Paste Export'!$A$2:$BZ$1001,$A852,col_s2))&gt;0))+IF(col_s3=0,0,--(LEN(INDEX('Paste Export'!$A$2:$BZ$1001,$A852,col_s3))&gt;0))+IF(col_s4=0,0,--(LEN(INDEX('Paste Export'!$A$2:$BZ$1001,$A852,col_s4))&gt;0))+IF(col_s5=0,0,--(LEN(INDEX('Paste Export'!$A$2:$BZ$1001,$A852,col_s5))&gt;0))+IF(col_s6=0,0,--(LEN(INDEX('Paste Export'!$A$2:$BZ$1001,$A852,col_s6))&gt;0))+IF(col_s7=0,0,--(LEN(INDEX('Paste Export'!$A$2:$BZ$1001,$A852,col_s7))&gt;0))+IF(col_s8=0,0,--(LEN(INDEX('Paste Export'!$A$2:$BZ$1001,$A852,col_s8))&gt;0)))</f>
        <v/>
      </c>
      <c r="I852" s="25" t="str">
        <f t="shared" si="94"/>
        <v/>
      </c>
      <c r="J852" s="25" t="str">
        <f t="shared" si="95"/>
        <v/>
      </c>
      <c r="K852" s="24" t="str">
        <f t="shared" si="96"/>
        <v/>
      </c>
      <c r="L852" s="24" t="str">
        <f t="shared" si="97"/>
        <v/>
      </c>
    </row>
    <row r="853" spans="1:12" x14ac:dyDescent="0.25">
      <c r="A853" s="24">
        <f t="shared" si="91"/>
        <v>852</v>
      </c>
      <c r="B853" s="25" t="str">
        <f>IF($A853&gt;nrows,"",IF(col_user=0,"",INDEX('Paste Export'!$A$2:$BZ$1001,$A853,col_user)))</f>
        <v/>
      </c>
      <c r="C853" s="24" t="str">
        <f>IF($A853&gt;nrows,"",IF(col_days=0,0,N(INDEX('Paste Export'!$A$2:$BZ$1001,$A853,col_days))))</f>
        <v/>
      </c>
      <c r="D853" s="24" t="str">
        <f>IF($A853&gt;nrows,"",IF(col_prompts=0,0,N(INDEX('Paste Export'!$A$2:$BZ$1001,$A853,col_prompts))))</f>
        <v/>
      </c>
      <c r="E853" s="24" t="str">
        <f>IF($A853&gt;nrows,"",IF(col_web=0,0,N(INDEX('Paste Export'!$A$2:$BZ$1001,$A853,col_web))))</f>
        <v/>
      </c>
      <c r="F853" s="26" t="str">
        <f t="shared" si="92"/>
        <v/>
      </c>
      <c r="G853" s="27" t="str">
        <f t="shared" si="93"/>
        <v/>
      </c>
      <c r="H853" s="24" t="str">
        <f>IF($A853&gt;nrows,"",IF(col_s1=0,0,--(LEN(INDEX('Paste Export'!$A$2:$BZ$1001,$A853,col_s1))&gt;0))+IF(col_s2=0,0,--(LEN(INDEX('Paste Export'!$A$2:$BZ$1001,$A853,col_s2))&gt;0))+IF(col_s3=0,0,--(LEN(INDEX('Paste Export'!$A$2:$BZ$1001,$A853,col_s3))&gt;0))+IF(col_s4=0,0,--(LEN(INDEX('Paste Export'!$A$2:$BZ$1001,$A853,col_s4))&gt;0))+IF(col_s5=0,0,--(LEN(INDEX('Paste Export'!$A$2:$BZ$1001,$A853,col_s5))&gt;0))+IF(col_s6=0,0,--(LEN(INDEX('Paste Export'!$A$2:$BZ$1001,$A853,col_s6))&gt;0))+IF(col_s7=0,0,--(LEN(INDEX('Paste Export'!$A$2:$BZ$1001,$A853,col_s7))&gt;0))+IF(col_s8=0,0,--(LEN(INDEX('Paste Export'!$A$2:$BZ$1001,$A853,col_s8))&gt;0)))</f>
        <v/>
      </c>
      <c r="I853" s="25" t="str">
        <f t="shared" si="94"/>
        <v/>
      </c>
      <c r="J853" s="25" t="str">
        <f t="shared" si="95"/>
        <v/>
      </c>
      <c r="K853" s="24" t="str">
        <f t="shared" si="96"/>
        <v/>
      </c>
      <c r="L853" s="24" t="str">
        <f t="shared" si="97"/>
        <v/>
      </c>
    </row>
    <row r="854" spans="1:12" x14ac:dyDescent="0.25">
      <c r="A854" s="24">
        <f t="shared" si="91"/>
        <v>853</v>
      </c>
      <c r="B854" s="25" t="str">
        <f>IF($A854&gt;nrows,"",IF(col_user=0,"",INDEX('Paste Export'!$A$2:$BZ$1001,$A854,col_user)))</f>
        <v/>
      </c>
      <c r="C854" s="24" t="str">
        <f>IF($A854&gt;nrows,"",IF(col_days=0,0,N(INDEX('Paste Export'!$A$2:$BZ$1001,$A854,col_days))))</f>
        <v/>
      </c>
      <c r="D854" s="24" t="str">
        <f>IF($A854&gt;nrows,"",IF(col_prompts=0,0,N(INDEX('Paste Export'!$A$2:$BZ$1001,$A854,col_prompts))))</f>
        <v/>
      </c>
      <c r="E854" s="24" t="str">
        <f>IF($A854&gt;nrows,"",IF(col_web=0,0,N(INDEX('Paste Export'!$A$2:$BZ$1001,$A854,col_web))))</f>
        <v/>
      </c>
      <c r="F854" s="26" t="str">
        <f t="shared" si="92"/>
        <v/>
      </c>
      <c r="G854" s="27" t="str">
        <f t="shared" si="93"/>
        <v/>
      </c>
      <c r="H854" s="24" t="str">
        <f>IF($A854&gt;nrows,"",IF(col_s1=0,0,--(LEN(INDEX('Paste Export'!$A$2:$BZ$1001,$A854,col_s1))&gt;0))+IF(col_s2=0,0,--(LEN(INDEX('Paste Export'!$A$2:$BZ$1001,$A854,col_s2))&gt;0))+IF(col_s3=0,0,--(LEN(INDEX('Paste Export'!$A$2:$BZ$1001,$A854,col_s3))&gt;0))+IF(col_s4=0,0,--(LEN(INDEX('Paste Export'!$A$2:$BZ$1001,$A854,col_s4))&gt;0))+IF(col_s5=0,0,--(LEN(INDEX('Paste Export'!$A$2:$BZ$1001,$A854,col_s5))&gt;0))+IF(col_s6=0,0,--(LEN(INDEX('Paste Export'!$A$2:$BZ$1001,$A854,col_s6))&gt;0))+IF(col_s7=0,0,--(LEN(INDEX('Paste Export'!$A$2:$BZ$1001,$A854,col_s7))&gt;0))+IF(col_s8=0,0,--(LEN(INDEX('Paste Export'!$A$2:$BZ$1001,$A854,col_s8))&gt;0)))</f>
        <v/>
      </c>
      <c r="I854" s="25" t="str">
        <f t="shared" si="94"/>
        <v/>
      </c>
      <c r="J854" s="25" t="str">
        <f t="shared" si="95"/>
        <v/>
      </c>
      <c r="K854" s="24" t="str">
        <f t="shared" si="96"/>
        <v/>
      </c>
      <c r="L854" s="24" t="str">
        <f t="shared" si="97"/>
        <v/>
      </c>
    </row>
    <row r="855" spans="1:12" x14ac:dyDescent="0.25">
      <c r="A855" s="24">
        <f t="shared" si="91"/>
        <v>854</v>
      </c>
      <c r="B855" s="25" t="str">
        <f>IF($A855&gt;nrows,"",IF(col_user=0,"",INDEX('Paste Export'!$A$2:$BZ$1001,$A855,col_user)))</f>
        <v/>
      </c>
      <c r="C855" s="24" t="str">
        <f>IF($A855&gt;nrows,"",IF(col_days=0,0,N(INDEX('Paste Export'!$A$2:$BZ$1001,$A855,col_days))))</f>
        <v/>
      </c>
      <c r="D855" s="24" t="str">
        <f>IF($A855&gt;nrows,"",IF(col_prompts=0,0,N(INDEX('Paste Export'!$A$2:$BZ$1001,$A855,col_prompts))))</f>
        <v/>
      </c>
      <c r="E855" s="24" t="str">
        <f>IF($A855&gt;nrows,"",IF(col_web=0,0,N(INDEX('Paste Export'!$A$2:$BZ$1001,$A855,col_web))))</f>
        <v/>
      </c>
      <c r="F855" s="26" t="str">
        <f t="shared" si="92"/>
        <v/>
      </c>
      <c r="G855" s="27" t="str">
        <f t="shared" si="93"/>
        <v/>
      </c>
      <c r="H855" s="24" t="str">
        <f>IF($A855&gt;nrows,"",IF(col_s1=0,0,--(LEN(INDEX('Paste Export'!$A$2:$BZ$1001,$A855,col_s1))&gt;0))+IF(col_s2=0,0,--(LEN(INDEX('Paste Export'!$A$2:$BZ$1001,$A855,col_s2))&gt;0))+IF(col_s3=0,0,--(LEN(INDEX('Paste Export'!$A$2:$BZ$1001,$A855,col_s3))&gt;0))+IF(col_s4=0,0,--(LEN(INDEX('Paste Export'!$A$2:$BZ$1001,$A855,col_s4))&gt;0))+IF(col_s5=0,0,--(LEN(INDEX('Paste Export'!$A$2:$BZ$1001,$A855,col_s5))&gt;0))+IF(col_s6=0,0,--(LEN(INDEX('Paste Export'!$A$2:$BZ$1001,$A855,col_s6))&gt;0))+IF(col_s7=0,0,--(LEN(INDEX('Paste Export'!$A$2:$BZ$1001,$A855,col_s7))&gt;0))+IF(col_s8=0,0,--(LEN(INDEX('Paste Export'!$A$2:$BZ$1001,$A855,col_s8))&gt;0)))</f>
        <v/>
      </c>
      <c r="I855" s="25" t="str">
        <f t="shared" si="94"/>
        <v/>
      </c>
      <c r="J855" s="25" t="str">
        <f t="shared" si="95"/>
        <v/>
      </c>
      <c r="K855" s="24" t="str">
        <f t="shared" si="96"/>
        <v/>
      </c>
      <c r="L855" s="24" t="str">
        <f t="shared" si="97"/>
        <v/>
      </c>
    </row>
    <row r="856" spans="1:12" x14ac:dyDescent="0.25">
      <c r="A856" s="24">
        <f t="shared" si="91"/>
        <v>855</v>
      </c>
      <c r="B856" s="25" t="str">
        <f>IF($A856&gt;nrows,"",IF(col_user=0,"",INDEX('Paste Export'!$A$2:$BZ$1001,$A856,col_user)))</f>
        <v/>
      </c>
      <c r="C856" s="24" t="str">
        <f>IF($A856&gt;nrows,"",IF(col_days=0,0,N(INDEX('Paste Export'!$A$2:$BZ$1001,$A856,col_days))))</f>
        <v/>
      </c>
      <c r="D856" s="24" t="str">
        <f>IF($A856&gt;nrows,"",IF(col_prompts=0,0,N(INDEX('Paste Export'!$A$2:$BZ$1001,$A856,col_prompts))))</f>
        <v/>
      </c>
      <c r="E856" s="24" t="str">
        <f>IF($A856&gt;nrows,"",IF(col_web=0,0,N(INDEX('Paste Export'!$A$2:$BZ$1001,$A856,col_web))))</f>
        <v/>
      </c>
      <c r="F856" s="26" t="str">
        <f t="shared" si="92"/>
        <v/>
      </c>
      <c r="G856" s="27" t="str">
        <f t="shared" si="93"/>
        <v/>
      </c>
      <c r="H856" s="24" t="str">
        <f>IF($A856&gt;nrows,"",IF(col_s1=0,0,--(LEN(INDEX('Paste Export'!$A$2:$BZ$1001,$A856,col_s1))&gt;0))+IF(col_s2=0,0,--(LEN(INDEX('Paste Export'!$A$2:$BZ$1001,$A856,col_s2))&gt;0))+IF(col_s3=0,0,--(LEN(INDEX('Paste Export'!$A$2:$BZ$1001,$A856,col_s3))&gt;0))+IF(col_s4=0,0,--(LEN(INDEX('Paste Export'!$A$2:$BZ$1001,$A856,col_s4))&gt;0))+IF(col_s5=0,0,--(LEN(INDEX('Paste Export'!$A$2:$BZ$1001,$A856,col_s5))&gt;0))+IF(col_s6=0,0,--(LEN(INDEX('Paste Export'!$A$2:$BZ$1001,$A856,col_s6))&gt;0))+IF(col_s7=0,0,--(LEN(INDEX('Paste Export'!$A$2:$BZ$1001,$A856,col_s7))&gt;0))+IF(col_s8=0,0,--(LEN(INDEX('Paste Export'!$A$2:$BZ$1001,$A856,col_s8))&gt;0)))</f>
        <v/>
      </c>
      <c r="I856" s="25" t="str">
        <f t="shared" si="94"/>
        <v/>
      </c>
      <c r="J856" s="25" t="str">
        <f t="shared" si="95"/>
        <v/>
      </c>
      <c r="K856" s="24" t="str">
        <f t="shared" si="96"/>
        <v/>
      </c>
      <c r="L856" s="24" t="str">
        <f t="shared" si="97"/>
        <v/>
      </c>
    </row>
    <row r="857" spans="1:12" x14ac:dyDescent="0.25">
      <c r="A857" s="24">
        <f t="shared" si="91"/>
        <v>856</v>
      </c>
      <c r="B857" s="25" t="str">
        <f>IF($A857&gt;nrows,"",IF(col_user=0,"",INDEX('Paste Export'!$A$2:$BZ$1001,$A857,col_user)))</f>
        <v/>
      </c>
      <c r="C857" s="24" t="str">
        <f>IF($A857&gt;nrows,"",IF(col_days=0,0,N(INDEX('Paste Export'!$A$2:$BZ$1001,$A857,col_days))))</f>
        <v/>
      </c>
      <c r="D857" s="24" t="str">
        <f>IF($A857&gt;nrows,"",IF(col_prompts=0,0,N(INDEX('Paste Export'!$A$2:$BZ$1001,$A857,col_prompts))))</f>
        <v/>
      </c>
      <c r="E857" s="24" t="str">
        <f>IF($A857&gt;nrows,"",IF(col_web=0,0,N(INDEX('Paste Export'!$A$2:$BZ$1001,$A857,col_web))))</f>
        <v/>
      </c>
      <c r="F857" s="26" t="str">
        <f t="shared" si="92"/>
        <v/>
      </c>
      <c r="G857" s="27" t="str">
        <f t="shared" si="93"/>
        <v/>
      </c>
      <c r="H857" s="24" t="str">
        <f>IF($A857&gt;nrows,"",IF(col_s1=0,0,--(LEN(INDEX('Paste Export'!$A$2:$BZ$1001,$A857,col_s1))&gt;0))+IF(col_s2=0,0,--(LEN(INDEX('Paste Export'!$A$2:$BZ$1001,$A857,col_s2))&gt;0))+IF(col_s3=0,0,--(LEN(INDEX('Paste Export'!$A$2:$BZ$1001,$A857,col_s3))&gt;0))+IF(col_s4=0,0,--(LEN(INDEX('Paste Export'!$A$2:$BZ$1001,$A857,col_s4))&gt;0))+IF(col_s5=0,0,--(LEN(INDEX('Paste Export'!$A$2:$BZ$1001,$A857,col_s5))&gt;0))+IF(col_s6=0,0,--(LEN(INDEX('Paste Export'!$A$2:$BZ$1001,$A857,col_s6))&gt;0))+IF(col_s7=0,0,--(LEN(INDEX('Paste Export'!$A$2:$BZ$1001,$A857,col_s7))&gt;0))+IF(col_s8=0,0,--(LEN(INDEX('Paste Export'!$A$2:$BZ$1001,$A857,col_s8))&gt;0)))</f>
        <v/>
      </c>
      <c r="I857" s="25" t="str">
        <f t="shared" si="94"/>
        <v/>
      </c>
      <c r="J857" s="25" t="str">
        <f t="shared" si="95"/>
        <v/>
      </c>
      <c r="K857" s="24" t="str">
        <f t="shared" si="96"/>
        <v/>
      </c>
      <c r="L857" s="24" t="str">
        <f t="shared" si="97"/>
        <v/>
      </c>
    </row>
    <row r="858" spans="1:12" x14ac:dyDescent="0.25">
      <c r="A858" s="24">
        <f t="shared" si="91"/>
        <v>857</v>
      </c>
      <c r="B858" s="25" t="str">
        <f>IF($A858&gt;nrows,"",IF(col_user=0,"",INDEX('Paste Export'!$A$2:$BZ$1001,$A858,col_user)))</f>
        <v/>
      </c>
      <c r="C858" s="24" t="str">
        <f>IF($A858&gt;nrows,"",IF(col_days=0,0,N(INDEX('Paste Export'!$A$2:$BZ$1001,$A858,col_days))))</f>
        <v/>
      </c>
      <c r="D858" s="24" t="str">
        <f>IF($A858&gt;nrows,"",IF(col_prompts=0,0,N(INDEX('Paste Export'!$A$2:$BZ$1001,$A858,col_prompts))))</f>
        <v/>
      </c>
      <c r="E858" s="24" t="str">
        <f>IF($A858&gt;nrows,"",IF(col_web=0,0,N(INDEX('Paste Export'!$A$2:$BZ$1001,$A858,col_web))))</f>
        <v/>
      </c>
      <c r="F858" s="26" t="str">
        <f t="shared" si="92"/>
        <v/>
      </c>
      <c r="G858" s="27" t="str">
        <f t="shared" si="93"/>
        <v/>
      </c>
      <c r="H858" s="24" t="str">
        <f>IF($A858&gt;nrows,"",IF(col_s1=0,0,--(LEN(INDEX('Paste Export'!$A$2:$BZ$1001,$A858,col_s1))&gt;0))+IF(col_s2=0,0,--(LEN(INDEX('Paste Export'!$A$2:$BZ$1001,$A858,col_s2))&gt;0))+IF(col_s3=0,0,--(LEN(INDEX('Paste Export'!$A$2:$BZ$1001,$A858,col_s3))&gt;0))+IF(col_s4=0,0,--(LEN(INDEX('Paste Export'!$A$2:$BZ$1001,$A858,col_s4))&gt;0))+IF(col_s5=0,0,--(LEN(INDEX('Paste Export'!$A$2:$BZ$1001,$A858,col_s5))&gt;0))+IF(col_s6=0,0,--(LEN(INDEX('Paste Export'!$A$2:$BZ$1001,$A858,col_s6))&gt;0))+IF(col_s7=0,0,--(LEN(INDEX('Paste Export'!$A$2:$BZ$1001,$A858,col_s7))&gt;0))+IF(col_s8=0,0,--(LEN(INDEX('Paste Export'!$A$2:$BZ$1001,$A858,col_s8))&gt;0)))</f>
        <v/>
      </c>
      <c r="I858" s="25" t="str">
        <f t="shared" si="94"/>
        <v/>
      </c>
      <c r="J858" s="25" t="str">
        <f t="shared" si="95"/>
        <v/>
      </c>
      <c r="K858" s="24" t="str">
        <f t="shared" si="96"/>
        <v/>
      </c>
      <c r="L858" s="24" t="str">
        <f t="shared" si="97"/>
        <v/>
      </c>
    </row>
    <row r="859" spans="1:12" x14ac:dyDescent="0.25">
      <c r="A859" s="24">
        <f t="shared" si="91"/>
        <v>858</v>
      </c>
      <c r="B859" s="25" t="str">
        <f>IF($A859&gt;nrows,"",IF(col_user=0,"",INDEX('Paste Export'!$A$2:$BZ$1001,$A859,col_user)))</f>
        <v/>
      </c>
      <c r="C859" s="24" t="str">
        <f>IF($A859&gt;nrows,"",IF(col_days=0,0,N(INDEX('Paste Export'!$A$2:$BZ$1001,$A859,col_days))))</f>
        <v/>
      </c>
      <c r="D859" s="24" t="str">
        <f>IF($A859&gt;nrows,"",IF(col_prompts=0,0,N(INDEX('Paste Export'!$A$2:$BZ$1001,$A859,col_prompts))))</f>
        <v/>
      </c>
      <c r="E859" s="24" t="str">
        <f>IF($A859&gt;nrows,"",IF(col_web=0,0,N(INDEX('Paste Export'!$A$2:$BZ$1001,$A859,col_web))))</f>
        <v/>
      </c>
      <c r="F859" s="26" t="str">
        <f t="shared" si="92"/>
        <v/>
      </c>
      <c r="G859" s="27" t="str">
        <f t="shared" si="93"/>
        <v/>
      </c>
      <c r="H859" s="24" t="str">
        <f>IF($A859&gt;nrows,"",IF(col_s1=0,0,--(LEN(INDEX('Paste Export'!$A$2:$BZ$1001,$A859,col_s1))&gt;0))+IF(col_s2=0,0,--(LEN(INDEX('Paste Export'!$A$2:$BZ$1001,$A859,col_s2))&gt;0))+IF(col_s3=0,0,--(LEN(INDEX('Paste Export'!$A$2:$BZ$1001,$A859,col_s3))&gt;0))+IF(col_s4=0,0,--(LEN(INDEX('Paste Export'!$A$2:$BZ$1001,$A859,col_s4))&gt;0))+IF(col_s5=0,0,--(LEN(INDEX('Paste Export'!$A$2:$BZ$1001,$A859,col_s5))&gt;0))+IF(col_s6=0,0,--(LEN(INDEX('Paste Export'!$A$2:$BZ$1001,$A859,col_s6))&gt;0))+IF(col_s7=0,0,--(LEN(INDEX('Paste Export'!$A$2:$BZ$1001,$A859,col_s7))&gt;0))+IF(col_s8=0,0,--(LEN(INDEX('Paste Export'!$A$2:$BZ$1001,$A859,col_s8))&gt;0)))</f>
        <v/>
      </c>
      <c r="I859" s="25" t="str">
        <f t="shared" si="94"/>
        <v/>
      </c>
      <c r="J859" s="25" t="str">
        <f t="shared" si="95"/>
        <v/>
      </c>
      <c r="K859" s="24" t="str">
        <f t="shared" si="96"/>
        <v/>
      </c>
      <c r="L859" s="24" t="str">
        <f t="shared" si="97"/>
        <v/>
      </c>
    </row>
    <row r="860" spans="1:12" x14ac:dyDescent="0.25">
      <c r="A860" s="24">
        <f t="shared" si="91"/>
        <v>859</v>
      </c>
      <c r="B860" s="25" t="str">
        <f>IF($A860&gt;nrows,"",IF(col_user=0,"",INDEX('Paste Export'!$A$2:$BZ$1001,$A860,col_user)))</f>
        <v/>
      </c>
      <c r="C860" s="24" t="str">
        <f>IF($A860&gt;nrows,"",IF(col_days=0,0,N(INDEX('Paste Export'!$A$2:$BZ$1001,$A860,col_days))))</f>
        <v/>
      </c>
      <c r="D860" s="24" t="str">
        <f>IF($A860&gt;nrows,"",IF(col_prompts=0,0,N(INDEX('Paste Export'!$A$2:$BZ$1001,$A860,col_prompts))))</f>
        <v/>
      </c>
      <c r="E860" s="24" t="str">
        <f>IF($A860&gt;nrows,"",IF(col_web=0,0,N(INDEX('Paste Export'!$A$2:$BZ$1001,$A860,col_web))))</f>
        <v/>
      </c>
      <c r="F860" s="26" t="str">
        <f t="shared" si="92"/>
        <v/>
      </c>
      <c r="G860" s="27" t="str">
        <f t="shared" si="93"/>
        <v/>
      </c>
      <c r="H860" s="24" t="str">
        <f>IF($A860&gt;nrows,"",IF(col_s1=0,0,--(LEN(INDEX('Paste Export'!$A$2:$BZ$1001,$A860,col_s1))&gt;0))+IF(col_s2=0,0,--(LEN(INDEX('Paste Export'!$A$2:$BZ$1001,$A860,col_s2))&gt;0))+IF(col_s3=0,0,--(LEN(INDEX('Paste Export'!$A$2:$BZ$1001,$A860,col_s3))&gt;0))+IF(col_s4=0,0,--(LEN(INDEX('Paste Export'!$A$2:$BZ$1001,$A860,col_s4))&gt;0))+IF(col_s5=0,0,--(LEN(INDEX('Paste Export'!$A$2:$BZ$1001,$A860,col_s5))&gt;0))+IF(col_s6=0,0,--(LEN(INDEX('Paste Export'!$A$2:$BZ$1001,$A860,col_s6))&gt;0))+IF(col_s7=0,0,--(LEN(INDEX('Paste Export'!$A$2:$BZ$1001,$A860,col_s7))&gt;0))+IF(col_s8=0,0,--(LEN(INDEX('Paste Export'!$A$2:$BZ$1001,$A860,col_s8))&gt;0)))</f>
        <v/>
      </c>
      <c r="I860" s="25" t="str">
        <f t="shared" si="94"/>
        <v/>
      </c>
      <c r="J860" s="25" t="str">
        <f t="shared" si="95"/>
        <v/>
      </c>
      <c r="K860" s="24" t="str">
        <f t="shared" si="96"/>
        <v/>
      </c>
      <c r="L860" s="24" t="str">
        <f t="shared" si="97"/>
        <v/>
      </c>
    </row>
    <row r="861" spans="1:12" x14ac:dyDescent="0.25">
      <c r="A861" s="24">
        <f t="shared" si="91"/>
        <v>860</v>
      </c>
      <c r="B861" s="25" t="str">
        <f>IF($A861&gt;nrows,"",IF(col_user=0,"",INDEX('Paste Export'!$A$2:$BZ$1001,$A861,col_user)))</f>
        <v/>
      </c>
      <c r="C861" s="24" t="str">
        <f>IF($A861&gt;nrows,"",IF(col_days=0,0,N(INDEX('Paste Export'!$A$2:$BZ$1001,$A861,col_days))))</f>
        <v/>
      </c>
      <c r="D861" s="24" t="str">
        <f>IF($A861&gt;nrows,"",IF(col_prompts=0,0,N(INDEX('Paste Export'!$A$2:$BZ$1001,$A861,col_prompts))))</f>
        <v/>
      </c>
      <c r="E861" s="24" t="str">
        <f>IF($A861&gt;nrows,"",IF(col_web=0,0,N(INDEX('Paste Export'!$A$2:$BZ$1001,$A861,col_web))))</f>
        <v/>
      </c>
      <c r="F861" s="26" t="str">
        <f t="shared" si="92"/>
        <v/>
      </c>
      <c r="G861" s="27" t="str">
        <f t="shared" si="93"/>
        <v/>
      </c>
      <c r="H861" s="24" t="str">
        <f>IF($A861&gt;nrows,"",IF(col_s1=0,0,--(LEN(INDEX('Paste Export'!$A$2:$BZ$1001,$A861,col_s1))&gt;0))+IF(col_s2=0,0,--(LEN(INDEX('Paste Export'!$A$2:$BZ$1001,$A861,col_s2))&gt;0))+IF(col_s3=0,0,--(LEN(INDEX('Paste Export'!$A$2:$BZ$1001,$A861,col_s3))&gt;0))+IF(col_s4=0,0,--(LEN(INDEX('Paste Export'!$A$2:$BZ$1001,$A861,col_s4))&gt;0))+IF(col_s5=0,0,--(LEN(INDEX('Paste Export'!$A$2:$BZ$1001,$A861,col_s5))&gt;0))+IF(col_s6=0,0,--(LEN(INDEX('Paste Export'!$A$2:$BZ$1001,$A861,col_s6))&gt;0))+IF(col_s7=0,0,--(LEN(INDEX('Paste Export'!$A$2:$BZ$1001,$A861,col_s7))&gt;0))+IF(col_s8=0,0,--(LEN(INDEX('Paste Export'!$A$2:$BZ$1001,$A861,col_s8))&gt;0)))</f>
        <v/>
      </c>
      <c r="I861" s="25" t="str">
        <f t="shared" si="94"/>
        <v/>
      </c>
      <c r="J861" s="25" t="str">
        <f t="shared" si="95"/>
        <v/>
      </c>
      <c r="K861" s="24" t="str">
        <f t="shared" si="96"/>
        <v/>
      </c>
      <c r="L861" s="24" t="str">
        <f t="shared" si="97"/>
        <v/>
      </c>
    </row>
    <row r="862" spans="1:12" x14ac:dyDescent="0.25">
      <c r="A862" s="24">
        <f t="shared" si="91"/>
        <v>861</v>
      </c>
      <c r="B862" s="25" t="str">
        <f>IF($A862&gt;nrows,"",IF(col_user=0,"",INDEX('Paste Export'!$A$2:$BZ$1001,$A862,col_user)))</f>
        <v/>
      </c>
      <c r="C862" s="24" t="str">
        <f>IF($A862&gt;nrows,"",IF(col_days=0,0,N(INDEX('Paste Export'!$A$2:$BZ$1001,$A862,col_days))))</f>
        <v/>
      </c>
      <c r="D862" s="24" t="str">
        <f>IF($A862&gt;nrows,"",IF(col_prompts=0,0,N(INDEX('Paste Export'!$A$2:$BZ$1001,$A862,col_prompts))))</f>
        <v/>
      </c>
      <c r="E862" s="24" t="str">
        <f>IF($A862&gt;nrows,"",IF(col_web=0,0,N(INDEX('Paste Export'!$A$2:$BZ$1001,$A862,col_web))))</f>
        <v/>
      </c>
      <c r="F862" s="26" t="str">
        <f t="shared" si="92"/>
        <v/>
      </c>
      <c r="G862" s="27" t="str">
        <f t="shared" si="93"/>
        <v/>
      </c>
      <c r="H862" s="24" t="str">
        <f>IF($A862&gt;nrows,"",IF(col_s1=0,0,--(LEN(INDEX('Paste Export'!$A$2:$BZ$1001,$A862,col_s1))&gt;0))+IF(col_s2=0,0,--(LEN(INDEX('Paste Export'!$A$2:$BZ$1001,$A862,col_s2))&gt;0))+IF(col_s3=0,0,--(LEN(INDEX('Paste Export'!$A$2:$BZ$1001,$A862,col_s3))&gt;0))+IF(col_s4=0,0,--(LEN(INDEX('Paste Export'!$A$2:$BZ$1001,$A862,col_s4))&gt;0))+IF(col_s5=0,0,--(LEN(INDEX('Paste Export'!$A$2:$BZ$1001,$A862,col_s5))&gt;0))+IF(col_s6=0,0,--(LEN(INDEX('Paste Export'!$A$2:$BZ$1001,$A862,col_s6))&gt;0))+IF(col_s7=0,0,--(LEN(INDEX('Paste Export'!$A$2:$BZ$1001,$A862,col_s7))&gt;0))+IF(col_s8=0,0,--(LEN(INDEX('Paste Export'!$A$2:$BZ$1001,$A862,col_s8))&gt;0)))</f>
        <v/>
      </c>
      <c r="I862" s="25" t="str">
        <f t="shared" si="94"/>
        <v/>
      </c>
      <c r="J862" s="25" t="str">
        <f t="shared" si="95"/>
        <v/>
      </c>
      <c r="K862" s="24" t="str">
        <f t="shared" si="96"/>
        <v/>
      </c>
      <c r="L862" s="24" t="str">
        <f t="shared" si="97"/>
        <v/>
      </c>
    </row>
    <row r="863" spans="1:12" x14ac:dyDescent="0.25">
      <c r="A863" s="24">
        <f t="shared" si="91"/>
        <v>862</v>
      </c>
      <c r="B863" s="25" t="str">
        <f>IF($A863&gt;nrows,"",IF(col_user=0,"",INDEX('Paste Export'!$A$2:$BZ$1001,$A863,col_user)))</f>
        <v/>
      </c>
      <c r="C863" s="24" t="str">
        <f>IF($A863&gt;nrows,"",IF(col_days=0,0,N(INDEX('Paste Export'!$A$2:$BZ$1001,$A863,col_days))))</f>
        <v/>
      </c>
      <c r="D863" s="24" t="str">
        <f>IF($A863&gt;nrows,"",IF(col_prompts=0,0,N(INDEX('Paste Export'!$A$2:$BZ$1001,$A863,col_prompts))))</f>
        <v/>
      </c>
      <c r="E863" s="24" t="str">
        <f>IF($A863&gt;nrows,"",IF(col_web=0,0,N(INDEX('Paste Export'!$A$2:$BZ$1001,$A863,col_web))))</f>
        <v/>
      </c>
      <c r="F863" s="26" t="str">
        <f t="shared" si="92"/>
        <v/>
      </c>
      <c r="G863" s="27" t="str">
        <f t="shared" si="93"/>
        <v/>
      </c>
      <c r="H863" s="24" t="str">
        <f>IF($A863&gt;nrows,"",IF(col_s1=0,0,--(LEN(INDEX('Paste Export'!$A$2:$BZ$1001,$A863,col_s1))&gt;0))+IF(col_s2=0,0,--(LEN(INDEX('Paste Export'!$A$2:$BZ$1001,$A863,col_s2))&gt;0))+IF(col_s3=0,0,--(LEN(INDEX('Paste Export'!$A$2:$BZ$1001,$A863,col_s3))&gt;0))+IF(col_s4=0,0,--(LEN(INDEX('Paste Export'!$A$2:$BZ$1001,$A863,col_s4))&gt;0))+IF(col_s5=0,0,--(LEN(INDEX('Paste Export'!$A$2:$BZ$1001,$A863,col_s5))&gt;0))+IF(col_s6=0,0,--(LEN(INDEX('Paste Export'!$A$2:$BZ$1001,$A863,col_s6))&gt;0))+IF(col_s7=0,0,--(LEN(INDEX('Paste Export'!$A$2:$BZ$1001,$A863,col_s7))&gt;0))+IF(col_s8=0,0,--(LEN(INDEX('Paste Export'!$A$2:$BZ$1001,$A863,col_s8))&gt;0)))</f>
        <v/>
      </c>
      <c r="I863" s="25" t="str">
        <f t="shared" si="94"/>
        <v/>
      </c>
      <c r="J863" s="25" t="str">
        <f t="shared" si="95"/>
        <v/>
      </c>
      <c r="K863" s="24" t="str">
        <f t="shared" si="96"/>
        <v/>
      </c>
      <c r="L863" s="24" t="str">
        <f t="shared" si="97"/>
        <v/>
      </c>
    </row>
    <row r="864" spans="1:12" x14ac:dyDescent="0.25">
      <c r="A864" s="24">
        <f t="shared" si="91"/>
        <v>863</v>
      </c>
      <c r="B864" s="25" t="str">
        <f>IF($A864&gt;nrows,"",IF(col_user=0,"",INDEX('Paste Export'!$A$2:$BZ$1001,$A864,col_user)))</f>
        <v/>
      </c>
      <c r="C864" s="24" t="str">
        <f>IF($A864&gt;nrows,"",IF(col_days=0,0,N(INDEX('Paste Export'!$A$2:$BZ$1001,$A864,col_days))))</f>
        <v/>
      </c>
      <c r="D864" s="24" t="str">
        <f>IF($A864&gt;nrows,"",IF(col_prompts=0,0,N(INDEX('Paste Export'!$A$2:$BZ$1001,$A864,col_prompts))))</f>
        <v/>
      </c>
      <c r="E864" s="24" t="str">
        <f>IF($A864&gt;nrows,"",IF(col_web=0,0,N(INDEX('Paste Export'!$A$2:$BZ$1001,$A864,col_web))))</f>
        <v/>
      </c>
      <c r="F864" s="26" t="str">
        <f t="shared" si="92"/>
        <v/>
      </c>
      <c r="G864" s="27" t="str">
        <f t="shared" si="93"/>
        <v/>
      </c>
      <c r="H864" s="24" t="str">
        <f>IF($A864&gt;nrows,"",IF(col_s1=0,0,--(LEN(INDEX('Paste Export'!$A$2:$BZ$1001,$A864,col_s1))&gt;0))+IF(col_s2=0,0,--(LEN(INDEX('Paste Export'!$A$2:$BZ$1001,$A864,col_s2))&gt;0))+IF(col_s3=0,0,--(LEN(INDEX('Paste Export'!$A$2:$BZ$1001,$A864,col_s3))&gt;0))+IF(col_s4=0,0,--(LEN(INDEX('Paste Export'!$A$2:$BZ$1001,$A864,col_s4))&gt;0))+IF(col_s5=0,0,--(LEN(INDEX('Paste Export'!$A$2:$BZ$1001,$A864,col_s5))&gt;0))+IF(col_s6=0,0,--(LEN(INDEX('Paste Export'!$A$2:$BZ$1001,$A864,col_s6))&gt;0))+IF(col_s7=0,0,--(LEN(INDEX('Paste Export'!$A$2:$BZ$1001,$A864,col_s7))&gt;0))+IF(col_s8=0,0,--(LEN(INDEX('Paste Export'!$A$2:$BZ$1001,$A864,col_s8))&gt;0)))</f>
        <v/>
      </c>
      <c r="I864" s="25" t="str">
        <f t="shared" si="94"/>
        <v/>
      </c>
      <c r="J864" s="25" t="str">
        <f t="shared" si="95"/>
        <v/>
      </c>
      <c r="K864" s="24" t="str">
        <f t="shared" si="96"/>
        <v/>
      </c>
      <c r="L864" s="24" t="str">
        <f t="shared" si="97"/>
        <v/>
      </c>
    </row>
    <row r="865" spans="1:12" x14ac:dyDescent="0.25">
      <c r="A865" s="24">
        <f t="shared" si="91"/>
        <v>864</v>
      </c>
      <c r="B865" s="25" t="str">
        <f>IF($A865&gt;nrows,"",IF(col_user=0,"",INDEX('Paste Export'!$A$2:$BZ$1001,$A865,col_user)))</f>
        <v/>
      </c>
      <c r="C865" s="24" t="str">
        <f>IF($A865&gt;nrows,"",IF(col_days=0,0,N(INDEX('Paste Export'!$A$2:$BZ$1001,$A865,col_days))))</f>
        <v/>
      </c>
      <c r="D865" s="24" t="str">
        <f>IF($A865&gt;nrows,"",IF(col_prompts=0,0,N(INDEX('Paste Export'!$A$2:$BZ$1001,$A865,col_prompts))))</f>
        <v/>
      </c>
      <c r="E865" s="24" t="str">
        <f>IF($A865&gt;nrows,"",IF(col_web=0,0,N(INDEX('Paste Export'!$A$2:$BZ$1001,$A865,col_web))))</f>
        <v/>
      </c>
      <c r="F865" s="26" t="str">
        <f t="shared" si="92"/>
        <v/>
      </c>
      <c r="G865" s="27" t="str">
        <f t="shared" si="93"/>
        <v/>
      </c>
      <c r="H865" s="24" t="str">
        <f>IF($A865&gt;nrows,"",IF(col_s1=0,0,--(LEN(INDEX('Paste Export'!$A$2:$BZ$1001,$A865,col_s1))&gt;0))+IF(col_s2=0,0,--(LEN(INDEX('Paste Export'!$A$2:$BZ$1001,$A865,col_s2))&gt;0))+IF(col_s3=0,0,--(LEN(INDEX('Paste Export'!$A$2:$BZ$1001,$A865,col_s3))&gt;0))+IF(col_s4=0,0,--(LEN(INDEX('Paste Export'!$A$2:$BZ$1001,$A865,col_s4))&gt;0))+IF(col_s5=0,0,--(LEN(INDEX('Paste Export'!$A$2:$BZ$1001,$A865,col_s5))&gt;0))+IF(col_s6=0,0,--(LEN(INDEX('Paste Export'!$A$2:$BZ$1001,$A865,col_s6))&gt;0))+IF(col_s7=0,0,--(LEN(INDEX('Paste Export'!$A$2:$BZ$1001,$A865,col_s7))&gt;0))+IF(col_s8=0,0,--(LEN(INDEX('Paste Export'!$A$2:$BZ$1001,$A865,col_s8))&gt;0)))</f>
        <v/>
      </c>
      <c r="I865" s="25" t="str">
        <f t="shared" si="94"/>
        <v/>
      </c>
      <c r="J865" s="25" t="str">
        <f t="shared" si="95"/>
        <v/>
      </c>
      <c r="K865" s="24" t="str">
        <f t="shared" si="96"/>
        <v/>
      </c>
      <c r="L865" s="24" t="str">
        <f t="shared" si="97"/>
        <v/>
      </c>
    </row>
    <row r="866" spans="1:12" x14ac:dyDescent="0.25">
      <c r="A866" s="24">
        <f t="shared" si="91"/>
        <v>865</v>
      </c>
      <c r="B866" s="25" t="str">
        <f>IF($A866&gt;nrows,"",IF(col_user=0,"",INDEX('Paste Export'!$A$2:$BZ$1001,$A866,col_user)))</f>
        <v/>
      </c>
      <c r="C866" s="24" t="str">
        <f>IF($A866&gt;nrows,"",IF(col_days=0,0,N(INDEX('Paste Export'!$A$2:$BZ$1001,$A866,col_days))))</f>
        <v/>
      </c>
      <c r="D866" s="24" t="str">
        <f>IF($A866&gt;nrows,"",IF(col_prompts=0,0,N(INDEX('Paste Export'!$A$2:$BZ$1001,$A866,col_prompts))))</f>
        <v/>
      </c>
      <c r="E866" s="24" t="str">
        <f>IF($A866&gt;nrows,"",IF(col_web=0,0,N(INDEX('Paste Export'!$A$2:$BZ$1001,$A866,col_web))))</f>
        <v/>
      </c>
      <c r="F866" s="26" t="str">
        <f t="shared" si="92"/>
        <v/>
      </c>
      <c r="G866" s="27" t="str">
        <f t="shared" si="93"/>
        <v/>
      </c>
      <c r="H866" s="24" t="str">
        <f>IF($A866&gt;nrows,"",IF(col_s1=0,0,--(LEN(INDEX('Paste Export'!$A$2:$BZ$1001,$A866,col_s1))&gt;0))+IF(col_s2=0,0,--(LEN(INDEX('Paste Export'!$A$2:$BZ$1001,$A866,col_s2))&gt;0))+IF(col_s3=0,0,--(LEN(INDEX('Paste Export'!$A$2:$BZ$1001,$A866,col_s3))&gt;0))+IF(col_s4=0,0,--(LEN(INDEX('Paste Export'!$A$2:$BZ$1001,$A866,col_s4))&gt;0))+IF(col_s5=0,0,--(LEN(INDEX('Paste Export'!$A$2:$BZ$1001,$A866,col_s5))&gt;0))+IF(col_s6=0,0,--(LEN(INDEX('Paste Export'!$A$2:$BZ$1001,$A866,col_s6))&gt;0))+IF(col_s7=0,0,--(LEN(INDEX('Paste Export'!$A$2:$BZ$1001,$A866,col_s7))&gt;0))+IF(col_s8=0,0,--(LEN(INDEX('Paste Export'!$A$2:$BZ$1001,$A866,col_s8))&gt;0)))</f>
        <v/>
      </c>
      <c r="I866" s="25" t="str">
        <f t="shared" si="94"/>
        <v/>
      </c>
      <c r="J866" s="25" t="str">
        <f t="shared" si="95"/>
        <v/>
      </c>
      <c r="K866" s="24" t="str">
        <f t="shared" si="96"/>
        <v/>
      </c>
      <c r="L866" s="24" t="str">
        <f t="shared" si="97"/>
        <v/>
      </c>
    </row>
    <row r="867" spans="1:12" x14ac:dyDescent="0.25">
      <c r="A867" s="24">
        <f t="shared" si="91"/>
        <v>866</v>
      </c>
      <c r="B867" s="25" t="str">
        <f>IF($A867&gt;nrows,"",IF(col_user=0,"",INDEX('Paste Export'!$A$2:$BZ$1001,$A867,col_user)))</f>
        <v/>
      </c>
      <c r="C867" s="24" t="str">
        <f>IF($A867&gt;nrows,"",IF(col_days=0,0,N(INDEX('Paste Export'!$A$2:$BZ$1001,$A867,col_days))))</f>
        <v/>
      </c>
      <c r="D867" s="24" t="str">
        <f>IF($A867&gt;nrows,"",IF(col_prompts=0,0,N(INDEX('Paste Export'!$A$2:$BZ$1001,$A867,col_prompts))))</f>
        <v/>
      </c>
      <c r="E867" s="24" t="str">
        <f>IF($A867&gt;nrows,"",IF(col_web=0,0,N(INDEX('Paste Export'!$A$2:$BZ$1001,$A867,col_web))))</f>
        <v/>
      </c>
      <c r="F867" s="26" t="str">
        <f t="shared" si="92"/>
        <v/>
      </c>
      <c r="G867" s="27" t="str">
        <f t="shared" si="93"/>
        <v/>
      </c>
      <c r="H867" s="24" t="str">
        <f>IF($A867&gt;nrows,"",IF(col_s1=0,0,--(LEN(INDEX('Paste Export'!$A$2:$BZ$1001,$A867,col_s1))&gt;0))+IF(col_s2=0,0,--(LEN(INDEX('Paste Export'!$A$2:$BZ$1001,$A867,col_s2))&gt;0))+IF(col_s3=0,0,--(LEN(INDEX('Paste Export'!$A$2:$BZ$1001,$A867,col_s3))&gt;0))+IF(col_s4=0,0,--(LEN(INDEX('Paste Export'!$A$2:$BZ$1001,$A867,col_s4))&gt;0))+IF(col_s5=0,0,--(LEN(INDEX('Paste Export'!$A$2:$BZ$1001,$A867,col_s5))&gt;0))+IF(col_s6=0,0,--(LEN(INDEX('Paste Export'!$A$2:$BZ$1001,$A867,col_s6))&gt;0))+IF(col_s7=0,0,--(LEN(INDEX('Paste Export'!$A$2:$BZ$1001,$A867,col_s7))&gt;0))+IF(col_s8=0,0,--(LEN(INDEX('Paste Export'!$A$2:$BZ$1001,$A867,col_s8))&gt;0)))</f>
        <v/>
      </c>
      <c r="I867" s="25" t="str">
        <f t="shared" si="94"/>
        <v/>
      </c>
      <c r="J867" s="25" t="str">
        <f t="shared" si="95"/>
        <v/>
      </c>
      <c r="K867" s="24" t="str">
        <f t="shared" si="96"/>
        <v/>
      </c>
      <c r="L867" s="24" t="str">
        <f t="shared" si="97"/>
        <v/>
      </c>
    </row>
    <row r="868" spans="1:12" x14ac:dyDescent="0.25">
      <c r="A868" s="24">
        <f t="shared" si="91"/>
        <v>867</v>
      </c>
      <c r="B868" s="25" t="str">
        <f>IF($A868&gt;nrows,"",IF(col_user=0,"",INDEX('Paste Export'!$A$2:$BZ$1001,$A868,col_user)))</f>
        <v/>
      </c>
      <c r="C868" s="24" t="str">
        <f>IF($A868&gt;nrows,"",IF(col_days=0,0,N(INDEX('Paste Export'!$A$2:$BZ$1001,$A868,col_days))))</f>
        <v/>
      </c>
      <c r="D868" s="24" t="str">
        <f>IF($A868&gt;nrows,"",IF(col_prompts=0,0,N(INDEX('Paste Export'!$A$2:$BZ$1001,$A868,col_prompts))))</f>
        <v/>
      </c>
      <c r="E868" s="24" t="str">
        <f>IF($A868&gt;nrows,"",IF(col_web=0,0,N(INDEX('Paste Export'!$A$2:$BZ$1001,$A868,col_web))))</f>
        <v/>
      </c>
      <c r="F868" s="26" t="str">
        <f t="shared" si="92"/>
        <v/>
      </c>
      <c r="G868" s="27" t="str">
        <f t="shared" si="93"/>
        <v/>
      </c>
      <c r="H868" s="24" t="str">
        <f>IF($A868&gt;nrows,"",IF(col_s1=0,0,--(LEN(INDEX('Paste Export'!$A$2:$BZ$1001,$A868,col_s1))&gt;0))+IF(col_s2=0,0,--(LEN(INDEX('Paste Export'!$A$2:$BZ$1001,$A868,col_s2))&gt;0))+IF(col_s3=0,0,--(LEN(INDEX('Paste Export'!$A$2:$BZ$1001,$A868,col_s3))&gt;0))+IF(col_s4=0,0,--(LEN(INDEX('Paste Export'!$A$2:$BZ$1001,$A868,col_s4))&gt;0))+IF(col_s5=0,0,--(LEN(INDEX('Paste Export'!$A$2:$BZ$1001,$A868,col_s5))&gt;0))+IF(col_s6=0,0,--(LEN(INDEX('Paste Export'!$A$2:$BZ$1001,$A868,col_s6))&gt;0))+IF(col_s7=0,0,--(LEN(INDEX('Paste Export'!$A$2:$BZ$1001,$A868,col_s7))&gt;0))+IF(col_s8=0,0,--(LEN(INDEX('Paste Export'!$A$2:$BZ$1001,$A868,col_s8))&gt;0)))</f>
        <v/>
      </c>
      <c r="I868" s="25" t="str">
        <f t="shared" si="94"/>
        <v/>
      </c>
      <c r="J868" s="25" t="str">
        <f t="shared" si="95"/>
        <v/>
      </c>
      <c r="K868" s="24" t="str">
        <f t="shared" si="96"/>
        <v/>
      </c>
      <c r="L868" s="24" t="str">
        <f t="shared" si="97"/>
        <v/>
      </c>
    </row>
    <row r="869" spans="1:12" x14ac:dyDescent="0.25">
      <c r="A869" s="24">
        <f t="shared" si="91"/>
        <v>868</v>
      </c>
      <c r="B869" s="25" t="str">
        <f>IF($A869&gt;nrows,"",IF(col_user=0,"",INDEX('Paste Export'!$A$2:$BZ$1001,$A869,col_user)))</f>
        <v/>
      </c>
      <c r="C869" s="24" t="str">
        <f>IF($A869&gt;nrows,"",IF(col_days=0,0,N(INDEX('Paste Export'!$A$2:$BZ$1001,$A869,col_days))))</f>
        <v/>
      </c>
      <c r="D869" s="24" t="str">
        <f>IF($A869&gt;nrows,"",IF(col_prompts=0,0,N(INDEX('Paste Export'!$A$2:$BZ$1001,$A869,col_prompts))))</f>
        <v/>
      </c>
      <c r="E869" s="24" t="str">
        <f>IF($A869&gt;nrows,"",IF(col_web=0,0,N(INDEX('Paste Export'!$A$2:$BZ$1001,$A869,col_web))))</f>
        <v/>
      </c>
      <c r="F869" s="26" t="str">
        <f t="shared" si="92"/>
        <v/>
      </c>
      <c r="G869" s="27" t="str">
        <f t="shared" si="93"/>
        <v/>
      </c>
      <c r="H869" s="24" t="str">
        <f>IF($A869&gt;nrows,"",IF(col_s1=0,0,--(LEN(INDEX('Paste Export'!$A$2:$BZ$1001,$A869,col_s1))&gt;0))+IF(col_s2=0,0,--(LEN(INDEX('Paste Export'!$A$2:$BZ$1001,$A869,col_s2))&gt;0))+IF(col_s3=0,0,--(LEN(INDEX('Paste Export'!$A$2:$BZ$1001,$A869,col_s3))&gt;0))+IF(col_s4=0,0,--(LEN(INDEX('Paste Export'!$A$2:$BZ$1001,$A869,col_s4))&gt;0))+IF(col_s5=0,0,--(LEN(INDEX('Paste Export'!$A$2:$BZ$1001,$A869,col_s5))&gt;0))+IF(col_s6=0,0,--(LEN(INDEX('Paste Export'!$A$2:$BZ$1001,$A869,col_s6))&gt;0))+IF(col_s7=0,0,--(LEN(INDEX('Paste Export'!$A$2:$BZ$1001,$A869,col_s7))&gt;0))+IF(col_s8=0,0,--(LEN(INDEX('Paste Export'!$A$2:$BZ$1001,$A869,col_s8))&gt;0)))</f>
        <v/>
      </c>
      <c r="I869" s="25" t="str">
        <f t="shared" si="94"/>
        <v/>
      </c>
      <c r="J869" s="25" t="str">
        <f t="shared" si="95"/>
        <v/>
      </c>
      <c r="K869" s="24" t="str">
        <f t="shared" si="96"/>
        <v/>
      </c>
      <c r="L869" s="24" t="str">
        <f t="shared" si="97"/>
        <v/>
      </c>
    </row>
    <row r="870" spans="1:12" x14ac:dyDescent="0.25">
      <c r="A870" s="24">
        <f t="shared" si="91"/>
        <v>869</v>
      </c>
      <c r="B870" s="25" t="str">
        <f>IF($A870&gt;nrows,"",IF(col_user=0,"",INDEX('Paste Export'!$A$2:$BZ$1001,$A870,col_user)))</f>
        <v/>
      </c>
      <c r="C870" s="24" t="str">
        <f>IF($A870&gt;nrows,"",IF(col_days=0,0,N(INDEX('Paste Export'!$A$2:$BZ$1001,$A870,col_days))))</f>
        <v/>
      </c>
      <c r="D870" s="24" t="str">
        <f>IF($A870&gt;nrows,"",IF(col_prompts=0,0,N(INDEX('Paste Export'!$A$2:$BZ$1001,$A870,col_prompts))))</f>
        <v/>
      </c>
      <c r="E870" s="24" t="str">
        <f>IF($A870&gt;nrows,"",IF(col_web=0,0,N(INDEX('Paste Export'!$A$2:$BZ$1001,$A870,col_web))))</f>
        <v/>
      </c>
      <c r="F870" s="26" t="str">
        <f t="shared" si="92"/>
        <v/>
      </c>
      <c r="G870" s="27" t="str">
        <f t="shared" si="93"/>
        <v/>
      </c>
      <c r="H870" s="24" t="str">
        <f>IF($A870&gt;nrows,"",IF(col_s1=0,0,--(LEN(INDEX('Paste Export'!$A$2:$BZ$1001,$A870,col_s1))&gt;0))+IF(col_s2=0,0,--(LEN(INDEX('Paste Export'!$A$2:$BZ$1001,$A870,col_s2))&gt;0))+IF(col_s3=0,0,--(LEN(INDEX('Paste Export'!$A$2:$BZ$1001,$A870,col_s3))&gt;0))+IF(col_s4=0,0,--(LEN(INDEX('Paste Export'!$A$2:$BZ$1001,$A870,col_s4))&gt;0))+IF(col_s5=0,0,--(LEN(INDEX('Paste Export'!$A$2:$BZ$1001,$A870,col_s5))&gt;0))+IF(col_s6=0,0,--(LEN(INDEX('Paste Export'!$A$2:$BZ$1001,$A870,col_s6))&gt;0))+IF(col_s7=0,0,--(LEN(INDEX('Paste Export'!$A$2:$BZ$1001,$A870,col_s7))&gt;0))+IF(col_s8=0,0,--(LEN(INDEX('Paste Export'!$A$2:$BZ$1001,$A870,col_s8))&gt;0)))</f>
        <v/>
      </c>
      <c r="I870" s="25" t="str">
        <f t="shared" si="94"/>
        <v/>
      </c>
      <c r="J870" s="25" t="str">
        <f t="shared" si="95"/>
        <v/>
      </c>
      <c r="K870" s="24" t="str">
        <f t="shared" si="96"/>
        <v/>
      </c>
      <c r="L870" s="24" t="str">
        <f t="shared" si="97"/>
        <v/>
      </c>
    </row>
    <row r="871" spans="1:12" x14ac:dyDescent="0.25">
      <c r="A871" s="24">
        <f t="shared" si="91"/>
        <v>870</v>
      </c>
      <c r="B871" s="25" t="str">
        <f>IF($A871&gt;nrows,"",IF(col_user=0,"",INDEX('Paste Export'!$A$2:$BZ$1001,$A871,col_user)))</f>
        <v/>
      </c>
      <c r="C871" s="24" t="str">
        <f>IF($A871&gt;nrows,"",IF(col_days=0,0,N(INDEX('Paste Export'!$A$2:$BZ$1001,$A871,col_days))))</f>
        <v/>
      </c>
      <c r="D871" s="24" t="str">
        <f>IF($A871&gt;nrows,"",IF(col_prompts=0,0,N(INDEX('Paste Export'!$A$2:$BZ$1001,$A871,col_prompts))))</f>
        <v/>
      </c>
      <c r="E871" s="24" t="str">
        <f>IF($A871&gt;nrows,"",IF(col_web=0,0,N(INDEX('Paste Export'!$A$2:$BZ$1001,$A871,col_web))))</f>
        <v/>
      </c>
      <c r="F871" s="26" t="str">
        <f t="shared" si="92"/>
        <v/>
      </c>
      <c r="G871" s="27" t="str">
        <f t="shared" si="93"/>
        <v/>
      </c>
      <c r="H871" s="24" t="str">
        <f>IF($A871&gt;nrows,"",IF(col_s1=0,0,--(LEN(INDEX('Paste Export'!$A$2:$BZ$1001,$A871,col_s1))&gt;0))+IF(col_s2=0,0,--(LEN(INDEX('Paste Export'!$A$2:$BZ$1001,$A871,col_s2))&gt;0))+IF(col_s3=0,0,--(LEN(INDEX('Paste Export'!$A$2:$BZ$1001,$A871,col_s3))&gt;0))+IF(col_s4=0,0,--(LEN(INDEX('Paste Export'!$A$2:$BZ$1001,$A871,col_s4))&gt;0))+IF(col_s5=0,0,--(LEN(INDEX('Paste Export'!$A$2:$BZ$1001,$A871,col_s5))&gt;0))+IF(col_s6=0,0,--(LEN(INDEX('Paste Export'!$A$2:$BZ$1001,$A871,col_s6))&gt;0))+IF(col_s7=0,0,--(LEN(INDEX('Paste Export'!$A$2:$BZ$1001,$A871,col_s7))&gt;0))+IF(col_s8=0,0,--(LEN(INDEX('Paste Export'!$A$2:$BZ$1001,$A871,col_s8))&gt;0)))</f>
        <v/>
      </c>
      <c r="I871" s="25" t="str">
        <f t="shared" si="94"/>
        <v/>
      </c>
      <c r="J871" s="25" t="str">
        <f t="shared" si="95"/>
        <v/>
      </c>
      <c r="K871" s="24" t="str">
        <f t="shared" si="96"/>
        <v/>
      </c>
      <c r="L871" s="24" t="str">
        <f t="shared" si="97"/>
        <v/>
      </c>
    </row>
    <row r="872" spans="1:12" x14ac:dyDescent="0.25">
      <c r="A872" s="24">
        <f t="shared" si="91"/>
        <v>871</v>
      </c>
      <c r="B872" s="25" t="str">
        <f>IF($A872&gt;nrows,"",IF(col_user=0,"",INDEX('Paste Export'!$A$2:$BZ$1001,$A872,col_user)))</f>
        <v/>
      </c>
      <c r="C872" s="24" t="str">
        <f>IF($A872&gt;nrows,"",IF(col_days=0,0,N(INDEX('Paste Export'!$A$2:$BZ$1001,$A872,col_days))))</f>
        <v/>
      </c>
      <c r="D872" s="24" t="str">
        <f>IF($A872&gt;nrows,"",IF(col_prompts=0,0,N(INDEX('Paste Export'!$A$2:$BZ$1001,$A872,col_prompts))))</f>
        <v/>
      </c>
      <c r="E872" s="24" t="str">
        <f>IF($A872&gt;nrows,"",IF(col_web=0,0,N(INDEX('Paste Export'!$A$2:$BZ$1001,$A872,col_web))))</f>
        <v/>
      </c>
      <c r="F872" s="26" t="str">
        <f t="shared" si="92"/>
        <v/>
      </c>
      <c r="G872" s="27" t="str">
        <f t="shared" si="93"/>
        <v/>
      </c>
      <c r="H872" s="24" t="str">
        <f>IF($A872&gt;nrows,"",IF(col_s1=0,0,--(LEN(INDEX('Paste Export'!$A$2:$BZ$1001,$A872,col_s1))&gt;0))+IF(col_s2=0,0,--(LEN(INDEX('Paste Export'!$A$2:$BZ$1001,$A872,col_s2))&gt;0))+IF(col_s3=0,0,--(LEN(INDEX('Paste Export'!$A$2:$BZ$1001,$A872,col_s3))&gt;0))+IF(col_s4=0,0,--(LEN(INDEX('Paste Export'!$A$2:$BZ$1001,$A872,col_s4))&gt;0))+IF(col_s5=0,0,--(LEN(INDEX('Paste Export'!$A$2:$BZ$1001,$A872,col_s5))&gt;0))+IF(col_s6=0,0,--(LEN(INDEX('Paste Export'!$A$2:$BZ$1001,$A872,col_s6))&gt;0))+IF(col_s7=0,0,--(LEN(INDEX('Paste Export'!$A$2:$BZ$1001,$A872,col_s7))&gt;0))+IF(col_s8=0,0,--(LEN(INDEX('Paste Export'!$A$2:$BZ$1001,$A872,col_s8))&gt;0)))</f>
        <v/>
      </c>
      <c r="I872" s="25" t="str">
        <f t="shared" si="94"/>
        <v/>
      </c>
      <c r="J872" s="25" t="str">
        <f t="shared" si="95"/>
        <v/>
      </c>
      <c r="K872" s="24" t="str">
        <f t="shared" si="96"/>
        <v/>
      </c>
      <c r="L872" s="24" t="str">
        <f t="shared" si="97"/>
        <v/>
      </c>
    </row>
    <row r="873" spans="1:12" x14ac:dyDescent="0.25">
      <c r="A873" s="24">
        <f t="shared" si="91"/>
        <v>872</v>
      </c>
      <c r="B873" s="25" t="str">
        <f>IF($A873&gt;nrows,"",IF(col_user=0,"",INDEX('Paste Export'!$A$2:$BZ$1001,$A873,col_user)))</f>
        <v/>
      </c>
      <c r="C873" s="24" t="str">
        <f>IF($A873&gt;nrows,"",IF(col_days=0,0,N(INDEX('Paste Export'!$A$2:$BZ$1001,$A873,col_days))))</f>
        <v/>
      </c>
      <c r="D873" s="24" t="str">
        <f>IF($A873&gt;nrows,"",IF(col_prompts=0,0,N(INDEX('Paste Export'!$A$2:$BZ$1001,$A873,col_prompts))))</f>
        <v/>
      </c>
      <c r="E873" s="24" t="str">
        <f>IF($A873&gt;nrows,"",IF(col_web=0,0,N(INDEX('Paste Export'!$A$2:$BZ$1001,$A873,col_web))))</f>
        <v/>
      </c>
      <c r="F873" s="26" t="str">
        <f t="shared" si="92"/>
        <v/>
      </c>
      <c r="G873" s="27" t="str">
        <f t="shared" si="93"/>
        <v/>
      </c>
      <c r="H873" s="24" t="str">
        <f>IF($A873&gt;nrows,"",IF(col_s1=0,0,--(LEN(INDEX('Paste Export'!$A$2:$BZ$1001,$A873,col_s1))&gt;0))+IF(col_s2=0,0,--(LEN(INDEX('Paste Export'!$A$2:$BZ$1001,$A873,col_s2))&gt;0))+IF(col_s3=0,0,--(LEN(INDEX('Paste Export'!$A$2:$BZ$1001,$A873,col_s3))&gt;0))+IF(col_s4=0,0,--(LEN(INDEX('Paste Export'!$A$2:$BZ$1001,$A873,col_s4))&gt;0))+IF(col_s5=0,0,--(LEN(INDEX('Paste Export'!$A$2:$BZ$1001,$A873,col_s5))&gt;0))+IF(col_s6=0,0,--(LEN(INDEX('Paste Export'!$A$2:$BZ$1001,$A873,col_s6))&gt;0))+IF(col_s7=0,0,--(LEN(INDEX('Paste Export'!$A$2:$BZ$1001,$A873,col_s7))&gt;0))+IF(col_s8=0,0,--(LEN(INDEX('Paste Export'!$A$2:$BZ$1001,$A873,col_s8))&gt;0)))</f>
        <v/>
      </c>
      <c r="I873" s="25" t="str">
        <f t="shared" si="94"/>
        <v/>
      </c>
      <c r="J873" s="25" t="str">
        <f t="shared" si="95"/>
        <v/>
      </c>
      <c r="K873" s="24" t="str">
        <f t="shared" si="96"/>
        <v/>
      </c>
      <c r="L873" s="24" t="str">
        <f t="shared" si="97"/>
        <v/>
      </c>
    </row>
    <row r="874" spans="1:12" x14ac:dyDescent="0.25">
      <c r="A874" s="24">
        <f t="shared" si="91"/>
        <v>873</v>
      </c>
      <c r="B874" s="25" t="str">
        <f>IF($A874&gt;nrows,"",IF(col_user=0,"",INDEX('Paste Export'!$A$2:$BZ$1001,$A874,col_user)))</f>
        <v/>
      </c>
      <c r="C874" s="24" t="str">
        <f>IF($A874&gt;nrows,"",IF(col_days=0,0,N(INDEX('Paste Export'!$A$2:$BZ$1001,$A874,col_days))))</f>
        <v/>
      </c>
      <c r="D874" s="24" t="str">
        <f>IF($A874&gt;nrows,"",IF(col_prompts=0,0,N(INDEX('Paste Export'!$A$2:$BZ$1001,$A874,col_prompts))))</f>
        <v/>
      </c>
      <c r="E874" s="24" t="str">
        <f>IF($A874&gt;nrows,"",IF(col_web=0,0,N(INDEX('Paste Export'!$A$2:$BZ$1001,$A874,col_web))))</f>
        <v/>
      </c>
      <c r="F874" s="26" t="str">
        <f t="shared" si="92"/>
        <v/>
      </c>
      <c r="G874" s="27" t="str">
        <f t="shared" si="93"/>
        <v/>
      </c>
      <c r="H874" s="24" t="str">
        <f>IF($A874&gt;nrows,"",IF(col_s1=0,0,--(LEN(INDEX('Paste Export'!$A$2:$BZ$1001,$A874,col_s1))&gt;0))+IF(col_s2=0,0,--(LEN(INDEX('Paste Export'!$A$2:$BZ$1001,$A874,col_s2))&gt;0))+IF(col_s3=0,0,--(LEN(INDEX('Paste Export'!$A$2:$BZ$1001,$A874,col_s3))&gt;0))+IF(col_s4=0,0,--(LEN(INDEX('Paste Export'!$A$2:$BZ$1001,$A874,col_s4))&gt;0))+IF(col_s5=0,0,--(LEN(INDEX('Paste Export'!$A$2:$BZ$1001,$A874,col_s5))&gt;0))+IF(col_s6=0,0,--(LEN(INDEX('Paste Export'!$A$2:$BZ$1001,$A874,col_s6))&gt;0))+IF(col_s7=0,0,--(LEN(INDEX('Paste Export'!$A$2:$BZ$1001,$A874,col_s7))&gt;0))+IF(col_s8=0,0,--(LEN(INDEX('Paste Export'!$A$2:$BZ$1001,$A874,col_s8))&gt;0)))</f>
        <v/>
      </c>
      <c r="I874" s="25" t="str">
        <f t="shared" si="94"/>
        <v/>
      </c>
      <c r="J874" s="25" t="str">
        <f t="shared" si="95"/>
        <v/>
      </c>
      <c r="K874" s="24" t="str">
        <f t="shared" si="96"/>
        <v/>
      </c>
      <c r="L874" s="24" t="str">
        <f t="shared" si="97"/>
        <v/>
      </c>
    </row>
    <row r="875" spans="1:12" x14ac:dyDescent="0.25">
      <c r="A875" s="24">
        <f t="shared" si="91"/>
        <v>874</v>
      </c>
      <c r="B875" s="25" t="str">
        <f>IF($A875&gt;nrows,"",IF(col_user=0,"",INDEX('Paste Export'!$A$2:$BZ$1001,$A875,col_user)))</f>
        <v/>
      </c>
      <c r="C875" s="24" t="str">
        <f>IF($A875&gt;nrows,"",IF(col_days=0,0,N(INDEX('Paste Export'!$A$2:$BZ$1001,$A875,col_days))))</f>
        <v/>
      </c>
      <c r="D875" s="24" t="str">
        <f>IF($A875&gt;nrows,"",IF(col_prompts=0,0,N(INDEX('Paste Export'!$A$2:$BZ$1001,$A875,col_prompts))))</f>
        <v/>
      </c>
      <c r="E875" s="24" t="str">
        <f>IF($A875&gt;nrows,"",IF(col_web=0,0,N(INDEX('Paste Export'!$A$2:$BZ$1001,$A875,col_web))))</f>
        <v/>
      </c>
      <c r="F875" s="26" t="str">
        <f t="shared" si="92"/>
        <v/>
      </c>
      <c r="G875" s="27" t="str">
        <f t="shared" si="93"/>
        <v/>
      </c>
      <c r="H875" s="24" t="str">
        <f>IF($A875&gt;nrows,"",IF(col_s1=0,0,--(LEN(INDEX('Paste Export'!$A$2:$BZ$1001,$A875,col_s1))&gt;0))+IF(col_s2=0,0,--(LEN(INDEX('Paste Export'!$A$2:$BZ$1001,$A875,col_s2))&gt;0))+IF(col_s3=0,0,--(LEN(INDEX('Paste Export'!$A$2:$BZ$1001,$A875,col_s3))&gt;0))+IF(col_s4=0,0,--(LEN(INDEX('Paste Export'!$A$2:$BZ$1001,$A875,col_s4))&gt;0))+IF(col_s5=0,0,--(LEN(INDEX('Paste Export'!$A$2:$BZ$1001,$A875,col_s5))&gt;0))+IF(col_s6=0,0,--(LEN(INDEX('Paste Export'!$A$2:$BZ$1001,$A875,col_s6))&gt;0))+IF(col_s7=0,0,--(LEN(INDEX('Paste Export'!$A$2:$BZ$1001,$A875,col_s7))&gt;0))+IF(col_s8=0,0,--(LEN(INDEX('Paste Export'!$A$2:$BZ$1001,$A875,col_s8))&gt;0)))</f>
        <v/>
      </c>
      <c r="I875" s="25" t="str">
        <f t="shared" si="94"/>
        <v/>
      </c>
      <c r="J875" s="25" t="str">
        <f t="shared" si="95"/>
        <v/>
      </c>
      <c r="K875" s="24" t="str">
        <f t="shared" si="96"/>
        <v/>
      </c>
      <c r="L875" s="24" t="str">
        <f t="shared" si="97"/>
        <v/>
      </c>
    </row>
    <row r="876" spans="1:12" x14ac:dyDescent="0.25">
      <c r="A876" s="24">
        <f t="shared" si="91"/>
        <v>875</v>
      </c>
      <c r="B876" s="25" t="str">
        <f>IF($A876&gt;nrows,"",IF(col_user=0,"",INDEX('Paste Export'!$A$2:$BZ$1001,$A876,col_user)))</f>
        <v/>
      </c>
      <c r="C876" s="24" t="str">
        <f>IF($A876&gt;nrows,"",IF(col_days=0,0,N(INDEX('Paste Export'!$A$2:$BZ$1001,$A876,col_days))))</f>
        <v/>
      </c>
      <c r="D876" s="24" t="str">
        <f>IF($A876&gt;nrows,"",IF(col_prompts=0,0,N(INDEX('Paste Export'!$A$2:$BZ$1001,$A876,col_prompts))))</f>
        <v/>
      </c>
      <c r="E876" s="24" t="str">
        <f>IF($A876&gt;nrows,"",IF(col_web=0,0,N(INDEX('Paste Export'!$A$2:$BZ$1001,$A876,col_web))))</f>
        <v/>
      </c>
      <c r="F876" s="26" t="str">
        <f t="shared" si="92"/>
        <v/>
      </c>
      <c r="G876" s="27" t="str">
        <f t="shared" si="93"/>
        <v/>
      </c>
      <c r="H876" s="24" t="str">
        <f>IF($A876&gt;nrows,"",IF(col_s1=0,0,--(LEN(INDEX('Paste Export'!$A$2:$BZ$1001,$A876,col_s1))&gt;0))+IF(col_s2=0,0,--(LEN(INDEX('Paste Export'!$A$2:$BZ$1001,$A876,col_s2))&gt;0))+IF(col_s3=0,0,--(LEN(INDEX('Paste Export'!$A$2:$BZ$1001,$A876,col_s3))&gt;0))+IF(col_s4=0,0,--(LEN(INDEX('Paste Export'!$A$2:$BZ$1001,$A876,col_s4))&gt;0))+IF(col_s5=0,0,--(LEN(INDEX('Paste Export'!$A$2:$BZ$1001,$A876,col_s5))&gt;0))+IF(col_s6=0,0,--(LEN(INDEX('Paste Export'!$A$2:$BZ$1001,$A876,col_s6))&gt;0))+IF(col_s7=0,0,--(LEN(INDEX('Paste Export'!$A$2:$BZ$1001,$A876,col_s7))&gt;0))+IF(col_s8=0,0,--(LEN(INDEX('Paste Export'!$A$2:$BZ$1001,$A876,col_s8))&gt;0)))</f>
        <v/>
      </c>
      <c r="I876" s="25" t="str">
        <f t="shared" si="94"/>
        <v/>
      </c>
      <c r="J876" s="25" t="str">
        <f t="shared" si="95"/>
        <v/>
      </c>
      <c r="K876" s="24" t="str">
        <f t="shared" si="96"/>
        <v/>
      </c>
      <c r="L876" s="24" t="str">
        <f t="shared" si="97"/>
        <v/>
      </c>
    </row>
    <row r="877" spans="1:12" x14ac:dyDescent="0.25">
      <c r="A877" s="24">
        <f t="shared" si="91"/>
        <v>876</v>
      </c>
      <c r="B877" s="25" t="str">
        <f>IF($A877&gt;nrows,"",IF(col_user=0,"",INDEX('Paste Export'!$A$2:$BZ$1001,$A877,col_user)))</f>
        <v/>
      </c>
      <c r="C877" s="24" t="str">
        <f>IF($A877&gt;nrows,"",IF(col_days=0,0,N(INDEX('Paste Export'!$A$2:$BZ$1001,$A877,col_days))))</f>
        <v/>
      </c>
      <c r="D877" s="24" t="str">
        <f>IF($A877&gt;nrows,"",IF(col_prompts=0,0,N(INDEX('Paste Export'!$A$2:$BZ$1001,$A877,col_prompts))))</f>
        <v/>
      </c>
      <c r="E877" s="24" t="str">
        <f>IF($A877&gt;nrows,"",IF(col_web=0,0,N(INDEX('Paste Export'!$A$2:$BZ$1001,$A877,col_web))))</f>
        <v/>
      </c>
      <c r="F877" s="26" t="str">
        <f t="shared" si="92"/>
        <v/>
      </c>
      <c r="G877" s="27" t="str">
        <f t="shared" si="93"/>
        <v/>
      </c>
      <c r="H877" s="24" t="str">
        <f>IF($A877&gt;nrows,"",IF(col_s1=0,0,--(LEN(INDEX('Paste Export'!$A$2:$BZ$1001,$A877,col_s1))&gt;0))+IF(col_s2=0,0,--(LEN(INDEX('Paste Export'!$A$2:$BZ$1001,$A877,col_s2))&gt;0))+IF(col_s3=0,0,--(LEN(INDEX('Paste Export'!$A$2:$BZ$1001,$A877,col_s3))&gt;0))+IF(col_s4=0,0,--(LEN(INDEX('Paste Export'!$A$2:$BZ$1001,$A877,col_s4))&gt;0))+IF(col_s5=0,0,--(LEN(INDEX('Paste Export'!$A$2:$BZ$1001,$A877,col_s5))&gt;0))+IF(col_s6=0,0,--(LEN(INDEX('Paste Export'!$A$2:$BZ$1001,$A877,col_s6))&gt;0))+IF(col_s7=0,0,--(LEN(INDEX('Paste Export'!$A$2:$BZ$1001,$A877,col_s7))&gt;0))+IF(col_s8=0,0,--(LEN(INDEX('Paste Export'!$A$2:$BZ$1001,$A877,col_s8))&gt;0)))</f>
        <v/>
      </c>
      <c r="I877" s="25" t="str">
        <f t="shared" si="94"/>
        <v/>
      </c>
      <c r="J877" s="25" t="str">
        <f t="shared" si="95"/>
        <v/>
      </c>
      <c r="K877" s="24" t="str">
        <f t="shared" si="96"/>
        <v/>
      </c>
      <c r="L877" s="24" t="str">
        <f t="shared" si="97"/>
        <v/>
      </c>
    </row>
    <row r="878" spans="1:12" x14ac:dyDescent="0.25">
      <c r="A878" s="24">
        <f t="shared" si="91"/>
        <v>877</v>
      </c>
      <c r="B878" s="25" t="str">
        <f>IF($A878&gt;nrows,"",IF(col_user=0,"",INDEX('Paste Export'!$A$2:$BZ$1001,$A878,col_user)))</f>
        <v/>
      </c>
      <c r="C878" s="24" t="str">
        <f>IF($A878&gt;nrows,"",IF(col_days=0,0,N(INDEX('Paste Export'!$A$2:$BZ$1001,$A878,col_days))))</f>
        <v/>
      </c>
      <c r="D878" s="24" t="str">
        <f>IF($A878&gt;nrows,"",IF(col_prompts=0,0,N(INDEX('Paste Export'!$A$2:$BZ$1001,$A878,col_prompts))))</f>
        <v/>
      </c>
      <c r="E878" s="24" t="str">
        <f>IF($A878&gt;nrows,"",IF(col_web=0,0,N(INDEX('Paste Export'!$A$2:$BZ$1001,$A878,col_web))))</f>
        <v/>
      </c>
      <c r="F878" s="26" t="str">
        <f t="shared" si="92"/>
        <v/>
      </c>
      <c r="G878" s="27" t="str">
        <f t="shared" si="93"/>
        <v/>
      </c>
      <c r="H878" s="24" t="str">
        <f>IF($A878&gt;nrows,"",IF(col_s1=0,0,--(LEN(INDEX('Paste Export'!$A$2:$BZ$1001,$A878,col_s1))&gt;0))+IF(col_s2=0,0,--(LEN(INDEX('Paste Export'!$A$2:$BZ$1001,$A878,col_s2))&gt;0))+IF(col_s3=0,0,--(LEN(INDEX('Paste Export'!$A$2:$BZ$1001,$A878,col_s3))&gt;0))+IF(col_s4=0,0,--(LEN(INDEX('Paste Export'!$A$2:$BZ$1001,$A878,col_s4))&gt;0))+IF(col_s5=0,0,--(LEN(INDEX('Paste Export'!$A$2:$BZ$1001,$A878,col_s5))&gt;0))+IF(col_s6=0,0,--(LEN(INDEX('Paste Export'!$A$2:$BZ$1001,$A878,col_s6))&gt;0))+IF(col_s7=0,0,--(LEN(INDEX('Paste Export'!$A$2:$BZ$1001,$A878,col_s7))&gt;0))+IF(col_s8=0,0,--(LEN(INDEX('Paste Export'!$A$2:$BZ$1001,$A878,col_s8))&gt;0)))</f>
        <v/>
      </c>
      <c r="I878" s="25" t="str">
        <f t="shared" si="94"/>
        <v/>
      </c>
      <c r="J878" s="25" t="str">
        <f t="shared" si="95"/>
        <v/>
      </c>
      <c r="K878" s="24" t="str">
        <f t="shared" si="96"/>
        <v/>
      </c>
      <c r="L878" s="24" t="str">
        <f t="shared" si="97"/>
        <v/>
      </c>
    </row>
    <row r="879" spans="1:12" x14ac:dyDescent="0.25">
      <c r="A879" s="24">
        <f t="shared" si="91"/>
        <v>878</v>
      </c>
      <c r="B879" s="25" t="str">
        <f>IF($A879&gt;nrows,"",IF(col_user=0,"",INDEX('Paste Export'!$A$2:$BZ$1001,$A879,col_user)))</f>
        <v/>
      </c>
      <c r="C879" s="24" t="str">
        <f>IF($A879&gt;nrows,"",IF(col_days=0,0,N(INDEX('Paste Export'!$A$2:$BZ$1001,$A879,col_days))))</f>
        <v/>
      </c>
      <c r="D879" s="24" t="str">
        <f>IF($A879&gt;nrows,"",IF(col_prompts=0,0,N(INDEX('Paste Export'!$A$2:$BZ$1001,$A879,col_prompts))))</f>
        <v/>
      </c>
      <c r="E879" s="24" t="str">
        <f>IF($A879&gt;nrows,"",IF(col_web=0,0,N(INDEX('Paste Export'!$A$2:$BZ$1001,$A879,col_web))))</f>
        <v/>
      </c>
      <c r="F879" s="26" t="str">
        <f t="shared" si="92"/>
        <v/>
      </c>
      <c r="G879" s="27" t="str">
        <f t="shared" si="93"/>
        <v/>
      </c>
      <c r="H879" s="24" t="str">
        <f>IF($A879&gt;nrows,"",IF(col_s1=0,0,--(LEN(INDEX('Paste Export'!$A$2:$BZ$1001,$A879,col_s1))&gt;0))+IF(col_s2=0,0,--(LEN(INDEX('Paste Export'!$A$2:$BZ$1001,$A879,col_s2))&gt;0))+IF(col_s3=0,0,--(LEN(INDEX('Paste Export'!$A$2:$BZ$1001,$A879,col_s3))&gt;0))+IF(col_s4=0,0,--(LEN(INDEX('Paste Export'!$A$2:$BZ$1001,$A879,col_s4))&gt;0))+IF(col_s5=0,0,--(LEN(INDEX('Paste Export'!$A$2:$BZ$1001,$A879,col_s5))&gt;0))+IF(col_s6=0,0,--(LEN(INDEX('Paste Export'!$A$2:$BZ$1001,$A879,col_s6))&gt;0))+IF(col_s7=0,0,--(LEN(INDEX('Paste Export'!$A$2:$BZ$1001,$A879,col_s7))&gt;0))+IF(col_s8=0,0,--(LEN(INDEX('Paste Export'!$A$2:$BZ$1001,$A879,col_s8))&gt;0)))</f>
        <v/>
      </c>
      <c r="I879" s="25" t="str">
        <f t="shared" si="94"/>
        <v/>
      </c>
      <c r="J879" s="25" t="str">
        <f t="shared" si="95"/>
        <v/>
      </c>
      <c r="K879" s="24" t="str">
        <f t="shared" si="96"/>
        <v/>
      </c>
      <c r="L879" s="24" t="str">
        <f t="shared" si="97"/>
        <v/>
      </c>
    </row>
    <row r="880" spans="1:12" x14ac:dyDescent="0.25">
      <c r="A880" s="24">
        <f t="shared" si="91"/>
        <v>879</v>
      </c>
      <c r="B880" s="25" t="str">
        <f>IF($A880&gt;nrows,"",IF(col_user=0,"",INDEX('Paste Export'!$A$2:$BZ$1001,$A880,col_user)))</f>
        <v/>
      </c>
      <c r="C880" s="24" t="str">
        <f>IF($A880&gt;nrows,"",IF(col_days=0,0,N(INDEX('Paste Export'!$A$2:$BZ$1001,$A880,col_days))))</f>
        <v/>
      </c>
      <c r="D880" s="24" t="str">
        <f>IF($A880&gt;nrows,"",IF(col_prompts=0,0,N(INDEX('Paste Export'!$A$2:$BZ$1001,$A880,col_prompts))))</f>
        <v/>
      </c>
      <c r="E880" s="24" t="str">
        <f>IF($A880&gt;nrows,"",IF(col_web=0,0,N(INDEX('Paste Export'!$A$2:$BZ$1001,$A880,col_web))))</f>
        <v/>
      </c>
      <c r="F880" s="26" t="str">
        <f t="shared" si="92"/>
        <v/>
      </c>
      <c r="G880" s="27" t="str">
        <f t="shared" si="93"/>
        <v/>
      </c>
      <c r="H880" s="24" t="str">
        <f>IF($A880&gt;nrows,"",IF(col_s1=0,0,--(LEN(INDEX('Paste Export'!$A$2:$BZ$1001,$A880,col_s1))&gt;0))+IF(col_s2=0,0,--(LEN(INDEX('Paste Export'!$A$2:$BZ$1001,$A880,col_s2))&gt;0))+IF(col_s3=0,0,--(LEN(INDEX('Paste Export'!$A$2:$BZ$1001,$A880,col_s3))&gt;0))+IF(col_s4=0,0,--(LEN(INDEX('Paste Export'!$A$2:$BZ$1001,$A880,col_s4))&gt;0))+IF(col_s5=0,0,--(LEN(INDEX('Paste Export'!$A$2:$BZ$1001,$A880,col_s5))&gt;0))+IF(col_s6=0,0,--(LEN(INDEX('Paste Export'!$A$2:$BZ$1001,$A880,col_s6))&gt;0))+IF(col_s7=0,0,--(LEN(INDEX('Paste Export'!$A$2:$BZ$1001,$A880,col_s7))&gt;0))+IF(col_s8=0,0,--(LEN(INDEX('Paste Export'!$A$2:$BZ$1001,$A880,col_s8))&gt;0)))</f>
        <v/>
      </c>
      <c r="I880" s="25" t="str">
        <f t="shared" si="94"/>
        <v/>
      </c>
      <c r="J880" s="25" t="str">
        <f t="shared" si="95"/>
        <v/>
      </c>
      <c r="K880" s="24" t="str">
        <f t="shared" si="96"/>
        <v/>
      </c>
      <c r="L880" s="24" t="str">
        <f t="shared" si="97"/>
        <v/>
      </c>
    </row>
    <row r="881" spans="1:12" x14ac:dyDescent="0.25">
      <c r="A881" s="24">
        <f t="shared" si="91"/>
        <v>880</v>
      </c>
      <c r="B881" s="25" t="str">
        <f>IF($A881&gt;nrows,"",IF(col_user=0,"",INDEX('Paste Export'!$A$2:$BZ$1001,$A881,col_user)))</f>
        <v/>
      </c>
      <c r="C881" s="24" t="str">
        <f>IF($A881&gt;nrows,"",IF(col_days=0,0,N(INDEX('Paste Export'!$A$2:$BZ$1001,$A881,col_days))))</f>
        <v/>
      </c>
      <c r="D881" s="24" t="str">
        <f>IF($A881&gt;nrows,"",IF(col_prompts=0,0,N(INDEX('Paste Export'!$A$2:$BZ$1001,$A881,col_prompts))))</f>
        <v/>
      </c>
      <c r="E881" s="24" t="str">
        <f>IF($A881&gt;nrows,"",IF(col_web=0,0,N(INDEX('Paste Export'!$A$2:$BZ$1001,$A881,col_web))))</f>
        <v/>
      </c>
      <c r="F881" s="26" t="str">
        <f t="shared" si="92"/>
        <v/>
      </c>
      <c r="G881" s="27" t="str">
        <f t="shared" si="93"/>
        <v/>
      </c>
      <c r="H881" s="24" t="str">
        <f>IF($A881&gt;nrows,"",IF(col_s1=0,0,--(LEN(INDEX('Paste Export'!$A$2:$BZ$1001,$A881,col_s1))&gt;0))+IF(col_s2=0,0,--(LEN(INDEX('Paste Export'!$A$2:$BZ$1001,$A881,col_s2))&gt;0))+IF(col_s3=0,0,--(LEN(INDEX('Paste Export'!$A$2:$BZ$1001,$A881,col_s3))&gt;0))+IF(col_s4=0,0,--(LEN(INDEX('Paste Export'!$A$2:$BZ$1001,$A881,col_s4))&gt;0))+IF(col_s5=0,0,--(LEN(INDEX('Paste Export'!$A$2:$BZ$1001,$A881,col_s5))&gt;0))+IF(col_s6=0,0,--(LEN(INDEX('Paste Export'!$A$2:$BZ$1001,$A881,col_s6))&gt;0))+IF(col_s7=0,0,--(LEN(INDEX('Paste Export'!$A$2:$BZ$1001,$A881,col_s7))&gt;0))+IF(col_s8=0,0,--(LEN(INDEX('Paste Export'!$A$2:$BZ$1001,$A881,col_s8))&gt;0)))</f>
        <v/>
      </c>
      <c r="I881" s="25" t="str">
        <f t="shared" si="94"/>
        <v/>
      </c>
      <c r="J881" s="25" t="str">
        <f t="shared" si="95"/>
        <v/>
      </c>
      <c r="K881" s="24" t="str">
        <f t="shared" si="96"/>
        <v/>
      </c>
      <c r="L881" s="24" t="str">
        <f t="shared" si="97"/>
        <v/>
      </c>
    </row>
    <row r="882" spans="1:12" x14ac:dyDescent="0.25">
      <c r="A882" s="24">
        <f t="shared" si="91"/>
        <v>881</v>
      </c>
      <c r="B882" s="25" t="str">
        <f>IF($A882&gt;nrows,"",IF(col_user=0,"",INDEX('Paste Export'!$A$2:$BZ$1001,$A882,col_user)))</f>
        <v/>
      </c>
      <c r="C882" s="24" t="str">
        <f>IF($A882&gt;nrows,"",IF(col_days=0,0,N(INDEX('Paste Export'!$A$2:$BZ$1001,$A882,col_days))))</f>
        <v/>
      </c>
      <c r="D882" s="24" t="str">
        <f>IF($A882&gt;nrows,"",IF(col_prompts=0,0,N(INDEX('Paste Export'!$A$2:$BZ$1001,$A882,col_prompts))))</f>
        <v/>
      </c>
      <c r="E882" s="24" t="str">
        <f>IF($A882&gt;nrows,"",IF(col_web=0,0,N(INDEX('Paste Export'!$A$2:$BZ$1001,$A882,col_web))))</f>
        <v/>
      </c>
      <c r="F882" s="26" t="str">
        <f t="shared" si="92"/>
        <v/>
      </c>
      <c r="G882" s="27" t="str">
        <f t="shared" si="93"/>
        <v/>
      </c>
      <c r="H882" s="24" t="str">
        <f>IF($A882&gt;nrows,"",IF(col_s1=0,0,--(LEN(INDEX('Paste Export'!$A$2:$BZ$1001,$A882,col_s1))&gt;0))+IF(col_s2=0,0,--(LEN(INDEX('Paste Export'!$A$2:$BZ$1001,$A882,col_s2))&gt;0))+IF(col_s3=0,0,--(LEN(INDEX('Paste Export'!$A$2:$BZ$1001,$A882,col_s3))&gt;0))+IF(col_s4=0,0,--(LEN(INDEX('Paste Export'!$A$2:$BZ$1001,$A882,col_s4))&gt;0))+IF(col_s5=0,0,--(LEN(INDEX('Paste Export'!$A$2:$BZ$1001,$A882,col_s5))&gt;0))+IF(col_s6=0,0,--(LEN(INDEX('Paste Export'!$A$2:$BZ$1001,$A882,col_s6))&gt;0))+IF(col_s7=0,0,--(LEN(INDEX('Paste Export'!$A$2:$BZ$1001,$A882,col_s7))&gt;0))+IF(col_s8=0,0,--(LEN(INDEX('Paste Export'!$A$2:$BZ$1001,$A882,col_s8))&gt;0)))</f>
        <v/>
      </c>
      <c r="I882" s="25" t="str">
        <f t="shared" si="94"/>
        <v/>
      </c>
      <c r="J882" s="25" t="str">
        <f t="shared" si="95"/>
        <v/>
      </c>
      <c r="K882" s="24" t="str">
        <f t="shared" si="96"/>
        <v/>
      </c>
      <c r="L882" s="24" t="str">
        <f t="shared" si="97"/>
        <v/>
      </c>
    </row>
    <row r="883" spans="1:12" x14ac:dyDescent="0.25">
      <c r="A883" s="24">
        <f t="shared" si="91"/>
        <v>882</v>
      </c>
      <c r="B883" s="25" t="str">
        <f>IF($A883&gt;nrows,"",IF(col_user=0,"",INDEX('Paste Export'!$A$2:$BZ$1001,$A883,col_user)))</f>
        <v/>
      </c>
      <c r="C883" s="24" t="str">
        <f>IF($A883&gt;nrows,"",IF(col_days=0,0,N(INDEX('Paste Export'!$A$2:$BZ$1001,$A883,col_days))))</f>
        <v/>
      </c>
      <c r="D883" s="24" t="str">
        <f>IF($A883&gt;nrows,"",IF(col_prompts=0,0,N(INDEX('Paste Export'!$A$2:$BZ$1001,$A883,col_prompts))))</f>
        <v/>
      </c>
      <c r="E883" s="24" t="str">
        <f>IF($A883&gt;nrows,"",IF(col_web=0,0,N(INDEX('Paste Export'!$A$2:$BZ$1001,$A883,col_web))))</f>
        <v/>
      </c>
      <c r="F883" s="26" t="str">
        <f t="shared" si="92"/>
        <v/>
      </c>
      <c r="G883" s="27" t="str">
        <f t="shared" si="93"/>
        <v/>
      </c>
      <c r="H883" s="24" t="str">
        <f>IF($A883&gt;nrows,"",IF(col_s1=0,0,--(LEN(INDEX('Paste Export'!$A$2:$BZ$1001,$A883,col_s1))&gt;0))+IF(col_s2=0,0,--(LEN(INDEX('Paste Export'!$A$2:$BZ$1001,$A883,col_s2))&gt;0))+IF(col_s3=0,0,--(LEN(INDEX('Paste Export'!$A$2:$BZ$1001,$A883,col_s3))&gt;0))+IF(col_s4=0,0,--(LEN(INDEX('Paste Export'!$A$2:$BZ$1001,$A883,col_s4))&gt;0))+IF(col_s5=0,0,--(LEN(INDEX('Paste Export'!$A$2:$BZ$1001,$A883,col_s5))&gt;0))+IF(col_s6=0,0,--(LEN(INDEX('Paste Export'!$A$2:$BZ$1001,$A883,col_s6))&gt;0))+IF(col_s7=0,0,--(LEN(INDEX('Paste Export'!$A$2:$BZ$1001,$A883,col_s7))&gt;0))+IF(col_s8=0,0,--(LEN(INDEX('Paste Export'!$A$2:$BZ$1001,$A883,col_s8))&gt;0)))</f>
        <v/>
      </c>
      <c r="I883" s="25" t="str">
        <f t="shared" si="94"/>
        <v/>
      </c>
      <c r="J883" s="25" t="str">
        <f t="shared" si="95"/>
        <v/>
      </c>
      <c r="K883" s="24" t="str">
        <f t="shared" si="96"/>
        <v/>
      </c>
      <c r="L883" s="24" t="str">
        <f t="shared" si="97"/>
        <v/>
      </c>
    </row>
    <row r="884" spans="1:12" x14ac:dyDescent="0.25">
      <c r="A884" s="24">
        <f t="shared" si="91"/>
        <v>883</v>
      </c>
      <c r="B884" s="25" t="str">
        <f>IF($A884&gt;nrows,"",IF(col_user=0,"",INDEX('Paste Export'!$A$2:$BZ$1001,$A884,col_user)))</f>
        <v/>
      </c>
      <c r="C884" s="24" t="str">
        <f>IF($A884&gt;nrows,"",IF(col_days=0,0,N(INDEX('Paste Export'!$A$2:$BZ$1001,$A884,col_days))))</f>
        <v/>
      </c>
      <c r="D884" s="24" t="str">
        <f>IF($A884&gt;nrows,"",IF(col_prompts=0,0,N(INDEX('Paste Export'!$A$2:$BZ$1001,$A884,col_prompts))))</f>
        <v/>
      </c>
      <c r="E884" s="24" t="str">
        <f>IF($A884&gt;nrows,"",IF(col_web=0,0,N(INDEX('Paste Export'!$A$2:$BZ$1001,$A884,col_web))))</f>
        <v/>
      </c>
      <c r="F884" s="26" t="str">
        <f t="shared" si="92"/>
        <v/>
      </c>
      <c r="G884" s="27" t="str">
        <f t="shared" si="93"/>
        <v/>
      </c>
      <c r="H884" s="24" t="str">
        <f>IF($A884&gt;nrows,"",IF(col_s1=0,0,--(LEN(INDEX('Paste Export'!$A$2:$BZ$1001,$A884,col_s1))&gt;0))+IF(col_s2=0,0,--(LEN(INDEX('Paste Export'!$A$2:$BZ$1001,$A884,col_s2))&gt;0))+IF(col_s3=0,0,--(LEN(INDEX('Paste Export'!$A$2:$BZ$1001,$A884,col_s3))&gt;0))+IF(col_s4=0,0,--(LEN(INDEX('Paste Export'!$A$2:$BZ$1001,$A884,col_s4))&gt;0))+IF(col_s5=0,0,--(LEN(INDEX('Paste Export'!$A$2:$BZ$1001,$A884,col_s5))&gt;0))+IF(col_s6=0,0,--(LEN(INDEX('Paste Export'!$A$2:$BZ$1001,$A884,col_s6))&gt;0))+IF(col_s7=0,0,--(LEN(INDEX('Paste Export'!$A$2:$BZ$1001,$A884,col_s7))&gt;0))+IF(col_s8=0,0,--(LEN(INDEX('Paste Export'!$A$2:$BZ$1001,$A884,col_s8))&gt;0)))</f>
        <v/>
      </c>
      <c r="I884" s="25" t="str">
        <f t="shared" si="94"/>
        <v/>
      </c>
      <c r="J884" s="25" t="str">
        <f t="shared" si="95"/>
        <v/>
      </c>
      <c r="K884" s="24" t="str">
        <f t="shared" si="96"/>
        <v/>
      </c>
      <c r="L884" s="24" t="str">
        <f t="shared" si="97"/>
        <v/>
      </c>
    </row>
    <row r="885" spans="1:12" x14ac:dyDescent="0.25">
      <c r="A885" s="24">
        <f t="shared" si="91"/>
        <v>884</v>
      </c>
      <c r="B885" s="25" t="str">
        <f>IF($A885&gt;nrows,"",IF(col_user=0,"",INDEX('Paste Export'!$A$2:$BZ$1001,$A885,col_user)))</f>
        <v/>
      </c>
      <c r="C885" s="24" t="str">
        <f>IF($A885&gt;nrows,"",IF(col_days=0,0,N(INDEX('Paste Export'!$A$2:$BZ$1001,$A885,col_days))))</f>
        <v/>
      </c>
      <c r="D885" s="24" t="str">
        <f>IF($A885&gt;nrows,"",IF(col_prompts=0,0,N(INDEX('Paste Export'!$A$2:$BZ$1001,$A885,col_prompts))))</f>
        <v/>
      </c>
      <c r="E885" s="24" t="str">
        <f>IF($A885&gt;nrows,"",IF(col_web=0,0,N(INDEX('Paste Export'!$A$2:$BZ$1001,$A885,col_web))))</f>
        <v/>
      </c>
      <c r="F885" s="26" t="str">
        <f t="shared" si="92"/>
        <v/>
      </c>
      <c r="G885" s="27" t="str">
        <f t="shared" si="93"/>
        <v/>
      </c>
      <c r="H885" s="24" t="str">
        <f>IF($A885&gt;nrows,"",IF(col_s1=0,0,--(LEN(INDEX('Paste Export'!$A$2:$BZ$1001,$A885,col_s1))&gt;0))+IF(col_s2=0,0,--(LEN(INDEX('Paste Export'!$A$2:$BZ$1001,$A885,col_s2))&gt;0))+IF(col_s3=0,0,--(LEN(INDEX('Paste Export'!$A$2:$BZ$1001,$A885,col_s3))&gt;0))+IF(col_s4=0,0,--(LEN(INDEX('Paste Export'!$A$2:$BZ$1001,$A885,col_s4))&gt;0))+IF(col_s5=0,0,--(LEN(INDEX('Paste Export'!$A$2:$BZ$1001,$A885,col_s5))&gt;0))+IF(col_s6=0,0,--(LEN(INDEX('Paste Export'!$A$2:$BZ$1001,$A885,col_s6))&gt;0))+IF(col_s7=0,0,--(LEN(INDEX('Paste Export'!$A$2:$BZ$1001,$A885,col_s7))&gt;0))+IF(col_s8=0,0,--(LEN(INDEX('Paste Export'!$A$2:$BZ$1001,$A885,col_s8))&gt;0)))</f>
        <v/>
      </c>
      <c r="I885" s="25" t="str">
        <f t="shared" si="94"/>
        <v/>
      </c>
      <c r="J885" s="25" t="str">
        <f t="shared" si="95"/>
        <v/>
      </c>
      <c r="K885" s="24" t="str">
        <f t="shared" si="96"/>
        <v/>
      </c>
      <c r="L885" s="24" t="str">
        <f t="shared" si="97"/>
        <v/>
      </c>
    </row>
    <row r="886" spans="1:12" x14ac:dyDescent="0.25">
      <c r="A886" s="24">
        <f t="shared" si="91"/>
        <v>885</v>
      </c>
      <c r="B886" s="25" t="str">
        <f>IF($A886&gt;nrows,"",IF(col_user=0,"",INDEX('Paste Export'!$A$2:$BZ$1001,$A886,col_user)))</f>
        <v/>
      </c>
      <c r="C886" s="24" t="str">
        <f>IF($A886&gt;nrows,"",IF(col_days=0,0,N(INDEX('Paste Export'!$A$2:$BZ$1001,$A886,col_days))))</f>
        <v/>
      </c>
      <c r="D886" s="24" t="str">
        <f>IF($A886&gt;nrows,"",IF(col_prompts=0,0,N(INDEX('Paste Export'!$A$2:$BZ$1001,$A886,col_prompts))))</f>
        <v/>
      </c>
      <c r="E886" s="24" t="str">
        <f>IF($A886&gt;nrows,"",IF(col_web=0,0,N(INDEX('Paste Export'!$A$2:$BZ$1001,$A886,col_web))))</f>
        <v/>
      </c>
      <c r="F886" s="26" t="str">
        <f t="shared" si="92"/>
        <v/>
      </c>
      <c r="G886" s="27" t="str">
        <f t="shared" si="93"/>
        <v/>
      </c>
      <c r="H886" s="24" t="str">
        <f>IF($A886&gt;nrows,"",IF(col_s1=0,0,--(LEN(INDEX('Paste Export'!$A$2:$BZ$1001,$A886,col_s1))&gt;0))+IF(col_s2=0,0,--(LEN(INDEX('Paste Export'!$A$2:$BZ$1001,$A886,col_s2))&gt;0))+IF(col_s3=0,0,--(LEN(INDEX('Paste Export'!$A$2:$BZ$1001,$A886,col_s3))&gt;0))+IF(col_s4=0,0,--(LEN(INDEX('Paste Export'!$A$2:$BZ$1001,$A886,col_s4))&gt;0))+IF(col_s5=0,0,--(LEN(INDEX('Paste Export'!$A$2:$BZ$1001,$A886,col_s5))&gt;0))+IF(col_s6=0,0,--(LEN(INDEX('Paste Export'!$A$2:$BZ$1001,$A886,col_s6))&gt;0))+IF(col_s7=0,0,--(LEN(INDEX('Paste Export'!$A$2:$BZ$1001,$A886,col_s7))&gt;0))+IF(col_s8=0,0,--(LEN(INDEX('Paste Export'!$A$2:$BZ$1001,$A886,col_s8))&gt;0)))</f>
        <v/>
      </c>
      <c r="I886" s="25" t="str">
        <f t="shared" si="94"/>
        <v/>
      </c>
      <c r="J886" s="25" t="str">
        <f t="shared" si="95"/>
        <v/>
      </c>
      <c r="K886" s="24" t="str">
        <f t="shared" si="96"/>
        <v/>
      </c>
      <c r="L886" s="24" t="str">
        <f t="shared" si="97"/>
        <v/>
      </c>
    </row>
    <row r="887" spans="1:12" x14ac:dyDescent="0.25">
      <c r="A887" s="24">
        <f t="shared" si="91"/>
        <v>886</v>
      </c>
      <c r="B887" s="25" t="str">
        <f>IF($A887&gt;nrows,"",IF(col_user=0,"",INDEX('Paste Export'!$A$2:$BZ$1001,$A887,col_user)))</f>
        <v/>
      </c>
      <c r="C887" s="24" t="str">
        <f>IF($A887&gt;nrows,"",IF(col_days=0,0,N(INDEX('Paste Export'!$A$2:$BZ$1001,$A887,col_days))))</f>
        <v/>
      </c>
      <c r="D887" s="24" t="str">
        <f>IF($A887&gt;nrows,"",IF(col_prompts=0,0,N(INDEX('Paste Export'!$A$2:$BZ$1001,$A887,col_prompts))))</f>
        <v/>
      </c>
      <c r="E887" s="24" t="str">
        <f>IF($A887&gt;nrows,"",IF(col_web=0,0,N(INDEX('Paste Export'!$A$2:$BZ$1001,$A887,col_web))))</f>
        <v/>
      </c>
      <c r="F887" s="26" t="str">
        <f t="shared" si="92"/>
        <v/>
      </c>
      <c r="G887" s="27" t="str">
        <f t="shared" si="93"/>
        <v/>
      </c>
      <c r="H887" s="24" t="str">
        <f>IF($A887&gt;nrows,"",IF(col_s1=0,0,--(LEN(INDEX('Paste Export'!$A$2:$BZ$1001,$A887,col_s1))&gt;0))+IF(col_s2=0,0,--(LEN(INDEX('Paste Export'!$A$2:$BZ$1001,$A887,col_s2))&gt;0))+IF(col_s3=0,0,--(LEN(INDEX('Paste Export'!$A$2:$BZ$1001,$A887,col_s3))&gt;0))+IF(col_s4=0,0,--(LEN(INDEX('Paste Export'!$A$2:$BZ$1001,$A887,col_s4))&gt;0))+IF(col_s5=0,0,--(LEN(INDEX('Paste Export'!$A$2:$BZ$1001,$A887,col_s5))&gt;0))+IF(col_s6=0,0,--(LEN(INDEX('Paste Export'!$A$2:$BZ$1001,$A887,col_s6))&gt;0))+IF(col_s7=0,0,--(LEN(INDEX('Paste Export'!$A$2:$BZ$1001,$A887,col_s7))&gt;0))+IF(col_s8=0,0,--(LEN(INDEX('Paste Export'!$A$2:$BZ$1001,$A887,col_s8))&gt;0)))</f>
        <v/>
      </c>
      <c r="I887" s="25" t="str">
        <f t="shared" si="94"/>
        <v/>
      </c>
      <c r="J887" s="25" t="str">
        <f t="shared" si="95"/>
        <v/>
      </c>
      <c r="K887" s="24" t="str">
        <f t="shared" si="96"/>
        <v/>
      </c>
      <c r="L887" s="24" t="str">
        <f t="shared" si="97"/>
        <v/>
      </c>
    </row>
    <row r="888" spans="1:12" x14ac:dyDescent="0.25">
      <c r="A888" s="24">
        <f t="shared" si="91"/>
        <v>887</v>
      </c>
      <c r="B888" s="25" t="str">
        <f>IF($A888&gt;nrows,"",IF(col_user=0,"",INDEX('Paste Export'!$A$2:$BZ$1001,$A888,col_user)))</f>
        <v/>
      </c>
      <c r="C888" s="24" t="str">
        <f>IF($A888&gt;nrows,"",IF(col_days=0,0,N(INDEX('Paste Export'!$A$2:$BZ$1001,$A888,col_days))))</f>
        <v/>
      </c>
      <c r="D888" s="24" t="str">
        <f>IF($A888&gt;nrows,"",IF(col_prompts=0,0,N(INDEX('Paste Export'!$A$2:$BZ$1001,$A888,col_prompts))))</f>
        <v/>
      </c>
      <c r="E888" s="24" t="str">
        <f>IF($A888&gt;nrows,"",IF(col_web=0,0,N(INDEX('Paste Export'!$A$2:$BZ$1001,$A888,col_web))))</f>
        <v/>
      </c>
      <c r="F888" s="26" t="str">
        <f t="shared" si="92"/>
        <v/>
      </c>
      <c r="G888" s="27" t="str">
        <f t="shared" si="93"/>
        <v/>
      </c>
      <c r="H888" s="24" t="str">
        <f>IF($A888&gt;nrows,"",IF(col_s1=0,0,--(LEN(INDEX('Paste Export'!$A$2:$BZ$1001,$A888,col_s1))&gt;0))+IF(col_s2=0,0,--(LEN(INDEX('Paste Export'!$A$2:$BZ$1001,$A888,col_s2))&gt;0))+IF(col_s3=0,0,--(LEN(INDEX('Paste Export'!$A$2:$BZ$1001,$A888,col_s3))&gt;0))+IF(col_s4=0,0,--(LEN(INDEX('Paste Export'!$A$2:$BZ$1001,$A888,col_s4))&gt;0))+IF(col_s5=0,0,--(LEN(INDEX('Paste Export'!$A$2:$BZ$1001,$A888,col_s5))&gt;0))+IF(col_s6=0,0,--(LEN(INDEX('Paste Export'!$A$2:$BZ$1001,$A888,col_s6))&gt;0))+IF(col_s7=0,0,--(LEN(INDEX('Paste Export'!$A$2:$BZ$1001,$A888,col_s7))&gt;0))+IF(col_s8=0,0,--(LEN(INDEX('Paste Export'!$A$2:$BZ$1001,$A888,col_s8))&gt;0)))</f>
        <v/>
      </c>
      <c r="I888" s="25" t="str">
        <f t="shared" si="94"/>
        <v/>
      </c>
      <c r="J888" s="25" t="str">
        <f t="shared" si="95"/>
        <v/>
      </c>
      <c r="K888" s="24" t="str">
        <f t="shared" si="96"/>
        <v/>
      </c>
      <c r="L888" s="24" t="str">
        <f t="shared" si="97"/>
        <v/>
      </c>
    </row>
    <row r="889" spans="1:12" x14ac:dyDescent="0.25">
      <c r="A889" s="24">
        <f t="shared" si="91"/>
        <v>888</v>
      </c>
      <c r="B889" s="25" t="str">
        <f>IF($A889&gt;nrows,"",IF(col_user=0,"",INDEX('Paste Export'!$A$2:$BZ$1001,$A889,col_user)))</f>
        <v/>
      </c>
      <c r="C889" s="24" t="str">
        <f>IF($A889&gt;nrows,"",IF(col_days=0,0,N(INDEX('Paste Export'!$A$2:$BZ$1001,$A889,col_days))))</f>
        <v/>
      </c>
      <c r="D889" s="24" t="str">
        <f>IF($A889&gt;nrows,"",IF(col_prompts=0,0,N(INDEX('Paste Export'!$A$2:$BZ$1001,$A889,col_prompts))))</f>
        <v/>
      </c>
      <c r="E889" s="24" t="str">
        <f>IF($A889&gt;nrows,"",IF(col_web=0,0,N(INDEX('Paste Export'!$A$2:$BZ$1001,$A889,col_web))))</f>
        <v/>
      </c>
      <c r="F889" s="26" t="str">
        <f t="shared" si="92"/>
        <v/>
      </c>
      <c r="G889" s="27" t="str">
        <f t="shared" si="93"/>
        <v/>
      </c>
      <c r="H889" s="24" t="str">
        <f>IF($A889&gt;nrows,"",IF(col_s1=0,0,--(LEN(INDEX('Paste Export'!$A$2:$BZ$1001,$A889,col_s1))&gt;0))+IF(col_s2=0,0,--(LEN(INDEX('Paste Export'!$A$2:$BZ$1001,$A889,col_s2))&gt;0))+IF(col_s3=0,0,--(LEN(INDEX('Paste Export'!$A$2:$BZ$1001,$A889,col_s3))&gt;0))+IF(col_s4=0,0,--(LEN(INDEX('Paste Export'!$A$2:$BZ$1001,$A889,col_s4))&gt;0))+IF(col_s5=0,0,--(LEN(INDEX('Paste Export'!$A$2:$BZ$1001,$A889,col_s5))&gt;0))+IF(col_s6=0,0,--(LEN(INDEX('Paste Export'!$A$2:$BZ$1001,$A889,col_s6))&gt;0))+IF(col_s7=0,0,--(LEN(INDEX('Paste Export'!$A$2:$BZ$1001,$A889,col_s7))&gt;0))+IF(col_s8=0,0,--(LEN(INDEX('Paste Export'!$A$2:$BZ$1001,$A889,col_s8))&gt;0)))</f>
        <v/>
      </c>
      <c r="I889" s="25" t="str">
        <f t="shared" si="94"/>
        <v/>
      </c>
      <c r="J889" s="25" t="str">
        <f t="shared" si="95"/>
        <v/>
      </c>
      <c r="K889" s="24" t="str">
        <f t="shared" si="96"/>
        <v/>
      </c>
      <c r="L889" s="24" t="str">
        <f t="shared" si="97"/>
        <v/>
      </c>
    </row>
    <row r="890" spans="1:12" x14ac:dyDescent="0.25">
      <c r="A890" s="24">
        <f t="shared" si="91"/>
        <v>889</v>
      </c>
      <c r="B890" s="25" t="str">
        <f>IF($A890&gt;nrows,"",IF(col_user=0,"",INDEX('Paste Export'!$A$2:$BZ$1001,$A890,col_user)))</f>
        <v/>
      </c>
      <c r="C890" s="24" t="str">
        <f>IF($A890&gt;nrows,"",IF(col_days=0,0,N(INDEX('Paste Export'!$A$2:$BZ$1001,$A890,col_days))))</f>
        <v/>
      </c>
      <c r="D890" s="24" t="str">
        <f>IF($A890&gt;nrows,"",IF(col_prompts=0,0,N(INDEX('Paste Export'!$A$2:$BZ$1001,$A890,col_prompts))))</f>
        <v/>
      </c>
      <c r="E890" s="24" t="str">
        <f>IF($A890&gt;nrows,"",IF(col_web=0,0,N(INDEX('Paste Export'!$A$2:$BZ$1001,$A890,col_web))))</f>
        <v/>
      </c>
      <c r="F890" s="26" t="str">
        <f t="shared" si="92"/>
        <v/>
      </c>
      <c r="G890" s="27" t="str">
        <f t="shared" si="93"/>
        <v/>
      </c>
      <c r="H890" s="24" t="str">
        <f>IF($A890&gt;nrows,"",IF(col_s1=0,0,--(LEN(INDEX('Paste Export'!$A$2:$BZ$1001,$A890,col_s1))&gt;0))+IF(col_s2=0,0,--(LEN(INDEX('Paste Export'!$A$2:$BZ$1001,$A890,col_s2))&gt;0))+IF(col_s3=0,0,--(LEN(INDEX('Paste Export'!$A$2:$BZ$1001,$A890,col_s3))&gt;0))+IF(col_s4=0,0,--(LEN(INDEX('Paste Export'!$A$2:$BZ$1001,$A890,col_s4))&gt;0))+IF(col_s5=0,0,--(LEN(INDEX('Paste Export'!$A$2:$BZ$1001,$A890,col_s5))&gt;0))+IF(col_s6=0,0,--(LEN(INDEX('Paste Export'!$A$2:$BZ$1001,$A890,col_s6))&gt;0))+IF(col_s7=0,0,--(LEN(INDEX('Paste Export'!$A$2:$BZ$1001,$A890,col_s7))&gt;0))+IF(col_s8=0,0,--(LEN(INDEX('Paste Export'!$A$2:$BZ$1001,$A890,col_s8))&gt;0)))</f>
        <v/>
      </c>
      <c r="I890" s="25" t="str">
        <f t="shared" si="94"/>
        <v/>
      </c>
      <c r="J890" s="25" t="str">
        <f t="shared" si="95"/>
        <v/>
      </c>
      <c r="K890" s="24" t="str">
        <f t="shared" si="96"/>
        <v/>
      </c>
      <c r="L890" s="24" t="str">
        <f t="shared" si="97"/>
        <v/>
      </c>
    </row>
    <row r="891" spans="1:12" x14ac:dyDescent="0.25">
      <c r="A891" s="24">
        <f t="shared" si="91"/>
        <v>890</v>
      </c>
      <c r="B891" s="25" t="str">
        <f>IF($A891&gt;nrows,"",IF(col_user=0,"",INDEX('Paste Export'!$A$2:$BZ$1001,$A891,col_user)))</f>
        <v/>
      </c>
      <c r="C891" s="24" t="str">
        <f>IF($A891&gt;nrows,"",IF(col_days=0,0,N(INDEX('Paste Export'!$A$2:$BZ$1001,$A891,col_days))))</f>
        <v/>
      </c>
      <c r="D891" s="24" t="str">
        <f>IF($A891&gt;nrows,"",IF(col_prompts=0,0,N(INDEX('Paste Export'!$A$2:$BZ$1001,$A891,col_prompts))))</f>
        <v/>
      </c>
      <c r="E891" s="24" t="str">
        <f>IF($A891&gt;nrows,"",IF(col_web=0,0,N(INDEX('Paste Export'!$A$2:$BZ$1001,$A891,col_web))))</f>
        <v/>
      </c>
      <c r="F891" s="26" t="str">
        <f t="shared" si="92"/>
        <v/>
      </c>
      <c r="G891" s="27" t="str">
        <f t="shared" si="93"/>
        <v/>
      </c>
      <c r="H891" s="24" t="str">
        <f>IF($A891&gt;nrows,"",IF(col_s1=0,0,--(LEN(INDEX('Paste Export'!$A$2:$BZ$1001,$A891,col_s1))&gt;0))+IF(col_s2=0,0,--(LEN(INDEX('Paste Export'!$A$2:$BZ$1001,$A891,col_s2))&gt;0))+IF(col_s3=0,0,--(LEN(INDEX('Paste Export'!$A$2:$BZ$1001,$A891,col_s3))&gt;0))+IF(col_s4=0,0,--(LEN(INDEX('Paste Export'!$A$2:$BZ$1001,$A891,col_s4))&gt;0))+IF(col_s5=0,0,--(LEN(INDEX('Paste Export'!$A$2:$BZ$1001,$A891,col_s5))&gt;0))+IF(col_s6=0,0,--(LEN(INDEX('Paste Export'!$A$2:$BZ$1001,$A891,col_s6))&gt;0))+IF(col_s7=0,0,--(LEN(INDEX('Paste Export'!$A$2:$BZ$1001,$A891,col_s7))&gt;0))+IF(col_s8=0,0,--(LEN(INDEX('Paste Export'!$A$2:$BZ$1001,$A891,col_s8))&gt;0)))</f>
        <v/>
      </c>
      <c r="I891" s="25" t="str">
        <f t="shared" si="94"/>
        <v/>
      </c>
      <c r="J891" s="25" t="str">
        <f t="shared" si="95"/>
        <v/>
      </c>
      <c r="K891" s="24" t="str">
        <f t="shared" si="96"/>
        <v/>
      </c>
      <c r="L891" s="24" t="str">
        <f t="shared" si="97"/>
        <v/>
      </c>
    </row>
    <row r="892" spans="1:12" x14ac:dyDescent="0.25">
      <c r="A892" s="24">
        <f t="shared" si="91"/>
        <v>891</v>
      </c>
      <c r="B892" s="25" t="str">
        <f>IF($A892&gt;nrows,"",IF(col_user=0,"",INDEX('Paste Export'!$A$2:$BZ$1001,$A892,col_user)))</f>
        <v/>
      </c>
      <c r="C892" s="24" t="str">
        <f>IF($A892&gt;nrows,"",IF(col_days=0,0,N(INDEX('Paste Export'!$A$2:$BZ$1001,$A892,col_days))))</f>
        <v/>
      </c>
      <c r="D892" s="24" t="str">
        <f>IF($A892&gt;nrows,"",IF(col_prompts=0,0,N(INDEX('Paste Export'!$A$2:$BZ$1001,$A892,col_prompts))))</f>
        <v/>
      </c>
      <c r="E892" s="24" t="str">
        <f>IF($A892&gt;nrows,"",IF(col_web=0,0,N(INDEX('Paste Export'!$A$2:$BZ$1001,$A892,col_web))))</f>
        <v/>
      </c>
      <c r="F892" s="26" t="str">
        <f t="shared" si="92"/>
        <v/>
      </c>
      <c r="G892" s="27" t="str">
        <f t="shared" si="93"/>
        <v/>
      </c>
      <c r="H892" s="24" t="str">
        <f>IF($A892&gt;nrows,"",IF(col_s1=0,0,--(LEN(INDEX('Paste Export'!$A$2:$BZ$1001,$A892,col_s1))&gt;0))+IF(col_s2=0,0,--(LEN(INDEX('Paste Export'!$A$2:$BZ$1001,$A892,col_s2))&gt;0))+IF(col_s3=0,0,--(LEN(INDEX('Paste Export'!$A$2:$BZ$1001,$A892,col_s3))&gt;0))+IF(col_s4=0,0,--(LEN(INDEX('Paste Export'!$A$2:$BZ$1001,$A892,col_s4))&gt;0))+IF(col_s5=0,0,--(LEN(INDEX('Paste Export'!$A$2:$BZ$1001,$A892,col_s5))&gt;0))+IF(col_s6=0,0,--(LEN(INDEX('Paste Export'!$A$2:$BZ$1001,$A892,col_s6))&gt;0))+IF(col_s7=0,0,--(LEN(INDEX('Paste Export'!$A$2:$BZ$1001,$A892,col_s7))&gt;0))+IF(col_s8=0,0,--(LEN(INDEX('Paste Export'!$A$2:$BZ$1001,$A892,col_s8))&gt;0)))</f>
        <v/>
      </c>
      <c r="I892" s="25" t="str">
        <f t="shared" si="94"/>
        <v/>
      </c>
      <c r="J892" s="25" t="str">
        <f t="shared" si="95"/>
        <v/>
      </c>
      <c r="K892" s="24" t="str">
        <f t="shared" si="96"/>
        <v/>
      </c>
      <c r="L892" s="24" t="str">
        <f t="shared" si="97"/>
        <v/>
      </c>
    </row>
    <row r="893" spans="1:12" x14ac:dyDescent="0.25">
      <c r="A893" s="24">
        <f t="shared" si="91"/>
        <v>892</v>
      </c>
      <c r="B893" s="25" t="str">
        <f>IF($A893&gt;nrows,"",IF(col_user=0,"",INDEX('Paste Export'!$A$2:$BZ$1001,$A893,col_user)))</f>
        <v/>
      </c>
      <c r="C893" s="24" t="str">
        <f>IF($A893&gt;nrows,"",IF(col_days=0,0,N(INDEX('Paste Export'!$A$2:$BZ$1001,$A893,col_days))))</f>
        <v/>
      </c>
      <c r="D893" s="24" t="str">
        <f>IF($A893&gt;nrows,"",IF(col_prompts=0,0,N(INDEX('Paste Export'!$A$2:$BZ$1001,$A893,col_prompts))))</f>
        <v/>
      </c>
      <c r="E893" s="24" t="str">
        <f>IF($A893&gt;nrows,"",IF(col_web=0,0,N(INDEX('Paste Export'!$A$2:$BZ$1001,$A893,col_web))))</f>
        <v/>
      </c>
      <c r="F893" s="26" t="str">
        <f t="shared" si="92"/>
        <v/>
      </c>
      <c r="G893" s="27" t="str">
        <f t="shared" si="93"/>
        <v/>
      </c>
      <c r="H893" s="24" t="str">
        <f>IF($A893&gt;nrows,"",IF(col_s1=0,0,--(LEN(INDEX('Paste Export'!$A$2:$BZ$1001,$A893,col_s1))&gt;0))+IF(col_s2=0,0,--(LEN(INDEX('Paste Export'!$A$2:$BZ$1001,$A893,col_s2))&gt;0))+IF(col_s3=0,0,--(LEN(INDEX('Paste Export'!$A$2:$BZ$1001,$A893,col_s3))&gt;0))+IF(col_s4=0,0,--(LEN(INDEX('Paste Export'!$A$2:$BZ$1001,$A893,col_s4))&gt;0))+IF(col_s5=0,0,--(LEN(INDEX('Paste Export'!$A$2:$BZ$1001,$A893,col_s5))&gt;0))+IF(col_s6=0,0,--(LEN(INDEX('Paste Export'!$A$2:$BZ$1001,$A893,col_s6))&gt;0))+IF(col_s7=0,0,--(LEN(INDEX('Paste Export'!$A$2:$BZ$1001,$A893,col_s7))&gt;0))+IF(col_s8=0,0,--(LEN(INDEX('Paste Export'!$A$2:$BZ$1001,$A893,col_s8))&gt;0)))</f>
        <v/>
      </c>
      <c r="I893" s="25" t="str">
        <f t="shared" si="94"/>
        <v/>
      </c>
      <c r="J893" s="25" t="str">
        <f t="shared" si="95"/>
        <v/>
      </c>
      <c r="K893" s="24" t="str">
        <f t="shared" si="96"/>
        <v/>
      </c>
      <c r="L893" s="24" t="str">
        <f t="shared" si="97"/>
        <v/>
      </c>
    </row>
    <row r="894" spans="1:12" x14ac:dyDescent="0.25">
      <c r="A894" s="24">
        <f t="shared" si="91"/>
        <v>893</v>
      </c>
      <c r="B894" s="25" t="str">
        <f>IF($A894&gt;nrows,"",IF(col_user=0,"",INDEX('Paste Export'!$A$2:$BZ$1001,$A894,col_user)))</f>
        <v/>
      </c>
      <c r="C894" s="24" t="str">
        <f>IF($A894&gt;nrows,"",IF(col_days=0,0,N(INDEX('Paste Export'!$A$2:$BZ$1001,$A894,col_days))))</f>
        <v/>
      </c>
      <c r="D894" s="24" t="str">
        <f>IF($A894&gt;nrows,"",IF(col_prompts=0,0,N(INDEX('Paste Export'!$A$2:$BZ$1001,$A894,col_prompts))))</f>
        <v/>
      </c>
      <c r="E894" s="24" t="str">
        <f>IF($A894&gt;nrows,"",IF(col_web=0,0,N(INDEX('Paste Export'!$A$2:$BZ$1001,$A894,col_web))))</f>
        <v/>
      </c>
      <c r="F894" s="26" t="str">
        <f t="shared" si="92"/>
        <v/>
      </c>
      <c r="G894" s="27" t="str">
        <f t="shared" si="93"/>
        <v/>
      </c>
      <c r="H894" s="24" t="str">
        <f>IF($A894&gt;nrows,"",IF(col_s1=0,0,--(LEN(INDEX('Paste Export'!$A$2:$BZ$1001,$A894,col_s1))&gt;0))+IF(col_s2=0,0,--(LEN(INDEX('Paste Export'!$A$2:$BZ$1001,$A894,col_s2))&gt;0))+IF(col_s3=0,0,--(LEN(INDEX('Paste Export'!$A$2:$BZ$1001,$A894,col_s3))&gt;0))+IF(col_s4=0,0,--(LEN(INDEX('Paste Export'!$A$2:$BZ$1001,$A894,col_s4))&gt;0))+IF(col_s5=0,0,--(LEN(INDEX('Paste Export'!$A$2:$BZ$1001,$A894,col_s5))&gt;0))+IF(col_s6=0,0,--(LEN(INDEX('Paste Export'!$A$2:$BZ$1001,$A894,col_s6))&gt;0))+IF(col_s7=0,0,--(LEN(INDEX('Paste Export'!$A$2:$BZ$1001,$A894,col_s7))&gt;0))+IF(col_s8=0,0,--(LEN(INDEX('Paste Export'!$A$2:$BZ$1001,$A894,col_s8))&gt;0)))</f>
        <v/>
      </c>
      <c r="I894" s="25" t="str">
        <f t="shared" si="94"/>
        <v/>
      </c>
      <c r="J894" s="25" t="str">
        <f t="shared" si="95"/>
        <v/>
      </c>
      <c r="K894" s="24" t="str">
        <f t="shared" si="96"/>
        <v/>
      </c>
      <c r="L894" s="24" t="str">
        <f t="shared" si="97"/>
        <v/>
      </c>
    </row>
    <row r="895" spans="1:12" x14ac:dyDescent="0.25">
      <c r="A895" s="24">
        <f t="shared" si="91"/>
        <v>894</v>
      </c>
      <c r="B895" s="25" t="str">
        <f>IF($A895&gt;nrows,"",IF(col_user=0,"",INDEX('Paste Export'!$A$2:$BZ$1001,$A895,col_user)))</f>
        <v/>
      </c>
      <c r="C895" s="24" t="str">
        <f>IF($A895&gt;nrows,"",IF(col_days=0,0,N(INDEX('Paste Export'!$A$2:$BZ$1001,$A895,col_days))))</f>
        <v/>
      </c>
      <c r="D895" s="24" t="str">
        <f>IF($A895&gt;nrows,"",IF(col_prompts=0,0,N(INDEX('Paste Export'!$A$2:$BZ$1001,$A895,col_prompts))))</f>
        <v/>
      </c>
      <c r="E895" s="24" t="str">
        <f>IF($A895&gt;nrows,"",IF(col_web=0,0,N(INDEX('Paste Export'!$A$2:$BZ$1001,$A895,col_web))))</f>
        <v/>
      </c>
      <c r="F895" s="26" t="str">
        <f t="shared" si="92"/>
        <v/>
      </c>
      <c r="G895" s="27" t="str">
        <f t="shared" si="93"/>
        <v/>
      </c>
      <c r="H895" s="24" t="str">
        <f>IF($A895&gt;nrows,"",IF(col_s1=0,0,--(LEN(INDEX('Paste Export'!$A$2:$BZ$1001,$A895,col_s1))&gt;0))+IF(col_s2=0,0,--(LEN(INDEX('Paste Export'!$A$2:$BZ$1001,$A895,col_s2))&gt;0))+IF(col_s3=0,0,--(LEN(INDEX('Paste Export'!$A$2:$BZ$1001,$A895,col_s3))&gt;0))+IF(col_s4=0,0,--(LEN(INDEX('Paste Export'!$A$2:$BZ$1001,$A895,col_s4))&gt;0))+IF(col_s5=0,0,--(LEN(INDEX('Paste Export'!$A$2:$BZ$1001,$A895,col_s5))&gt;0))+IF(col_s6=0,0,--(LEN(INDEX('Paste Export'!$A$2:$BZ$1001,$A895,col_s6))&gt;0))+IF(col_s7=0,0,--(LEN(INDEX('Paste Export'!$A$2:$BZ$1001,$A895,col_s7))&gt;0))+IF(col_s8=0,0,--(LEN(INDEX('Paste Export'!$A$2:$BZ$1001,$A895,col_s8))&gt;0)))</f>
        <v/>
      </c>
      <c r="I895" s="25" t="str">
        <f t="shared" si="94"/>
        <v/>
      </c>
      <c r="J895" s="25" t="str">
        <f t="shared" si="95"/>
        <v/>
      </c>
      <c r="K895" s="24" t="str">
        <f t="shared" si="96"/>
        <v/>
      </c>
      <c r="L895" s="24" t="str">
        <f t="shared" si="97"/>
        <v/>
      </c>
    </row>
    <row r="896" spans="1:12" x14ac:dyDescent="0.25">
      <c r="A896" s="24">
        <f t="shared" si="91"/>
        <v>895</v>
      </c>
      <c r="B896" s="25" t="str">
        <f>IF($A896&gt;nrows,"",IF(col_user=0,"",INDEX('Paste Export'!$A$2:$BZ$1001,$A896,col_user)))</f>
        <v/>
      </c>
      <c r="C896" s="24" t="str">
        <f>IF($A896&gt;nrows,"",IF(col_days=0,0,N(INDEX('Paste Export'!$A$2:$BZ$1001,$A896,col_days))))</f>
        <v/>
      </c>
      <c r="D896" s="24" t="str">
        <f>IF($A896&gt;nrows,"",IF(col_prompts=0,0,N(INDEX('Paste Export'!$A$2:$BZ$1001,$A896,col_prompts))))</f>
        <v/>
      </c>
      <c r="E896" s="24" t="str">
        <f>IF($A896&gt;nrows,"",IF(col_web=0,0,N(INDEX('Paste Export'!$A$2:$BZ$1001,$A896,col_web))))</f>
        <v/>
      </c>
      <c r="F896" s="26" t="str">
        <f t="shared" si="92"/>
        <v/>
      </c>
      <c r="G896" s="27" t="str">
        <f t="shared" si="93"/>
        <v/>
      </c>
      <c r="H896" s="24" t="str">
        <f>IF($A896&gt;nrows,"",IF(col_s1=0,0,--(LEN(INDEX('Paste Export'!$A$2:$BZ$1001,$A896,col_s1))&gt;0))+IF(col_s2=0,0,--(LEN(INDEX('Paste Export'!$A$2:$BZ$1001,$A896,col_s2))&gt;0))+IF(col_s3=0,0,--(LEN(INDEX('Paste Export'!$A$2:$BZ$1001,$A896,col_s3))&gt;0))+IF(col_s4=0,0,--(LEN(INDEX('Paste Export'!$A$2:$BZ$1001,$A896,col_s4))&gt;0))+IF(col_s5=0,0,--(LEN(INDEX('Paste Export'!$A$2:$BZ$1001,$A896,col_s5))&gt;0))+IF(col_s6=0,0,--(LEN(INDEX('Paste Export'!$A$2:$BZ$1001,$A896,col_s6))&gt;0))+IF(col_s7=0,0,--(LEN(INDEX('Paste Export'!$A$2:$BZ$1001,$A896,col_s7))&gt;0))+IF(col_s8=0,0,--(LEN(INDEX('Paste Export'!$A$2:$BZ$1001,$A896,col_s8))&gt;0)))</f>
        <v/>
      </c>
      <c r="I896" s="25" t="str">
        <f t="shared" si="94"/>
        <v/>
      </c>
      <c r="J896" s="25" t="str">
        <f t="shared" si="95"/>
        <v/>
      </c>
      <c r="K896" s="24" t="str">
        <f t="shared" si="96"/>
        <v/>
      </c>
      <c r="L896" s="24" t="str">
        <f t="shared" si="97"/>
        <v/>
      </c>
    </row>
    <row r="897" spans="1:12" x14ac:dyDescent="0.25">
      <c r="A897" s="24">
        <f t="shared" si="91"/>
        <v>896</v>
      </c>
      <c r="B897" s="25" t="str">
        <f>IF($A897&gt;nrows,"",IF(col_user=0,"",INDEX('Paste Export'!$A$2:$BZ$1001,$A897,col_user)))</f>
        <v/>
      </c>
      <c r="C897" s="24" t="str">
        <f>IF($A897&gt;nrows,"",IF(col_days=0,0,N(INDEX('Paste Export'!$A$2:$BZ$1001,$A897,col_days))))</f>
        <v/>
      </c>
      <c r="D897" s="24" t="str">
        <f>IF($A897&gt;nrows,"",IF(col_prompts=0,0,N(INDEX('Paste Export'!$A$2:$BZ$1001,$A897,col_prompts))))</f>
        <v/>
      </c>
      <c r="E897" s="24" t="str">
        <f>IF($A897&gt;nrows,"",IF(col_web=0,0,N(INDEX('Paste Export'!$A$2:$BZ$1001,$A897,col_web))))</f>
        <v/>
      </c>
      <c r="F897" s="26" t="str">
        <f t="shared" si="92"/>
        <v/>
      </c>
      <c r="G897" s="27" t="str">
        <f t="shared" si="93"/>
        <v/>
      </c>
      <c r="H897" s="24" t="str">
        <f>IF($A897&gt;nrows,"",IF(col_s1=0,0,--(LEN(INDEX('Paste Export'!$A$2:$BZ$1001,$A897,col_s1))&gt;0))+IF(col_s2=0,0,--(LEN(INDEX('Paste Export'!$A$2:$BZ$1001,$A897,col_s2))&gt;0))+IF(col_s3=0,0,--(LEN(INDEX('Paste Export'!$A$2:$BZ$1001,$A897,col_s3))&gt;0))+IF(col_s4=0,0,--(LEN(INDEX('Paste Export'!$A$2:$BZ$1001,$A897,col_s4))&gt;0))+IF(col_s5=0,0,--(LEN(INDEX('Paste Export'!$A$2:$BZ$1001,$A897,col_s5))&gt;0))+IF(col_s6=0,0,--(LEN(INDEX('Paste Export'!$A$2:$BZ$1001,$A897,col_s6))&gt;0))+IF(col_s7=0,0,--(LEN(INDEX('Paste Export'!$A$2:$BZ$1001,$A897,col_s7))&gt;0))+IF(col_s8=0,0,--(LEN(INDEX('Paste Export'!$A$2:$BZ$1001,$A897,col_s8))&gt;0)))</f>
        <v/>
      </c>
      <c r="I897" s="25" t="str">
        <f t="shared" si="94"/>
        <v/>
      </c>
      <c r="J897" s="25" t="str">
        <f t="shared" si="95"/>
        <v/>
      </c>
      <c r="K897" s="24" t="str">
        <f t="shared" si="96"/>
        <v/>
      </c>
      <c r="L897" s="24" t="str">
        <f t="shared" si="97"/>
        <v/>
      </c>
    </row>
    <row r="898" spans="1:12" x14ac:dyDescent="0.25">
      <c r="A898" s="24">
        <f t="shared" ref="A898:A961" si="98">ROW()-1</f>
        <v>897</v>
      </c>
      <c r="B898" s="25" t="str">
        <f>IF($A898&gt;nrows,"",IF(col_user=0,"",INDEX('Paste Export'!$A$2:$BZ$1001,$A898,col_user)))</f>
        <v/>
      </c>
      <c r="C898" s="24" t="str">
        <f>IF($A898&gt;nrows,"",IF(col_days=0,0,N(INDEX('Paste Export'!$A$2:$BZ$1001,$A898,col_days))))</f>
        <v/>
      </c>
      <c r="D898" s="24" t="str">
        <f>IF($A898&gt;nrows,"",IF(col_prompts=0,0,N(INDEX('Paste Export'!$A$2:$BZ$1001,$A898,col_prompts))))</f>
        <v/>
      </c>
      <c r="E898" s="24" t="str">
        <f>IF($A898&gt;nrows,"",IF(col_web=0,0,N(INDEX('Paste Export'!$A$2:$BZ$1001,$A898,col_web))))</f>
        <v/>
      </c>
      <c r="F898" s="26" t="str">
        <f t="shared" ref="F898:F961" si="99">IF($A898&gt;nrows,"",IFERROR($D898/$C898,0))</f>
        <v/>
      </c>
      <c r="G898" s="27" t="str">
        <f t="shared" ref="G898:G961" si="100">IF($A898&gt;nrows,"",IFERROR($E898/$D898,""))</f>
        <v/>
      </c>
      <c r="H898" s="24" t="str">
        <f>IF($A898&gt;nrows,"",IF(col_s1=0,0,--(LEN(INDEX('Paste Export'!$A$2:$BZ$1001,$A898,col_s1))&gt;0))+IF(col_s2=0,0,--(LEN(INDEX('Paste Export'!$A$2:$BZ$1001,$A898,col_s2))&gt;0))+IF(col_s3=0,0,--(LEN(INDEX('Paste Export'!$A$2:$BZ$1001,$A898,col_s3))&gt;0))+IF(col_s4=0,0,--(LEN(INDEX('Paste Export'!$A$2:$BZ$1001,$A898,col_s4))&gt;0))+IF(col_s5=0,0,--(LEN(INDEX('Paste Export'!$A$2:$BZ$1001,$A898,col_s5))&gt;0))+IF(col_s6=0,0,--(LEN(INDEX('Paste Export'!$A$2:$BZ$1001,$A898,col_s6))&gt;0))+IF(col_s7=0,0,--(LEN(INDEX('Paste Export'!$A$2:$BZ$1001,$A898,col_s7))&gt;0))+IF(col_s8=0,0,--(LEN(INDEX('Paste Export'!$A$2:$BZ$1001,$A898,col_s8))&gt;0)))</f>
        <v/>
      </c>
      <c r="I898" s="25" t="str">
        <f t="shared" ref="I898:I961" si="101">IF($A898&gt;nrows,"",IF($C898&gt;=freq_line,IF($D898&gt;=depth_line,"Embedded","Loyal but shallow"),IF($D898&gt;=depth_line,"Project-driven","Drifting")))</f>
        <v/>
      </c>
      <c r="J898" s="25" t="str">
        <f t="shared" ref="J898:J961" si="102">IF($A898&gt;nrows,"",IF($I898="Drifting",IF($H898&gt;=3,"tried and stopped","never started"),""))</f>
        <v/>
      </c>
      <c r="K898" s="24" t="str">
        <f t="shared" ref="K898:K961" si="103">IF($A898&gt;nrows,"",MAX($D898,1))</f>
        <v/>
      </c>
      <c r="L898" s="24" t="str">
        <f t="shared" ref="L898:L961" si="104">IF($A898&gt;nrows,"",IF(AND($C898=0,$D898=0),1,0))</f>
        <v/>
      </c>
    </row>
    <row r="899" spans="1:12" x14ac:dyDescent="0.25">
      <c r="A899" s="24">
        <f t="shared" si="98"/>
        <v>898</v>
      </c>
      <c r="B899" s="25" t="str">
        <f>IF($A899&gt;nrows,"",IF(col_user=0,"",INDEX('Paste Export'!$A$2:$BZ$1001,$A899,col_user)))</f>
        <v/>
      </c>
      <c r="C899" s="24" t="str">
        <f>IF($A899&gt;nrows,"",IF(col_days=0,0,N(INDEX('Paste Export'!$A$2:$BZ$1001,$A899,col_days))))</f>
        <v/>
      </c>
      <c r="D899" s="24" t="str">
        <f>IF($A899&gt;nrows,"",IF(col_prompts=0,0,N(INDEX('Paste Export'!$A$2:$BZ$1001,$A899,col_prompts))))</f>
        <v/>
      </c>
      <c r="E899" s="24" t="str">
        <f>IF($A899&gt;nrows,"",IF(col_web=0,0,N(INDEX('Paste Export'!$A$2:$BZ$1001,$A899,col_web))))</f>
        <v/>
      </c>
      <c r="F899" s="26" t="str">
        <f t="shared" si="99"/>
        <v/>
      </c>
      <c r="G899" s="27" t="str">
        <f t="shared" si="100"/>
        <v/>
      </c>
      <c r="H899" s="24" t="str">
        <f>IF($A899&gt;nrows,"",IF(col_s1=0,0,--(LEN(INDEX('Paste Export'!$A$2:$BZ$1001,$A899,col_s1))&gt;0))+IF(col_s2=0,0,--(LEN(INDEX('Paste Export'!$A$2:$BZ$1001,$A899,col_s2))&gt;0))+IF(col_s3=0,0,--(LEN(INDEX('Paste Export'!$A$2:$BZ$1001,$A899,col_s3))&gt;0))+IF(col_s4=0,0,--(LEN(INDEX('Paste Export'!$A$2:$BZ$1001,$A899,col_s4))&gt;0))+IF(col_s5=0,0,--(LEN(INDEX('Paste Export'!$A$2:$BZ$1001,$A899,col_s5))&gt;0))+IF(col_s6=0,0,--(LEN(INDEX('Paste Export'!$A$2:$BZ$1001,$A899,col_s6))&gt;0))+IF(col_s7=0,0,--(LEN(INDEX('Paste Export'!$A$2:$BZ$1001,$A899,col_s7))&gt;0))+IF(col_s8=0,0,--(LEN(INDEX('Paste Export'!$A$2:$BZ$1001,$A899,col_s8))&gt;0)))</f>
        <v/>
      </c>
      <c r="I899" s="25" t="str">
        <f t="shared" si="101"/>
        <v/>
      </c>
      <c r="J899" s="25" t="str">
        <f t="shared" si="102"/>
        <v/>
      </c>
      <c r="K899" s="24" t="str">
        <f t="shared" si="103"/>
        <v/>
      </c>
      <c r="L899" s="24" t="str">
        <f t="shared" si="104"/>
        <v/>
      </c>
    </row>
    <row r="900" spans="1:12" x14ac:dyDescent="0.25">
      <c r="A900" s="24">
        <f t="shared" si="98"/>
        <v>899</v>
      </c>
      <c r="B900" s="25" t="str">
        <f>IF($A900&gt;nrows,"",IF(col_user=0,"",INDEX('Paste Export'!$A$2:$BZ$1001,$A900,col_user)))</f>
        <v/>
      </c>
      <c r="C900" s="24" t="str">
        <f>IF($A900&gt;nrows,"",IF(col_days=0,0,N(INDEX('Paste Export'!$A$2:$BZ$1001,$A900,col_days))))</f>
        <v/>
      </c>
      <c r="D900" s="24" t="str">
        <f>IF($A900&gt;nrows,"",IF(col_prompts=0,0,N(INDEX('Paste Export'!$A$2:$BZ$1001,$A900,col_prompts))))</f>
        <v/>
      </c>
      <c r="E900" s="24" t="str">
        <f>IF($A900&gt;nrows,"",IF(col_web=0,0,N(INDEX('Paste Export'!$A$2:$BZ$1001,$A900,col_web))))</f>
        <v/>
      </c>
      <c r="F900" s="26" t="str">
        <f t="shared" si="99"/>
        <v/>
      </c>
      <c r="G900" s="27" t="str">
        <f t="shared" si="100"/>
        <v/>
      </c>
      <c r="H900" s="24" t="str">
        <f>IF($A900&gt;nrows,"",IF(col_s1=0,0,--(LEN(INDEX('Paste Export'!$A$2:$BZ$1001,$A900,col_s1))&gt;0))+IF(col_s2=0,0,--(LEN(INDEX('Paste Export'!$A$2:$BZ$1001,$A900,col_s2))&gt;0))+IF(col_s3=0,0,--(LEN(INDEX('Paste Export'!$A$2:$BZ$1001,$A900,col_s3))&gt;0))+IF(col_s4=0,0,--(LEN(INDEX('Paste Export'!$A$2:$BZ$1001,$A900,col_s4))&gt;0))+IF(col_s5=0,0,--(LEN(INDEX('Paste Export'!$A$2:$BZ$1001,$A900,col_s5))&gt;0))+IF(col_s6=0,0,--(LEN(INDEX('Paste Export'!$A$2:$BZ$1001,$A900,col_s6))&gt;0))+IF(col_s7=0,0,--(LEN(INDEX('Paste Export'!$A$2:$BZ$1001,$A900,col_s7))&gt;0))+IF(col_s8=0,0,--(LEN(INDEX('Paste Export'!$A$2:$BZ$1001,$A900,col_s8))&gt;0)))</f>
        <v/>
      </c>
      <c r="I900" s="25" t="str">
        <f t="shared" si="101"/>
        <v/>
      </c>
      <c r="J900" s="25" t="str">
        <f t="shared" si="102"/>
        <v/>
      </c>
      <c r="K900" s="24" t="str">
        <f t="shared" si="103"/>
        <v/>
      </c>
      <c r="L900" s="24" t="str">
        <f t="shared" si="104"/>
        <v/>
      </c>
    </row>
    <row r="901" spans="1:12" x14ac:dyDescent="0.25">
      <c r="A901" s="24">
        <f t="shared" si="98"/>
        <v>900</v>
      </c>
      <c r="B901" s="25" t="str">
        <f>IF($A901&gt;nrows,"",IF(col_user=0,"",INDEX('Paste Export'!$A$2:$BZ$1001,$A901,col_user)))</f>
        <v/>
      </c>
      <c r="C901" s="24" t="str">
        <f>IF($A901&gt;nrows,"",IF(col_days=0,0,N(INDEX('Paste Export'!$A$2:$BZ$1001,$A901,col_days))))</f>
        <v/>
      </c>
      <c r="D901" s="24" t="str">
        <f>IF($A901&gt;nrows,"",IF(col_prompts=0,0,N(INDEX('Paste Export'!$A$2:$BZ$1001,$A901,col_prompts))))</f>
        <v/>
      </c>
      <c r="E901" s="24" t="str">
        <f>IF($A901&gt;nrows,"",IF(col_web=0,0,N(INDEX('Paste Export'!$A$2:$BZ$1001,$A901,col_web))))</f>
        <v/>
      </c>
      <c r="F901" s="26" t="str">
        <f t="shared" si="99"/>
        <v/>
      </c>
      <c r="G901" s="27" t="str">
        <f t="shared" si="100"/>
        <v/>
      </c>
      <c r="H901" s="24" t="str">
        <f>IF($A901&gt;nrows,"",IF(col_s1=0,0,--(LEN(INDEX('Paste Export'!$A$2:$BZ$1001,$A901,col_s1))&gt;0))+IF(col_s2=0,0,--(LEN(INDEX('Paste Export'!$A$2:$BZ$1001,$A901,col_s2))&gt;0))+IF(col_s3=0,0,--(LEN(INDEX('Paste Export'!$A$2:$BZ$1001,$A901,col_s3))&gt;0))+IF(col_s4=0,0,--(LEN(INDEX('Paste Export'!$A$2:$BZ$1001,$A901,col_s4))&gt;0))+IF(col_s5=0,0,--(LEN(INDEX('Paste Export'!$A$2:$BZ$1001,$A901,col_s5))&gt;0))+IF(col_s6=0,0,--(LEN(INDEX('Paste Export'!$A$2:$BZ$1001,$A901,col_s6))&gt;0))+IF(col_s7=0,0,--(LEN(INDEX('Paste Export'!$A$2:$BZ$1001,$A901,col_s7))&gt;0))+IF(col_s8=0,0,--(LEN(INDEX('Paste Export'!$A$2:$BZ$1001,$A901,col_s8))&gt;0)))</f>
        <v/>
      </c>
      <c r="I901" s="25" t="str">
        <f t="shared" si="101"/>
        <v/>
      </c>
      <c r="J901" s="25" t="str">
        <f t="shared" si="102"/>
        <v/>
      </c>
      <c r="K901" s="24" t="str">
        <f t="shared" si="103"/>
        <v/>
      </c>
      <c r="L901" s="24" t="str">
        <f t="shared" si="104"/>
        <v/>
      </c>
    </row>
    <row r="902" spans="1:12" x14ac:dyDescent="0.25">
      <c r="A902" s="24">
        <f t="shared" si="98"/>
        <v>901</v>
      </c>
      <c r="B902" s="25" t="str">
        <f>IF($A902&gt;nrows,"",IF(col_user=0,"",INDEX('Paste Export'!$A$2:$BZ$1001,$A902,col_user)))</f>
        <v/>
      </c>
      <c r="C902" s="24" t="str">
        <f>IF($A902&gt;nrows,"",IF(col_days=0,0,N(INDEX('Paste Export'!$A$2:$BZ$1001,$A902,col_days))))</f>
        <v/>
      </c>
      <c r="D902" s="24" t="str">
        <f>IF($A902&gt;nrows,"",IF(col_prompts=0,0,N(INDEX('Paste Export'!$A$2:$BZ$1001,$A902,col_prompts))))</f>
        <v/>
      </c>
      <c r="E902" s="24" t="str">
        <f>IF($A902&gt;nrows,"",IF(col_web=0,0,N(INDEX('Paste Export'!$A$2:$BZ$1001,$A902,col_web))))</f>
        <v/>
      </c>
      <c r="F902" s="26" t="str">
        <f t="shared" si="99"/>
        <v/>
      </c>
      <c r="G902" s="27" t="str">
        <f t="shared" si="100"/>
        <v/>
      </c>
      <c r="H902" s="24" t="str">
        <f>IF($A902&gt;nrows,"",IF(col_s1=0,0,--(LEN(INDEX('Paste Export'!$A$2:$BZ$1001,$A902,col_s1))&gt;0))+IF(col_s2=0,0,--(LEN(INDEX('Paste Export'!$A$2:$BZ$1001,$A902,col_s2))&gt;0))+IF(col_s3=0,0,--(LEN(INDEX('Paste Export'!$A$2:$BZ$1001,$A902,col_s3))&gt;0))+IF(col_s4=0,0,--(LEN(INDEX('Paste Export'!$A$2:$BZ$1001,$A902,col_s4))&gt;0))+IF(col_s5=0,0,--(LEN(INDEX('Paste Export'!$A$2:$BZ$1001,$A902,col_s5))&gt;0))+IF(col_s6=0,0,--(LEN(INDEX('Paste Export'!$A$2:$BZ$1001,$A902,col_s6))&gt;0))+IF(col_s7=0,0,--(LEN(INDEX('Paste Export'!$A$2:$BZ$1001,$A902,col_s7))&gt;0))+IF(col_s8=0,0,--(LEN(INDEX('Paste Export'!$A$2:$BZ$1001,$A902,col_s8))&gt;0)))</f>
        <v/>
      </c>
      <c r="I902" s="25" t="str">
        <f t="shared" si="101"/>
        <v/>
      </c>
      <c r="J902" s="25" t="str">
        <f t="shared" si="102"/>
        <v/>
      </c>
      <c r="K902" s="24" t="str">
        <f t="shared" si="103"/>
        <v/>
      </c>
      <c r="L902" s="24" t="str">
        <f t="shared" si="104"/>
        <v/>
      </c>
    </row>
    <row r="903" spans="1:12" x14ac:dyDescent="0.25">
      <c r="A903" s="24">
        <f t="shared" si="98"/>
        <v>902</v>
      </c>
      <c r="B903" s="25" t="str">
        <f>IF($A903&gt;nrows,"",IF(col_user=0,"",INDEX('Paste Export'!$A$2:$BZ$1001,$A903,col_user)))</f>
        <v/>
      </c>
      <c r="C903" s="24" t="str">
        <f>IF($A903&gt;nrows,"",IF(col_days=0,0,N(INDEX('Paste Export'!$A$2:$BZ$1001,$A903,col_days))))</f>
        <v/>
      </c>
      <c r="D903" s="24" t="str">
        <f>IF($A903&gt;nrows,"",IF(col_prompts=0,0,N(INDEX('Paste Export'!$A$2:$BZ$1001,$A903,col_prompts))))</f>
        <v/>
      </c>
      <c r="E903" s="24" t="str">
        <f>IF($A903&gt;nrows,"",IF(col_web=0,0,N(INDEX('Paste Export'!$A$2:$BZ$1001,$A903,col_web))))</f>
        <v/>
      </c>
      <c r="F903" s="26" t="str">
        <f t="shared" si="99"/>
        <v/>
      </c>
      <c r="G903" s="27" t="str">
        <f t="shared" si="100"/>
        <v/>
      </c>
      <c r="H903" s="24" t="str">
        <f>IF($A903&gt;nrows,"",IF(col_s1=0,0,--(LEN(INDEX('Paste Export'!$A$2:$BZ$1001,$A903,col_s1))&gt;0))+IF(col_s2=0,0,--(LEN(INDEX('Paste Export'!$A$2:$BZ$1001,$A903,col_s2))&gt;0))+IF(col_s3=0,0,--(LEN(INDEX('Paste Export'!$A$2:$BZ$1001,$A903,col_s3))&gt;0))+IF(col_s4=0,0,--(LEN(INDEX('Paste Export'!$A$2:$BZ$1001,$A903,col_s4))&gt;0))+IF(col_s5=0,0,--(LEN(INDEX('Paste Export'!$A$2:$BZ$1001,$A903,col_s5))&gt;0))+IF(col_s6=0,0,--(LEN(INDEX('Paste Export'!$A$2:$BZ$1001,$A903,col_s6))&gt;0))+IF(col_s7=0,0,--(LEN(INDEX('Paste Export'!$A$2:$BZ$1001,$A903,col_s7))&gt;0))+IF(col_s8=0,0,--(LEN(INDEX('Paste Export'!$A$2:$BZ$1001,$A903,col_s8))&gt;0)))</f>
        <v/>
      </c>
      <c r="I903" s="25" t="str">
        <f t="shared" si="101"/>
        <v/>
      </c>
      <c r="J903" s="25" t="str">
        <f t="shared" si="102"/>
        <v/>
      </c>
      <c r="K903" s="24" t="str">
        <f t="shared" si="103"/>
        <v/>
      </c>
      <c r="L903" s="24" t="str">
        <f t="shared" si="104"/>
        <v/>
      </c>
    </row>
    <row r="904" spans="1:12" x14ac:dyDescent="0.25">
      <c r="A904" s="24">
        <f t="shared" si="98"/>
        <v>903</v>
      </c>
      <c r="B904" s="25" t="str">
        <f>IF($A904&gt;nrows,"",IF(col_user=0,"",INDEX('Paste Export'!$A$2:$BZ$1001,$A904,col_user)))</f>
        <v/>
      </c>
      <c r="C904" s="24" t="str">
        <f>IF($A904&gt;nrows,"",IF(col_days=0,0,N(INDEX('Paste Export'!$A$2:$BZ$1001,$A904,col_days))))</f>
        <v/>
      </c>
      <c r="D904" s="24" t="str">
        <f>IF($A904&gt;nrows,"",IF(col_prompts=0,0,N(INDEX('Paste Export'!$A$2:$BZ$1001,$A904,col_prompts))))</f>
        <v/>
      </c>
      <c r="E904" s="24" t="str">
        <f>IF($A904&gt;nrows,"",IF(col_web=0,0,N(INDEX('Paste Export'!$A$2:$BZ$1001,$A904,col_web))))</f>
        <v/>
      </c>
      <c r="F904" s="26" t="str">
        <f t="shared" si="99"/>
        <v/>
      </c>
      <c r="G904" s="27" t="str">
        <f t="shared" si="100"/>
        <v/>
      </c>
      <c r="H904" s="24" t="str">
        <f>IF($A904&gt;nrows,"",IF(col_s1=0,0,--(LEN(INDEX('Paste Export'!$A$2:$BZ$1001,$A904,col_s1))&gt;0))+IF(col_s2=0,0,--(LEN(INDEX('Paste Export'!$A$2:$BZ$1001,$A904,col_s2))&gt;0))+IF(col_s3=0,0,--(LEN(INDEX('Paste Export'!$A$2:$BZ$1001,$A904,col_s3))&gt;0))+IF(col_s4=0,0,--(LEN(INDEX('Paste Export'!$A$2:$BZ$1001,$A904,col_s4))&gt;0))+IF(col_s5=0,0,--(LEN(INDEX('Paste Export'!$A$2:$BZ$1001,$A904,col_s5))&gt;0))+IF(col_s6=0,0,--(LEN(INDEX('Paste Export'!$A$2:$BZ$1001,$A904,col_s6))&gt;0))+IF(col_s7=0,0,--(LEN(INDEX('Paste Export'!$A$2:$BZ$1001,$A904,col_s7))&gt;0))+IF(col_s8=0,0,--(LEN(INDEX('Paste Export'!$A$2:$BZ$1001,$A904,col_s8))&gt;0)))</f>
        <v/>
      </c>
      <c r="I904" s="25" t="str">
        <f t="shared" si="101"/>
        <v/>
      </c>
      <c r="J904" s="25" t="str">
        <f t="shared" si="102"/>
        <v/>
      </c>
      <c r="K904" s="24" t="str">
        <f t="shared" si="103"/>
        <v/>
      </c>
      <c r="L904" s="24" t="str">
        <f t="shared" si="104"/>
        <v/>
      </c>
    </row>
    <row r="905" spans="1:12" x14ac:dyDescent="0.25">
      <c r="A905" s="24">
        <f t="shared" si="98"/>
        <v>904</v>
      </c>
      <c r="B905" s="25" t="str">
        <f>IF($A905&gt;nrows,"",IF(col_user=0,"",INDEX('Paste Export'!$A$2:$BZ$1001,$A905,col_user)))</f>
        <v/>
      </c>
      <c r="C905" s="24" t="str">
        <f>IF($A905&gt;nrows,"",IF(col_days=0,0,N(INDEX('Paste Export'!$A$2:$BZ$1001,$A905,col_days))))</f>
        <v/>
      </c>
      <c r="D905" s="24" t="str">
        <f>IF($A905&gt;nrows,"",IF(col_prompts=0,0,N(INDEX('Paste Export'!$A$2:$BZ$1001,$A905,col_prompts))))</f>
        <v/>
      </c>
      <c r="E905" s="24" t="str">
        <f>IF($A905&gt;nrows,"",IF(col_web=0,0,N(INDEX('Paste Export'!$A$2:$BZ$1001,$A905,col_web))))</f>
        <v/>
      </c>
      <c r="F905" s="26" t="str">
        <f t="shared" si="99"/>
        <v/>
      </c>
      <c r="G905" s="27" t="str">
        <f t="shared" si="100"/>
        <v/>
      </c>
      <c r="H905" s="24" t="str">
        <f>IF($A905&gt;nrows,"",IF(col_s1=0,0,--(LEN(INDEX('Paste Export'!$A$2:$BZ$1001,$A905,col_s1))&gt;0))+IF(col_s2=0,0,--(LEN(INDEX('Paste Export'!$A$2:$BZ$1001,$A905,col_s2))&gt;0))+IF(col_s3=0,0,--(LEN(INDEX('Paste Export'!$A$2:$BZ$1001,$A905,col_s3))&gt;0))+IF(col_s4=0,0,--(LEN(INDEX('Paste Export'!$A$2:$BZ$1001,$A905,col_s4))&gt;0))+IF(col_s5=0,0,--(LEN(INDEX('Paste Export'!$A$2:$BZ$1001,$A905,col_s5))&gt;0))+IF(col_s6=0,0,--(LEN(INDEX('Paste Export'!$A$2:$BZ$1001,$A905,col_s6))&gt;0))+IF(col_s7=0,0,--(LEN(INDEX('Paste Export'!$A$2:$BZ$1001,$A905,col_s7))&gt;0))+IF(col_s8=0,0,--(LEN(INDEX('Paste Export'!$A$2:$BZ$1001,$A905,col_s8))&gt;0)))</f>
        <v/>
      </c>
      <c r="I905" s="25" t="str">
        <f t="shared" si="101"/>
        <v/>
      </c>
      <c r="J905" s="25" t="str">
        <f t="shared" si="102"/>
        <v/>
      </c>
      <c r="K905" s="24" t="str">
        <f t="shared" si="103"/>
        <v/>
      </c>
      <c r="L905" s="24" t="str">
        <f t="shared" si="104"/>
        <v/>
      </c>
    </row>
    <row r="906" spans="1:12" x14ac:dyDescent="0.25">
      <c r="A906" s="24">
        <f t="shared" si="98"/>
        <v>905</v>
      </c>
      <c r="B906" s="25" t="str">
        <f>IF($A906&gt;nrows,"",IF(col_user=0,"",INDEX('Paste Export'!$A$2:$BZ$1001,$A906,col_user)))</f>
        <v/>
      </c>
      <c r="C906" s="24" t="str">
        <f>IF($A906&gt;nrows,"",IF(col_days=0,0,N(INDEX('Paste Export'!$A$2:$BZ$1001,$A906,col_days))))</f>
        <v/>
      </c>
      <c r="D906" s="24" t="str">
        <f>IF($A906&gt;nrows,"",IF(col_prompts=0,0,N(INDEX('Paste Export'!$A$2:$BZ$1001,$A906,col_prompts))))</f>
        <v/>
      </c>
      <c r="E906" s="24" t="str">
        <f>IF($A906&gt;nrows,"",IF(col_web=0,0,N(INDEX('Paste Export'!$A$2:$BZ$1001,$A906,col_web))))</f>
        <v/>
      </c>
      <c r="F906" s="26" t="str">
        <f t="shared" si="99"/>
        <v/>
      </c>
      <c r="G906" s="27" t="str">
        <f t="shared" si="100"/>
        <v/>
      </c>
      <c r="H906" s="24" t="str">
        <f>IF($A906&gt;nrows,"",IF(col_s1=0,0,--(LEN(INDEX('Paste Export'!$A$2:$BZ$1001,$A906,col_s1))&gt;0))+IF(col_s2=0,0,--(LEN(INDEX('Paste Export'!$A$2:$BZ$1001,$A906,col_s2))&gt;0))+IF(col_s3=0,0,--(LEN(INDEX('Paste Export'!$A$2:$BZ$1001,$A906,col_s3))&gt;0))+IF(col_s4=0,0,--(LEN(INDEX('Paste Export'!$A$2:$BZ$1001,$A906,col_s4))&gt;0))+IF(col_s5=0,0,--(LEN(INDEX('Paste Export'!$A$2:$BZ$1001,$A906,col_s5))&gt;0))+IF(col_s6=0,0,--(LEN(INDEX('Paste Export'!$A$2:$BZ$1001,$A906,col_s6))&gt;0))+IF(col_s7=0,0,--(LEN(INDEX('Paste Export'!$A$2:$BZ$1001,$A906,col_s7))&gt;0))+IF(col_s8=0,0,--(LEN(INDEX('Paste Export'!$A$2:$BZ$1001,$A906,col_s8))&gt;0)))</f>
        <v/>
      </c>
      <c r="I906" s="25" t="str">
        <f t="shared" si="101"/>
        <v/>
      </c>
      <c r="J906" s="25" t="str">
        <f t="shared" si="102"/>
        <v/>
      </c>
      <c r="K906" s="24" t="str">
        <f t="shared" si="103"/>
        <v/>
      </c>
      <c r="L906" s="24" t="str">
        <f t="shared" si="104"/>
        <v/>
      </c>
    </row>
    <row r="907" spans="1:12" x14ac:dyDescent="0.25">
      <c r="A907" s="24">
        <f t="shared" si="98"/>
        <v>906</v>
      </c>
      <c r="B907" s="25" t="str">
        <f>IF($A907&gt;nrows,"",IF(col_user=0,"",INDEX('Paste Export'!$A$2:$BZ$1001,$A907,col_user)))</f>
        <v/>
      </c>
      <c r="C907" s="24" t="str">
        <f>IF($A907&gt;nrows,"",IF(col_days=0,0,N(INDEX('Paste Export'!$A$2:$BZ$1001,$A907,col_days))))</f>
        <v/>
      </c>
      <c r="D907" s="24" t="str">
        <f>IF($A907&gt;nrows,"",IF(col_prompts=0,0,N(INDEX('Paste Export'!$A$2:$BZ$1001,$A907,col_prompts))))</f>
        <v/>
      </c>
      <c r="E907" s="24" t="str">
        <f>IF($A907&gt;nrows,"",IF(col_web=0,0,N(INDEX('Paste Export'!$A$2:$BZ$1001,$A907,col_web))))</f>
        <v/>
      </c>
      <c r="F907" s="26" t="str">
        <f t="shared" si="99"/>
        <v/>
      </c>
      <c r="G907" s="27" t="str">
        <f t="shared" si="100"/>
        <v/>
      </c>
      <c r="H907" s="24" t="str">
        <f>IF($A907&gt;nrows,"",IF(col_s1=0,0,--(LEN(INDEX('Paste Export'!$A$2:$BZ$1001,$A907,col_s1))&gt;0))+IF(col_s2=0,0,--(LEN(INDEX('Paste Export'!$A$2:$BZ$1001,$A907,col_s2))&gt;0))+IF(col_s3=0,0,--(LEN(INDEX('Paste Export'!$A$2:$BZ$1001,$A907,col_s3))&gt;0))+IF(col_s4=0,0,--(LEN(INDEX('Paste Export'!$A$2:$BZ$1001,$A907,col_s4))&gt;0))+IF(col_s5=0,0,--(LEN(INDEX('Paste Export'!$A$2:$BZ$1001,$A907,col_s5))&gt;0))+IF(col_s6=0,0,--(LEN(INDEX('Paste Export'!$A$2:$BZ$1001,$A907,col_s6))&gt;0))+IF(col_s7=0,0,--(LEN(INDEX('Paste Export'!$A$2:$BZ$1001,$A907,col_s7))&gt;0))+IF(col_s8=0,0,--(LEN(INDEX('Paste Export'!$A$2:$BZ$1001,$A907,col_s8))&gt;0)))</f>
        <v/>
      </c>
      <c r="I907" s="25" t="str">
        <f t="shared" si="101"/>
        <v/>
      </c>
      <c r="J907" s="25" t="str">
        <f t="shared" si="102"/>
        <v/>
      </c>
      <c r="K907" s="24" t="str">
        <f t="shared" si="103"/>
        <v/>
      </c>
      <c r="L907" s="24" t="str">
        <f t="shared" si="104"/>
        <v/>
      </c>
    </row>
    <row r="908" spans="1:12" x14ac:dyDescent="0.25">
      <c r="A908" s="24">
        <f t="shared" si="98"/>
        <v>907</v>
      </c>
      <c r="B908" s="25" t="str">
        <f>IF($A908&gt;nrows,"",IF(col_user=0,"",INDEX('Paste Export'!$A$2:$BZ$1001,$A908,col_user)))</f>
        <v/>
      </c>
      <c r="C908" s="24" t="str">
        <f>IF($A908&gt;nrows,"",IF(col_days=0,0,N(INDEX('Paste Export'!$A$2:$BZ$1001,$A908,col_days))))</f>
        <v/>
      </c>
      <c r="D908" s="24" t="str">
        <f>IF($A908&gt;nrows,"",IF(col_prompts=0,0,N(INDEX('Paste Export'!$A$2:$BZ$1001,$A908,col_prompts))))</f>
        <v/>
      </c>
      <c r="E908" s="24" t="str">
        <f>IF($A908&gt;nrows,"",IF(col_web=0,0,N(INDEX('Paste Export'!$A$2:$BZ$1001,$A908,col_web))))</f>
        <v/>
      </c>
      <c r="F908" s="26" t="str">
        <f t="shared" si="99"/>
        <v/>
      </c>
      <c r="G908" s="27" t="str">
        <f t="shared" si="100"/>
        <v/>
      </c>
      <c r="H908" s="24" t="str">
        <f>IF($A908&gt;nrows,"",IF(col_s1=0,0,--(LEN(INDEX('Paste Export'!$A$2:$BZ$1001,$A908,col_s1))&gt;0))+IF(col_s2=0,0,--(LEN(INDEX('Paste Export'!$A$2:$BZ$1001,$A908,col_s2))&gt;0))+IF(col_s3=0,0,--(LEN(INDEX('Paste Export'!$A$2:$BZ$1001,$A908,col_s3))&gt;0))+IF(col_s4=0,0,--(LEN(INDEX('Paste Export'!$A$2:$BZ$1001,$A908,col_s4))&gt;0))+IF(col_s5=0,0,--(LEN(INDEX('Paste Export'!$A$2:$BZ$1001,$A908,col_s5))&gt;0))+IF(col_s6=0,0,--(LEN(INDEX('Paste Export'!$A$2:$BZ$1001,$A908,col_s6))&gt;0))+IF(col_s7=0,0,--(LEN(INDEX('Paste Export'!$A$2:$BZ$1001,$A908,col_s7))&gt;0))+IF(col_s8=0,0,--(LEN(INDEX('Paste Export'!$A$2:$BZ$1001,$A908,col_s8))&gt;0)))</f>
        <v/>
      </c>
      <c r="I908" s="25" t="str">
        <f t="shared" si="101"/>
        <v/>
      </c>
      <c r="J908" s="25" t="str">
        <f t="shared" si="102"/>
        <v/>
      </c>
      <c r="K908" s="24" t="str">
        <f t="shared" si="103"/>
        <v/>
      </c>
      <c r="L908" s="24" t="str">
        <f t="shared" si="104"/>
        <v/>
      </c>
    </row>
    <row r="909" spans="1:12" x14ac:dyDescent="0.25">
      <c r="A909" s="24">
        <f t="shared" si="98"/>
        <v>908</v>
      </c>
      <c r="B909" s="25" t="str">
        <f>IF($A909&gt;nrows,"",IF(col_user=0,"",INDEX('Paste Export'!$A$2:$BZ$1001,$A909,col_user)))</f>
        <v/>
      </c>
      <c r="C909" s="24" t="str">
        <f>IF($A909&gt;nrows,"",IF(col_days=0,0,N(INDEX('Paste Export'!$A$2:$BZ$1001,$A909,col_days))))</f>
        <v/>
      </c>
      <c r="D909" s="24" t="str">
        <f>IF($A909&gt;nrows,"",IF(col_prompts=0,0,N(INDEX('Paste Export'!$A$2:$BZ$1001,$A909,col_prompts))))</f>
        <v/>
      </c>
      <c r="E909" s="24" t="str">
        <f>IF($A909&gt;nrows,"",IF(col_web=0,0,N(INDEX('Paste Export'!$A$2:$BZ$1001,$A909,col_web))))</f>
        <v/>
      </c>
      <c r="F909" s="26" t="str">
        <f t="shared" si="99"/>
        <v/>
      </c>
      <c r="G909" s="27" t="str">
        <f t="shared" si="100"/>
        <v/>
      </c>
      <c r="H909" s="24" t="str">
        <f>IF($A909&gt;nrows,"",IF(col_s1=0,0,--(LEN(INDEX('Paste Export'!$A$2:$BZ$1001,$A909,col_s1))&gt;0))+IF(col_s2=0,0,--(LEN(INDEX('Paste Export'!$A$2:$BZ$1001,$A909,col_s2))&gt;0))+IF(col_s3=0,0,--(LEN(INDEX('Paste Export'!$A$2:$BZ$1001,$A909,col_s3))&gt;0))+IF(col_s4=0,0,--(LEN(INDEX('Paste Export'!$A$2:$BZ$1001,$A909,col_s4))&gt;0))+IF(col_s5=0,0,--(LEN(INDEX('Paste Export'!$A$2:$BZ$1001,$A909,col_s5))&gt;0))+IF(col_s6=0,0,--(LEN(INDEX('Paste Export'!$A$2:$BZ$1001,$A909,col_s6))&gt;0))+IF(col_s7=0,0,--(LEN(INDEX('Paste Export'!$A$2:$BZ$1001,$A909,col_s7))&gt;0))+IF(col_s8=0,0,--(LEN(INDEX('Paste Export'!$A$2:$BZ$1001,$A909,col_s8))&gt;0)))</f>
        <v/>
      </c>
      <c r="I909" s="25" t="str">
        <f t="shared" si="101"/>
        <v/>
      </c>
      <c r="J909" s="25" t="str">
        <f t="shared" si="102"/>
        <v/>
      </c>
      <c r="K909" s="24" t="str">
        <f t="shared" si="103"/>
        <v/>
      </c>
      <c r="L909" s="24" t="str">
        <f t="shared" si="104"/>
        <v/>
      </c>
    </row>
    <row r="910" spans="1:12" x14ac:dyDescent="0.25">
      <c r="A910" s="24">
        <f t="shared" si="98"/>
        <v>909</v>
      </c>
      <c r="B910" s="25" t="str">
        <f>IF($A910&gt;nrows,"",IF(col_user=0,"",INDEX('Paste Export'!$A$2:$BZ$1001,$A910,col_user)))</f>
        <v/>
      </c>
      <c r="C910" s="24" t="str">
        <f>IF($A910&gt;nrows,"",IF(col_days=0,0,N(INDEX('Paste Export'!$A$2:$BZ$1001,$A910,col_days))))</f>
        <v/>
      </c>
      <c r="D910" s="24" t="str">
        <f>IF($A910&gt;nrows,"",IF(col_prompts=0,0,N(INDEX('Paste Export'!$A$2:$BZ$1001,$A910,col_prompts))))</f>
        <v/>
      </c>
      <c r="E910" s="24" t="str">
        <f>IF($A910&gt;nrows,"",IF(col_web=0,0,N(INDEX('Paste Export'!$A$2:$BZ$1001,$A910,col_web))))</f>
        <v/>
      </c>
      <c r="F910" s="26" t="str">
        <f t="shared" si="99"/>
        <v/>
      </c>
      <c r="G910" s="27" t="str">
        <f t="shared" si="100"/>
        <v/>
      </c>
      <c r="H910" s="24" t="str">
        <f>IF($A910&gt;nrows,"",IF(col_s1=0,0,--(LEN(INDEX('Paste Export'!$A$2:$BZ$1001,$A910,col_s1))&gt;0))+IF(col_s2=0,0,--(LEN(INDEX('Paste Export'!$A$2:$BZ$1001,$A910,col_s2))&gt;0))+IF(col_s3=0,0,--(LEN(INDEX('Paste Export'!$A$2:$BZ$1001,$A910,col_s3))&gt;0))+IF(col_s4=0,0,--(LEN(INDEX('Paste Export'!$A$2:$BZ$1001,$A910,col_s4))&gt;0))+IF(col_s5=0,0,--(LEN(INDEX('Paste Export'!$A$2:$BZ$1001,$A910,col_s5))&gt;0))+IF(col_s6=0,0,--(LEN(INDEX('Paste Export'!$A$2:$BZ$1001,$A910,col_s6))&gt;0))+IF(col_s7=0,0,--(LEN(INDEX('Paste Export'!$A$2:$BZ$1001,$A910,col_s7))&gt;0))+IF(col_s8=0,0,--(LEN(INDEX('Paste Export'!$A$2:$BZ$1001,$A910,col_s8))&gt;0)))</f>
        <v/>
      </c>
      <c r="I910" s="25" t="str">
        <f t="shared" si="101"/>
        <v/>
      </c>
      <c r="J910" s="25" t="str">
        <f t="shared" si="102"/>
        <v/>
      </c>
      <c r="K910" s="24" t="str">
        <f t="shared" si="103"/>
        <v/>
      </c>
      <c r="L910" s="24" t="str">
        <f t="shared" si="104"/>
        <v/>
      </c>
    </row>
    <row r="911" spans="1:12" x14ac:dyDescent="0.25">
      <c r="A911" s="24">
        <f t="shared" si="98"/>
        <v>910</v>
      </c>
      <c r="B911" s="25" t="str">
        <f>IF($A911&gt;nrows,"",IF(col_user=0,"",INDEX('Paste Export'!$A$2:$BZ$1001,$A911,col_user)))</f>
        <v/>
      </c>
      <c r="C911" s="24" t="str">
        <f>IF($A911&gt;nrows,"",IF(col_days=0,0,N(INDEX('Paste Export'!$A$2:$BZ$1001,$A911,col_days))))</f>
        <v/>
      </c>
      <c r="D911" s="24" t="str">
        <f>IF($A911&gt;nrows,"",IF(col_prompts=0,0,N(INDEX('Paste Export'!$A$2:$BZ$1001,$A911,col_prompts))))</f>
        <v/>
      </c>
      <c r="E911" s="24" t="str">
        <f>IF($A911&gt;nrows,"",IF(col_web=0,0,N(INDEX('Paste Export'!$A$2:$BZ$1001,$A911,col_web))))</f>
        <v/>
      </c>
      <c r="F911" s="26" t="str">
        <f t="shared" si="99"/>
        <v/>
      </c>
      <c r="G911" s="27" t="str">
        <f t="shared" si="100"/>
        <v/>
      </c>
      <c r="H911" s="24" t="str">
        <f>IF($A911&gt;nrows,"",IF(col_s1=0,0,--(LEN(INDEX('Paste Export'!$A$2:$BZ$1001,$A911,col_s1))&gt;0))+IF(col_s2=0,0,--(LEN(INDEX('Paste Export'!$A$2:$BZ$1001,$A911,col_s2))&gt;0))+IF(col_s3=0,0,--(LEN(INDEX('Paste Export'!$A$2:$BZ$1001,$A911,col_s3))&gt;0))+IF(col_s4=0,0,--(LEN(INDEX('Paste Export'!$A$2:$BZ$1001,$A911,col_s4))&gt;0))+IF(col_s5=0,0,--(LEN(INDEX('Paste Export'!$A$2:$BZ$1001,$A911,col_s5))&gt;0))+IF(col_s6=0,0,--(LEN(INDEX('Paste Export'!$A$2:$BZ$1001,$A911,col_s6))&gt;0))+IF(col_s7=0,0,--(LEN(INDEX('Paste Export'!$A$2:$BZ$1001,$A911,col_s7))&gt;0))+IF(col_s8=0,0,--(LEN(INDEX('Paste Export'!$A$2:$BZ$1001,$A911,col_s8))&gt;0)))</f>
        <v/>
      </c>
      <c r="I911" s="25" t="str">
        <f t="shared" si="101"/>
        <v/>
      </c>
      <c r="J911" s="25" t="str">
        <f t="shared" si="102"/>
        <v/>
      </c>
      <c r="K911" s="24" t="str">
        <f t="shared" si="103"/>
        <v/>
      </c>
      <c r="L911" s="24" t="str">
        <f t="shared" si="104"/>
        <v/>
      </c>
    </row>
    <row r="912" spans="1:12" x14ac:dyDescent="0.25">
      <c r="A912" s="24">
        <f t="shared" si="98"/>
        <v>911</v>
      </c>
      <c r="B912" s="25" t="str">
        <f>IF($A912&gt;nrows,"",IF(col_user=0,"",INDEX('Paste Export'!$A$2:$BZ$1001,$A912,col_user)))</f>
        <v/>
      </c>
      <c r="C912" s="24" t="str">
        <f>IF($A912&gt;nrows,"",IF(col_days=0,0,N(INDEX('Paste Export'!$A$2:$BZ$1001,$A912,col_days))))</f>
        <v/>
      </c>
      <c r="D912" s="24" t="str">
        <f>IF($A912&gt;nrows,"",IF(col_prompts=0,0,N(INDEX('Paste Export'!$A$2:$BZ$1001,$A912,col_prompts))))</f>
        <v/>
      </c>
      <c r="E912" s="24" t="str">
        <f>IF($A912&gt;nrows,"",IF(col_web=0,0,N(INDEX('Paste Export'!$A$2:$BZ$1001,$A912,col_web))))</f>
        <v/>
      </c>
      <c r="F912" s="26" t="str">
        <f t="shared" si="99"/>
        <v/>
      </c>
      <c r="G912" s="27" t="str">
        <f t="shared" si="100"/>
        <v/>
      </c>
      <c r="H912" s="24" t="str">
        <f>IF($A912&gt;nrows,"",IF(col_s1=0,0,--(LEN(INDEX('Paste Export'!$A$2:$BZ$1001,$A912,col_s1))&gt;0))+IF(col_s2=0,0,--(LEN(INDEX('Paste Export'!$A$2:$BZ$1001,$A912,col_s2))&gt;0))+IF(col_s3=0,0,--(LEN(INDEX('Paste Export'!$A$2:$BZ$1001,$A912,col_s3))&gt;0))+IF(col_s4=0,0,--(LEN(INDEX('Paste Export'!$A$2:$BZ$1001,$A912,col_s4))&gt;0))+IF(col_s5=0,0,--(LEN(INDEX('Paste Export'!$A$2:$BZ$1001,$A912,col_s5))&gt;0))+IF(col_s6=0,0,--(LEN(INDEX('Paste Export'!$A$2:$BZ$1001,$A912,col_s6))&gt;0))+IF(col_s7=0,0,--(LEN(INDEX('Paste Export'!$A$2:$BZ$1001,$A912,col_s7))&gt;0))+IF(col_s8=0,0,--(LEN(INDEX('Paste Export'!$A$2:$BZ$1001,$A912,col_s8))&gt;0)))</f>
        <v/>
      </c>
      <c r="I912" s="25" t="str">
        <f t="shared" si="101"/>
        <v/>
      </c>
      <c r="J912" s="25" t="str">
        <f t="shared" si="102"/>
        <v/>
      </c>
      <c r="K912" s="24" t="str">
        <f t="shared" si="103"/>
        <v/>
      </c>
      <c r="L912" s="24" t="str">
        <f t="shared" si="104"/>
        <v/>
      </c>
    </row>
    <row r="913" spans="1:12" x14ac:dyDescent="0.25">
      <c r="A913" s="24">
        <f t="shared" si="98"/>
        <v>912</v>
      </c>
      <c r="B913" s="25" t="str">
        <f>IF($A913&gt;nrows,"",IF(col_user=0,"",INDEX('Paste Export'!$A$2:$BZ$1001,$A913,col_user)))</f>
        <v/>
      </c>
      <c r="C913" s="24" t="str">
        <f>IF($A913&gt;nrows,"",IF(col_days=0,0,N(INDEX('Paste Export'!$A$2:$BZ$1001,$A913,col_days))))</f>
        <v/>
      </c>
      <c r="D913" s="24" t="str">
        <f>IF($A913&gt;nrows,"",IF(col_prompts=0,0,N(INDEX('Paste Export'!$A$2:$BZ$1001,$A913,col_prompts))))</f>
        <v/>
      </c>
      <c r="E913" s="24" t="str">
        <f>IF($A913&gt;nrows,"",IF(col_web=0,0,N(INDEX('Paste Export'!$A$2:$BZ$1001,$A913,col_web))))</f>
        <v/>
      </c>
      <c r="F913" s="26" t="str">
        <f t="shared" si="99"/>
        <v/>
      </c>
      <c r="G913" s="27" t="str">
        <f t="shared" si="100"/>
        <v/>
      </c>
      <c r="H913" s="24" t="str">
        <f>IF($A913&gt;nrows,"",IF(col_s1=0,0,--(LEN(INDEX('Paste Export'!$A$2:$BZ$1001,$A913,col_s1))&gt;0))+IF(col_s2=0,0,--(LEN(INDEX('Paste Export'!$A$2:$BZ$1001,$A913,col_s2))&gt;0))+IF(col_s3=0,0,--(LEN(INDEX('Paste Export'!$A$2:$BZ$1001,$A913,col_s3))&gt;0))+IF(col_s4=0,0,--(LEN(INDEX('Paste Export'!$A$2:$BZ$1001,$A913,col_s4))&gt;0))+IF(col_s5=0,0,--(LEN(INDEX('Paste Export'!$A$2:$BZ$1001,$A913,col_s5))&gt;0))+IF(col_s6=0,0,--(LEN(INDEX('Paste Export'!$A$2:$BZ$1001,$A913,col_s6))&gt;0))+IF(col_s7=0,0,--(LEN(INDEX('Paste Export'!$A$2:$BZ$1001,$A913,col_s7))&gt;0))+IF(col_s8=0,0,--(LEN(INDEX('Paste Export'!$A$2:$BZ$1001,$A913,col_s8))&gt;0)))</f>
        <v/>
      </c>
      <c r="I913" s="25" t="str">
        <f t="shared" si="101"/>
        <v/>
      </c>
      <c r="J913" s="25" t="str">
        <f t="shared" si="102"/>
        <v/>
      </c>
      <c r="K913" s="24" t="str">
        <f t="shared" si="103"/>
        <v/>
      </c>
      <c r="L913" s="24" t="str">
        <f t="shared" si="104"/>
        <v/>
      </c>
    </row>
    <row r="914" spans="1:12" x14ac:dyDescent="0.25">
      <c r="A914" s="24">
        <f t="shared" si="98"/>
        <v>913</v>
      </c>
      <c r="B914" s="25" t="str">
        <f>IF($A914&gt;nrows,"",IF(col_user=0,"",INDEX('Paste Export'!$A$2:$BZ$1001,$A914,col_user)))</f>
        <v/>
      </c>
      <c r="C914" s="24" t="str">
        <f>IF($A914&gt;nrows,"",IF(col_days=0,0,N(INDEX('Paste Export'!$A$2:$BZ$1001,$A914,col_days))))</f>
        <v/>
      </c>
      <c r="D914" s="24" t="str">
        <f>IF($A914&gt;nrows,"",IF(col_prompts=0,0,N(INDEX('Paste Export'!$A$2:$BZ$1001,$A914,col_prompts))))</f>
        <v/>
      </c>
      <c r="E914" s="24" t="str">
        <f>IF($A914&gt;nrows,"",IF(col_web=0,0,N(INDEX('Paste Export'!$A$2:$BZ$1001,$A914,col_web))))</f>
        <v/>
      </c>
      <c r="F914" s="26" t="str">
        <f t="shared" si="99"/>
        <v/>
      </c>
      <c r="G914" s="27" t="str">
        <f t="shared" si="100"/>
        <v/>
      </c>
      <c r="H914" s="24" t="str">
        <f>IF($A914&gt;nrows,"",IF(col_s1=0,0,--(LEN(INDEX('Paste Export'!$A$2:$BZ$1001,$A914,col_s1))&gt;0))+IF(col_s2=0,0,--(LEN(INDEX('Paste Export'!$A$2:$BZ$1001,$A914,col_s2))&gt;0))+IF(col_s3=0,0,--(LEN(INDEX('Paste Export'!$A$2:$BZ$1001,$A914,col_s3))&gt;0))+IF(col_s4=0,0,--(LEN(INDEX('Paste Export'!$A$2:$BZ$1001,$A914,col_s4))&gt;0))+IF(col_s5=0,0,--(LEN(INDEX('Paste Export'!$A$2:$BZ$1001,$A914,col_s5))&gt;0))+IF(col_s6=0,0,--(LEN(INDEX('Paste Export'!$A$2:$BZ$1001,$A914,col_s6))&gt;0))+IF(col_s7=0,0,--(LEN(INDEX('Paste Export'!$A$2:$BZ$1001,$A914,col_s7))&gt;0))+IF(col_s8=0,0,--(LEN(INDEX('Paste Export'!$A$2:$BZ$1001,$A914,col_s8))&gt;0)))</f>
        <v/>
      </c>
      <c r="I914" s="25" t="str">
        <f t="shared" si="101"/>
        <v/>
      </c>
      <c r="J914" s="25" t="str">
        <f t="shared" si="102"/>
        <v/>
      </c>
      <c r="K914" s="24" t="str">
        <f t="shared" si="103"/>
        <v/>
      </c>
      <c r="L914" s="24" t="str">
        <f t="shared" si="104"/>
        <v/>
      </c>
    </row>
    <row r="915" spans="1:12" x14ac:dyDescent="0.25">
      <c r="A915" s="24">
        <f t="shared" si="98"/>
        <v>914</v>
      </c>
      <c r="B915" s="25" t="str">
        <f>IF($A915&gt;nrows,"",IF(col_user=0,"",INDEX('Paste Export'!$A$2:$BZ$1001,$A915,col_user)))</f>
        <v/>
      </c>
      <c r="C915" s="24" t="str">
        <f>IF($A915&gt;nrows,"",IF(col_days=0,0,N(INDEX('Paste Export'!$A$2:$BZ$1001,$A915,col_days))))</f>
        <v/>
      </c>
      <c r="D915" s="24" t="str">
        <f>IF($A915&gt;nrows,"",IF(col_prompts=0,0,N(INDEX('Paste Export'!$A$2:$BZ$1001,$A915,col_prompts))))</f>
        <v/>
      </c>
      <c r="E915" s="24" t="str">
        <f>IF($A915&gt;nrows,"",IF(col_web=0,0,N(INDEX('Paste Export'!$A$2:$BZ$1001,$A915,col_web))))</f>
        <v/>
      </c>
      <c r="F915" s="26" t="str">
        <f t="shared" si="99"/>
        <v/>
      </c>
      <c r="G915" s="27" t="str">
        <f t="shared" si="100"/>
        <v/>
      </c>
      <c r="H915" s="24" t="str">
        <f>IF($A915&gt;nrows,"",IF(col_s1=0,0,--(LEN(INDEX('Paste Export'!$A$2:$BZ$1001,$A915,col_s1))&gt;0))+IF(col_s2=0,0,--(LEN(INDEX('Paste Export'!$A$2:$BZ$1001,$A915,col_s2))&gt;0))+IF(col_s3=0,0,--(LEN(INDEX('Paste Export'!$A$2:$BZ$1001,$A915,col_s3))&gt;0))+IF(col_s4=0,0,--(LEN(INDEX('Paste Export'!$A$2:$BZ$1001,$A915,col_s4))&gt;0))+IF(col_s5=0,0,--(LEN(INDEX('Paste Export'!$A$2:$BZ$1001,$A915,col_s5))&gt;0))+IF(col_s6=0,0,--(LEN(INDEX('Paste Export'!$A$2:$BZ$1001,$A915,col_s6))&gt;0))+IF(col_s7=0,0,--(LEN(INDEX('Paste Export'!$A$2:$BZ$1001,$A915,col_s7))&gt;0))+IF(col_s8=0,0,--(LEN(INDEX('Paste Export'!$A$2:$BZ$1001,$A915,col_s8))&gt;0)))</f>
        <v/>
      </c>
      <c r="I915" s="25" t="str">
        <f t="shared" si="101"/>
        <v/>
      </c>
      <c r="J915" s="25" t="str">
        <f t="shared" si="102"/>
        <v/>
      </c>
      <c r="K915" s="24" t="str">
        <f t="shared" si="103"/>
        <v/>
      </c>
      <c r="L915" s="24" t="str">
        <f t="shared" si="104"/>
        <v/>
      </c>
    </row>
    <row r="916" spans="1:12" x14ac:dyDescent="0.25">
      <c r="A916" s="24">
        <f t="shared" si="98"/>
        <v>915</v>
      </c>
      <c r="B916" s="25" t="str">
        <f>IF($A916&gt;nrows,"",IF(col_user=0,"",INDEX('Paste Export'!$A$2:$BZ$1001,$A916,col_user)))</f>
        <v/>
      </c>
      <c r="C916" s="24" t="str">
        <f>IF($A916&gt;nrows,"",IF(col_days=0,0,N(INDEX('Paste Export'!$A$2:$BZ$1001,$A916,col_days))))</f>
        <v/>
      </c>
      <c r="D916" s="24" t="str">
        <f>IF($A916&gt;nrows,"",IF(col_prompts=0,0,N(INDEX('Paste Export'!$A$2:$BZ$1001,$A916,col_prompts))))</f>
        <v/>
      </c>
      <c r="E916" s="24" t="str">
        <f>IF($A916&gt;nrows,"",IF(col_web=0,0,N(INDEX('Paste Export'!$A$2:$BZ$1001,$A916,col_web))))</f>
        <v/>
      </c>
      <c r="F916" s="26" t="str">
        <f t="shared" si="99"/>
        <v/>
      </c>
      <c r="G916" s="27" t="str">
        <f t="shared" si="100"/>
        <v/>
      </c>
      <c r="H916" s="24" t="str">
        <f>IF($A916&gt;nrows,"",IF(col_s1=0,0,--(LEN(INDEX('Paste Export'!$A$2:$BZ$1001,$A916,col_s1))&gt;0))+IF(col_s2=0,0,--(LEN(INDEX('Paste Export'!$A$2:$BZ$1001,$A916,col_s2))&gt;0))+IF(col_s3=0,0,--(LEN(INDEX('Paste Export'!$A$2:$BZ$1001,$A916,col_s3))&gt;0))+IF(col_s4=0,0,--(LEN(INDEX('Paste Export'!$A$2:$BZ$1001,$A916,col_s4))&gt;0))+IF(col_s5=0,0,--(LEN(INDEX('Paste Export'!$A$2:$BZ$1001,$A916,col_s5))&gt;0))+IF(col_s6=0,0,--(LEN(INDEX('Paste Export'!$A$2:$BZ$1001,$A916,col_s6))&gt;0))+IF(col_s7=0,0,--(LEN(INDEX('Paste Export'!$A$2:$BZ$1001,$A916,col_s7))&gt;0))+IF(col_s8=0,0,--(LEN(INDEX('Paste Export'!$A$2:$BZ$1001,$A916,col_s8))&gt;0)))</f>
        <v/>
      </c>
      <c r="I916" s="25" t="str">
        <f t="shared" si="101"/>
        <v/>
      </c>
      <c r="J916" s="25" t="str">
        <f t="shared" si="102"/>
        <v/>
      </c>
      <c r="K916" s="24" t="str">
        <f t="shared" si="103"/>
        <v/>
      </c>
      <c r="L916" s="24" t="str">
        <f t="shared" si="104"/>
        <v/>
      </c>
    </row>
    <row r="917" spans="1:12" x14ac:dyDescent="0.25">
      <c r="A917" s="24">
        <f t="shared" si="98"/>
        <v>916</v>
      </c>
      <c r="B917" s="25" t="str">
        <f>IF($A917&gt;nrows,"",IF(col_user=0,"",INDEX('Paste Export'!$A$2:$BZ$1001,$A917,col_user)))</f>
        <v/>
      </c>
      <c r="C917" s="24" t="str">
        <f>IF($A917&gt;nrows,"",IF(col_days=0,0,N(INDEX('Paste Export'!$A$2:$BZ$1001,$A917,col_days))))</f>
        <v/>
      </c>
      <c r="D917" s="24" t="str">
        <f>IF($A917&gt;nrows,"",IF(col_prompts=0,0,N(INDEX('Paste Export'!$A$2:$BZ$1001,$A917,col_prompts))))</f>
        <v/>
      </c>
      <c r="E917" s="24" t="str">
        <f>IF($A917&gt;nrows,"",IF(col_web=0,0,N(INDEX('Paste Export'!$A$2:$BZ$1001,$A917,col_web))))</f>
        <v/>
      </c>
      <c r="F917" s="26" t="str">
        <f t="shared" si="99"/>
        <v/>
      </c>
      <c r="G917" s="27" t="str">
        <f t="shared" si="100"/>
        <v/>
      </c>
      <c r="H917" s="24" t="str">
        <f>IF($A917&gt;nrows,"",IF(col_s1=0,0,--(LEN(INDEX('Paste Export'!$A$2:$BZ$1001,$A917,col_s1))&gt;0))+IF(col_s2=0,0,--(LEN(INDEX('Paste Export'!$A$2:$BZ$1001,$A917,col_s2))&gt;0))+IF(col_s3=0,0,--(LEN(INDEX('Paste Export'!$A$2:$BZ$1001,$A917,col_s3))&gt;0))+IF(col_s4=0,0,--(LEN(INDEX('Paste Export'!$A$2:$BZ$1001,$A917,col_s4))&gt;0))+IF(col_s5=0,0,--(LEN(INDEX('Paste Export'!$A$2:$BZ$1001,$A917,col_s5))&gt;0))+IF(col_s6=0,0,--(LEN(INDEX('Paste Export'!$A$2:$BZ$1001,$A917,col_s6))&gt;0))+IF(col_s7=0,0,--(LEN(INDEX('Paste Export'!$A$2:$BZ$1001,$A917,col_s7))&gt;0))+IF(col_s8=0,0,--(LEN(INDEX('Paste Export'!$A$2:$BZ$1001,$A917,col_s8))&gt;0)))</f>
        <v/>
      </c>
      <c r="I917" s="25" t="str">
        <f t="shared" si="101"/>
        <v/>
      </c>
      <c r="J917" s="25" t="str">
        <f t="shared" si="102"/>
        <v/>
      </c>
      <c r="K917" s="24" t="str">
        <f t="shared" si="103"/>
        <v/>
      </c>
      <c r="L917" s="24" t="str">
        <f t="shared" si="104"/>
        <v/>
      </c>
    </row>
    <row r="918" spans="1:12" x14ac:dyDescent="0.25">
      <c r="A918" s="24">
        <f t="shared" si="98"/>
        <v>917</v>
      </c>
      <c r="B918" s="25" t="str">
        <f>IF($A918&gt;nrows,"",IF(col_user=0,"",INDEX('Paste Export'!$A$2:$BZ$1001,$A918,col_user)))</f>
        <v/>
      </c>
      <c r="C918" s="24" t="str">
        <f>IF($A918&gt;nrows,"",IF(col_days=0,0,N(INDEX('Paste Export'!$A$2:$BZ$1001,$A918,col_days))))</f>
        <v/>
      </c>
      <c r="D918" s="24" t="str">
        <f>IF($A918&gt;nrows,"",IF(col_prompts=0,0,N(INDEX('Paste Export'!$A$2:$BZ$1001,$A918,col_prompts))))</f>
        <v/>
      </c>
      <c r="E918" s="24" t="str">
        <f>IF($A918&gt;nrows,"",IF(col_web=0,0,N(INDEX('Paste Export'!$A$2:$BZ$1001,$A918,col_web))))</f>
        <v/>
      </c>
      <c r="F918" s="26" t="str">
        <f t="shared" si="99"/>
        <v/>
      </c>
      <c r="G918" s="27" t="str">
        <f t="shared" si="100"/>
        <v/>
      </c>
      <c r="H918" s="24" t="str">
        <f>IF($A918&gt;nrows,"",IF(col_s1=0,0,--(LEN(INDEX('Paste Export'!$A$2:$BZ$1001,$A918,col_s1))&gt;0))+IF(col_s2=0,0,--(LEN(INDEX('Paste Export'!$A$2:$BZ$1001,$A918,col_s2))&gt;0))+IF(col_s3=0,0,--(LEN(INDEX('Paste Export'!$A$2:$BZ$1001,$A918,col_s3))&gt;0))+IF(col_s4=0,0,--(LEN(INDEX('Paste Export'!$A$2:$BZ$1001,$A918,col_s4))&gt;0))+IF(col_s5=0,0,--(LEN(INDEX('Paste Export'!$A$2:$BZ$1001,$A918,col_s5))&gt;0))+IF(col_s6=0,0,--(LEN(INDEX('Paste Export'!$A$2:$BZ$1001,$A918,col_s6))&gt;0))+IF(col_s7=0,0,--(LEN(INDEX('Paste Export'!$A$2:$BZ$1001,$A918,col_s7))&gt;0))+IF(col_s8=0,0,--(LEN(INDEX('Paste Export'!$A$2:$BZ$1001,$A918,col_s8))&gt;0)))</f>
        <v/>
      </c>
      <c r="I918" s="25" t="str">
        <f t="shared" si="101"/>
        <v/>
      </c>
      <c r="J918" s="25" t="str">
        <f t="shared" si="102"/>
        <v/>
      </c>
      <c r="K918" s="24" t="str">
        <f t="shared" si="103"/>
        <v/>
      </c>
      <c r="L918" s="24" t="str">
        <f t="shared" si="104"/>
        <v/>
      </c>
    </row>
    <row r="919" spans="1:12" x14ac:dyDescent="0.25">
      <c r="A919" s="24">
        <f t="shared" si="98"/>
        <v>918</v>
      </c>
      <c r="B919" s="25" t="str">
        <f>IF($A919&gt;nrows,"",IF(col_user=0,"",INDEX('Paste Export'!$A$2:$BZ$1001,$A919,col_user)))</f>
        <v/>
      </c>
      <c r="C919" s="24" t="str">
        <f>IF($A919&gt;nrows,"",IF(col_days=0,0,N(INDEX('Paste Export'!$A$2:$BZ$1001,$A919,col_days))))</f>
        <v/>
      </c>
      <c r="D919" s="24" t="str">
        <f>IF($A919&gt;nrows,"",IF(col_prompts=0,0,N(INDEX('Paste Export'!$A$2:$BZ$1001,$A919,col_prompts))))</f>
        <v/>
      </c>
      <c r="E919" s="24" t="str">
        <f>IF($A919&gt;nrows,"",IF(col_web=0,0,N(INDEX('Paste Export'!$A$2:$BZ$1001,$A919,col_web))))</f>
        <v/>
      </c>
      <c r="F919" s="26" t="str">
        <f t="shared" si="99"/>
        <v/>
      </c>
      <c r="G919" s="27" t="str">
        <f t="shared" si="100"/>
        <v/>
      </c>
      <c r="H919" s="24" t="str">
        <f>IF($A919&gt;nrows,"",IF(col_s1=0,0,--(LEN(INDEX('Paste Export'!$A$2:$BZ$1001,$A919,col_s1))&gt;0))+IF(col_s2=0,0,--(LEN(INDEX('Paste Export'!$A$2:$BZ$1001,$A919,col_s2))&gt;0))+IF(col_s3=0,0,--(LEN(INDEX('Paste Export'!$A$2:$BZ$1001,$A919,col_s3))&gt;0))+IF(col_s4=0,0,--(LEN(INDEX('Paste Export'!$A$2:$BZ$1001,$A919,col_s4))&gt;0))+IF(col_s5=0,0,--(LEN(INDEX('Paste Export'!$A$2:$BZ$1001,$A919,col_s5))&gt;0))+IF(col_s6=0,0,--(LEN(INDEX('Paste Export'!$A$2:$BZ$1001,$A919,col_s6))&gt;0))+IF(col_s7=0,0,--(LEN(INDEX('Paste Export'!$A$2:$BZ$1001,$A919,col_s7))&gt;0))+IF(col_s8=0,0,--(LEN(INDEX('Paste Export'!$A$2:$BZ$1001,$A919,col_s8))&gt;0)))</f>
        <v/>
      </c>
      <c r="I919" s="25" t="str">
        <f t="shared" si="101"/>
        <v/>
      </c>
      <c r="J919" s="25" t="str">
        <f t="shared" si="102"/>
        <v/>
      </c>
      <c r="K919" s="24" t="str">
        <f t="shared" si="103"/>
        <v/>
      </c>
      <c r="L919" s="24" t="str">
        <f t="shared" si="104"/>
        <v/>
      </c>
    </row>
    <row r="920" spans="1:12" x14ac:dyDescent="0.25">
      <c r="A920" s="24">
        <f t="shared" si="98"/>
        <v>919</v>
      </c>
      <c r="B920" s="25" t="str">
        <f>IF($A920&gt;nrows,"",IF(col_user=0,"",INDEX('Paste Export'!$A$2:$BZ$1001,$A920,col_user)))</f>
        <v/>
      </c>
      <c r="C920" s="24" t="str">
        <f>IF($A920&gt;nrows,"",IF(col_days=0,0,N(INDEX('Paste Export'!$A$2:$BZ$1001,$A920,col_days))))</f>
        <v/>
      </c>
      <c r="D920" s="24" t="str">
        <f>IF($A920&gt;nrows,"",IF(col_prompts=0,0,N(INDEX('Paste Export'!$A$2:$BZ$1001,$A920,col_prompts))))</f>
        <v/>
      </c>
      <c r="E920" s="24" t="str">
        <f>IF($A920&gt;nrows,"",IF(col_web=0,0,N(INDEX('Paste Export'!$A$2:$BZ$1001,$A920,col_web))))</f>
        <v/>
      </c>
      <c r="F920" s="26" t="str">
        <f t="shared" si="99"/>
        <v/>
      </c>
      <c r="G920" s="27" t="str">
        <f t="shared" si="100"/>
        <v/>
      </c>
      <c r="H920" s="24" t="str">
        <f>IF($A920&gt;nrows,"",IF(col_s1=0,0,--(LEN(INDEX('Paste Export'!$A$2:$BZ$1001,$A920,col_s1))&gt;0))+IF(col_s2=0,0,--(LEN(INDEX('Paste Export'!$A$2:$BZ$1001,$A920,col_s2))&gt;0))+IF(col_s3=0,0,--(LEN(INDEX('Paste Export'!$A$2:$BZ$1001,$A920,col_s3))&gt;0))+IF(col_s4=0,0,--(LEN(INDEX('Paste Export'!$A$2:$BZ$1001,$A920,col_s4))&gt;0))+IF(col_s5=0,0,--(LEN(INDEX('Paste Export'!$A$2:$BZ$1001,$A920,col_s5))&gt;0))+IF(col_s6=0,0,--(LEN(INDEX('Paste Export'!$A$2:$BZ$1001,$A920,col_s6))&gt;0))+IF(col_s7=0,0,--(LEN(INDEX('Paste Export'!$A$2:$BZ$1001,$A920,col_s7))&gt;0))+IF(col_s8=0,0,--(LEN(INDEX('Paste Export'!$A$2:$BZ$1001,$A920,col_s8))&gt;0)))</f>
        <v/>
      </c>
      <c r="I920" s="25" t="str">
        <f t="shared" si="101"/>
        <v/>
      </c>
      <c r="J920" s="25" t="str">
        <f t="shared" si="102"/>
        <v/>
      </c>
      <c r="K920" s="24" t="str">
        <f t="shared" si="103"/>
        <v/>
      </c>
      <c r="L920" s="24" t="str">
        <f t="shared" si="104"/>
        <v/>
      </c>
    </row>
    <row r="921" spans="1:12" x14ac:dyDescent="0.25">
      <c r="A921" s="24">
        <f t="shared" si="98"/>
        <v>920</v>
      </c>
      <c r="B921" s="25" t="str">
        <f>IF($A921&gt;nrows,"",IF(col_user=0,"",INDEX('Paste Export'!$A$2:$BZ$1001,$A921,col_user)))</f>
        <v/>
      </c>
      <c r="C921" s="24" t="str">
        <f>IF($A921&gt;nrows,"",IF(col_days=0,0,N(INDEX('Paste Export'!$A$2:$BZ$1001,$A921,col_days))))</f>
        <v/>
      </c>
      <c r="D921" s="24" t="str">
        <f>IF($A921&gt;nrows,"",IF(col_prompts=0,0,N(INDEX('Paste Export'!$A$2:$BZ$1001,$A921,col_prompts))))</f>
        <v/>
      </c>
      <c r="E921" s="24" t="str">
        <f>IF($A921&gt;nrows,"",IF(col_web=0,0,N(INDEX('Paste Export'!$A$2:$BZ$1001,$A921,col_web))))</f>
        <v/>
      </c>
      <c r="F921" s="26" t="str">
        <f t="shared" si="99"/>
        <v/>
      </c>
      <c r="G921" s="27" t="str">
        <f t="shared" si="100"/>
        <v/>
      </c>
      <c r="H921" s="24" t="str">
        <f>IF($A921&gt;nrows,"",IF(col_s1=0,0,--(LEN(INDEX('Paste Export'!$A$2:$BZ$1001,$A921,col_s1))&gt;0))+IF(col_s2=0,0,--(LEN(INDEX('Paste Export'!$A$2:$BZ$1001,$A921,col_s2))&gt;0))+IF(col_s3=0,0,--(LEN(INDEX('Paste Export'!$A$2:$BZ$1001,$A921,col_s3))&gt;0))+IF(col_s4=0,0,--(LEN(INDEX('Paste Export'!$A$2:$BZ$1001,$A921,col_s4))&gt;0))+IF(col_s5=0,0,--(LEN(INDEX('Paste Export'!$A$2:$BZ$1001,$A921,col_s5))&gt;0))+IF(col_s6=0,0,--(LEN(INDEX('Paste Export'!$A$2:$BZ$1001,$A921,col_s6))&gt;0))+IF(col_s7=0,0,--(LEN(INDEX('Paste Export'!$A$2:$BZ$1001,$A921,col_s7))&gt;0))+IF(col_s8=0,0,--(LEN(INDEX('Paste Export'!$A$2:$BZ$1001,$A921,col_s8))&gt;0)))</f>
        <v/>
      </c>
      <c r="I921" s="25" t="str">
        <f t="shared" si="101"/>
        <v/>
      </c>
      <c r="J921" s="25" t="str">
        <f t="shared" si="102"/>
        <v/>
      </c>
      <c r="K921" s="24" t="str">
        <f t="shared" si="103"/>
        <v/>
      </c>
      <c r="L921" s="24" t="str">
        <f t="shared" si="104"/>
        <v/>
      </c>
    </row>
    <row r="922" spans="1:12" x14ac:dyDescent="0.25">
      <c r="A922" s="24">
        <f t="shared" si="98"/>
        <v>921</v>
      </c>
      <c r="B922" s="25" t="str">
        <f>IF($A922&gt;nrows,"",IF(col_user=0,"",INDEX('Paste Export'!$A$2:$BZ$1001,$A922,col_user)))</f>
        <v/>
      </c>
      <c r="C922" s="24" t="str">
        <f>IF($A922&gt;nrows,"",IF(col_days=0,0,N(INDEX('Paste Export'!$A$2:$BZ$1001,$A922,col_days))))</f>
        <v/>
      </c>
      <c r="D922" s="24" t="str">
        <f>IF($A922&gt;nrows,"",IF(col_prompts=0,0,N(INDEX('Paste Export'!$A$2:$BZ$1001,$A922,col_prompts))))</f>
        <v/>
      </c>
      <c r="E922" s="24" t="str">
        <f>IF($A922&gt;nrows,"",IF(col_web=0,0,N(INDEX('Paste Export'!$A$2:$BZ$1001,$A922,col_web))))</f>
        <v/>
      </c>
      <c r="F922" s="26" t="str">
        <f t="shared" si="99"/>
        <v/>
      </c>
      <c r="G922" s="27" t="str">
        <f t="shared" si="100"/>
        <v/>
      </c>
      <c r="H922" s="24" t="str">
        <f>IF($A922&gt;nrows,"",IF(col_s1=0,0,--(LEN(INDEX('Paste Export'!$A$2:$BZ$1001,$A922,col_s1))&gt;0))+IF(col_s2=0,0,--(LEN(INDEX('Paste Export'!$A$2:$BZ$1001,$A922,col_s2))&gt;0))+IF(col_s3=0,0,--(LEN(INDEX('Paste Export'!$A$2:$BZ$1001,$A922,col_s3))&gt;0))+IF(col_s4=0,0,--(LEN(INDEX('Paste Export'!$A$2:$BZ$1001,$A922,col_s4))&gt;0))+IF(col_s5=0,0,--(LEN(INDEX('Paste Export'!$A$2:$BZ$1001,$A922,col_s5))&gt;0))+IF(col_s6=0,0,--(LEN(INDEX('Paste Export'!$A$2:$BZ$1001,$A922,col_s6))&gt;0))+IF(col_s7=0,0,--(LEN(INDEX('Paste Export'!$A$2:$BZ$1001,$A922,col_s7))&gt;0))+IF(col_s8=0,0,--(LEN(INDEX('Paste Export'!$A$2:$BZ$1001,$A922,col_s8))&gt;0)))</f>
        <v/>
      </c>
      <c r="I922" s="25" t="str">
        <f t="shared" si="101"/>
        <v/>
      </c>
      <c r="J922" s="25" t="str">
        <f t="shared" si="102"/>
        <v/>
      </c>
      <c r="K922" s="24" t="str">
        <f t="shared" si="103"/>
        <v/>
      </c>
      <c r="L922" s="24" t="str">
        <f t="shared" si="104"/>
        <v/>
      </c>
    </row>
    <row r="923" spans="1:12" x14ac:dyDescent="0.25">
      <c r="A923" s="24">
        <f t="shared" si="98"/>
        <v>922</v>
      </c>
      <c r="B923" s="25" t="str">
        <f>IF($A923&gt;nrows,"",IF(col_user=0,"",INDEX('Paste Export'!$A$2:$BZ$1001,$A923,col_user)))</f>
        <v/>
      </c>
      <c r="C923" s="24" t="str">
        <f>IF($A923&gt;nrows,"",IF(col_days=0,0,N(INDEX('Paste Export'!$A$2:$BZ$1001,$A923,col_days))))</f>
        <v/>
      </c>
      <c r="D923" s="24" t="str">
        <f>IF($A923&gt;nrows,"",IF(col_prompts=0,0,N(INDEX('Paste Export'!$A$2:$BZ$1001,$A923,col_prompts))))</f>
        <v/>
      </c>
      <c r="E923" s="24" t="str">
        <f>IF($A923&gt;nrows,"",IF(col_web=0,0,N(INDEX('Paste Export'!$A$2:$BZ$1001,$A923,col_web))))</f>
        <v/>
      </c>
      <c r="F923" s="26" t="str">
        <f t="shared" si="99"/>
        <v/>
      </c>
      <c r="G923" s="27" t="str">
        <f t="shared" si="100"/>
        <v/>
      </c>
      <c r="H923" s="24" t="str">
        <f>IF($A923&gt;nrows,"",IF(col_s1=0,0,--(LEN(INDEX('Paste Export'!$A$2:$BZ$1001,$A923,col_s1))&gt;0))+IF(col_s2=0,0,--(LEN(INDEX('Paste Export'!$A$2:$BZ$1001,$A923,col_s2))&gt;0))+IF(col_s3=0,0,--(LEN(INDEX('Paste Export'!$A$2:$BZ$1001,$A923,col_s3))&gt;0))+IF(col_s4=0,0,--(LEN(INDEX('Paste Export'!$A$2:$BZ$1001,$A923,col_s4))&gt;0))+IF(col_s5=0,0,--(LEN(INDEX('Paste Export'!$A$2:$BZ$1001,$A923,col_s5))&gt;0))+IF(col_s6=0,0,--(LEN(INDEX('Paste Export'!$A$2:$BZ$1001,$A923,col_s6))&gt;0))+IF(col_s7=0,0,--(LEN(INDEX('Paste Export'!$A$2:$BZ$1001,$A923,col_s7))&gt;0))+IF(col_s8=0,0,--(LEN(INDEX('Paste Export'!$A$2:$BZ$1001,$A923,col_s8))&gt;0)))</f>
        <v/>
      </c>
      <c r="I923" s="25" t="str">
        <f t="shared" si="101"/>
        <v/>
      </c>
      <c r="J923" s="25" t="str">
        <f t="shared" si="102"/>
        <v/>
      </c>
      <c r="K923" s="24" t="str">
        <f t="shared" si="103"/>
        <v/>
      </c>
      <c r="L923" s="24" t="str">
        <f t="shared" si="104"/>
        <v/>
      </c>
    </row>
    <row r="924" spans="1:12" x14ac:dyDescent="0.25">
      <c r="A924" s="24">
        <f t="shared" si="98"/>
        <v>923</v>
      </c>
      <c r="B924" s="25" t="str">
        <f>IF($A924&gt;nrows,"",IF(col_user=0,"",INDEX('Paste Export'!$A$2:$BZ$1001,$A924,col_user)))</f>
        <v/>
      </c>
      <c r="C924" s="24" t="str">
        <f>IF($A924&gt;nrows,"",IF(col_days=0,0,N(INDEX('Paste Export'!$A$2:$BZ$1001,$A924,col_days))))</f>
        <v/>
      </c>
      <c r="D924" s="24" t="str">
        <f>IF($A924&gt;nrows,"",IF(col_prompts=0,0,N(INDEX('Paste Export'!$A$2:$BZ$1001,$A924,col_prompts))))</f>
        <v/>
      </c>
      <c r="E924" s="24" t="str">
        <f>IF($A924&gt;nrows,"",IF(col_web=0,0,N(INDEX('Paste Export'!$A$2:$BZ$1001,$A924,col_web))))</f>
        <v/>
      </c>
      <c r="F924" s="26" t="str">
        <f t="shared" si="99"/>
        <v/>
      </c>
      <c r="G924" s="27" t="str">
        <f t="shared" si="100"/>
        <v/>
      </c>
      <c r="H924" s="24" t="str">
        <f>IF($A924&gt;nrows,"",IF(col_s1=0,0,--(LEN(INDEX('Paste Export'!$A$2:$BZ$1001,$A924,col_s1))&gt;0))+IF(col_s2=0,0,--(LEN(INDEX('Paste Export'!$A$2:$BZ$1001,$A924,col_s2))&gt;0))+IF(col_s3=0,0,--(LEN(INDEX('Paste Export'!$A$2:$BZ$1001,$A924,col_s3))&gt;0))+IF(col_s4=0,0,--(LEN(INDEX('Paste Export'!$A$2:$BZ$1001,$A924,col_s4))&gt;0))+IF(col_s5=0,0,--(LEN(INDEX('Paste Export'!$A$2:$BZ$1001,$A924,col_s5))&gt;0))+IF(col_s6=0,0,--(LEN(INDEX('Paste Export'!$A$2:$BZ$1001,$A924,col_s6))&gt;0))+IF(col_s7=0,0,--(LEN(INDEX('Paste Export'!$A$2:$BZ$1001,$A924,col_s7))&gt;0))+IF(col_s8=0,0,--(LEN(INDEX('Paste Export'!$A$2:$BZ$1001,$A924,col_s8))&gt;0)))</f>
        <v/>
      </c>
      <c r="I924" s="25" t="str">
        <f t="shared" si="101"/>
        <v/>
      </c>
      <c r="J924" s="25" t="str">
        <f t="shared" si="102"/>
        <v/>
      </c>
      <c r="K924" s="24" t="str">
        <f t="shared" si="103"/>
        <v/>
      </c>
      <c r="L924" s="24" t="str">
        <f t="shared" si="104"/>
        <v/>
      </c>
    </row>
    <row r="925" spans="1:12" x14ac:dyDescent="0.25">
      <c r="A925" s="24">
        <f t="shared" si="98"/>
        <v>924</v>
      </c>
      <c r="B925" s="25" t="str">
        <f>IF($A925&gt;nrows,"",IF(col_user=0,"",INDEX('Paste Export'!$A$2:$BZ$1001,$A925,col_user)))</f>
        <v/>
      </c>
      <c r="C925" s="24" t="str">
        <f>IF($A925&gt;nrows,"",IF(col_days=0,0,N(INDEX('Paste Export'!$A$2:$BZ$1001,$A925,col_days))))</f>
        <v/>
      </c>
      <c r="D925" s="24" t="str">
        <f>IF($A925&gt;nrows,"",IF(col_prompts=0,0,N(INDEX('Paste Export'!$A$2:$BZ$1001,$A925,col_prompts))))</f>
        <v/>
      </c>
      <c r="E925" s="24" t="str">
        <f>IF($A925&gt;nrows,"",IF(col_web=0,0,N(INDEX('Paste Export'!$A$2:$BZ$1001,$A925,col_web))))</f>
        <v/>
      </c>
      <c r="F925" s="26" t="str">
        <f t="shared" si="99"/>
        <v/>
      </c>
      <c r="G925" s="27" t="str">
        <f t="shared" si="100"/>
        <v/>
      </c>
      <c r="H925" s="24" t="str">
        <f>IF($A925&gt;nrows,"",IF(col_s1=0,0,--(LEN(INDEX('Paste Export'!$A$2:$BZ$1001,$A925,col_s1))&gt;0))+IF(col_s2=0,0,--(LEN(INDEX('Paste Export'!$A$2:$BZ$1001,$A925,col_s2))&gt;0))+IF(col_s3=0,0,--(LEN(INDEX('Paste Export'!$A$2:$BZ$1001,$A925,col_s3))&gt;0))+IF(col_s4=0,0,--(LEN(INDEX('Paste Export'!$A$2:$BZ$1001,$A925,col_s4))&gt;0))+IF(col_s5=0,0,--(LEN(INDEX('Paste Export'!$A$2:$BZ$1001,$A925,col_s5))&gt;0))+IF(col_s6=0,0,--(LEN(INDEX('Paste Export'!$A$2:$BZ$1001,$A925,col_s6))&gt;0))+IF(col_s7=0,0,--(LEN(INDEX('Paste Export'!$A$2:$BZ$1001,$A925,col_s7))&gt;0))+IF(col_s8=0,0,--(LEN(INDEX('Paste Export'!$A$2:$BZ$1001,$A925,col_s8))&gt;0)))</f>
        <v/>
      </c>
      <c r="I925" s="25" t="str">
        <f t="shared" si="101"/>
        <v/>
      </c>
      <c r="J925" s="25" t="str">
        <f t="shared" si="102"/>
        <v/>
      </c>
      <c r="K925" s="24" t="str">
        <f t="shared" si="103"/>
        <v/>
      </c>
      <c r="L925" s="24" t="str">
        <f t="shared" si="104"/>
        <v/>
      </c>
    </row>
    <row r="926" spans="1:12" x14ac:dyDescent="0.25">
      <c r="A926" s="24">
        <f t="shared" si="98"/>
        <v>925</v>
      </c>
      <c r="B926" s="25" t="str">
        <f>IF($A926&gt;nrows,"",IF(col_user=0,"",INDEX('Paste Export'!$A$2:$BZ$1001,$A926,col_user)))</f>
        <v/>
      </c>
      <c r="C926" s="24" t="str">
        <f>IF($A926&gt;nrows,"",IF(col_days=0,0,N(INDEX('Paste Export'!$A$2:$BZ$1001,$A926,col_days))))</f>
        <v/>
      </c>
      <c r="D926" s="24" t="str">
        <f>IF($A926&gt;nrows,"",IF(col_prompts=0,0,N(INDEX('Paste Export'!$A$2:$BZ$1001,$A926,col_prompts))))</f>
        <v/>
      </c>
      <c r="E926" s="24" t="str">
        <f>IF($A926&gt;nrows,"",IF(col_web=0,0,N(INDEX('Paste Export'!$A$2:$BZ$1001,$A926,col_web))))</f>
        <v/>
      </c>
      <c r="F926" s="26" t="str">
        <f t="shared" si="99"/>
        <v/>
      </c>
      <c r="G926" s="27" t="str">
        <f t="shared" si="100"/>
        <v/>
      </c>
      <c r="H926" s="24" t="str">
        <f>IF($A926&gt;nrows,"",IF(col_s1=0,0,--(LEN(INDEX('Paste Export'!$A$2:$BZ$1001,$A926,col_s1))&gt;0))+IF(col_s2=0,0,--(LEN(INDEX('Paste Export'!$A$2:$BZ$1001,$A926,col_s2))&gt;0))+IF(col_s3=0,0,--(LEN(INDEX('Paste Export'!$A$2:$BZ$1001,$A926,col_s3))&gt;0))+IF(col_s4=0,0,--(LEN(INDEX('Paste Export'!$A$2:$BZ$1001,$A926,col_s4))&gt;0))+IF(col_s5=0,0,--(LEN(INDEX('Paste Export'!$A$2:$BZ$1001,$A926,col_s5))&gt;0))+IF(col_s6=0,0,--(LEN(INDEX('Paste Export'!$A$2:$BZ$1001,$A926,col_s6))&gt;0))+IF(col_s7=0,0,--(LEN(INDEX('Paste Export'!$A$2:$BZ$1001,$A926,col_s7))&gt;0))+IF(col_s8=0,0,--(LEN(INDEX('Paste Export'!$A$2:$BZ$1001,$A926,col_s8))&gt;0)))</f>
        <v/>
      </c>
      <c r="I926" s="25" t="str">
        <f t="shared" si="101"/>
        <v/>
      </c>
      <c r="J926" s="25" t="str">
        <f t="shared" si="102"/>
        <v/>
      </c>
      <c r="K926" s="24" t="str">
        <f t="shared" si="103"/>
        <v/>
      </c>
      <c r="L926" s="24" t="str">
        <f t="shared" si="104"/>
        <v/>
      </c>
    </row>
    <row r="927" spans="1:12" x14ac:dyDescent="0.25">
      <c r="A927" s="24">
        <f t="shared" si="98"/>
        <v>926</v>
      </c>
      <c r="B927" s="25" t="str">
        <f>IF($A927&gt;nrows,"",IF(col_user=0,"",INDEX('Paste Export'!$A$2:$BZ$1001,$A927,col_user)))</f>
        <v/>
      </c>
      <c r="C927" s="24" t="str">
        <f>IF($A927&gt;nrows,"",IF(col_days=0,0,N(INDEX('Paste Export'!$A$2:$BZ$1001,$A927,col_days))))</f>
        <v/>
      </c>
      <c r="D927" s="24" t="str">
        <f>IF($A927&gt;nrows,"",IF(col_prompts=0,0,N(INDEX('Paste Export'!$A$2:$BZ$1001,$A927,col_prompts))))</f>
        <v/>
      </c>
      <c r="E927" s="24" t="str">
        <f>IF($A927&gt;nrows,"",IF(col_web=0,0,N(INDEX('Paste Export'!$A$2:$BZ$1001,$A927,col_web))))</f>
        <v/>
      </c>
      <c r="F927" s="26" t="str">
        <f t="shared" si="99"/>
        <v/>
      </c>
      <c r="G927" s="27" t="str">
        <f t="shared" si="100"/>
        <v/>
      </c>
      <c r="H927" s="24" t="str">
        <f>IF($A927&gt;nrows,"",IF(col_s1=0,0,--(LEN(INDEX('Paste Export'!$A$2:$BZ$1001,$A927,col_s1))&gt;0))+IF(col_s2=0,0,--(LEN(INDEX('Paste Export'!$A$2:$BZ$1001,$A927,col_s2))&gt;0))+IF(col_s3=0,0,--(LEN(INDEX('Paste Export'!$A$2:$BZ$1001,$A927,col_s3))&gt;0))+IF(col_s4=0,0,--(LEN(INDEX('Paste Export'!$A$2:$BZ$1001,$A927,col_s4))&gt;0))+IF(col_s5=0,0,--(LEN(INDEX('Paste Export'!$A$2:$BZ$1001,$A927,col_s5))&gt;0))+IF(col_s6=0,0,--(LEN(INDEX('Paste Export'!$A$2:$BZ$1001,$A927,col_s6))&gt;0))+IF(col_s7=0,0,--(LEN(INDEX('Paste Export'!$A$2:$BZ$1001,$A927,col_s7))&gt;0))+IF(col_s8=0,0,--(LEN(INDEX('Paste Export'!$A$2:$BZ$1001,$A927,col_s8))&gt;0)))</f>
        <v/>
      </c>
      <c r="I927" s="25" t="str">
        <f t="shared" si="101"/>
        <v/>
      </c>
      <c r="J927" s="25" t="str">
        <f t="shared" si="102"/>
        <v/>
      </c>
      <c r="K927" s="24" t="str">
        <f t="shared" si="103"/>
        <v/>
      </c>
      <c r="L927" s="24" t="str">
        <f t="shared" si="104"/>
        <v/>
      </c>
    </row>
    <row r="928" spans="1:12" x14ac:dyDescent="0.25">
      <c r="A928" s="24">
        <f t="shared" si="98"/>
        <v>927</v>
      </c>
      <c r="B928" s="25" t="str">
        <f>IF($A928&gt;nrows,"",IF(col_user=0,"",INDEX('Paste Export'!$A$2:$BZ$1001,$A928,col_user)))</f>
        <v/>
      </c>
      <c r="C928" s="24" t="str">
        <f>IF($A928&gt;nrows,"",IF(col_days=0,0,N(INDEX('Paste Export'!$A$2:$BZ$1001,$A928,col_days))))</f>
        <v/>
      </c>
      <c r="D928" s="24" t="str">
        <f>IF($A928&gt;nrows,"",IF(col_prompts=0,0,N(INDEX('Paste Export'!$A$2:$BZ$1001,$A928,col_prompts))))</f>
        <v/>
      </c>
      <c r="E928" s="24" t="str">
        <f>IF($A928&gt;nrows,"",IF(col_web=0,0,N(INDEX('Paste Export'!$A$2:$BZ$1001,$A928,col_web))))</f>
        <v/>
      </c>
      <c r="F928" s="26" t="str">
        <f t="shared" si="99"/>
        <v/>
      </c>
      <c r="G928" s="27" t="str">
        <f t="shared" si="100"/>
        <v/>
      </c>
      <c r="H928" s="24" t="str">
        <f>IF($A928&gt;nrows,"",IF(col_s1=0,0,--(LEN(INDEX('Paste Export'!$A$2:$BZ$1001,$A928,col_s1))&gt;0))+IF(col_s2=0,0,--(LEN(INDEX('Paste Export'!$A$2:$BZ$1001,$A928,col_s2))&gt;0))+IF(col_s3=0,0,--(LEN(INDEX('Paste Export'!$A$2:$BZ$1001,$A928,col_s3))&gt;0))+IF(col_s4=0,0,--(LEN(INDEX('Paste Export'!$A$2:$BZ$1001,$A928,col_s4))&gt;0))+IF(col_s5=0,0,--(LEN(INDEX('Paste Export'!$A$2:$BZ$1001,$A928,col_s5))&gt;0))+IF(col_s6=0,0,--(LEN(INDEX('Paste Export'!$A$2:$BZ$1001,$A928,col_s6))&gt;0))+IF(col_s7=0,0,--(LEN(INDEX('Paste Export'!$A$2:$BZ$1001,$A928,col_s7))&gt;0))+IF(col_s8=0,0,--(LEN(INDEX('Paste Export'!$A$2:$BZ$1001,$A928,col_s8))&gt;0)))</f>
        <v/>
      </c>
      <c r="I928" s="25" t="str">
        <f t="shared" si="101"/>
        <v/>
      </c>
      <c r="J928" s="25" t="str">
        <f t="shared" si="102"/>
        <v/>
      </c>
      <c r="K928" s="24" t="str">
        <f t="shared" si="103"/>
        <v/>
      </c>
      <c r="L928" s="24" t="str">
        <f t="shared" si="104"/>
        <v/>
      </c>
    </row>
    <row r="929" spans="1:12" x14ac:dyDescent="0.25">
      <c r="A929" s="24">
        <f t="shared" si="98"/>
        <v>928</v>
      </c>
      <c r="B929" s="25" t="str">
        <f>IF($A929&gt;nrows,"",IF(col_user=0,"",INDEX('Paste Export'!$A$2:$BZ$1001,$A929,col_user)))</f>
        <v/>
      </c>
      <c r="C929" s="24" t="str">
        <f>IF($A929&gt;nrows,"",IF(col_days=0,0,N(INDEX('Paste Export'!$A$2:$BZ$1001,$A929,col_days))))</f>
        <v/>
      </c>
      <c r="D929" s="24" t="str">
        <f>IF($A929&gt;nrows,"",IF(col_prompts=0,0,N(INDEX('Paste Export'!$A$2:$BZ$1001,$A929,col_prompts))))</f>
        <v/>
      </c>
      <c r="E929" s="24" t="str">
        <f>IF($A929&gt;nrows,"",IF(col_web=0,0,N(INDEX('Paste Export'!$A$2:$BZ$1001,$A929,col_web))))</f>
        <v/>
      </c>
      <c r="F929" s="26" t="str">
        <f t="shared" si="99"/>
        <v/>
      </c>
      <c r="G929" s="27" t="str">
        <f t="shared" si="100"/>
        <v/>
      </c>
      <c r="H929" s="24" t="str">
        <f>IF($A929&gt;nrows,"",IF(col_s1=0,0,--(LEN(INDEX('Paste Export'!$A$2:$BZ$1001,$A929,col_s1))&gt;0))+IF(col_s2=0,0,--(LEN(INDEX('Paste Export'!$A$2:$BZ$1001,$A929,col_s2))&gt;0))+IF(col_s3=0,0,--(LEN(INDEX('Paste Export'!$A$2:$BZ$1001,$A929,col_s3))&gt;0))+IF(col_s4=0,0,--(LEN(INDEX('Paste Export'!$A$2:$BZ$1001,$A929,col_s4))&gt;0))+IF(col_s5=0,0,--(LEN(INDEX('Paste Export'!$A$2:$BZ$1001,$A929,col_s5))&gt;0))+IF(col_s6=0,0,--(LEN(INDEX('Paste Export'!$A$2:$BZ$1001,$A929,col_s6))&gt;0))+IF(col_s7=0,0,--(LEN(INDEX('Paste Export'!$A$2:$BZ$1001,$A929,col_s7))&gt;0))+IF(col_s8=0,0,--(LEN(INDEX('Paste Export'!$A$2:$BZ$1001,$A929,col_s8))&gt;0)))</f>
        <v/>
      </c>
      <c r="I929" s="25" t="str">
        <f t="shared" si="101"/>
        <v/>
      </c>
      <c r="J929" s="25" t="str">
        <f t="shared" si="102"/>
        <v/>
      </c>
      <c r="K929" s="24" t="str">
        <f t="shared" si="103"/>
        <v/>
      </c>
      <c r="L929" s="24" t="str">
        <f t="shared" si="104"/>
        <v/>
      </c>
    </row>
    <row r="930" spans="1:12" x14ac:dyDescent="0.25">
      <c r="A930" s="24">
        <f t="shared" si="98"/>
        <v>929</v>
      </c>
      <c r="B930" s="25" t="str">
        <f>IF($A930&gt;nrows,"",IF(col_user=0,"",INDEX('Paste Export'!$A$2:$BZ$1001,$A930,col_user)))</f>
        <v/>
      </c>
      <c r="C930" s="24" t="str">
        <f>IF($A930&gt;nrows,"",IF(col_days=0,0,N(INDEX('Paste Export'!$A$2:$BZ$1001,$A930,col_days))))</f>
        <v/>
      </c>
      <c r="D930" s="24" t="str">
        <f>IF($A930&gt;nrows,"",IF(col_prompts=0,0,N(INDEX('Paste Export'!$A$2:$BZ$1001,$A930,col_prompts))))</f>
        <v/>
      </c>
      <c r="E930" s="24" t="str">
        <f>IF($A930&gt;nrows,"",IF(col_web=0,0,N(INDEX('Paste Export'!$A$2:$BZ$1001,$A930,col_web))))</f>
        <v/>
      </c>
      <c r="F930" s="26" t="str">
        <f t="shared" si="99"/>
        <v/>
      </c>
      <c r="G930" s="27" t="str">
        <f t="shared" si="100"/>
        <v/>
      </c>
      <c r="H930" s="24" t="str">
        <f>IF($A930&gt;nrows,"",IF(col_s1=0,0,--(LEN(INDEX('Paste Export'!$A$2:$BZ$1001,$A930,col_s1))&gt;0))+IF(col_s2=0,0,--(LEN(INDEX('Paste Export'!$A$2:$BZ$1001,$A930,col_s2))&gt;0))+IF(col_s3=0,0,--(LEN(INDEX('Paste Export'!$A$2:$BZ$1001,$A930,col_s3))&gt;0))+IF(col_s4=0,0,--(LEN(INDEX('Paste Export'!$A$2:$BZ$1001,$A930,col_s4))&gt;0))+IF(col_s5=0,0,--(LEN(INDEX('Paste Export'!$A$2:$BZ$1001,$A930,col_s5))&gt;0))+IF(col_s6=0,0,--(LEN(INDEX('Paste Export'!$A$2:$BZ$1001,$A930,col_s6))&gt;0))+IF(col_s7=0,0,--(LEN(INDEX('Paste Export'!$A$2:$BZ$1001,$A930,col_s7))&gt;0))+IF(col_s8=0,0,--(LEN(INDEX('Paste Export'!$A$2:$BZ$1001,$A930,col_s8))&gt;0)))</f>
        <v/>
      </c>
      <c r="I930" s="25" t="str">
        <f t="shared" si="101"/>
        <v/>
      </c>
      <c r="J930" s="25" t="str">
        <f t="shared" si="102"/>
        <v/>
      </c>
      <c r="K930" s="24" t="str">
        <f t="shared" si="103"/>
        <v/>
      </c>
      <c r="L930" s="24" t="str">
        <f t="shared" si="104"/>
        <v/>
      </c>
    </row>
    <row r="931" spans="1:12" x14ac:dyDescent="0.25">
      <c r="A931" s="24">
        <f t="shared" si="98"/>
        <v>930</v>
      </c>
      <c r="B931" s="25" t="str">
        <f>IF($A931&gt;nrows,"",IF(col_user=0,"",INDEX('Paste Export'!$A$2:$BZ$1001,$A931,col_user)))</f>
        <v/>
      </c>
      <c r="C931" s="24" t="str">
        <f>IF($A931&gt;nrows,"",IF(col_days=0,0,N(INDEX('Paste Export'!$A$2:$BZ$1001,$A931,col_days))))</f>
        <v/>
      </c>
      <c r="D931" s="24" t="str">
        <f>IF($A931&gt;nrows,"",IF(col_prompts=0,0,N(INDEX('Paste Export'!$A$2:$BZ$1001,$A931,col_prompts))))</f>
        <v/>
      </c>
      <c r="E931" s="24" t="str">
        <f>IF($A931&gt;nrows,"",IF(col_web=0,0,N(INDEX('Paste Export'!$A$2:$BZ$1001,$A931,col_web))))</f>
        <v/>
      </c>
      <c r="F931" s="26" t="str">
        <f t="shared" si="99"/>
        <v/>
      </c>
      <c r="G931" s="27" t="str">
        <f t="shared" si="100"/>
        <v/>
      </c>
      <c r="H931" s="24" t="str">
        <f>IF($A931&gt;nrows,"",IF(col_s1=0,0,--(LEN(INDEX('Paste Export'!$A$2:$BZ$1001,$A931,col_s1))&gt;0))+IF(col_s2=0,0,--(LEN(INDEX('Paste Export'!$A$2:$BZ$1001,$A931,col_s2))&gt;0))+IF(col_s3=0,0,--(LEN(INDEX('Paste Export'!$A$2:$BZ$1001,$A931,col_s3))&gt;0))+IF(col_s4=0,0,--(LEN(INDEX('Paste Export'!$A$2:$BZ$1001,$A931,col_s4))&gt;0))+IF(col_s5=0,0,--(LEN(INDEX('Paste Export'!$A$2:$BZ$1001,$A931,col_s5))&gt;0))+IF(col_s6=0,0,--(LEN(INDEX('Paste Export'!$A$2:$BZ$1001,$A931,col_s6))&gt;0))+IF(col_s7=0,0,--(LEN(INDEX('Paste Export'!$A$2:$BZ$1001,$A931,col_s7))&gt;0))+IF(col_s8=0,0,--(LEN(INDEX('Paste Export'!$A$2:$BZ$1001,$A931,col_s8))&gt;0)))</f>
        <v/>
      </c>
      <c r="I931" s="25" t="str">
        <f t="shared" si="101"/>
        <v/>
      </c>
      <c r="J931" s="25" t="str">
        <f t="shared" si="102"/>
        <v/>
      </c>
      <c r="K931" s="24" t="str">
        <f t="shared" si="103"/>
        <v/>
      </c>
      <c r="L931" s="24" t="str">
        <f t="shared" si="104"/>
        <v/>
      </c>
    </row>
    <row r="932" spans="1:12" x14ac:dyDescent="0.25">
      <c r="A932" s="24">
        <f t="shared" si="98"/>
        <v>931</v>
      </c>
      <c r="B932" s="25" t="str">
        <f>IF($A932&gt;nrows,"",IF(col_user=0,"",INDEX('Paste Export'!$A$2:$BZ$1001,$A932,col_user)))</f>
        <v/>
      </c>
      <c r="C932" s="24" t="str">
        <f>IF($A932&gt;nrows,"",IF(col_days=0,0,N(INDEX('Paste Export'!$A$2:$BZ$1001,$A932,col_days))))</f>
        <v/>
      </c>
      <c r="D932" s="24" t="str">
        <f>IF($A932&gt;nrows,"",IF(col_prompts=0,0,N(INDEX('Paste Export'!$A$2:$BZ$1001,$A932,col_prompts))))</f>
        <v/>
      </c>
      <c r="E932" s="24" t="str">
        <f>IF($A932&gt;nrows,"",IF(col_web=0,0,N(INDEX('Paste Export'!$A$2:$BZ$1001,$A932,col_web))))</f>
        <v/>
      </c>
      <c r="F932" s="26" t="str">
        <f t="shared" si="99"/>
        <v/>
      </c>
      <c r="G932" s="27" t="str">
        <f t="shared" si="100"/>
        <v/>
      </c>
      <c r="H932" s="24" t="str">
        <f>IF($A932&gt;nrows,"",IF(col_s1=0,0,--(LEN(INDEX('Paste Export'!$A$2:$BZ$1001,$A932,col_s1))&gt;0))+IF(col_s2=0,0,--(LEN(INDEX('Paste Export'!$A$2:$BZ$1001,$A932,col_s2))&gt;0))+IF(col_s3=0,0,--(LEN(INDEX('Paste Export'!$A$2:$BZ$1001,$A932,col_s3))&gt;0))+IF(col_s4=0,0,--(LEN(INDEX('Paste Export'!$A$2:$BZ$1001,$A932,col_s4))&gt;0))+IF(col_s5=0,0,--(LEN(INDEX('Paste Export'!$A$2:$BZ$1001,$A932,col_s5))&gt;0))+IF(col_s6=0,0,--(LEN(INDEX('Paste Export'!$A$2:$BZ$1001,$A932,col_s6))&gt;0))+IF(col_s7=0,0,--(LEN(INDEX('Paste Export'!$A$2:$BZ$1001,$A932,col_s7))&gt;0))+IF(col_s8=0,0,--(LEN(INDEX('Paste Export'!$A$2:$BZ$1001,$A932,col_s8))&gt;0)))</f>
        <v/>
      </c>
      <c r="I932" s="25" t="str">
        <f t="shared" si="101"/>
        <v/>
      </c>
      <c r="J932" s="25" t="str">
        <f t="shared" si="102"/>
        <v/>
      </c>
      <c r="K932" s="24" t="str">
        <f t="shared" si="103"/>
        <v/>
      </c>
      <c r="L932" s="24" t="str">
        <f t="shared" si="104"/>
        <v/>
      </c>
    </row>
    <row r="933" spans="1:12" x14ac:dyDescent="0.25">
      <c r="A933" s="24">
        <f t="shared" si="98"/>
        <v>932</v>
      </c>
      <c r="B933" s="25" t="str">
        <f>IF($A933&gt;nrows,"",IF(col_user=0,"",INDEX('Paste Export'!$A$2:$BZ$1001,$A933,col_user)))</f>
        <v/>
      </c>
      <c r="C933" s="24" t="str">
        <f>IF($A933&gt;nrows,"",IF(col_days=0,0,N(INDEX('Paste Export'!$A$2:$BZ$1001,$A933,col_days))))</f>
        <v/>
      </c>
      <c r="D933" s="24" t="str">
        <f>IF($A933&gt;nrows,"",IF(col_prompts=0,0,N(INDEX('Paste Export'!$A$2:$BZ$1001,$A933,col_prompts))))</f>
        <v/>
      </c>
      <c r="E933" s="24" t="str">
        <f>IF($A933&gt;nrows,"",IF(col_web=0,0,N(INDEX('Paste Export'!$A$2:$BZ$1001,$A933,col_web))))</f>
        <v/>
      </c>
      <c r="F933" s="26" t="str">
        <f t="shared" si="99"/>
        <v/>
      </c>
      <c r="G933" s="27" t="str">
        <f t="shared" si="100"/>
        <v/>
      </c>
      <c r="H933" s="24" t="str">
        <f>IF($A933&gt;nrows,"",IF(col_s1=0,0,--(LEN(INDEX('Paste Export'!$A$2:$BZ$1001,$A933,col_s1))&gt;0))+IF(col_s2=0,0,--(LEN(INDEX('Paste Export'!$A$2:$BZ$1001,$A933,col_s2))&gt;0))+IF(col_s3=0,0,--(LEN(INDEX('Paste Export'!$A$2:$BZ$1001,$A933,col_s3))&gt;0))+IF(col_s4=0,0,--(LEN(INDEX('Paste Export'!$A$2:$BZ$1001,$A933,col_s4))&gt;0))+IF(col_s5=0,0,--(LEN(INDEX('Paste Export'!$A$2:$BZ$1001,$A933,col_s5))&gt;0))+IF(col_s6=0,0,--(LEN(INDEX('Paste Export'!$A$2:$BZ$1001,$A933,col_s6))&gt;0))+IF(col_s7=0,0,--(LEN(INDEX('Paste Export'!$A$2:$BZ$1001,$A933,col_s7))&gt;0))+IF(col_s8=0,0,--(LEN(INDEX('Paste Export'!$A$2:$BZ$1001,$A933,col_s8))&gt;0)))</f>
        <v/>
      </c>
      <c r="I933" s="25" t="str">
        <f t="shared" si="101"/>
        <v/>
      </c>
      <c r="J933" s="25" t="str">
        <f t="shared" si="102"/>
        <v/>
      </c>
      <c r="K933" s="24" t="str">
        <f t="shared" si="103"/>
        <v/>
      </c>
      <c r="L933" s="24" t="str">
        <f t="shared" si="104"/>
        <v/>
      </c>
    </row>
    <row r="934" spans="1:12" x14ac:dyDescent="0.25">
      <c r="A934" s="24">
        <f t="shared" si="98"/>
        <v>933</v>
      </c>
      <c r="B934" s="25" t="str">
        <f>IF($A934&gt;nrows,"",IF(col_user=0,"",INDEX('Paste Export'!$A$2:$BZ$1001,$A934,col_user)))</f>
        <v/>
      </c>
      <c r="C934" s="24" t="str">
        <f>IF($A934&gt;nrows,"",IF(col_days=0,0,N(INDEX('Paste Export'!$A$2:$BZ$1001,$A934,col_days))))</f>
        <v/>
      </c>
      <c r="D934" s="24" t="str">
        <f>IF($A934&gt;nrows,"",IF(col_prompts=0,0,N(INDEX('Paste Export'!$A$2:$BZ$1001,$A934,col_prompts))))</f>
        <v/>
      </c>
      <c r="E934" s="24" t="str">
        <f>IF($A934&gt;nrows,"",IF(col_web=0,0,N(INDEX('Paste Export'!$A$2:$BZ$1001,$A934,col_web))))</f>
        <v/>
      </c>
      <c r="F934" s="26" t="str">
        <f t="shared" si="99"/>
        <v/>
      </c>
      <c r="G934" s="27" t="str">
        <f t="shared" si="100"/>
        <v/>
      </c>
      <c r="H934" s="24" t="str">
        <f>IF($A934&gt;nrows,"",IF(col_s1=0,0,--(LEN(INDEX('Paste Export'!$A$2:$BZ$1001,$A934,col_s1))&gt;0))+IF(col_s2=0,0,--(LEN(INDEX('Paste Export'!$A$2:$BZ$1001,$A934,col_s2))&gt;0))+IF(col_s3=0,0,--(LEN(INDEX('Paste Export'!$A$2:$BZ$1001,$A934,col_s3))&gt;0))+IF(col_s4=0,0,--(LEN(INDEX('Paste Export'!$A$2:$BZ$1001,$A934,col_s4))&gt;0))+IF(col_s5=0,0,--(LEN(INDEX('Paste Export'!$A$2:$BZ$1001,$A934,col_s5))&gt;0))+IF(col_s6=0,0,--(LEN(INDEX('Paste Export'!$A$2:$BZ$1001,$A934,col_s6))&gt;0))+IF(col_s7=0,0,--(LEN(INDEX('Paste Export'!$A$2:$BZ$1001,$A934,col_s7))&gt;0))+IF(col_s8=0,0,--(LEN(INDEX('Paste Export'!$A$2:$BZ$1001,$A934,col_s8))&gt;0)))</f>
        <v/>
      </c>
      <c r="I934" s="25" t="str">
        <f t="shared" si="101"/>
        <v/>
      </c>
      <c r="J934" s="25" t="str">
        <f t="shared" si="102"/>
        <v/>
      </c>
      <c r="K934" s="24" t="str">
        <f t="shared" si="103"/>
        <v/>
      </c>
      <c r="L934" s="24" t="str">
        <f t="shared" si="104"/>
        <v/>
      </c>
    </row>
    <row r="935" spans="1:12" x14ac:dyDescent="0.25">
      <c r="A935" s="24">
        <f t="shared" si="98"/>
        <v>934</v>
      </c>
      <c r="B935" s="25" t="str">
        <f>IF($A935&gt;nrows,"",IF(col_user=0,"",INDEX('Paste Export'!$A$2:$BZ$1001,$A935,col_user)))</f>
        <v/>
      </c>
      <c r="C935" s="24" t="str">
        <f>IF($A935&gt;nrows,"",IF(col_days=0,0,N(INDEX('Paste Export'!$A$2:$BZ$1001,$A935,col_days))))</f>
        <v/>
      </c>
      <c r="D935" s="24" t="str">
        <f>IF($A935&gt;nrows,"",IF(col_prompts=0,0,N(INDEX('Paste Export'!$A$2:$BZ$1001,$A935,col_prompts))))</f>
        <v/>
      </c>
      <c r="E935" s="24" t="str">
        <f>IF($A935&gt;nrows,"",IF(col_web=0,0,N(INDEX('Paste Export'!$A$2:$BZ$1001,$A935,col_web))))</f>
        <v/>
      </c>
      <c r="F935" s="26" t="str">
        <f t="shared" si="99"/>
        <v/>
      </c>
      <c r="G935" s="27" t="str">
        <f t="shared" si="100"/>
        <v/>
      </c>
      <c r="H935" s="24" t="str">
        <f>IF($A935&gt;nrows,"",IF(col_s1=0,0,--(LEN(INDEX('Paste Export'!$A$2:$BZ$1001,$A935,col_s1))&gt;0))+IF(col_s2=0,0,--(LEN(INDEX('Paste Export'!$A$2:$BZ$1001,$A935,col_s2))&gt;0))+IF(col_s3=0,0,--(LEN(INDEX('Paste Export'!$A$2:$BZ$1001,$A935,col_s3))&gt;0))+IF(col_s4=0,0,--(LEN(INDEX('Paste Export'!$A$2:$BZ$1001,$A935,col_s4))&gt;0))+IF(col_s5=0,0,--(LEN(INDEX('Paste Export'!$A$2:$BZ$1001,$A935,col_s5))&gt;0))+IF(col_s6=0,0,--(LEN(INDEX('Paste Export'!$A$2:$BZ$1001,$A935,col_s6))&gt;0))+IF(col_s7=0,0,--(LEN(INDEX('Paste Export'!$A$2:$BZ$1001,$A935,col_s7))&gt;0))+IF(col_s8=0,0,--(LEN(INDEX('Paste Export'!$A$2:$BZ$1001,$A935,col_s8))&gt;0)))</f>
        <v/>
      </c>
      <c r="I935" s="25" t="str">
        <f t="shared" si="101"/>
        <v/>
      </c>
      <c r="J935" s="25" t="str">
        <f t="shared" si="102"/>
        <v/>
      </c>
      <c r="K935" s="24" t="str">
        <f t="shared" si="103"/>
        <v/>
      </c>
      <c r="L935" s="24" t="str">
        <f t="shared" si="104"/>
        <v/>
      </c>
    </row>
    <row r="936" spans="1:12" x14ac:dyDescent="0.25">
      <c r="A936" s="24">
        <f t="shared" si="98"/>
        <v>935</v>
      </c>
      <c r="B936" s="25" t="str">
        <f>IF($A936&gt;nrows,"",IF(col_user=0,"",INDEX('Paste Export'!$A$2:$BZ$1001,$A936,col_user)))</f>
        <v/>
      </c>
      <c r="C936" s="24" t="str">
        <f>IF($A936&gt;nrows,"",IF(col_days=0,0,N(INDEX('Paste Export'!$A$2:$BZ$1001,$A936,col_days))))</f>
        <v/>
      </c>
      <c r="D936" s="24" t="str">
        <f>IF($A936&gt;nrows,"",IF(col_prompts=0,0,N(INDEX('Paste Export'!$A$2:$BZ$1001,$A936,col_prompts))))</f>
        <v/>
      </c>
      <c r="E936" s="24" t="str">
        <f>IF($A936&gt;nrows,"",IF(col_web=0,0,N(INDEX('Paste Export'!$A$2:$BZ$1001,$A936,col_web))))</f>
        <v/>
      </c>
      <c r="F936" s="26" t="str">
        <f t="shared" si="99"/>
        <v/>
      </c>
      <c r="G936" s="27" t="str">
        <f t="shared" si="100"/>
        <v/>
      </c>
      <c r="H936" s="24" t="str">
        <f>IF($A936&gt;nrows,"",IF(col_s1=0,0,--(LEN(INDEX('Paste Export'!$A$2:$BZ$1001,$A936,col_s1))&gt;0))+IF(col_s2=0,0,--(LEN(INDEX('Paste Export'!$A$2:$BZ$1001,$A936,col_s2))&gt;0))+IF(col_s3=0,0,--(LEN(INDEX('Paste Export'!$A$2:$BZ$1001,$A936,col_s3))&gt;0))+IF(col_s4=0,0,--(LEN(INDEX('Paste Export'!$A$2:$BZ$1001,$A936,col_s4))&gt;0))+IF(col_s5=0,0,--(LEN(INDEX('Paste Export'!$A$2:$BZ$1001,$A936,col_s5))&gt;0))+IF(col_s6=0,0,--(LEN(INDEX('Paste Export'!$A$2:$BZ$1001,$A936,col_s6))&gt;0))+IF(col_s7=0,0,--(LEN(INDEX('Paste Export'!$A$2:$BZ$1001,$A936,col_s7))&gt;0))+IF(col_s8=0,0,--(LEN(INDEX('Paste Export'!$A$2:$BZ$1001,$A936,col_s8))&gt;0)))</f>
        <v/>
      </c>
      <c r="I936" s="25" t="str">
        <f t="shared" si="101"/>
        <v/>
      </c>
      <c r="J936" s="25" t="str">
        <f t="shared" si="102"/>
        <v/>
      </c>
      <c r="K936" s="24" t="str">
        <f t="shared" si="103"/>
        <v/>
      </c>
      <c r="L936" s="24" t="str">
        <f t="shared" si="104"/>
        <v/>
      </c>
    </row>
    <row r="937" spans="1:12" x14ac:dyDescent="0.25">
      <c r="A937" s="24">
        <f t="shared" si="98"/>
        <v>936</v>
      </c>
      <c r="B937" s="25" t="str">
        <f>IF($A937&gt;nrows,"",IF(col_user=0,"",INDEX('Paste Export'!$A$2:$BZ$1001,$A937,col_user)))</f>
        <v/>
      </c>
      <c r="C937" s="24" t="str">
        <f>IF($A937&gt;nrows,"",IF(col_days=0,0,N(INDEX('Paste Export'!$A$2:$BZ$1001,$A937,col_days))))</f>
        <v/>
      </c>
      <c r="D937" s="24" t="str">
        <f>IF($A937&gt;nrows,"",IF(col_prompts=0,0,N(INDEX('Paste Export'!$A$2:$BZ$1001,$A937,col_prompts))))</f>
        <v/>
      </c>
      <c r="E937" s="24" t="str">
        <f>IF($A937&gt;nrows,"",IF(col_web=0,0,N(INDEX('Paste Export'!$A$2:$BZ$1001,$A937,col_web))))</f>
        <v/>
      </c>
      <c r="F937" s="26" t="str">
        <f t="shared" si="99"/>
        <v/>
      </c>
      <c r="G937" s="27" t="str">
        <f t="shared" si="100"/>
        <v/>
      </c>
      <c r="H937" s="24" t="str">
        <f>IF($A937&gt;nrows,"",IF(col_s1=0,0,--(LEN(INDEX('Paste Export'!$A$2:$BZ$1001,$A937,col_s1))&gt;0))+IF(col_s2=0,0,--(LEN(INDEX('Paste Export'!$A$2:$BZ$1001,$A937,col_s2))&gt;0))+IF(col_s3=0,0,--(LEN(INDEX('Paste Export'!$A$2:$BZ$1001,$A937,col_s3))&gt;0))+IF(col_s4=0,0,--(LEN(INDEX('Paste Export'!$A$2:$BZ$1001,$A937,col_s4))&gt;0))+IF(col_s5=0,0,--(LEN(INDEX('Paste Export'!$A$2:$BZ$1001,$A937,col_s5))&gt;0))+IF(col_s6=0,0,--(LEN(INDEX('Paste Export'!$A$2:$BZ$1001,$A937,col_s6))&gt;0))+IF(col_s7=0,0,--(LEN(INDEX('Paste Export'!$A$2:$BZ$1001,$A937,col_s7))&gt;0))+IF(col_s8=0,0,--(LEN(INDEX('Paste Export'!$A$2:$BZ$1001,$A937,col_s8))&gt;0)))</f>
        <v/>
      </c>
      <c r="I937" s="25" t="str">
        <f t="shared" si="101"/>
        <v/>
      </c>
      <c r="J937" s="25" t="str">
        <f t="shared" si="102"/>
        <v/>
      </c>
      <c r="K937" s="24" t="str">
        <f t="shared" si="103"/>
        <v/>
      </c>
      <c r="L937" s="24" t="str">
        <f t="shared" si="104"/>
        <v/>
      </c>
    </row>
    <row r="938" spans="1:12" x14ac:dyDescent="0.25">
      <c r="A938" s="24">
        <f t="shared" si="98"/>
        <v>937</v>
      </c>
      <c r="B938" s="25" t="str">
        <f>IF($A938&gt;nrows,"",IF(col_user=0,"",INDEX('Paste Export'!$A$2:$BZ$1001,$A938,col_user)))</f>
        <v/>
      </c>
      <c r="C938" s="24" t="str">
        <f>IF($A938&gt;nrows,"",IF(col_days=0,0,N(INDEX('Paste Export'!$A$2:$BZ$1001,$A938,col_days))))</f>
        <v/>
      </c>
      <c r="D938" s="24" t="str">
        <f>IF($A938&gt;nrows,"",IF(col_prompts=0,0,N(INDEX('Paste Export'!$A$2:$BZ$1001,$A938,col_prompts))))</f>
        <v/>
      </c>
      <c r="E938" s="24" t="str">
        <f>IF($A938&gt;nrows,"",IF(col_web=0,0,N(INDEX('Paste Export'!$A$2:$BZ$1001,$A938,col_web))))</f>
        <v/>
      </c>
      <c r="F938" s="26" t="str">
        <f t="shared" si="99"/>
        <v/>
      </c>
      <c r="G938" s="27" t="str">
        <f t="shared" si="100"/>
        <v/>
      </c>
      <c r="H938" s="24" t="str">
        <f>IF($A938&gt;nrows,"",IF(col_s1=0,0,--(LEN(INDEX('Paste Export'!$A$2:$BZ$1001,$A938,col_s1))&gt;0))+IF(col_s2=0,0,--(LEN(INDEX('Paste Export'!$A$2:$BZ$1001,$A938,col_s2))&gt;0))+IF(col_s3=0,0,--(LEN(INDEX('Paste Export'!$A$2:$BZ$1001,$A938,col_s3))&gt;0))+IF(col_s4=0,0,--(LEN(INDEX('Paste Export'!$A$2:$BZ$1001,$A938,col_s4))&gt;0))+IF(col_s5=0,0,--(LEN(INDEX('Paste Export'!$A$2:$BZ$1001,$A938,col_s5))&gt;0))+IF(col_s6=0,0,--(LEN(INDEX('Paste Export'!$A$2:$BZ$1001,$A938,col_s6))&gt;0))+IF(col_s7=0,0,--(LEN(INDEX('Paste Export'!$A$2:$BZ$1001,$A938,col_s7))&gt;0))+IF(col_s8=0,0,--(LEN(INDEX('Paste Export'!$A$2:$BZ$1001,$A938,col_s8))&gt;0)))</f>
        <v/>
      </c>
      <c r="I938" s="25" t="str">
        <f t="shared" si="101"/>
        <v/>
      </c>
      <c r="J938" s="25" t="str">
        <f t="shared" si="102"/>
        <v/>
      </c>
      <c r="K938" s="24" t="str">
        <f t="shared" si="103"/>
        <v/>
      </c>
      <c r="L938" s="24" t="str">
        <f t="shared" si="104"/>
        <v/>
      </c>
    </row>
    <row r="939" spans="1:12" x14ac:dyDescent="0.25">
      <c r="A939" s="24">
        <f t="shared" si="98"/>
        <v>938</v>
      </c>
      <c r="B939" s="25" t="str">
        <f>IF($A939&gt;nrows,"",IF(col_user=0,"",INDEX('Paste Export'!$A$2:$BZ$1001,$A939,col_user)))</f>
        <v/>
      </c>
      <c r="C939" s="24" t="str">
        <f>IF($A939&gt;nrows,"",IF(col_days=0,0,N(INDEX('Paste Export'!$A$2:$BZ$1001,$A939,col_days))))</f>
        <v/>
      </c>
      <c r="D939" s="24" t="str">
        <f>IF($A939&gt;nrows,"",IF(col_prompts=0,0,N(INDEX('Paste Export'!$A$2:$BZ$1001,$A939,col_prompts))))</f>
        <v/>
      </c>
      <c r="E939" s="24" t="str">
        <f>IF($A939&gt;nrows,"",IF(col_web=0,0,N(INDEX('Paste Export'!$A$2:$BZ$1001,$A939,col_web))))</f>
        <v/>
      </c>
      <c r="F939" s="26" t="str">
        <f t="shared" si="99"/>
        <v/>
      </c>
      <c r="G939" s="27" t="str">
        <f t="shared" si="100"/>
        <v/>
      </c>
      <c r="H939" s="24" t="str">
        <f>IF($A939&gt;nrows,"",IF(col_s1=0,0,--(LEN(INDEX('Paste Export'!$A$2:$BZ$1001,$A939,col_s1))&gt;0))+IF(col_s2=0,0,--(LEN(INDEX('Paste Export'!$A$2:$BZ$1001,$A939,col_s2))&gt;0))+IF(col_s3=0,0,--(LEN(INDEX('Paste Export'!$A$2:$BZ$1001,$A939,col_s3))&gt;0))+IF(col_s4=0,0,--(LEN(INDEX('Paste Export'!$A$2:$BZ$1001,$A939,col_s4))&gt;0))+IF(col_s5=0,0,--(LEN(INDEX('Paste Export'!$A$2:$BZ$1001,$A939,col_s5))&gt;0))+IF(col_s6=0,0,--(LEN(INDEX('Paste Export'!$A$2:$BZ$1001,$A939,col_s6))&gt;0))+IF(col_s7=0,0,--(LEN(INDEX('Paste Export'!$A$2:$BZ$1001,$A939,col_s7))&gt;0))+IF(col_s8=0,0,--(LEN(INDEX('Paste Export'!$A$2:$BZ$1001,$A939,col_s8))&gt;0)))</f>
        <v/>
      </c>
      <c r="I939" s="25" t="str">
        <f t="shared" si="101"/>
        <v/>
      </c>
      <c r="J939" s="25" t="str">
        <f t="shared" si="102"/>
        <v/>
      </c>
      <c r="K939" s="24" t="str">
        <f t="shared" si="103"/>
        <v/>
      </c>
      <c r="L939" s="24" t="str">
        <f t="shared" si="104"/>
        <v/>
      </c>
    </row>
    <row r="940" spans="1:12" x14ac:dyDescent="0.25">
      <c r="A940" s="24">
        <f t="shared" si="98"/>
        <v>939</v>
      </c>
      <c r="B940" s="25" t="str">
        <f>IF($A940&gt;nrows,"",IF(col_user=0,"",INDEX('Paste Export'!$A$2:$BZ$1001,$A940,col_user)))</f>
        <v/>
      </c>
      <c r="C940" s="24" t="str">
        <f>IF($A940&gt;nrows,"",IF(col_days=0,0,N(INDEX('Paste Export'!$A$2:$BZ$1001,$A940,col_days))))</f>
        <v/>
      </c>
      <c r="D940" s="24" t="str">
        <f>IF($A940&gt;nrows,"",IF(col_prompts=0,0,N(INDEX('Paste Export'!$A$2:$BZ$1001,$A940,col_prompts))))</f>
        <v/>
      </c>
      <c r="E940" s="24" t="str">
        <f>IF($A940&gt;nrows,"",IF(col_web=0,0,N(INDEX('Paste Export'!$A$2:$BZ$1001,$A940,col_web))))</f>
        <v/>
      </c>
      <c r="F940" s="26" t="str">
        <f t="shared" si="99"/>
        <v/>
      </c>
      <c r="G940" s="27" t="str">
        <f t="shared" si="100"/>
        <v/>
      </c>
      <c r="H940" s="24" t="str">
        <f>IF($A940&gt;nrows,"",IF(col_s1=0,0,--(LEN(INDEX('Paste Export'!$A$2:$BZ$1001,$A940,col_s1))&gt;0))+IF(col_s2=0,0,--(LEN(INDEX('Paste Export'!$A$2:$BZ$1001,$A940,col_s2))&gt;0))+IF(col_s3=0,0,--(LEN(INDEX('Paste Export'!$A$2:$BZ$1001,$A940,col_s3))&gt;0))+IF(col_s4=0,0,--(LEN(INDEX('Paste Export'!$A$2:$BZ$1001,$A940,col_s4))&gt;0))+IF(col_s5=0,0,--(LEN(INDEX('Paste Export'!$A$2:$BZ$1001,$A940,col_s5))&gt;0))+IF(col_s6=0,0,--(LEN(INDEX('Paste Export'!$A$2:$BZ$1001,$A940,col_s6))&gt;0))+IF(col_s7=0,0,--(LEN(INDEX('Paste Export'!$A$2:$BZ$1001,$A940,col_s7))&gt;0))+IF(col_s8=0,0,--(LEN(INDEX('Paste Export'!$A$2:$BZ$1001,$A940,col_s8))&gt;0)))</f>
        <v/>
      </c>
      <c r="I940" s="25" t="str">
        <f t="shared" si="101"/>
        <v/>
      </c>
      <c r="J940" s="25" t="str">
        <f t="shared" si="102"/>
        <v/>
      </c>
      <c r="K940" s="24" t="str">
        <f t="shared" si="103"/>
        <v/>
      </c>
      <c r="L940" s="24" t="str">
        <f t="shared" si="104"/>
        <v/>
      </c>
    </row>
    <row r="941" spans="1:12" x14ac:dyDescent="0.25">
      <c r="A941" s="24">
        <f t="shared" si="98"/>
        <v>940</v>
      </c>
      <c r="B941" s="25" t="str">
        <f>IF($A941&gt;nrows,"",IF(col_user=0,"",INDEX('Paste Export'!$A$2:$BZ$1001,$A941,col_user)))</f>
        <v/>
      </c>
      <c r="C941" s="24" t="str">
        <f>IF($A941&gt;nrows,"",IF(col_days=0,0,N(INDEX('Paste Export'!$A$2:$BZ$1001,$A941,col_days))))</f>
        <v/>
      </c>
      <c r="D941" s="24" t="str">
        <f>IF($A941&gt;nrows,"",IF(col_prompts=0,0,N(INDEX('Paste Export'!$A$2:$BZ$1001,$A941,col_prompts))))</f>
        <v/>
      </c>
      <c r="E941" s="24" t="str">
        <f>IF($A941&gt;nrows,"",IF(col_web=0,0,N(INDEX('Paste Export'!$A$2:$BZ$1001,$A941,col_web))))</f>
        <v/>
      </c>
      <c r="F941" s="26" t="str">
        <f t="shared" si="99"/>
        <v/>
      </c>
      <c r="G941" s="27" t="str">
        <f t="shared" si="100"/>
        <v/>
      </c>
      <c r="H941" s="24" t="str">
        <f>IF($A941&gt;nrows,"",IF(col_s1=0,0,--(LEN(INDEX('Paste Export'!$A$2:$BZ$1001,$A941,col_s1))&gt;0))+IF(col_s2=0,0,--(LEN(INDEX('Paste Export'!$A$2:$BZ$1001,$A941,col_s2))&gt;0))+IF(col_s3=0,0,--(LEN(INDEX('Paste Export'!$A$2:$BZ$1001,$A941,col_s3))&gt;0))+IF(col_s4=0,0,--(LEN(INDEX('Paste Export'!$A$2:$BZ$1001,$A941,col_s4))&gt;0))+IF(col_s5=0,0,--(LEN(INDEX('Paste Export'!$A$2:$BZ$1001,$A941,col_s5))&gt;0))+IF(col_s6=0,0,--(LEN(INDEX('Paste Export'!$A$2:$BZ$1001,$A941,col_s6))&gt;0))+IF(col_s7=0,0,--(LEN(INDEX('Paste Export'!$A$2:$BZ$1001,$A941,col_s7))&gt;0))+IF(col_s8=0,0,--(LEN(INDEX('Paste Export'!$A$2:$BZ$1001,$A941,col_s8))&gt;0)))</f>
        <v/>
      </c>
      <c r="I941" s="25" t="str">
        <f t="shared" si="101"/>
        <v/>
      </c>
      <c r="J941" s="25" t="str">
        <f t="shared" si="102"/>
        <v/>
      </c>
      <c r="K941" s="24" t="str">
        <f t="shared" si="103"/>
        <v/>
      </c>
      <c r="L941" s="24" t="str">
        <f t="shared" si="104"/>
        <v/>
      </c>
    </row>
    <row r="942" spans="1:12" x14ac:dyDescent="0.25">
      <c r="A942" s="24">
        <f t="shared" si="98"/>
        <v>941</v>
      </c>
      <c r="B942" s="25" t="str">
        <f>IF($A942&gt;nrows,"",IF(col_user=0,"",INDEX('Paste Export'!$A$2:$BZ$1001,$A942,col_user)))</f>
        <v/>
      </c>
      <c r="C942" s="24" t="str">
        <f>IF($A942&gt;nrows,"",IF(col_days=0,0,N(INDEX('Paste Export'!$A$2:$BZ$1001,$A942,col_days))))</f>
        <v/>
      </c>
      <c r="D942" s="24" t="str">
        <f>IF($A942&gt;nrows,"",IF(col_prompts=0,0,N(INDEX('Paste Export'!$A$2:$BZ$1001,$A942,col_prompts))))</f>
        <v/>
      </c>
      <c r="E942" s="24" t="str">
        <f>IF($A942&gt;nrows,"",IF(col_web=0,0,N(INDEX('Paste Export'!$A$2:$BZ$1001,$A942,col_web))))</f>
        <v/>
      </c>
      <c r="F942" s="26" t="str">
        <f t="shared" si="99"/>
        <v/>
      </c>
      <c r="G942" s="27" t="str">
        <f t="shared" si="100"/>
        <v/>
      </c>
      <c r="H942" s="24" t="str">
        <f>IF($A942&gt;nrows,"",IF(col_s1=0,0,--(LEN(INDEX('Paste Export'!$A$2:$BZ$1001,$A942,col_s1))&gt;0))+IF(col_s2=0,0,--(LEN(INDEX('Paste Export'!$A$2:$BZ$1001,$A942,col_s2))&gt;0))+IF(col_s3=0,0,--(LEN(INDEX('Paste Export'!$A$2:$BZ$1001,$A942,col_s3))&gt;0))+IF(col_s4=0,0,--(LEN(INDEX('Paste Export'!$A$2:$BZ$1001,$A942,col_s4))&gt;0))+IF(col_s5=0,0,--(LEN(INDEX('Paste Export'!$A$2:$BZ$1001,$A942,col_s5))&gt;0))+IF(col_s6=0,0,--(LEN(INDEX('Paste Export'!$A$2:$BZ$1001,$A942,col_s6))&gt;0))+IF(col_s7=0,0,--(LEN(INDEX('Paste Export'!$A$2:$BZ$1001,$A942,col_s7))&gt;0))+IF(col_s8=0,0,--(LEN(INDEX('Paste Export'!$A$2:$BZ$1001,$A942,col_s8))&gt;0)))</f>
        <v/>
      </c>
      <c r="I942" s="25" t="str">
        <f t="shared" si="101"/>
        <v/>
      </c>
      <c r="J942" s="25" t="str">
        <f t="shared" si="102"/>
        <v/>
      </c>
      <c r="K942" s="24" t="str">
        <f t="shared" si="103"/>
        <v/>
      </c>
      <c r="L942" s="24" t="str">
        <f t="shared" si="104"/>
        <v/>
      </c>
    </row>
    <row r="943" spans="1:12" x14ac:dyDescent="0.25">
      <c r="A943" s="24">
        <f t="shared" si="98"/>
        <v>942</v>
      </c>
      <c r="B943" s="25" t="str">
        <f>IF($A943&gt;nrows,"",IF(col_user=0,"",INDEX('Paste Export'!$A$2:$BZ$1001,$A943,col_user)))</f>
        <v/>
      </c>
      <c r="C943" s="24" t="str">
        <f>IF($A943&gt;nrows,"",IF(col_days=0,0,N(INDEX('Paste Export'!$A$2:$BZ$1001,$A943,col_days))))</f>
        <v/>
      </c>
      <c r="D943" s="24" t="str">
        <f>IF($A943&gt;nrows,"",IF(col_prompts=0,0,N(INDEX('Paste Export'!$A$2:$BZ$1001,$A943,col_prompts))))</f>
        <v/>
      </c>
      <c r="E943" s="24" t="str">
        <f>IF($A943&gt;nrows,"",IF(col_web=0,0,N(INDEX('Paste Export'!$A$2:$BZ$1001,$A943,col_web))))</f>
        <v/>
      </c>
      <c r="F943" s="26" t="str">
        <f t="shared" si="99"/>
        <v/>
      </c>
      <c r="G943" s="27" t="str">
        <f t="shared" si="100"/>
        <v/>
      </c>
      <c r="H943" s="24" t="str">
        <f>IF($A943&gt;nrows,"",IF(col_s1=0,0,--(LEN(INDEX('Paste Export'!$A$2:$BZ$1001,$A943,col_s1))&gt;0))+IF(col_s2=0,0,--(LEN(INDEX('Paste Export'!$A$2:$BZ$1001,$A943,col_s2))&gt;0))+IF(col_s3=0,0,--(LEN(INDEX('Paste Export'!$A$2:$BZ$1001,$A943,col_s3))&gt;0))+IF(col_s4=0,0,--(LEN(INDEX('Paste Export'!$A$2:$BZ$1001,$A943,col_s4))&gt;0))+IF(col_s5=0,0,--(LEN(INDEX('Paste Export'!$A$2:$BZ$1001,$A943,col_s5))&gt;0))+IF(col_s6=0,0,--(LEN(INDEX('Paste Export'!$A$2:$BZ$1001,$A943,col_s6))&gt;0))+IF(col_s7=0,0,--(LEN(INDEX('Paste Export'!$A$2:$BZ$1001,$A943,col_s7))&gt;0))+IF(col_s8=0,0,--(LEN(INDEX('Paste Export'!$A$2:$BZ$1001,$A943,col_s8))&gt;0)))</f>
        <v/>
      </c>
      <c r="I943" s="25" t="str">
        <f t="shared" si="101"/>
        <v/>
      </c>
      <c r="J943" s="25" t="str">
        <f t="shared" si="102"/>
        <v/>
      </c>
      <c r="K943" s="24" t="str">
        <f t="shared" si="103"/>
        <v/>
      </c>
      <c r="L943" s="24" t="str">
        <f t="shared" si="104"/>
        <v/>
      </c>
    </row>
    <row r="944" spans="1:12" x14ac:dyDescent="0.25">
      <c r="A944" s="24">
        <f t="shared" si="98"/>
        <v>943</v>
      </c>
      <c r="B944" s="25" t="str">
        <f>IF($A944&gt;nrows,"",IF(col_user=0,"",INDEX('Paste Export'!$A$2:$BZ$1001,$A944,col_user)))</f>
        <v/>
      </c>
      <c r="C944" s="24" t="str">
        <f>IF($A944&gt;nrows,"",IF(col_days=0,0,N(INDEX('Paste Export'!$A$2:$BZ$1001,$A944,col_days))))</f>
        <v/>
      </c>
      <c r="D944" s="24" t="str">
        <f>IF($A944&gt;nrows,"",IF(col_prompts=0,0,N(INDEX('Paste Export'!$A$2:$BZ$1001,$A944,col_prompts))))</f>
        <v/>
      </c>
      <c r="E944" s="24" t="str">
        <f>IF($A944&gt;nrows,"",IF(col_web=0,0,N(INDEX('Paste Export'!$A$2:$BZ$1001,$A944,col_web))))</f>
        <v/>
      </c>
      <c r="F944" s="26" t="str">
        <f t="shared" si="99"/>
        <v/>
      </c>
      <c r="G944" s="27" t="str">
        <f t="shared" si="100"/>
        <v/>
      </c>
      <c r="H944" s="24" t="str">
        <f>IF($A944&gt;nrows,"",IF(col_s1=0,0,--(LEN(INDEX('Paste Export'!$A$2:$BZ$1001,$A944,col_s1))&gt;0))+IF(col_s2=0,0,--(LEN(INDEX('Paste Export'!$A$2:$BZ$1001,$A944,col_s2))&gt;0))+IF(col_s3=0,0,--(LEN(INDEX('Paste Export'!$A$2:$BZ$1001,$A944,col_s3))&gt;0))+IF(col_s4=0,0,--(LEN(INDEX('Paste Export'!$A$2:$BZ$1001,$A944,col_s4))&gt;0))+IF(col_s5=0,0,--(LEN(INDEX('Paste Export'!$A$2:$BZ$1001,$A944,col_s5))&gt;0))+IF(col_s6=0,0,--(LEN(INDEX('Paste Export'!$A$2:$BZ$1001,$A944,col_s6))&gt;0))+IF(col_s7=0,0,--(LEN(INDEX('Paste Export'!$A$2:$BZ$1001,$A944,col_s7))&gt;0))+IF(col_s8=0,0,--(LEN(INDEX('Paste Export'!$A$2:$BZ$1001,$A944,col_s8))&gt;0)))</f>
        <v/>
      </c>
      <c r="I944" s="25" t="str">
        <f t="shared" si="101"/>
        <v/>
      </c>
      <c r="J944" s="25" t="str">
        <f t="shared" si="102"/>
        <v/>
      </c>
      <c r="K944" s="24" t="str">
        <f t="shared" si="103"/>
        <v/>
      </c>
      <c r="L944" s="24" t="str">
        <f t="shared" si="104"/>
        <v/>
      </c>
    </row>
    <row r="945" spans="1:12" x14ac:dyDescent="0.25">
      <c r="A945" s="24">
        <f t="shared" si="98"/>
        <v>944</v>
      </c>
      <c r="B945" s="25" t="str">
        <f>IF($A945&gt;nrows,"",IF(col_user=0,"",INDEX('Paste Export'!$A$2:$BZ$1001,$A945,col_user)))</f>
        <v/>
      </c>
      <c r="C945" s="24" t="str">
        <f>IF($A945&gt;nrows,"",IF(col_days=0,0,N(INDEX('Paste Export'!$A$2:$BZ$1001,$A945,col_days))))</f>
        <v/>
      </c>
      <c r="D945" s="24" t="str">
        <f>IF($A945&gt;nrows,"",IF(col_prompts=0,0,N(INDEX('Paste Export'!$A$2:$BZ$1001,$A945,col_prompts))))</f>
        <v/>
      </c>
      <c r="E945" s="24" t="str">
        <f>IF($A945&gt;nrows,"",IF(col_web=0,0,N(INDEX('Paste Export'!$A$2:$BZ$1001,$A945,col_web))))</f>
        <v/>
      </c>
      <c r="F945" s="26" t="str">
        <f t="shared" si="99"/>
        <v/>
      </c>
      <c r="G945" s="27" t="str">
        <f t="shared" si="100"/>
        <v/>
      </c>
      <c r="H945" s="24" t="str">
        <f>IF($A945&gt;nrows,"",IF(col_s1=0,0,--(LEN(INDEX('Paste Export'!$A$2:$BZ$1001,$A945,col_s1))&gt;0))+IF(col_s2=0,0,--(LEN(INDEX('Paste Export'!$A$2:$BZ$1001,$A945,col_s2))&gt;0))+IF(col_s3=0,0,--(LEN(INDEX('Paste Export'!$A$2:$BZ$1001,$A945,col_s3))&gt;0))+IF(col_s4=0,0,--(LEN(INDEX('Paste Export'!$A$2:$BZ$1001,$A945,col_s4))&gt;0))+IF(col_s5=0,0,--(LEN(INDEX('Paste Export'!$A$2:$BZ$1001,$A945,col_s5))&gt;0))+IF(col_s6=0,0,--(LEN(INDEX('Paste Export'!$A$2:$BZ$1001,$A945,col_s6))&gt;0))+IF(col_s7=0,0,--(LEN(INDEX('Paste Export'!$A$2:$BZ$1001,$A945,col_s7))&gt;0))+IF(col_s8=0,0,--(LEN(INDEX('Paste Export'!$A$2:$BZ$1001,$A945,col_s8))&gt;0)))</f>
        <v/>
      </c>
      <c r="I945" s="25" t="str">
        <f t="shared" si="101"/>
        <v/>
      </c>
      <c r="J945" s="25" t="str">
        <f t="shared" si="102"/>
        <v/>
      </c>
      <c r="K945" s="24" t="str">
        <f t="shared" si="103"/>
        <v/>
      </c>
      <c r="L945" s="24" t="str">
        <f t="shared" si="104"/>
        <v/>
      </c>
    </row>
    <row r="946" spans="1:12" x14ac:dyDescent="0.25">
      <c r="A946" s="24">
        <f t="shared" si="98"/>
        <v>945</v>
      </c>
      <c r="B946" s="25" t="str">
        <f>IF($A946&gt;nrows,"",IF(col_user=0,"",INDEX('Paste Export'!$A$2:$BZ$1001,$A946,col_user)))</f>
        <v/>
      </c>
      <c r="C946" s="24" t="str">
        <f>IF($A946&gt;nrows,"",IF(col_days=0,0,N(INDEX('Paste Export'!$A$2:$BZ$1001,$A946,col_days))))</f>
        <v/>
      </c>
      <c r="D946" s="24" t="str">
        <f>IF($A946&gt;nrows,"",IF(col_prompts=0,0,N(INDEX('Paste Export'!$A$2:$BZ$1001,$A946,col_prompts))))</f>
        <v/>
      </c>
      <c r="E946" s="24" t="str">
        <f>IF($A946&gt;nrows,"",IF(col_web=0,0,N(INDEX('Paste Export'!$A$2:$BZ$1001,$A946,col_web))))</f>
        <v/>
      </c>
      <c r="F946" s="26" t="str">
        <f t="shared" si="99"/>
        <v/>
      </c>
      <c r="G946" s="27" t="str">
        <f t="shared" si="100"/>
        <v/>
      </c>
      <c r="H946" s="24" t="str">
        <f>IF($A946&gt;nrows,"",IF(col_s1=0,0,--(LEN(INDEX('Paste Export'!$A$2:$BZ$1001,$A946,col_s1))&gt;0))+IF(col_s2=0,0,--(LEN(INDEX('Paste Export'!$A$2:$BZ$1001,$A946,col_s2))&gt;0))+IF(col_s3=0,0,--(LEN(INDEX('Paste Export'!$A$2:$BZ$1001,$A946,col_s3))&gt;0))+IF(col_s4=0,0,--(LEN(INDEX('Paste Export'!$A$2:$BZ$1001,$A946,col_s4))&gt;0))+IF(col_s5=0,0,--(LEN(INDEX('Paste Export'!$A$2:$BZ$1001,$A946,col_s5))&gt;0))+IF(col_s6=0,0,--(LEN(INDEX('Paste Export'!$A$2:$BZ$1001,$A946,col_s6))&gt;0))+IF(col_s7=0,0,--(LEN(INDEX('Paste Export'!$A$2:$BZ$1001,$A946,col_s7))&gt;0))+IF(col_s8=0,0,--(LEN(INDEX('Paste Export'!$A$2:$BZ$1001,$A946,col_s8))&gt;0)))</f>
        <v/>
      </c>
      <c r="I946" s="25" t="str">
        <f t="shared" si="101"/>
        <v/>
      </c>
      <c r="J946" s="25" t="str">
        <f t="shared" si="102"/>
        <v/>
      </c>
      <c r="K946" s="24" t="str">
        <f t="shared" si="103"/>
        <v/>
      </c>
      <c r="L946" s="24" t="str">
        <f t="shared" si="104"/>
        <v/>
      </c>
    </row>
    <row r="947" spans="1:12" x14ac:dyDescent="0.25">
      <c r="A947" s="24">
        <f t="shared" si="98"/>
        <v>946</v>
      </c>
      <c r="B947" s="25" t="str">
        <f>IF($A947&gt;nrows,"",IF(col_user=0,"",INDEX('Paste Export'!$A$2:$BZ$1001,$A947,col_user)))</f>
        <v/>
      </c>
      <c r="C947" s="24" t="str">
        <f>IF($A947&gt;nrows,"",IF(col_days=0,0,N(INDEX('Paste Export'!$A$2:$BZ$1001,$A947,col_days))))</f>
        <v/>
      </c>
      <c r="D947" s="24" t="str">
        <f>IF($A947&gt;nrows,"",IF(col_prompts=0,0,N(INDEX('Paste Export'!$A$2:$BZ$1001,$A947,col_prompts))))</f>
        <v/>
      </c>
      <c r="E947" s="24" t="str">
        <f>IF($A947&gt;nrows,"",IF(col_web=0,0,N(INDEX('Paste Export'!$A$2:$BZ$1001,$A947,col_web))))</f>
        <v/>
      </c>
      <c r="F947" s="26" t="str">
        <f t="shared" si="99"/>
        <v/>
      </c>
      <c r="G947" s="27" t="str">
        <f t="shared" si="100"/>
        <v/>
      </c>
      <c r="H947" s="24" t="str">
        <f>IF($A947&gt;nrows,"",IF(col_s1=0,0,--(LEN(INDEX('Paste Export'!$A$2:$BZ$1001,$A947,col_s1))&gt;0))+IF(col_s2=0,0,--(LEN(INDEX('Paste Export'!$A$2:$BZ$1001,$A947,col_s2))&gt;0))+IF(col_s3=0,0,--(LEN(INDEX('Paste Export'!$A$2:$BZ$1001,$A947,col_s3))&gt;0))+IF(col_s4=0,0,--(LEN(INDEX('Paste Export'!$A$2:$BZ$1001,$A947,col_s4))&gt;0))+IF(col_s5=0,0,--(LEN(INDEX('Paste Export'!$A$2:$BZ$1001,$A947,col_s5))&gt;0))+IF(col_s6=0,0,--(LEN(INDEX('Paste Export'!$A$2:$BZ$1001,$A947,col_s6))&gt;0))+IF(col_s7=0,0,--(LEN(INDEX('Paste Export'!$A$2:$BZ$1001,$A947,col_s7))&gt;0))+IF(col_s8=0,0,--(LEN(INDEX('Paste Export'!$A$2:$BZ$1001,$A947,col_s8))&gt;0)))</f>
        <v/>
      </c>
      <c r="I947" s="25" t="str">
        <f t="shared" si="101"/>
        <v/>
      </c>
      <c r="J947" s="25" t="str">
        <f t="shared" si="102"/>
        <v/>
      </c>
      <c r="K947" s="24" t="str">
        <f t="shared" si="103"/>
        <v/>
      </c>
      <c r="L947" s="24" t="str">
        <f t="shared" si="104"/>
        <v/>
      </c>
    </row>
    <row r="948" spans="1:12" x14ac:dyDescent="0.25">
      <c r="A948" s="24">
        <f t="shared" si="98"/>
        <v>947</v>
      </c>
      <c r="B948" s="25" t="str">
        <f>IF($A948&gt;nrows,"",IF(col_user=0,"",INDEX('Paste Export'!$A$2:$BZ$1001,$A948,col_user)))</f>
        <v/>
      </c>
      <c r="C948" s="24" t="str">
        <f>IF($A948&gt;nrows,"",IF(col_days=0,0,N(INDEX('Paste Export'!$A$2:$BZ$1001,$A948,col_days))))</f>
        <v/>
      </c>
      <c r="D948" s="24" t="str">
        <f>IF($A948&gt;nrows,"",IF(col_prompts=0,0,N(INDEX('Paste Export'!$A$2:$BZ$1001,$A948,col_prompts))))</f>
        <v/>
      </c>
      <c r="E948" s="24" t="str">
        <f>IF($A948&gt;nrows,"",IF(col_web=0,0,N(INDEX('Paste Export'!$A$2:$BZ$1001,$A948,col_web))))</f>
        <v/>
      </c>
      <c r="F948" s="26" t="str">
        <f t="shared" si="99"/>
        <v/>
      </c>
      <c r="G948" s="27" t="str">
        <f t="shared" si="100"/>
        <v/>
      </c>
      <c r="H948" s="24" t="str">
        <f>IF($A948&gt;nrows,"",IF(col_s1=0,0,--(LEN(INDEX('Paste Export'!$A$2:$BZ$1001,$A948,col_s1))&gt;0))+IF(col_s2=0,0,--(LEN(INDEX('Paste Export'!$A$2:$BZ$1001,$A948,col_s2))&gt;0))+IF(col_s3=0,0,--(LEN(INDEX('Paste Export'!$A$2:$BZ$1001,$A948,col_s3))&gt;0))+IF(col_s4=0,0,--(LEN(INDEX('Paste Export'!$A$2:$BZ$1001,$A948,col_s4))&gt;0))+IF(col_s5=0,0,--(LEN(INDEX('Paste Export'!$A$2:$BZ$1001,$A948,col_s5))&gt;0))+IF(col_s6=0,0,--(LEN(INDEX('Paste Export'!$A$2:$BZ$1001,$A948,col_s6))&gt;0))+IF(col_s7=0,0,--(LEN(INDEX('Paste Export'!$A$2:$BZ$1001,$A948,col_s7))&gt;0))+IF(col_s8=0,0,--(LEN(INDEX('Paste Export'!$A$2:$BZ$1001,$A948,col_s8))&gt;0)))</f>
        <v/>
      </c>
      <c r="I948" s="25" t="str">
        <f t="shared" si="101"/>
        <v/>
      </c>
      <c r="J948" s="25" t="str">
        <f t="shared" si="102"/>
        <v/>
      </c>
      <c r="K948" s="24" t="str">
        <f t="shared" si="103"/>
        <v/>
      </c>
      <c r="L948" s="24" t="str">
        <f t="shared" si="104"/>
        <v/>
      </c>
    </row>
    <row r="949" spans="1:12" x14ac:dyDescent="0.25">
      <c r="A949" s="24">
        <f t="shared" si="98"/>
        <v>948</v>
      </c>
      <c r="B949" s="25" t="str">
        <f>IF($A949&gt;nrows,"",IF(col_user=0,"",INDEX('Paste Export'!$A$2:$BZ$1001,$A949,col_user)))</f>
        <v/>
      </c>
      <c r="C949" s="24" t="str">
        <f>IF($A949&gt;nrows,"",IF(col_days=0,0,N(INDEX('Paste Export'!$A$2:$BZ$1001,$A949,col_days))))</f>
        <v/>
      </c>
      <c r="D949" s="24" t="str">
        <f>IF($A949&gt;nrows,"",IF(col_prompts=0,0,N(INDEX('Paste Export'!$A$2:$BZ$1001,$A949,col_prompts))))</f>
        <v/>
      </c>
      <c r="E949" s="24" t="str">
        <f>IF($A949&gt;nrows,"",IF(col_web=0,0,N(INDEX('Paste Export'!$A$2:$BZ$1001,$A949,col_web))))</f>
        <v/>
      </c>
      <c r="F949" s="26" t="str">
        <f t="shared" si="99"/>
        <v/>
      </c>
      <c r="G949" s="27" t="str">
        <f t="shared" si="100"/>
        <v/>
      </c>
      <c r="H949" s="24" t="str">
        <f>IF($A949&gt;nrows,"",IF(col_s1=0,0,--(LEN(INDEX('Paste Export'!$A$2:$BZ$1001,$A949,col_s1))&gt;0))+IF(col_s2=0,0,--(LEN(INDEX('Paste Export'!$A$2:$BZ$1001,$A949,col_s2))&gt;0))+IF(col_s3=0,0,--(LEN(INDEX('Paste Export'!$A$2:$BZ$1001,$A949,col_s3))&gt;0))+IF(col_s4=0,0,--(LEN(INDEX('Paste Export'!$A$2:$BZ$1001,$A949,col_s4))&gt;0))+IF(col_s5=0,0,--(LEN(INDEX('Paste Export'!$A$2:$BZ$1001,$A949,col_s5))&gt;0))+IF(col_s6=0,0,--(LEN(INDEX('Paste Export'!$A$2:$BZ$1001,$A949,col_s6))&gt;0))+IF(col_s7=0,0,--(LEN(INDEX('Paste Export'!$A$2:$BZ$1001,$A949,col_s7))&gt;0))+IF(col_s8=0,0,--(LEN(INDEX('Paste Export'!$A$2:$BZ$1001,$A949,col_s8))&gt;0)))</f>
        <v/>
      </c>
      <c r="I949" s="25" t="str">
        <f t="shared" si="101"/>
        <v/>
      </c>
      <c r="J949" s="25" t="str">
        <f t="shared" si="102"/>
        <v/>
      </c>
      <c r="K949" s="24" t="str">
        <f t="shared" si="103"/>
        <v/>
      </c>
      <c r="L949" s="24" t="str">
        <f t="shared" si="104"/>
        <v/>
      </c>
    </row>
    <row r="950" spans="1:12" x14ac:dyDescent="0.25">
      <c r="A950" s="24">
        <f t="shared" si="98"/>
        <v>949</v>
      </c>
      <c r="B950" s="25" t="str">
        <f>IF($A950&gt;nrows,"",IF(col_user=0,"",INDEX('Paste Export'!$A$2:$BZ$1001,$A950,col_user)))</f>
        <v/>
      </c>
      <c r="C950" s="24" t="str">
        <f>IF($A950&gt;nrows,"",IF(col_days=0,0,N(INDEX('Paste Export'!$A$2:$BZ$1001,$A950,col_days))))</f>
        <v/>
      </c>
      <c r="D950" s="24" t="str">
        <f>IF($A950&gt;nrows,"",IF(col_prompts=0,0,N(INDEX('Paste Export'!$A$2:$BZ$1001,$A950,col_prompts))))</f>
        <v/>
      </c>
      <c r="E950" s="24" t="str">
        <f>IF($A950&gt;nrows,"",IF(col_web=0,0,N(INDEX('Paste Export'!$A$2:$BZ$1001,$A950,col_web))))</f>
        <v/>
      </c>
      <c r="F950" s="26" t="str">
        <f t="shared" si="99"/>
        <v/>
      </c>
      <c r="G950" s="27" t="str">
        <f t="shared" si="100"/>
        <v/>
      </c>
      <c r="H950" s="24" t="str">
        <f>IF($A950&gt;nrows,"",IF(col_s1=0,0,--(LEN(INDEX('Paste Export'!$A$2:$BZ$1001,$A950,col_s1))&gt;0))+IF(col_s2=0,0,--(LEN(INDEX('Paste Export'!$A$2:$BZ$1001,$A950,col_s2))&gt;0))+IF(col_s3=0,0,--(LEN(INDEX('Paste Export'!$A$2:$BZ$1001,$A950,col_s3))&gt;0))+IF(col_s4=0,0,--(LEN(INDEX('Paste Export'!$A$2:$BZ$1001,$A950,col_s4))&gt;0))+IF(col_s5=0,0,--(LEN(INDEX('Paste Export'!$A$2:$BZ$1001,$A950,col_s5))&gt;0))+IF(col_s6=0,0,--(LEN(INDEX('Paste Export'!$A$2:$BZ$1001,$A950,col_s6))&gt;0))+IF(col_s7=0,0,--(LEN(INDEX('Paste Export'!$A$2:$BZ$1001,$A950,col_s7))&gt;0))+IF(col_s8=0,0,--(LEN(INDEX('Paste Export'!$A$2:$BZ$1001,$A950,col_s8))&gt;0)))</f>
        <v/>
      </c>
      <c r="I950" s="25" t="str">
        <f t="shared" si="101"/>
        <v/>
      </c>
      <c r="J950" s="25" t="str">
        <f t="shared" si="102"/>
        <v/>
      </c>
      <c r="K950" s="24" t="str">
        <f t="shared" si="103"/>
        <v/>
      </c>
      <c r="L950" s="24" t="str">
        <f t="shared" si="104"/>
        <v/>
      </c>
    </row>
    <row r="951" spans="1:12" x14ac:dyDescent="0.25">
      <c r="A951" s="24">
        <f t="shared" si="98"/>
        <v>950</v>
      </c>
      <c r="B951" s="25" t="str">
        <f>IF($A951&gt;nrows,"",IF(col_user=0,"",INDEX('Paste Export'!$A$2:$BZ$1001,$A951,col_user)))</f>
        <v/>
      </c>
      <c r="C951" s="24" t="str">
        <f>IF($A951&gt;nrows,"",IF(col_days=0,0,N(INDEX('Paste Export'!$A$2:$BZ$1001,$A951,col_days))))</f>
        <v/>
      </c>
      <c r="D951" s="24" t="str">
        <f>IF($A951&gt;nrows,"",IF(col_prompts=0,0,N(INDEX('Paste Export'!$A$2:$BZ$1001,$A951,col_prompts))))</f>
        <v/>
      </c>
      <c r="E951" s="24" t="str">
        <f>IF($A951&gt;nrows,"",IF(col_web=0,0,N(INDEX('Paste Export'!$A$2:$BZ$1001,$A951,col_web))))</f>
        <v/>
      </c>
      <c r="F951" s="26" t="str">
        <f t="shared" si="99"/>
        <v/>
      </c>
      <c r="G951" s="27" t="str">
        <f t="shared" si="100"/>
        <v/>
      </c>
      <c r="H951" s="24" t="str">
        <f>IF($A951&gt;nrows,"",IF(col_s1=0,0,--(LEN(INDEX('Paste Export'!$A$2:$BZ$1001,$A951,col_s1))&gt;0))+IF(col_s2=0,0,--(LEN(INDEX('Paste Export'!$A$2:$BZ$1001,$A951,col_s2))&gt;0))+IF(col_s3=0,0,--(LEN(INDEX('Paste Export'!$A$2:$BZ$1001,$A951,col_s3))&gt;0))+IF(col_s4=0,0,--(LEN(INDEX('Paste Export'!$A$2:$BZ$1001,$A951,col_s4))&gt;0))+IF(col_s5=0,0,--(LEN(INDEX('Paste Export'!$A$2:$BZ$1001,$A951,col_s5))&gt;0))+IF(col_s6=0,0,--(LEN(INDEX('Paste Export'!$A$2:$BZ$1001,$A951,col_s6))&gt;0))+IF(col_s7=0,0,--(LEN(INDEX('Paste Export'!$A$2:$BZ$1001,$A951,col_s7))&gt;0))+IF(col_s8=0,0,--(LEN(INDEX('Paste Export'!$A$2:$BZ$1001,$A951,col_s8))&gt;0)))</f>
        <v/>
      </c>
      <c r="I951" s="25" t="str">
        <f t="shared" si="101"/>
        <v/>
      </c>
      <c r="J951" s="25" t="str">
        <f t="shared" si="102"/>
        <v/>
      </c>
      <c r="K951" s="24" t="str">
        <f t="shared" si="103"/>
        <v/>
      </c>
      <c r="L951" s="24" t="str">
        <f t="shared" si="104"/>
        <v/>
      </c>
    </row>
    <row r="952" spans="1:12" x14ac:dyDescent="0.25">
      <c r="A952" s="24">
        <f t="shared" si="98"/>
        <v>951</v>
      </c>
      <c r="B952" s="25" t="str">
        <f>IF($A952&gt;nrows,"",IF(col_user=0,"",INDEX('Paste Export'!$A$2:$BZ$1001,$A952,col_user)))</f>
        <v/>
      </c>
      <c r="C952" s="24" t="str">
        <f>IF($A952&gt;nrows,"",IF(col_days=0,0,N(INDEX('Paste Export'!$A$2:$BZ$1001,$A952,col_days))))</f>
        <v/>
      </c>
      <c r="D952" s="24" t="str">
        <f>IF($A952&gt;nrows,"",IF(col_prompts=0,0,N(INDEX('Paste Export'!$A$2:$BZ$1001,$A952,col_prompts))))</f>
        <v/>
      </c>
      <c r="E952" s="24" t="str">
        <f>IF($A952&gt;nrows,"",IF(col_web=0,0,N(INDEX('Paste Export'!$A$2:$BZ$1001,$A952,col_web))))</f>
        <v/>
      </c>
      <c r="F952" s="26" t="str">
        <f t="shared" si="99"/>
        <v/>
      </c>
      <c r="G952" s="27" t="str">
        <f t="shared" si="100"/>
        <v/>
      </c>
      <c r="H952" s="24" t="str">
        <f>IF($A952&gt;nrows,"",IF(col_s1=0,0,--(LEN(INDEX('Paste Export'!$A$2:$BZ$1001,$A952,col_s1))&gt;0))+IF(col_s2=0,0,--(LEN(INDEX('Paste Export'!$A$2:$BZ$1001,$A952,col_s2))&gt;0))+IF(col_s3=0,0,--(LEN(INDEX('Paste Export'!$A$2:$BZ$1001,$A952,col_s3))&gt;0))+IF(col_s4=0,0,--(LEN(INDEX('Paste Export'!$A$2:$BZ$1001,$A952,col_s4))&gt;0))+IF(col_s5=0,0,--(LEN(INDEX('Paste Export'!$A$2:$BZ$1001,$A952,col_s5))&gt;0))+IF(col_s6=0,0,--(LEN(INDEX('Paste Export'!$A$2:$BZ$1001,$A952,col_s6))&gt;0))+IF(col_s7=0,0,--(LEN(INDEX('Paste Export'!$A$2:$BZ$1001,$A952,col_s7))&gt;0))+IF(col_s8=0,0,--(LEN(INDEX('Paste Export'!$A$2:$BZ$1001,$A952,col_s8))&gt;0)))</f>
        <v/>
      </c>
      <c r="I952" s="25" t="str">
        <f t="shared" si="101"/>
        <v/>
      </c>
      <c r="J952" s="25" t="str">
        <f t="shared" si="102"/>
        <v/>
      </c>
      <c r="K952" s="24" t="str">
        <f t="shared" si="103"/>
        <v/>
      </c>
      <c r="L952" s="24" t="str">
        <f t="shared" si="104"/>
        <v/>
      </c>
    </row>
    <row r="953" spans="1:12" x14ac:dyDescent="0.25">
      <c r="A953" s="24">
        <f t="shared" si="98"/>
        <v>952</v>
      </c>
      <c r="B953" s="25" t="str">
        <f>IF($A953&gt;nrows,"",IF(col_user=0,"",INDEX('Paste Export'!$A$2:$BZ$1001,$A953,col_user)))</f>
        <v/>
      </c>
      <c r="C953" s="24" t="str">
        <f>IF($A953&gt;nrows,"",IF(col_days=0,0,N(INDEX('Paste Export'!$A$2:$BZ$1001,$A953,col_days))))</f>
        <v/>
      </c>
      <c r="D953" s="24" t="str">
        <f>IF($A953&gt;nrows,"",IF(col_prompts=0,0,N(INDEX('Paste Export'!$A$2:$BZ$1001,$A953,col_prompts))))</f>
        <v/>
      </c>
      <c r="E953" s="24" t="str">
        <f>IF($A953&gt;nrows,"",IF(col_web=0,0,N(INDEX('Paste Export'!$A$2:$BZ$1001,$A953,col_web))))</f>
        <v/>
      </c>
      <c r="F953" s="26" t="str">
        <f t="shared" si="99"/>
        <v/>
      </c>
      <c r="G953" s="27" t="str">
        <f t="shared" si="100"/>
        <v/>
      </c>
      <c r="H953" s="24" t="str">
        <f>IF($A953&gt;nrows,"",IF(col_s1=0,0,--(LEN(INDEX('Paste Export'!$A$2:$BZ$1001,$A953,col_s1))&gt;0))+IF(col_s2=0,0,--(LEN(INDEX('Paste Export'!$A$2:$BZ$1001,$A953,col_s2))&gt;0))+IF(col_s3=0,0,--(LEN(INDEX('Paste Export'!$A$2:$BZ$1001,$A953,col_s3))&gt;0))+IF(col_s4=0,0,--(LEN(INDEX('Paste Export'!$A$2:$BZ$1001,$A953,col_s4))&gt;0))+IF(col_s5=0,0,--(LEN(INDEX('Paste Export'!$A$2:$BZ$1001,$A953,col_s5))&gt;0))+IF(col_s6=0,0,--(LEN(INDEX('Paste Export'!$A$2:$BZ$1001,$A953,col_s6))&gt;0))+IF(col_s7=0,0,--(LEN(INDEX('Paste Export'!$A$2:$BZ$1001,$A953,col_s7))&gt;0))+IF(col_s8=0,0,--(LEN(INDEX('Paste Export'!$A$2:$BZ$1001,$A953,col_s8))&gt;0)))</f>
        <v/>
      </c>
      <c r="I953" s="25" t="str">
        <f t="shared" si="101"/>
        <v/>
      </c>
      <c r="J953" s="25" t="str">
        <f t="shared" si="102"/>
        <v/>
      </c>
      <c r="K953" s="24" t="str">
        <f t="shared" si="103"/>
        <v/>
      </c>
      <c r="L953" s="24" t="str">
        <f t="shared" si="104"/>
        <v/>
      </c>
    </row>
    <row r="954" spans="1:12" x14ac:dyDescent="0.25">
      <c r="A954" s="24">
        <f t="shared" si="98"/>
        <v>953</v>
      </c>
      <c r="B954" s="25" t="str">
        <f>IF($A954&gt;nrows,"",IF(col_user=0,"",INDEX('Paste Export'!$A$2:$BZ$1001,$A954,col_user)))</f>
        <v/>
      </c>
      <c r="C954" s="24" t="str">
        <f>IF($A954&gt;nrows,"",IF(col_days=0,0,N(INDEX('Paste Export'!$A$2:$BZ$1001,$A954,col_days))))</f>
        <v/>
      </c>
      <c r="D954" s="24" t="str">
        <f>IF($A954&gt;nrows,"",IF(col_prompts=0,0,N(INDEX('Paste Export'!$A$2:$BZ$1001,$A954,col_prompts))))</f>
        <v/>
      </c>
      <c r="E954" s="24" t="str">
        <f>IF($A954&gt;nrows,"",IF(col_web=0,0,N(INDEX('Paste Export'!$A$2:$BZ$1001,$A954,col_web))))</f>
        <v/>
      </c>
      <c r="F954" s="26" t="str">
        <f t="shared" si="99"/>
        <v/>
      </c>
      <c r="G954" s="27" t="str">
        <f t="shared" si="100"/>
        <v/>
      </c>
      <c r="H954" s="24" t="str">
        <f>IF($A954&gt;nrows,"",IF(col_s1=0,0,--(LEN(INDEX('Paste Export'!$A$2:$BZ$1001,$A954,col_s1))&gt;0))+IF(col_s2=0,0,--(LEN(INDEX('Paste Export'!$A$2:$BZ$1001,$A954,col_s2))&gt;0))+IF(col_s3=0,0,--(LEN(INDEX('Paste Export'!$A$2:$BZ$1001,$A954,col_s3))&gt;0))+IF(col_s4=0,0,--(LEN(INDEX('Paste Export'!$A$2:$BZ$1001,$A954,col_s4))&gt;0))+IF(col_s5=0,0,--(LEN(INDEX('Paste Export'!$A$2:$BZ$1001,$A954,col_s5))&gt;0))+IF(col_s6=0,0,--(LEN(INDEX('Paste Export'!$A$2:$BZ$1001,$A954,col_s6))&gt;0))+IF(col_s7=0,0,--(LEN(INDEX('Paste Export'!$A$2:$BZ$1001,$A954,col_s7))&gt;0))+IF(col_s8=0,0,--(LEN(INDEX('Paste Export'!$A$2:$BZ$1001,$A954,col_s8))&gt;0)))</f>
        <v/>
      </c>
      <c r="I954" s="25" t="str">
        <f t="shared" si="101"/>
        <v/>
      </c>
      <c r="J954" s="25" t="str">
        <f t="shared" si="102"/>
        <v/>
      </c>
      <c r="K954" s="24" t="str">
        <f t="shared" si="103"/>
        <v/>
      </c>
      <c r="L954" s="24" t="str">
        <f t="shared" si="104"/>
        <v/>
      </c>
    </row>
    <row r="955" spans="1:12" x14ac:dyDescent="0.25">
      <c r="A955" s="24">
        <f t="shared" si="98"/>
        <v>954</v>
      </c>
      <c r="B955" s="25" t="str">
        <f>IF($A955&gt;nrows,"",IF(col_user=0,"",INDEX('Paste Export'!$A$2:$BZ$1001,$A955,col_user)))</f>
        <v/>
      </c>
      <c r="C955" s="24" t="str">
        <f>IF($A955&gt;nrows,"",IF(col_days=0,0,N(INDEX('Paste Export'!$A$2:$BZ$1001,$A955,col_days))))</f>
        <v/>
      </c>
      <c r="D955" s="24" t="str">
        <f>IF($A955&gt;nrows,"",IF(col_prompts=0,0,N(INDEX('Paste Export'!$A$2:$BZ$1001,$A955,col_prompts))))</f>
        <v/>
      </c>
      <c r="E955" s="24" t="str">
        <f>IF($A955&gt;nrows,"",IF(col_web=0,0,N(INDEX('Paste Export'!$A$2:$BZ$1001,$A955,col_web))))</f>
        <v/>
      </c>
      <c r="F955" s="26" t="str">
        <f t="shared" si="99"/>
        <v/>
      </c>
      <c r="G955" s="27" t="str">
        <f t="shared" si="100"/>
        <v/>
      </c>
      <c r="H955" s="24" t="str">
        <f>IF($A955&gt;nrows,"",IF(col_s1=0,0,--(LEN(INDEX('Paste Export'!$A$2:$BZ$1001,$A955,col_s1))&gt;0))+IF(col_s2=0,0,--(LEN(INDEX('Paste Export'!$A$2:$BZ$1001,$A955,col_s2))&gt;0))+IF(col_s3=0,0,--(LEN(INDEX('Paste Export'!$A$2:$BZ$1001,$A955,col_s3))&gt;0))+IF(col_s4=0,0,--(LEN(INDEX('Paste Export'!$A$2:$BZ$1001,$A955,col_s4))&gt;0))+IF(col_s5=0,0,--(LEN(INDEX('Paste Export'!$A$2:$BZ$1001,$A955,col_s5))&gt;0))+IF(col_s6=0,0,--(LEN(INDEX('Paste Export'!$A$2:$BZ$1001,$A955,col_s6))&gt;0))+IF(col_s7=0,0,--(LEN(INDEX('Paste Export'!$A$2:$BZ$1001,$A955,col_s7))&gt;0))+IF(col_s8=0,0,--(LEN(INDEX('Paste Export'!$A$2:$BZ$1001,$A955,col_s8))&gt;0)))</f>
        <v/>
      </c>
      <c r="I955" s="25" t="str">
        <f t="shared" si="101"/>
        <v/>
      </c>
      <c r="J955" s="25" t="str">
        <f t="shared" si="102"/>
        <v/>
      </c>
      <c r="K955" s="24" t="str">
        <f t="shared" si="103"/>
        <v/>
      </c>
      <c r="L955" s="24" t="str">
        <f t="shared" si="104"/>
        <v/>
      </c>
    </row>
    <row r="956" spans="1:12" x14ac:dyDescent="0.25">
      <c r="A956" s="24">
        <f t="shared" si="98"/>
        <v>955</v>
      </c>
      <c r="B956" s="25" t="str">
        <f>IF($A956&gt;nrows,"",IF(col_user=0,"",INDEX('Paste Export'!$A$2:$BZ$1001,$A956,col_user)))</f>
        <v/>
      </c>
      <c r="C956" s="24" t="str">
        <f>IF($A956&gt;nrows,"",IF(col_days=0,0,N(INDEX('Paste Export'!$A$2:$BZ$1001,$A956,col_days))))</f>
        <v/>
      </c>
      <c r="D956" s="24" t="str">
        <f>IF($A956&gt;nrows,"",IF(col_prompts=0,0,N(INDEX('Paste Export'!$A$2:$BZ$1001,$A956,col_prompts))))</f>
        <v/>
      </c>
      <c r="E956" s="24" t="str">
        <f>IF($A956&gt;nrows,"",IF(col_web=0,0,N(INDEX('Paste Export'!$A$2:$BZ$1001,$A956,col_web))))</f>
        <v/>
      </c>
      <c r="F956" s="26" t="str">
        <f t="shared" si="99"/>
        <v/>
      </c>
      <c r="G956" s="27" t="str">
        <f t="shared" si="100"/>
        <v/>
      </c>
      <c r="H956" s="24" t="str">
        <f>IF($A956&gt;nrows,"",IF(col_s1=0,0,--(LEN(INDEX('Paste Export'!$A$2:$BZ$1001,$A956,col_s1))&gt;0))+IF(col_s2=0,0,--(LEN(INDEX('Paste Export'!$A$2:$BZ$1001,$A956,col_s2))&gt;0))+IF(col_s3=0,0,--(LEN(INDEX('Paste Export'!$A$2:$BZ$1001,$A956,col_s3))&gt;0))+IF(col_s4=0,0,--(LEN(INDEX('Paste Export'!$A$2:$BZ$1001,$A956,col_s4))&gt;0))+IF(col_s5=0,0,--(LEN(INDEX('Paste Export'!$A$2:$BZ$1001,$A956,col_s5))&gt;0))+IF(col_s6=0,0,--(LEN(INDEX('Paste Export'!$A$2:$BZ$1001,$A956,col_s6))&gt;0))+IF(col_s7=0,0,--(LEN(INDEX('Paste Export'!$A$2:$BZ$1001,$A956,col_s7))&gt;0))+IF(col_s8=0,0,--(LEN(INDEX('Paste Export'!$A$2:$BZ$1001,$A956,col_s8))&gt;0)))</f>
        <v/>
      </c>
      <c r="I956" s="25" t="str">
        <f t="shared" si="101"/>
        <v/>
      </c>
      <c r="J956" s="25" t="str">
        <f t="shared" si="102"/>
        <v/>
      </c>
      <c r="K956" s="24" t="str">
        <f t="shared" si="103"/>
        <v/>
      </c>
      <c r="L956" s="24" t="str">
        <f t="shared" si="104"/>
        <v/>
      </c>
    </row>
    <row r="957" spans="1:12" x14ac:dyDescent="0.25">
      <c r="A957" s="24">
        <f t="shared" si="98"/>
        <v>956</v>
      </c>
      <c r="B957" s="25" t="str">
        <f>IF($A957&gt;nrows,"",IF(col_user=0,"",INDEX('Paste Export'!$A$2:$BZ$1001,$A957,col_user)))</f>
        <v/>
      </c>
      <c r="C957" s="24" t="str">
        <f>IF($A957&gt;nrows,"",IF(col_days=0,0,N(INDEX('Paste Export'!$A$2:$BZ$1001,$A957,col_days))))</f>
        <v/>
      </c>
      <c r="D957" s="24" t="str">
        <f>IF($A957&gt;nrows,"",IF(col_prompts=0,0,N(INDEX('Paste Export'!$A$2:$BZ$1001,$A957,col_prompts))))</f>
        <v/>
      </c>
      <c r="E957" s="24" t="str">
        <f>IF($A957&gt;nrows,"",IF(col_web=0,0,N(INDEX('Paste Export'!$A$2:$BZ$1001,$A957,col_web))))</f>
        <v/>
      </c>
      <c r="F957" s="26" t="str">
        <f t="shared" si="99"/>
        <v/>
      </c>
      <c r="G957" s="27" t="str">
        <f t="shared" si="100"/>
        <v/>
      </c>
      <c r="H957" s="24" t="str">
        <f>IF($A957&gt;nrows,"",IF(col_s1=0,0,--(LEN(INDEX('Paste Export'!$A$2:$BZ$1001,$A957,col_s1))&gt;0))+IF(col_s2=0,0,--(LEN(INDEX('Paste Export'!$A$2:$BZ$1001,$A957,col_s2))&gt;0))+IF(col_s3=0,0,--(LEN(INDEX('Paste Export'!$A$2:$BZ$1001,$A957,col_s3))&gt;0))+IF(col_s4=0,0,--(LEN(INDEX('Paste Export'!$A$2:$BZ$1001,$A957,col_s4))&gt;0))+IF(col_s5=0,0,--(LEN(INDEX('Paste Export'!$A$2:$BZ$1001,$A957,col_s5))&gt;0))+IF(col_s6=0,0,--(LEN(INDEX('Paste Export'!$A$2:$BZ$1001,$A957,col_s6))&gt;0))+IF(col_s7=0,0,--(LEN(INDEX('Paste Export'!$A$2:$BZ$1001,$A957,col_s7))&gt;0))+IF(col_s8=0,0,--(LEN(INDEX('Paste Export'!$A$2:$BZ$1001,$A957,col_s8))&gt;0)))</f>
        <v/>
      </c>
      <c r="I957" s="25" t="str">
        <f t="shared" si="101"/>
        <v/>
      </c>
      <c r="J957" s="25" t="str">
        <f t="shared" si="102"/>
        <v/>
      </c>
      <c r="K957" s="24" t="str">
        <f t="shared" si="103"/>
        <v/>
      </c>
      <c r="L957" s="24" t="str">
        <f t="shared" si="104"/>
        <v/>
      </c>
    </row>
    <row r="958" spans="1:12" x14ac:dyDescent="0.25">
      <c r="A958" s="24">
        <f t="shared" si="98"/>
        <v>957</v>
      </c>
      <c r="B958" s="25" t="str">
        <f>IF($A958&gt;nrows,"",IF(col_user=0,"",INDEX('Paste Export'!$A$2:$BZ$1001,$A958,col_user)))</f>
        <v/>
      </c>
      <c r="C958" s="24" t="str">
        <f>IF($A958&gt;nrows,"",IF(col_days=0,0,N(INDEX('Paste Export'!$A$2:$BZ$1001,$A958,col_days))))</f>
        <v/>
      </c>
      <c r="D958" s="24" t="str">
        <f>IF($A958&gt;nrows,"",IF(col_prompts=0,0,N(INDEX('Paste Export'!$A$2:$BZ$1001,$A958,col_prompts))))</f>
        <v/>
      </c>
      <c r="E958" s="24" t="str">
        <f>IF($A958&gt;nrows,"",IF(col_web=0,0,N(INDEX('Paste Export'!$A$2:$BZ$1001,$A958,col_web))))</f>
        <v/>
      </c>
      <c r="F958" s="26" t="str">
        <f t="shared" si="99"/>
        <v/>
      </c>
      <c r="G958" s="27" t="str">
        <f t="shared" si="100"/>
        <v/>
      </c>
      <c r="H958" s="24" t="str">
        <f>IF($A958&gt;nrows,"",IF(col_s1=0,0,--(LEN(INDEX('Paste Export'!$A$2:$BZ$1001,$A958,col_s1))&gt;0))+IF(col_s2=0,0,--(LEN(INDEX('Paste Export'!$A$2:$BZ$1001,$A958,col_s2))&gt;0))+IF(col_s3=0,0,--(LEN(INDEX('Paste Export'!$A$2:$BZ$1001,$A958,col_s3))&gt;0))+IF(col_s4=0,0,--(LEN(INDEX('Paste Export'!$A$2:$BZ$1001,$A958,col_s4))&gt;0))+IF(col_s5=0,0,--(LEN(INDEX('Paste Export'!$A$2:$BZ$1001,$A958,col_s5))&gt;0))+IF(col_s6=0,0,--(LEN(INDEX('Paste Export'!$A$2:$BZ$1001,$A958,col_s6))&gt;0))+IF(col_s7=0,0,--(LEN(INDEX('Paste Export'!$A$2:$BZ$1001,$A958,col_s7))&gt;0))+IF(col_s8=0,0,--(LEN(INDEX('Paste Export'!$A$2:$BZ$1001,$A958,col_s8))&gt;0)))</f>
        <v/>
      </c>
      <c r="I958" s="25" t="str">
        <f t="shared" si="101"/>
        <v/>
      </c>
      <c r="J958" s="25" t="str">
        <f t="shared" si="102"/>
        <v/>
      </c>
      <c r="K958" s="24" t="str">
        <f t="shared" si="103"/>
        <v/>
      </c>
      <c r="L958" s="24" t="str">
        <f t="shared" si="104"/>
        <v/>
      </c>
    </row>
    <row r="959" spans="1:12" x14ac:dyDescent="0.25">
      <c r="A959" s="24">
        <f t="shared" si="98"/>
        <v>958</v>
      </c>
      <c r="B959" s="25" t="str">
        <f>IF($A959&gt;nrows,"",IF(col_user=0,"",INDEX('Paste Export'!$A$2:$BZ$1001,$A959,col_user)))</f>
        <v/>
      </c>
      <c r="C959" s="24" t="str">
        <f>IF($A959&gt;nrows,"",IF(col_days=0,0,N(INDEX('Paste Export'!$A$2:$BZ$1001,$A959,col_days))))</f>
        <v/>
      </c>
      <c r="D959" s="24" t="str">
        <f>IF($A959&gt;nrows,"",IF(col_prompts=0,0,N(INDEX('Paste Export'!$A$2:$BZ$1001,$A959,col_prompts))))</f>
        <v/>
      </c>
      <c r="E959" s="24" t="str">
        <f>IF($A959&gt;nrows,"",IF(col_web=0,0,N(INDEX('Paste Export'!$A$2:$BZ$1001,$A959,col_web))))</f>
        <v/>
      </c>
      <c r="F959" s="26" t="str">
        <f t="shared" si="99"/>
        <v/>
      </c>
      <c r="G959" s="27" t="str">
        <f t="shared" si="100"/>
        <v/>
      </c>
      <c r="H959" s="24" t="str">
        <f>IF($A959&gt;nrows,"",IF(col_s1=0,0,--(LEN(INDEX('Paste Export'!$A$2:$BZ$1001,$A959,col_s1))&gt;0))+IF(col_s2=0,0,--(LEN(INDEX('Paste Export'!$A$2:$BZ$1001,$A959,col_s2))&gt;0))+IF(col_s3=0,0,--(LEN(INDEX('Paste Export'!$A$2:$BZ$1001,$A959,col_s3))&gt;0))+IF(col_s4=0,0,--(LEN(INDEX('Paste Export'!$A$2:$BZ$1001,$A959,col_s4))&gt;0))+IF(col_s5=0,0,--(LEN(INDEX('Paste Export'!$A$2:$BZ$1001,$A959,col_s5))&gt;0))+IF(col_s6=0,0,--(LEN(INDEX('Paste Export'!$A$2:$BZ$1001,$A959,col_s6))&gt;0))+IF(col_s7=0,0,--(LEN(INDEX('Paste Export'!$A$2:$BZ$1001,$A959,col_s7))&gt;0))+IF(col_s8=0,0,--(LEN(INDEX('Paste Export'!$A$2:$BZ$1001,$A959,col_s8))&gt;0)))</f>
        <v/>
      </c>
      <c r="I959" s="25" t="str">
        <f t="shared" si="101"/>
        <v/>
      </c>
      <c r="J959" s="25" t="str">
        <f t="shared" si="102"/>
        <v/>
      </c>
      <c r="K959" s="24" t="str">
        <f t="shared" si="103"/>
        <v/>
      </c>
      <c r="L959" s="24" t="str">
        <f t="shared" si="104"/>
        <v/>
      </c>
    </row>
    <row r="960" spans="1:12" x14ac:dyDescent="0.25">
      <c r="A960" s="24">
        <f t="shared" si="98"/>
        <v>959</v>
      </c>
      <c r="B960" s="25" t="str">
        <f>IF($A960&gt;nrows,"",IF(col_user=0,"",INDEX('Paste Export'!$A$2:$BZ$1001,$A960,col_user)))</f>
        <v/>
      </c>
      <c r="C960" s="24" t="str">
        <f>IF($A960&gt;nrows,"",IF(col_days=0,0,N(INDEX('Paste Export'!$A$2:$BZ$1001,$A960,col_days))))</f>
        <v/>
      </c>
      <c r="D960" s="24" t="str">
        <f>IF($A960&gt;nrows,"",IF(col_prompts=0,0,N(INDEX('Paste Export'!$A$2:$BZ$1001,$A960,col_prompts))))</f>
        <v/>
      </c>
      <c r="E960" s="24" t="str">
        <f>IF($A960&gt;nrows,"",IF(col_web=0,0,N(INDEX('Paste Export'!$A$2:$BZ$1001,$A960,col_web))))</f>
        <v/>
      </c>
      <c r="F960" s="26" t="str">
        <f t="shared" si="99"/>
        <v/>
      </c>
      <c r="G960" s="27" t="str">
        <f t="shared" si="100"/>
        <v/>
      </c>
      <c r="H960" s="24" t="str">
        <f>IF($A960&gt;nrows,"",IF(col_s1=0,0,--(LEN(INDEX('Paste Export'!$A$2:$BZ$1001,$A960,col_s1))&gt;0))+IF(col_s2=0,0,--(LEN(INDEX('Paste Export'!$A$2:$BZ$1001,$A960,col_s2))&gt;0))+IF(col_s3=0,0,--(LEN(INDEX('Paste Export'!$A$2:$BZ$1001,$A960,col_s3))&gt;0))+IF(col_s4=0,0,--(LEN(INDEX('Paste Export'!$A$2:$BZ$1001,$A960,col_s4))&gt;0))+IF(col_s5=0,0,--(LEN(INDEX('Paste Export'!$A$2:$BZ$1001,$A960,col_s5))&gt;0))+IF(col_s6=0,0,--(LEN(INDEX('Paste Export'!$A$2:$BZ$1001,$A960,col_s6))&gt;0))+IF(col_s7=0,0,--(LEN(INDEX('Paste Export'!$A$2:$BZ$1001,$A960,col_s7))&gt;0))+IF(col_s8=0,0,--(LEN(INDEX('Paste Export'!$A$2:$BZ$1001,$A960,col_s8))&gt;0)))</f>
        <v/>
      </c>
      <c r="I960" s="25" t="str">
        <f t="shared" si="101"/>
        <v/>
      </c>
      <c r="J960" s="25" t="str">
        <f t="shared" si="102"/>
        <v/>
      </c>
      <c r="K960" s="24" t="str">
        <f t="shared" si="103"/>
        <v/>
      </c>
      <c r="L960" s="24" t="str">
        <f t="shared" si="104"/>
        <v/>
      </c>
    </row>
    <row r="961" spans="1:12" x14ac:dyDescent="0.25">
      <c r="A961" s="24">
        <f t="shared" si="98"/>
        <v>960</v>
      </c>
      <c r="B961" s="25" t="str">
        <f>IF($A961&gt;nrows,"",IF(col_user=0,"",INDEX('Paste Export'!$A$2:$BZ$1001,$A961,col_user)))</f>
        <v/>
      </c>
      <c r="C961" s="24" t="str">
        <f>IF($A961&gt;nrows,"",IF(col_days=0,0,N(INDEX('Paste Export'!$A$2:$BZ$1001,$A961,col_days))))</f>
        <v/>
      </c>
      <c r="D961" s="24" t="str">
        <f>IF($A961&gt;nrows,"",IF(col_prompts=0,0,N(INDEX('Paste Export'!$A$2:$BZ$1001,$A961,col_prompts))))</f>
        <v/>
      </c>
      <c r="E961" s="24" t="str">
        <f>IF($A961&gt;nrows,"",IF(col_web=0,0,N(INDEX('Paste Export'!$A$2:$BZ$1001,$A961,col_web))))</f>
        <v/>
      </c>
      <c r="F961" s="26" t="str">
        <f t="shared" si="99"/>
        <v/>
      </c>
      <c r="G961" s="27" t="str">
        <f t="shared" si="100"/>
        <v/>
      </c>
      <c r="H961" s="24" t="str">
        <f>IF($A961&gt;nrows,"",IF(col_s1=0,0,--(LEN(INDEX('Paste Export'!$A$2:$BZ$1001,$A961,col_s1))&gt;0))+IF(col_s2=0,0,--(LEN(INDEX('Paste Export'!$A$2:$BZ$1001,$A961,col_s2))&gt;0))+IF(col_s3=0,0,--(LEN(INDEX('Paste Export'!$A$2:$BZ$1001,$A961,col_s3))&gt;0))+IF(col_s4=0,0,--(LEN(INDEX('Paste Export'!$A$2:$BZ$1001,$A961,col_s4))&gt;0))+IF(col_s5=0,0,--(LEN(INDEX('Paste Export'!$A$2:$BZ$1001,$A961,col_s5))&gt;0))+IF(col_s6=0,0,--(LEN(INDEX('Paste Export'!$A$2:$BZ$1001,$A961,col_s6))&gt;0))+IF(col_s7=0,0,--(LEN(INDEX('Paste Export'!$A$2:$BZ$1001,$A961,col_s7))&gt;0))+IF(col_s8=0,0,--(LEN(INDEX('Paste Export'!$A$2:$BZ$1001,$A961,col_s8))&gt;0)))</f>
        <v/>
      </c>
      <c r="I961" s="25" t="str">
        <f t="shared" si="101"/>
        <v/>
      </c>
      <c r="J961" s="25" t="str">
        <f t="shared" si="102"/>
        <v/>
      </c>
      <c r="K961" s="24" t="str">
        <f t="shared" si="103"/>
        <v/>
      </c>
      <c r="L961" s="24" t="str">
        <f t="shared" si="104"/>
        <v/>
      </c>
    </row>
    <row r="962" spans="1:12" x14ac:dyDescent="0.25">
      <c r="A962" s="24">
        <f t="shared" ref="A962:A1001" si="105">ROW()-1</f>
        <v>961</v>
      </c>
      <c r="B962" s="25" t="str">
        <f>IF($A962&gt;nrows,"",IF(col_user=0,"",INDEX('Paste Export'!$A$2:$BZ$1001,$A962,col_user)))</f>
        <v/>
      </c>
      <c r="C962" s="24" t="str">
        <f>IF($A962&gt;nrows,"",IF(col_days=0,0,N(INDEX('Paste Export'!$A$2:$BZ$1001,$A962,col_days))))</f>
        <v/>
      </c>
      <c r="D962" s="24" t="str">
        <f>IF($A962&gt;nrows,"",IF(col_prompts=0,0,N(INDEX('Paste Export'!$A$2:$BZ$1001,$A962,col_prompts))))</f>
        <v/>
      </c>
      <c r="E962" s="24" t="str">
        <f>IF($A962&gt;nrows,"",IF(col_web=0,0,N(INDEX('Paste Export'!$A$2:$BZ$1001,$A962,col_web))))</f>
        <v/>
      </c>
      <c r="F962" s="26" t="str">
        <f t="shared" ref="F962:F1001" si="106">IF($A962&gt;nrows,"",IFERROR($D962/$C962,0))</f>
        <v/>
      </c>
      <c r="G962" s="27" t="str">
        <f t="shared" ref="G962:G1001" si="107">IF($A962&gt;nrows,"",IFERROR($E962/$D962,""))</f>
        <v/>
      </c>
      <c r="H962" s="24" t="str">
        <f>IF($A962&gt;nrows,"",IF(col_s1=0,0,--(LEN(INDEX('Paste Export'!$A$2:$BZ$1001,$A962,col_s1))&gt;0))+IF(col_s2=0,0,--(LEN(INDEX('Paste Export'!$A$2:$BZ$1001,$A962,col_s2))&gt;0))+IF(col_s3=0,0,--(LEN(INDEX('Paste Export'!$A$2:$BZ$1001,$A962,col_s3))&gt;0))+IF(col_s4=0,0,--(LEN(INDEX('Paste Export'!$A$2:$BZ$1001,$A962,col_s4))&gt;0))+IF(col_s5=0,0,--(LEN(INDEX('Paste Export'!$A$2:$BZ$1001,$A962,col_s5))&gt;0))+IF(col_s6=0,0,--(LEN(INDEX('Paste Export'!$A$2:$BZ$1001,$A962,col_s6))&gt;0))+IF(col_s7=0,0,--(LEN(INDEX('Paste Export'!$A$2:$BZ$1001,$A962,col_s7))&gt;0))+IF(col_s8=0,0,--(LEN(INDEX('Paste Export'!$A$2:$BZ$1001,$A962,col_s8))&gt;0)))</f>
        <v/>
      </c>
      <c r="I962" s="25" t="str">
        <f t="shared" ref="I962:I1001" si="108">IF($A962&gt;nrows,"",IF($C962&gt;=freq_line,IF($D962&gt;=depth_line,"Embedded","Loyal but shallow"),IF($D962&gt;=depth_line,"Project-driven","Drifting")))</f>
        <v/>
      </c>
      <c r="J962" s="25" t="str">
        <f t="shared" ref="J962:J1001" si="109">IF($A962&gt;nrows,"",IF($I962="Drifting",IF($H962&gt;=3,"tried and stopped","never started"),""))</f>
        <v/>
      </c>
      <c r="K962" s="24" t="str">
        <f t="shared" ref="K962:K1001" si="110">IF($A962&gt;nrows,"",MAX($D962,1))</f>
        <v/>
      </c>
      <c r="L962" s="24" t="str">
        <f t="shared" ref="L962:L1001" si="111">IF($A962&gt;nrows,"",IF(AND($C962=0,$D962=0),1,0))</f>
        <v/>
      </c>
    </row>
    <row r="963" spans="1:12" x14ac:dyDescent="0.25">
      <c r="A963" s="24">
        <f t="shared" si="105"/>
        <v>962</v>
      </c>
      <c r="B963" s="25" t="str">
        <f>IF($A963&gt;nrows,"",IF(col_user=0,"",INDEX('Paste Export'!$A$2:$BZ$1001,$A963,col_user)))</f>
        <v/>
      </c>
      <c r="C963" s="24" t="str">
        <f>IF($A963&gt;nrows,"",IF(col_days=0,0,N(INDEX('Paste Export'!$A$2:$BZ$1001,$A963,col_days))))</f>
        <v/>
      </c>
      <c r="D963" s="24" t="str">
        <f>IF($A963&gt;nrows,"",IF(col_prompts=0,0,N(INDEX('Paste Export'!$A$2:$BZ$1001,$A963,col_prompts))))</f>
        <v/>
      </c>
      <c r="E963" s="24" t="str">
        <f>IF($A963&gt;nrows,"",IF(col_web=0,0,N(INDEX('Paste Export'!$A$2:$BZ$1001,$A963,col_web))))</f>
        <v/>
      </c>
      <c r="F963" s="26" t="str">
        <f t="shared" si="106"/>
        <v/>
      </c>
      <c r="G963" s="27" t="str">
        <f t="shared" si="107"/>
        <v/>
      </c>
      <c r="H963" s="24" t="str">
        <f>IF($A963&gt;nrows,"",IF(col_s1=0,0,--(LEN(INDEX('Paste Export'!$A$2:$BZ$1001,$A963,col_s1))&gt;0))+IF(col_s2=0,0,--(LEN(INDEX('Paste Export'!$A$2:$BZ$1001,$A963,col_s2))&gt;0))+IF(col_s3=0,0,--(LEN(INDEX('Paste Export'!$A$2:$BZ$1001,$A963,col_s3))&gt;0))+IF(col_s4=0,0,--(LEN(INDEX('Paste Export'!$A$2:$BZ$1001,$A963,col_s4))&gt;0))+IF(col_s5=0,0,--(LEN(INDEX('Paste Export'!$A$2:$BZ$1001,$A963,col_s5))&gt;0))+IF(col_s6=0,0,--(LEN(INDEX('Paste Export'!$A$2:$BZ$1001,$A963,col_s6))&gt;0))+IF(col_s7=0,0,--(LEN(INDEX('Paste Export'!$A$2:$BZ$1001,$A963,col_s7))&gt;0))+IF(col_s8=0,0,--(LEN(INDEX('Paste Export'!$A$2:$BZ$1001,$A963,col_s8))&gt;0)))</f>
        <v/>
      </c>
      <c r="I963" s="25" t="str">
        <f t="shared" si="108"/>
        <v/>
      </c>
      <c r="J963" s="25" t="str">
        <f t="shared" si="109"/>
        <v/>
      </c>
      <c r="K963" s="24" t="str">
        <f t="shared" si="110"/>
        <v/>
      </c>
      <c r="L963" s="24" t="str">
        <f t="shared" si="111"/>
        <v/>
      </c>
    </row>
    <row r="964" spans="1:12" x14ac:dyDescent="0.25">
      <c r="A964" s="24">
        <f t="shared" si="105"/>
        <v>963</v>
      </c>
      <c r="B964" s="25" t="str">
        <f>IF($A964&gt;nrows,"",IF(col_user=0,"",INDEX('Paste Export'!$A$2:$BZ$1001,$A964,col_user)))</f>
        <v/>
      </c>
      <c r="C964" s="24" t="str">
        <f>IF($A964&gt;nrows,"",IF(col_days=0,0,N(INDEX('Paste Export'!$A$2:$BZ$1001,$A964,col_days))))</f>
        <v/>
      </c>
      <c r="D964" s="24" t="str">
        <f>IF($A964&gt;nrows,"",IF(col_prompts=0,0,N(INDEX('Paste Export'!$A$2:$BZ$1001,$A964,col_prompts))))</f>
        <v/>
      </c>
      <c r="E964" s="24" t="str">
        <f>IF($A964&gt;nrows,"",IF(col_web=0,0,N(INDEX('Paste Export'!$A$2:$BZ$1001,$A964,col_web))))</f>
        <v/>
      </c>
      <c r="F964" s="26" t="str">
        <f t="shared" si="106"/>
        <v/>
      </c>
      <c r="G964" s="27" t="str">
        <f t="shared" si="107"/>
        <v/>
      </c>
      <c r="H964" s="24" t="str">
        <f>IF($A964&gt;nrows,"",IF(col_s1=0,0,--(LEN(INDEX('Paste Export'!$A$2:$BZ$1001,$A964,col_s1))&gt;0))+IF(col_s2=0,0,--(LEN(INDEX('Paste Export'!$A$2:$BZ$1001,$A964,col_s2))&gt;0))+IF(col_s3=0,0,--(LEN(INDEX('Paste Export'!$A$2:$BZ$1001,$A964,col_s3))&gt;0))+IF(col_s4=0,0,--(LEN(INDEX('Paste Export'!$A$2:$BZ$1001,$A964,col_s4))&gt;0))+IF(col_s5=0,0,--(LEN(INDEX('Paste Export'!$A$2:$BZ$1001,$A964,col_s5))&gt;0))+IF(col_s6=0,0,--(LEN(INDEX('Paste Export'!$A$2:$BZ$1001,$A964,col_s6))&gt;0))+IF(col_s7=0,0,--(LEN(INDEX('Paste Export'!$A$2:$BZ$1001,$A964,col_s7))&gt;0))+IF(col_s8=0,0,--(LEN(INDEX('Paste Export'!$A$2:$BZ$1001,$A964,col_s8))&gt;0)))</f>
        <v/>
      </c>
      <c r="I964" s="25" t="str">
        <f t="shared" si="108"/>
        <v/>
      </c>
      <c r="J964" s="25" t="str">
        <f t="shared" si="109"/>
        <v/>
      </c>
      <c r="K964" s="24" t="str">
        <f t="shared" si="110"/>
        <v/>
      </c>
      <c r="L964" s="24" t="str">
        <f t="shared" si="111"/>
        <v/>
      </c>
    </row>
    <row r="965" spans="1:12" x14ac:dyDescent="0.25">
      <c r="A965" s="24">
        <f t="shared" si="105"/>
        <v>964</v>
      </c>
      <c r="B965" s="25" t="str">
        <f>IF($A965&gt;nrows,"",IF(col_user=0,"",INDEX('Paste Export'!$A$2:$BZ$1001,$A965,col_user)))</f>
        <v/>
      </c>
      <c r="C965" s="24" t="str">
        <f>IF($A965&gt;nrows,"",IF(col_days=0,0,N(INDEX('Paste Export'!$A$2:$BZ$1001,$A965,col_days))))</f>
        <v/>
      </c>
      <c r="D965" s="24" t="str">
        <f>IF($A965&gt;nrows,"",IF(col_prompts=0,0,N(INDEX('Paste Export'!$A$2:$BZ$1001,$A965,col_prompts))))</f>
        <v/>
      </c>
      <c r="E965" s="24" t="str">
        <f>IF($A965&gt;nrows,"",IF(col_web=0,0,N(INDEX('Paste Export'!$A$2:$BZ$1001,$A965,col_web))))</f>
        <v/>
      </c>
      <c r="F965" s="26" t="str">
        <f t="shared" si="106"/>
        <v/>
      </c>
      <c r="G965" s="27" t="str">
        <f t="shared" si="107"/>
        <v/>
      </c>
      <c r="H965" s="24" t="str">
        <f>IF($A965&gt;nrows,"",IF(col_s1=0,0,--(LEN(INDEX('Paste Export'!$A$2:$BZ$1001,$A965,col_s1))&gt;0))+IF(col_s2=0,0,--(LEN(INDEX('Paste Export'!$A$2:$BZ$1001,$A965,col_s2))&gt;0))+IF(col_s3=0,0,--(LEN(INDEX('Paste Export'!$A$2:$BZ$1001,$A965,col_s3))&gt;0))+IF(col_s4=0,0,--(LEN(INDEX('Paste Export'!$A$2:$BZ$1001,$A965,col_s4))&gt;0))+IF(col_s5=0,0,--(LEN(INDEX('Paste Export'!$A$2:$BZ$1001,$A965,col_s5))&gt;0))+IF(col_s6=0,0,--(LEN(INDEX('Paste Export'!$A$2:$BZ$1001,$A965,col_s6))&gt;0))+IF(col_s7=0,0,--(LEN(INDEX('Paste Export'!$A$2:$BZ$1001,$A965,col_s7))&gt;0))+IF(col_s8=0,0,--(LEN(INDEX('Paste Export'!$A$2:$BZ$1001,$A965,col_s8))&gt;0)))</f>
        <v/>
      </c>
      <c r="I965" s="25" t="str">
        <f t="shared" si="108"/>
        <v/>
      </c>
      <c r="J965" s="25" t="str">
        <f t="shared" si="109"/>
        <v/>
      </c>
      <c r="K965" s="24" t="str">
        <f t="shared" si="110"/>
        <v/>
      </c>
      <c r="L965" s="24" t="str">
        <f t="shared" si="111"/>
        <v/>
      </c>
    </row>
    <row r="966" spans="1:12" x14ac:dyDescent="0.25">
      <c r="A966" s="24">
        <f t="shared" si="105"/>
        <v>965</v>
      </c>
      <c r="B966" s="25" t="str">
        <f>IF($A966&gt;nrows,"",IF(col_user=0,"",INDEX('Paste Export'!$A$2:$BZ$1001,$A966,col_user)))</f>
        <v/>
      </c>
      <c r="C966" s="24" t="str">
        <f>IF($A966&gt;nrows,"",IF(col_days=0,0,N(INDEX('Paste Export'!$A$2:$BZ$1001,$A966,col_days))))</f>
        <v/>
      </c>
      <c r="D966" s="24" t="str">
        <f>IF($A966&gt;nrows,"",IF(col_prompts=0,0,N(INDEX('Paste Export'!$A$2:$BZ$1001,$A966,col_prompts))))</f>
        <v/>
      </c>
      <c r="E966" s="24" t="str">
        <f>IF($A966&gt;nrows,"",IF(col_web=0,0,N(INDEX('Paste Export'!$A$2:$BZ$1001,$A966,col_web))))</f>
        <v/>
      </c>
      <c r="F966" s="26" t="str">
        <f t="shared" si="106"/>
        <v/>
      </c>
      <c r="G966" s="27" t="str">
        <f t="shared" si="107"/>
        <v/>
      </c>
      <c r="H966" s="24" t="str">
        <f>IF($A966&gt;nrows,"",IF(col_s1=0,0,--(LEN(INDEX('Paste Export'!$A$2:$BZ$1001,$A966,col_s1))&gt;0))+IF(col_s2=0,0,--(LEN(INDEX('Paste Export'!$A$2:$BZ$1001,$A966,col_s2))&gt;0))+IF(col_s3=0,0,--(LEN(INDEX('Paste Export'!$A$2:$BZ$1001,$A966,col_s3))&gt;0))+IF(col_s4=0,0,--(LEN(INDEX('Paste Export'!$A$2:$BZ$1001,$A966,col_s4))&gt;0))+IF(col_s5=0,0,--(LEN(INDEX('Paste Export'!$A$2:$BZ$1001,$A966,col_s5))&gt;0))+IF(col_s6=0,0,--(LEN(INDEX('Paste Export'!$A$2:$BZ$1001,$A966,col_s6))&gt;0))+IF(col_s7=0,0,--(LEN(INDEX('Paste Export'!$A$2:$BZ$1001,$A966,col_s7))&gt;0))+IF(col_s8=0,0,--(LEN(INDEX('Paste Export'!$A$2:$BZ$1001,$A966,col_s8))&gt;0)))</f>
        <v/>
      </c>
      <c r="I966" s="25" t="str">
        <f t="shared" si="108"/>
        <v/>
      </c>
      <c r="J966" s="25" t="str">
        <f t="shared" si="109"/>
        <v/>
      </c>
      <c r="K966" s="24" t="str">
        <f t="shared" si="110"/>
        <v/>
      </c>
      <c r="L966" s="24" t="str">
        <f t="shared" si="111"/>
        <v/>
      </c>
    </row>
    <row r="967" spans="1:12" x14ac:dyDescent="0.25">
      <c r="A967" s="24">
        <f t="shared" si="105"/>
        <v>966</v>
      </c>
      <c r="B967" s="25" t="str">
        <f>IF($A967&gt;nrows,"",IF(col_user=0,"",INDEX('Paste Export'!$A$2:$BZ$1001,$A967,col_user)))</f>
        <v/>
      </c>
      <c r="C967" s="24" t="str">
        <f>IF($A967&gt;nrows,"",IF(col_days=0,0,N(INDEX('Paste Export'!$A$2:$BZ$1001,$A967,col_days))))</f>
        <v/>
      </c>
      <c r="D967" s="24" t="str">
        <f>IF($A967&gt;nrows,"",IF(col_prompts=0,0,N(INDEX('Paste Export'!$A$2:$BZ$1001,$A967,col_prompts))))</f>
        <v/>
      </c>
      <c r="E967" s="24" t="str">
        <f>IF($A967&gt;nrows,"",IF(col_web=0,0,N(INDEX('Paste Export'!$A$2:$BZ$1001,$A967,col_web))))</f>
        <v/>
      </c>
      <c r="F967" s="26" t="str">
        <f t="shared" si="106"/>
        <v/>
      </c>
      <c r="G967" s="27" t="str">
        <f t="shared" si="107"/>
        <v/>
      </c>
      <c r="H967" s="24" t="str">
        <f>IF($A967&gt;nrows,"",IF(col_s1=0,0,--(LEN(INDEX('Paste Export'!$A$2:$BZ$1001,$A967,col_s1))&gt;0))+IF(col_s2=0,0,--(LEN(INDEX('Paste Export'!$A$2:$BZ$1001,$A967,col_s2))&gt;0))+IF(col_s3=0,0,--(LEN(INDEX('Paste Export'!$A$2:$BZ$1001,$A967,col_s3))&gt;0))+IF(col_s4=0,0,--(LEN(INDEX('Paste Export'!$A$2:$BZ$1001,$A967,col_s4))&gt;0))+IF(col_s5=0,0,--(LEN(INDEX('Paste Export'!$A$2:$BZ$1001,$A967,col_s5))&gt;0))+IF(col_s6=0,0,--(LEN(INDEX('Paste Export'!$A$2:$BZ$1001,$A967,col_s6))&gt;0))+IF(col_s7=0,0,--(LEN(INDEX('Paste Export'!$A$2:$BZ$1001,$A967,col_s7))&gt;0))+IF(col_s8=0,0,--(LEN(INDEX('Paste Export'!$A$2:$BZ$1001,$A967,col_s8))&gt;0)))</f>
        <v/>
      </c>
      <c r="I967" s="25" t="str">
        <f t="shared" si="108"/>
        <v/>
      </c>
      <c r="J967" s="25" t="str">
        <f t="shared" si="109"/>
        <v/>
      </c>
      <c r="K967" s="24" t="str">
        <f t="shared" si="110"/>
        <v/>
      </c>
      <c r="L967" s="24" t="str">
        <f t="shared" si="111"/>
        <v/>
      </c>
    </row>
    <row r="968" spans="1:12" x14ac:dyDescent="0.25">
      <c r="A968" s="24">
        <f t="shared" si="105"/>
        <v>967</v>
      </c>
      <c r="B968" s="25" t="str">
        <f>IF($A968&gt;nrows,"",IF(col_user=0,"",INDEX('Paste Export'!$A$2:$BZ$1001,$A968,col_user)))</f>
        <v/>
      </c>
      <c r="C968" s="24" t="str">
        <f>IF($A968&gt;nrows,"",IF(col_days=0,0,N(INDEX('Paste Export'!$A$2:$BZ$1001,$A968,col_days))))</f>
        <v/>
      </c>
      <c r="D968" s="24" t="str">
        <f>IF($A968&gt;nrows,"",IF(col_prompts=0,0,N(INDEX('Paste Export'!$A$2:$BZ$1001,$A968,col_prompts))))</f>
        <v/>
      </c>
      <c r="E968" s="24" t="str">
        <f>IF($A968&gt;nrows,"",IF(col_web=0,0,N(INDEX('Paste Export'!$A$2:$BZ$1001,$A968,col_web))))</f>
        <v/>
      </c>
      <c r="F968" s="26" t="str">
        <f t="shared" si="106"/>
        <v/>
      </c>
      <c r="G968" s="27" t="str">
        <f t="shared" si="107"/>
        <v/>
      </c>
      <c r="H968" s="24" t="str">
        <f>IF($A968&gt;nrows,"",IF(col_s1=0,0,--(LEN(INDEX('Paste Export'!$A$2:$BZ$1001,$A968,col_s1))&gt;0))+IF(col_s2=0,0,--(LEN(INDEX('Paste Export'!$A$2:$BZ$1001,$A968,col_s2))&gt;0))+IF(col_s3=0,0,--(LEN(INDEX('Paste Export'!$A$2:$BZ$1001,$A968,col_s3))&gt;0))+IF(col_s4=0,0,--(LEN(INDEX('Paste Export'!$A$2:$BZ$1001,$A968,col_s4))&gt;0))+IF(col_s5=0,0,--(LEN(INDEX('Paste Export'!$A$2:$BZ$1001,$A968,col_s5))&gt;0))+IF(col_s6=0,0,--(LEN(INDEX('Paste Export'!$A$2:$BZ$1001,$A968,col_s6))&gt;0))+IF(col_s7=0,0,--(LEN(INDEX('Paste Export'!$A$2:$BZ$1001,$A968,col_s7))&gt;0))+IF(col_s8=0,0,--(LEN(INDEX('Paste Export'!$A$2:$BZ$1001,$A968,col_s8))&gt;0)))</f>
        <v/>
      </c>
      <c r="I968" s="25" t="str">
        <f t="shared" si="108"/>
        <v/>
      </c>
      <c r="J968" s="25" t="str">
        <f t="shared" si="109"/>
        <v/>
      </c>
      <c r="K968" s="24" t="str">
        <f t="shared" si="110"/>
        <v/>
      </c>
      <c r="L968" s="24" t="str">
        <f t="shared" si="111"/>
        <v/>
      </c>
    </row>
    <row r="969" spans="1:12" x14ac:dyDescent="0.25">
      <c r="A969" s="24">
        <f t="shared" si="105"/>
        <v>968</v>
      </c>
      <c r="B969" s="25" t="str">
        <f>IF($A969&gt;nrows,"",IF(col_user=0,"",INDEX('Paste Export'!$A$2:$BZ$1001,$A969,col_user)))</f>
        <v/>
      </c>
      <c r="C969" s="24" t="str">
        <f>IF($A969&gt;nrows,"",IF(col_days=0,0,N(INDEX('Paste Export'!$A$2:$BZ$1001,$A969,col_days))))</f>
        <v/>
      </c>
      <c r="D969" s="24" t="str">
        <f>IF($A969&gt;nrows,"",IF(col_prompts=0,0,N(INDEX('Paste Export'!$A$2:$BZ$1001,$A969,col_prompts))))</f>
        <v/>
      </c>
      <c r="E969" s="24" t="str">
        <f>IF($A969&gt;nrows,"",IF(col_web=0,0,N(INDEX('Paste Export'!$A$2:$BZ$1001,$A969,col_web))))</f>
        <v/>
      </c>
      <c r="F969" s="26" t="str">
        <f t="shared" si="106"/>
        <v/>
      </c>
      <c r="G969" s="27" t="str">
        <f t="shared" si="107"/>
        <v/>
      </c>
      <c r="H969" s="24" t="str">
        <f>IF($A969&gt;nrows,"",IF(col_s1=0,0,--(LEN(INDEX('Paste Export'!$A$2:$BZ$1001,$A969,col_s1))&gt;0))+IF(col_s2=0,0,--(LEN(INDEX('Paste Export'!$A$2:$BZ$1001,$A969,col_s2))&gt;0))+IF(col_s3=0,0,--(LEN(INDEX('Paste Export'!$A$2:$BZ$1001,$A969,col_s3))&gt;0))+IF(col_s4=0,0,--(LEN(INDEX('Paste Export'!$A$2:$BZ$1001,$A969,col_s4))&gt;0))+IF(col_s5=0,0,--(LEN(INDEX('Paste Export'!$A$2:$BZ$1001,$A969,col_s5))&gt;0))+IF(col_s6=0,0,--(LEN(INDEX('Paste Export'!$A$2:$BZ$1001,$A969,col_s6))&gt;0))+IF(col_s7=0,0,--(LEN(INDEX('Paste Export'!$A$2:$BZ$1001,$A969,col_s7))&gt;0))+IF(col_s8=0,0,--(LEN(INDEX('Paste Export'!$A$2:$BZ$1001,$A969,col_s8))&gt;0)))</f>
        <v/>
      </c>
      <c r="I969" s="25" t="str">
        <f t="shared" si="108"/>
        <v/>
      </c>
      <c r="J969" s="25" t="str">
        <f t="shared" si="109"/>
        <v/>
      </c>
      <c r="K969" s="24" t="str">
        <f t="shared" si="110"/>
        <v/>
      </c>
      <c r="L969" s="24" t="str">
        <f t="shared" si="111"/>
        <v/>
      </c>
    </row>
    <row r="970" spans="1:12" x14ac:dyDescent="0.25">
      <c r="A970" s="24">
        <f t="shared" si="105"/>
        <v>969</v>
      </c>
      <c r="B970" s="25" t="str">
        <f>IF($A970&gt;nrows,"",IF(col_user=0,"",INDEX('Paste Export'!$A$2:$BZ$1001,$A970,col_user)))</f>
        <v/>
      </c>
      <c r="C970" s="24" t="str">
        <f>IF($A970&gt;nrows,"",IF(col_days=0,0,N(INDEX('Paste Export'!$A$2:$BZ$1001,$A970,col_days))))</f>
        <v/>
      </c>
      <c r="D970" s="24" t="str">
        <f>IF($A970&gt;nrows,"",IF(col_prompts=0,0,N(INDEX('Paste Export'!$A$2:$BZ$1001,$A970,col_prompts))))</f>
        <v/>
      </c>
      <c r="E970" s="24" t="str">
        <f>IF($A970&gt;nrows,"",IF(col_web=0,0,N(INDEX('Paste Export'!$A$2:$BZ$1001,$A970,col_web))))</f>
        <v/>
      </c>
      <c r="F970" s="26" t="str">
        <f t="shared" si="106"/>
        <v/>
      </c>
      <c r="G970" s="27" t="str">
        <f t="shared" si="107"/>
        <v/>
      </c>
      <c r="H970" s="24" t="str">
        <f>IF($A970&gt;nrows,"",IF(col_s1=0,0,--(LEN(INDEX('Paste Export'!$A$2:$BZ$1001,$A970,col_s1))&gt;0))+IF(col_s2=0,0,--(LEN(INDEX('Paste Export'!$A$2:$BZ$1001,$A970,col_s2))&gt;0))+IF(col_s3=0,0,--(LEN(INDEX('Paste Export'!$A$2:$BZ$1001,$A970,col_s3))&gt;0))+IF(col_s4=0,0,--(LEN(INDEX('Paste Export'!$A$2:$BZ$1001,$A970,col_s4))&gt;0))+IF(col_s5=0,0,--(LEN(INDEX('Paste Export'!$A$2:$BZ$1001,$A970,col_s5))&gt;0))+IF(col_s6=0,0,--(LEN(INDEX('Paste Export'!$A$2:$BZ$1001,$A970,col_s6))&gt;0))+IF(col_s7=0,0,--(LEN(INDEX('Paste Export'!$A$2:$BZ$1001,$A970,col_s7))&gt;0))+IF(col_s8=0,0,--(LEN(INDEX('Paste Export'!$A$2:$BZ$1001,$A970,col_s8))&gt;0)))</f>
        <v/>
      </c>
      <c r="I970" s="25" t="str">
        <f t="shared" si="108"/>
        <v/>
      </c>
      <c r="J970" s="25" t="str">
        <f t="shared" si="109"/>
        <v/>
      </c>
      <c r="K970" s="24" t="str">
        <f t="shared" si="110"/>
        <v/>
      </c>
      <c r="L970" s="24" t="str">
        <f t="shared" si="111"/>
        <v/>
      </c>
    </row>
    <row r="971" spans="1:12" x14ac:dyDescent="0.25">
      <c r="A971" s="24">
        <f t="shared" si="105"/>
        <v>970</v>
      </c>
      <c r="B971" s="25" t="str">
        <f>IF($A971&gt;nrows,"",IF(col_user=0,"",INDEX('Paste Export'!$A$2:$BZ$1001,$A971,col_user)))</f>
        <v/>
      </c>
      <c r="C971" s="24" t="str">
        <f>IF($A971&gt;nrows,"",IF(col_days=0,0,N(INDEX('Paste Export'!$A$2:$BZ$1001,$A971,col_days))))</f>
        <v/>
      </c>
      <c r="D971" s="24" t="str">
        <f>IF($A971&gt;nrows,"",IF(col_prompts=0,0,N(INDEX('Paste Export'!$A$2:$BZ$1001,$A971,col_prompts))))</f>
        <v/>
      </c>
      <c r="E971" s="24" t="str">
        <f>IF($A971&gt;nrows,"",IF(col_web=0,0,N(INDEX('Paste Export'!$A$2:$BZ$1001,$A971,col_web))))</f>
        <v/>
      </c>
      <c r="F971" s="26" t="str">
        <f t="shared" si="106"/>
        <v/>
      </c>
      <c r="G971" s="27" t="str">
        <f t="shared" si="107"/>
        <v/>
      </c>
      <c r="H971" s="24" t="str">
        <f>IF($A971&gt;nrows,"",IF(col_s1=0,0,--(LEN(INDEX('Paste Export'!$A$2:$BZ$1001,$A971,col_s1))&gt;0))+IF(col_s2=0,0,--(LEN(INDEX('Paste Export'!$A$2:$BZ$1001,$A971,col_s2))&gt;0))+IF(col_s3=0,0,--(LEN(INDEX('Paste Export'!$A$2:$BZ$1001,$A971,col_s3))&gt;0))+IF(col_s4=0,0,--(LEN(INDEX('Paste Export'!$A$2:$BZ$1001,$A971,col_s4))&gt;0))+IF(col_s5=0,0,--(LEN(INDEX('Paste Export'!$A$2:$BZ$1001,$A971,col_s5))&gt;0))+IF(col_s6=0,0,--(LEN(INDEX('Paste Export'!$A$2:$BZ$1001,$A971,col_s6))&gt;0))+IF(col_s7=0,0,--(LEN(INDEX('Paste Export'!$A$2:$BZ$1001,$A971,col_s7))&gt;0))+IF(col_s8=0,0,--(LEN(INDEX('Paste Export'!$A$2:$BZ$1001,$A971,col_s8))&gt;0)))</f>
        <v/>
      </c>
      <c r="I971" s="25" t="str">
        <f t="shared" si="108"/>
        <v/>
      </c>
      <c r="J971" s="25" t="str">
        <f t="shared" si="109"/>
        <v/>
      </c>
      <c r="K971" s="24" t="str">
        <f t="shared" si="110"/>
        <v/>
      </c>
      <c r="L971" s="24" t="str">
        <f t="shared" si="111"/>
        <v/>
      </c>
    </row>
    <row r="972" spans="1:12" x14ac:dyDescent="0.25">
      <c r="A972" s="24">
        <f t="shared" si="105"/>
        <v>971</v>
      </c>
      <c r="B972" s="25" t="str">
        <f>IF($A972&gt;nrows,"",IF(col_user=0,"",INDEX('Paste Export'!$A$2:$BZ$1001,$A972,col_user)))</f>
        <v/>
      </c>
      <c r="C972" s="24" t="str">
        <f>IF($A972&gt;nrows,"",IF(col_days=0,0,N(INDEX('Paste Export'!$A$2:$BZ$1001,$A972,col_days))))</f>
        <v/>
      </c>
      <c r="D972" s="24" t="str">
        <f>IF($A972&gt;nrows,"",IF(col_prompts=0,0,N(INDEX('Paste Export'!$A$2:$BZ$1001,$A972,col_prompts))))</f>
        <v/>
      </c>
      <c r="E972" s="24" t="str">
        <f>IF($A972&gt;nrows,"",IF(col_web=0,0,N(INDEX('Paste Export'!$A$2:$BZ$1001,$A972,col_web))))</f>
        <v/>
      </c>
      <c r="F972" s="26" t="str">
        <f t="shared" si="106"/>
        <v/>
      </c>
      <c r="G972" s="27" t="str">
        <f t="shared" si="107"/>
        <v/>
      </c>
      <c r="H972" s="24" t="str">
        <f>IF($A972&gt;nrows,"",IF(col_s1=0,0,--(LEN(INDEX('Paste Export'!$A$2:$BZ$1001,$A972,col_s1))&gt;0))+IF(col_s2=0,0,--(LEN(INDEX('Paste Export'!$A$2:$BZ$1001,$A972,col_s2))&gt;0))+IF(col_s3=0,0,--(LEN(INDEX('Paste Export'!$A$2:$BZ$1001,$A972,col_s3))&gt;0))+IF(col_s4=0,0,--(LEN(INDEX('Paste Export'!$A$2:$BZ$1001,$A972,col_s4))&gt;0))+IF(col_s5=0,0,--(LEN(INDEX('Paste Export'!$A$2:$BZ$1001,$A972,col_s5))&gt;0))+IF(col_s6=0,0,--(LEN(INDEX('Paste Export'!$A$2:$BZ$1001,$A972,col_s6))&gt;0))+IF(col_s7=0,0,--(LEN(INDEX('Paste Export'!$A$2:$BZ$1001,$A972,col_s7))&gt;0))+IF(col_s8=0,0,--(LEN(INDEX('Paste Export'!$A$2:$BZ$1001,$A972,col_s8))&gt;0)))</f>
        <v/>
      </c>
      <c r="I972" s="25" t="str">
        <f t="shared" si="108"/>
        <v/>
      </c>
      <c r="J972" s="25" t="str">
        <f t="shared" si="109"/>
        <v/>
      </c>
      <c r="K972" s="24" t="str">
        <f t="shared" si="110"/>
        <v/>
      </c>
      <c r="L972" s="24" t="str">
        <f t="shared" si="111"/>
        <v/>
      </c>
    </row>
    <row r="973" spans="1:12" x14ac:dyDescent="0.25">
      <c r="A973" s="24">
        <f t="shared" si="105"/>
        <v>972</v>
      </c>
      <c r="B973" s="25" t="str">
        <f>IF($A973&gt;nrows,"",IF(col_user=0,"",INDEX('Paste Export'!$A$2:$BZ$1001,$A973,col_user)))</f>
        <v/>
      </c>
      <c r="C973" s="24" t="str">
        <f>IF($A973&gt;nrows,"",IF(col_days=0,0,N(INDEX('Paste Export'!$A$2:$BZ$1001,$A973,col_days))))</f>
        <v/>
      </c>
      <c r="D973" s="24" t="str">
        <f>IF($A973&gt;nrows,"",IF(col_prompts=0,0,N(INDEX('Paste Export'!$A$2:$BZ$1001,$A973,col_prompts))))</f>
        <v/>
      </c>
      <c r="E973" s="24" t="str">
        <f>IF($A973&gt;nrows,"",IF(col_web=0,0,N(INDEX('Paste Export'!$A$2:$BZ$1001,$A973,col_web))))</f>
        <v/>
      </c>
      <c r="F973" s="26" t="str">
        <f t="shared" si="106"/>
        <v/>
      </c>
      <c r="G973" s="27" t="str">
        <f t="shared" si="107"/>
        <v/>
      </c>
      <c r="H973" s="24" t="str">
        <f>IF($A973&gt;nrows,"",IF(col_s1=0,0,--(LEN(INDEX('Paste Export'!$A$2:$BZ$1001,$A973,col_s1))&gt;0))+IF(col_s2=0,0,--(LEN(INDEX('Paste Export'!$A$2:$BZ$1001,$A973,col_s2))&gt;0))+IF(col_s3=0,0,--(LEN(INDEX('Paste Export'!$A$2:$BZ$1001,$A973,col_s3))&gt;0))+IF(col_s4=0,0,--(LEN(INDEX('Paste Export'!$A$2:$BZ$1001,$A973,col_s4))&gt;0))+IF(col_s5=0,0,--(LEN(INDEX('Paste Export'!$A$2:$BZ$1001,$A973,col_s5))&gt;0))+IF(col_s6=0,0,--(LEN(INDEX('Paste Export'!$A$2:$BZ$1001,$A973,col_s6))&gt;0))+IF(col_s7=0,0,--(LEN(INDEX('Paste Export'!$A$2:$BZ$1001,$A973,col_s7))&gt;0))+IF(col_s8=0,0,--(LEN(INDEX('Paste Export'!$A$2:$BZ$1001,$A973,col_s8))&gt;0)))</f>
        <v/>
      </c>
      <c r="I973" s="25" t="str">
        <f t="shared" si="108"/>
        <v/>
      </c>
      <c r="J973" s="25" t="str">
        <f t="shared" si="109"/>
        <v/>
      </c>
      <c r="K973" s="24" t="str">
        <f t="shared" si="110"/>
        <v/>
      </c>
      <c r="L973" s="24" t="str">
        <f t="shared" si="111"/>
        <v/>
      </c>
    </row>
    <row r="974" spans="1:12" x14ac:dyDescent="0.25">
      <c r="A974" s="24">
        <f t="shared" si="105"/>
        <v>973</v>
      </c>
      <c r="B974" s="25" t="str">
        <f>IF($A974&gt;nrows,"",IF(col_user=0,"",INDEX('Paste Export'!$A$2:$BZ$1001,$A974,col_user)))</f>
        <v/>
      </c>
      <c r="C974" s="24" t="str">
        <f>IF($A974&gt;nrows,"",IF(col_days=0,0,N(INDEX('Paste Export'!$A$2:$BZ$1001,$A974,col_days))))</f>
        <v/>
      </c>
      <c r="D974" s="24" t="str">
        <f>IF($A974&gt;nrows,"",IF(col_prompts=0,0,N(INDEX('Paste Export'!$A$2:$BZ$1001,$A974,col_prompts))))</f>
        <v/>
      </c>
      <c r="E974" s="24" t="str">
        <f>IF($A974&gt;nrows,"",IF(col_web=0,0,N(INDEX('Paste Export'!$A$2:$BZ$1001,$A974,col_web))))</f>
        <v/>
      </c>
      <c r="F974" s="26" t="str">
        <f t="shared" si="106"/>
        <v/>
      </c>
      <c r="G974" s="27" t="str">
        <f t="shared" si="107"/>
        <v/>
      </c>
      <c r="H974" s="24" t="str">
        <f>IF($A974&gt;nrows,"",IF(col_s1=0,0,--(LEN(INDEX('Paste Export'!$A$2:$BZ$1001,$A974,col_s1))&gt;0))+IF(col_s2=0,0,--(LEN(INDEX('Paste Export'!$A$2:$BZ$1001,$A974,col_s2))&gt;0))+IF(col_s3=0,0,--(LEN(INDEX('Paste Export'!$A$2:$BZ$1001,$A974,col_s3))&gt;0))+IF(col_s4=0,0,--(LEN(INDEX('Paste Export'!$A$2:$BZ$1001,$A974,col_s4))&gt;0))+IF(col_s5=0,0,--(LEN(INDEX('Paste Export'!$A$2:$BZ$1001,$A974,col_s5))&gt;0))+IF(col_s6=0,0,--(LEN(INDEX('Paste Export'!$A$2:$BZ$1001,$A974,col_s6))&gt;0))+IF(col_s7=0,0,--(LEN(INDEX('Paste Export'!$A$2:$BZ$1001,$A974,col_s7))&gt;0))+IF(col_s8=0,0,--(LEN(INDEX('Paste Export'!$A$2:$BZ$1001,$A974,col_s8))&gt;0)))</f>
        <v/>
      </c>
      <c r="I974" s="25" t="str">
        <f t="shared" si="108"/>
        <v/>
      </c>
      <c r="J974" s="25" t="str">
        <f t="shared" si="109"/>
        <v/>
      </c>
      <c r="K974" s="24" t="str">
        <f t="shared" si="110"/>
        <v/>
      </c>
      <c r="L974" s="24" t="str">
        <f t="shared" si="111"/>
        <v/>
      </c>
    </row>
    <row r="975" spans="1:12" x14ac:dyDescent="0.25">
      <c r="A975" s="24">
        <f t="shared" si="105"/>
        <v>974</v>
      </c>
      <c r="B975" s="25" t="str">
        <f>IF($A975&gt;nrows,"",IF(col_user=0,"",INDEX('Paste Export'!$A$2:$BZ$1001,$A975,col_user)))</f>
        <v/>
      </c>
      <c r="C975" s="24" t="str">
        <f>IF($A975&gt;nrows,"",IF(col_days=0,0,N(INDEX('Paste Export'!$A$2:$BZ$1001,$A975,col_days))))</f>
        <v/>
      </c>
      <c r="D975" s="24" t="str">
        <f>IF($A975&gt;nrows,"",IF(col_prompts=0,0,N(INDEX('Paste Export'!$A$2:$BZ$1001,$A975,col_prompts))))</f>
        <v/>
      </c>
      <c r="E975" s="24" t="str">
        <f>IF($A975&gt;nrows,"",IF(col_web=0,0,N(INDEX('Paste Export'!$A$2:$BZ$1001,$A975,col_web))))</f>
        <v/>
      </c>
      <c r="F975" s="26" t="str">
        <f t="shared" si="106"/>
        <v/>
      </c>
      <c r="G975" s="27" t="str">
        <f t="shared" si="107"/>
        <v/>
      </c>
      <c r="H975" s="24" t="str">
        <f>IF($A975&gt;nrows,"",IF(col_s1=0,0,--(LEN(INDEX('Paste Export'!$A$2:$BZ$1001,$A975,col_s1))&gt;0))+IF(col_s2=0,0,--(LEN(INDEX('Paste Export'!$A$2:$BZ$1001,$A975,col_s2))&gt;0))+IF(col_s3=0,0,--(LEN(INDEX('Paste Export'!$A$2:$BZ$1001,$A975,col_s3))&gt;0))+IF(col_s4=0,0,--(LEN(INDEX('Paste Export'!$A$2:$BZ$1001,$A975,col_s4))&gt;0))+IF(col_s5=0,0,--(LEN(INDEX('Paste Export'!$A$2:$BZ$1001,$A975,col_s5))&gt;0))+IF(col_s6=0,0,--(LEN(INDEX('Paste Export'!$A$2:$BZ$1001,$A975,col_s6))&gt;0))+IF(col_s7=0,0,--(LEN(INDEX('Paste Export'!$A$2:$BZ$1001,$A975,col_s7))&gt;0))+IF(col_s8=0,0,--(LEN(INDEX('Paste Export'!$A$2:$BZ$1001,$A975,col_s8))&gt;0)))</f>
        <v/>
      </c>
      <c r="I975" s="25" t="str">
        <f t="shared" si="108"/>
        <v/>
      </c>
      <c r="J975" s="25" t="str">
        <f t="shared" si="109"/>
        <v/>
      </c>
      <c r="K975" s="24" t="str">
        <f t="shared" si="110"/>
        <v/>
      </c>
      <c r="L975" s="24" t="str">
        <f t="shared" si="111"/>
        <v/>
      </c>
    </row>
    <row r="976" spans="1:12" x14ac:dyDescent="0.25">
      <c r="A976" s="24">
        <f t="shared" si="105"/>
        <v>975</v>
      </c>
      <c r="B976" s="25" t="str">
        <f>IF($A976&gt;nrows,"",IF(col_user=0,"",INDEX('Paste Export'!$A$2:$BZ$1001,$A976,col_user)))</f>
        <v/>
      </c>
      <c r="C976" s="24" t="str">
        <f>IF($A976&gt;nrows,"",IF(col_days=0,0,N(INDEX('Paste Export'!$A$2:$BZ$1001,$A976,col_days))))</f>
        <v/>
      </c>
      <c r="D976" s="24" t="str">
        <f>IF($A976&gt;nrows,"",IF(col_prompts=0,0,N(INDEX('Paste Export'!$A$2:$BZ$1001,$A976,col_prompts))))</f>
        <v/>
      </c>
      <c r="E976" s="24" t="str">
        <f>IF($A976&gt;nrows,"",IF(col_web=0,0,N(INDEX('Paste Export'!$A$2:$BZ$1001,$A976,col_web))))</f>
        <v/>
      </c>
      <c r="F976" s="26" t="str">
        <f t="shared" si="106"/>
        <v/>
      </c>
      <c r="G976" s="27" t="str">
        <f t="shared" si="107"/>
        <v/>
      </c>
      <c r="H976" s="24" t="str">
        <f>IF($A976&gt;nrows,"",IF(col_s1=0,0,--(LEN(INDEX('Paste Export'!$A$2:$BZ$1001,$A976,col_s1))&gt;0))+IF(col_s2=0,0,--(LEN(INDEX('Paste Export'!$A$2:$BZ$1001,$A976,col_s2))&gt;0))+IF(col_s3=0,0,--(LEN(INDEX('Paste Export'!$A$2:$BZ$1001,$A976,col_s3))&gt;0))+IF(col_s4=0,0,--(LEN(INDEX('Paste Export'!$A$2:$BZ$1001,$A976,col_s4))&gt;0))+IF(col_s5=0,0,--(LEN(INDEX('Paste Export'!$A$2:$BZ$1001,$A976,col_s5))&gt;0))+IF(col_s6=0,0,--(LEN(INDEX('Paste Export'!$A$2:$BZ$1001,$A976,col_s6))&gt;0))+IF(col_s7=0,0,--(LEN(INDEX('Paste Export'!$A$2:$BZ$1001,$A976,col_s7))&gt;0))+IF(col_s8=0,0,--(LEN(INDEX('Paste Export'!$A$2:$BZ$1001,$A976,col_s8))&gt;0)))</f>
        <v/>
      </c>
      <c r="I976" s="25" t="str">
        <f t="shared" si="108"/>
        <v/>
      </c>
      <c r="J976" s="25" t="str">
        <f t="shared" si="109"/>
        <v/>
      </c>
      <c r="K976" s="24" t="str">
        <f t="shared" si="110"/>
        <v/>
      </c>
      <c r="L976" s="24" t="str">
        <f t="shared" si="111"/>
        <v/>
      </c>
    </row>
    <row r="977" spans="1:12" x14ac:dyDescent="0.25">
      <c r="A977" s="24">
        <f t="shared" si="105"/>
        <v>976</v>
      </c>
      <c r="B977" s="25" t="str">
        <f>IF($A977&gt;nrows,"",IF(col_user=0,"",INDEX('Paste Export'!$A$2:$BZ$1001,$A977,col_user)))</f>
        <v/>
      </c>
      <c r="C977" s="24" t="str">
        <f>IF($A977&gt;nrows,"",IF(col_days=0,0,N(INDEX('Paste Export'!$A$2:$BZ$1001,$A977,col_days))))</f>
        <v/>
      </c>
      <c r="D977" s="24" t="str">
        <f>IF($A977&gt;nrows,"",IF(col_prompts=0,0,N(INDEX('Paste Export'!$A$2:$BZ$1001,$A977,col_prompts))))</f>
        <v/>
      </c>
      <c r="E977" s="24" t="str">
        <f>IF($A977&gt;nrows,"",IF(col_web=0,0,N(INDEX('Paste Export'!$A$2:$BZ$1001,$A977,col_web))))</f>
        <v/>
      </c>
      <c r="F977" s="26" t="str">
        <f t="shared" si="106"/>
        <v/>
      </c>
      <c r="G977" s="27" t="str">
        <f t="shared" si="107"/>
        <v/>
      </c>
      <c r="H977" s="24" t="str">
        <f>IF($A977&gt;nrows,"",IF(col_s1=0,0,--(LEN(INDEX('Paste Export'!$A$2:$BZ$1001,$A977,col_s1))&gt;0))+IF(col_s2=0,0,--(LEN(INDEX('Paste Export'!$A$2:$BZ$1001,$A977,col_s2))&gt;0))+IF(col_s3=0,0,--(LEN(INDEX('Paste Export'!$A$2:$BZ$1001,$A977,col_s3))&gt;0))+IF(col_s4=0,0,--(LEN(INDEX('Paste Export'!$A$2:$BZ$1001,$A977,col_s4))&gt;0))+IF(col_s5=0,0,--(LEN(INDEX('Paste Export'!$A$2:$BZ$1001,$A977,col_s5))&gt;0))+IF(col_s6=0,0,--(LEN(INDEX('Paste Export'!$A$2:$BZ$1001,$A977,col_s6))&gt;0))+IF(col_s7=0,0,--(LEN(INDEX('Paste Export'!$A$2:$BZ$1001,$A977,col_s7))&gt;0))+IF(col_s8=0,0,--(LEN(INDEX('Paste Export'!$A$2:$BZ$1001,$A977,col_s8))&gt;0)))</f>
        <v/>
      </c>
      <c r="I977" s="25" t="str">
        <f t="shared" si="108"/>
        <v/>
      </c>
      <c r="J977" s="25" t="str">
        <f t="shared" si="109"/>
        <v/>
      </c>
      <c r="K977" s="24" t="str">
        <f t="shared" si="110"/>
        <v/>
      </c>
      <c r="L977" s="24" t="str">
        <f t="shared" si="111"/>
        <v/>
      </c>
    </row>
    <row r="978" spans="1:12" x14ac:dyDescent="0.25">
      <c r="A978" s="24">
        <f t="shared" si="105"/>
        <v>977</v>
      </c>
      <c r="B978" s="25" t="str">
        <f>IF($A978&gt;nrows,"",IF(col_user=0,"",INDEX('Paste Export'!$A$2:$BZ$1001,$A978,col_user)))</f>
        <v/>
      </c>
      <c r="C978" s="24" t="str">
        <f>IF($A978&gt;nrows,"",IF(col_days=0,0,N(INDEX('Paste Export'!$A$2:$BZ$1001,$A978,col_days))))</f>
        <v/>
      </c>
      <c r="D978" s="24" t="str">
        <f>IF($A978&gt;nrows,"",IF(col_prompts=0,0,N(INDEX('Paste Export'!$A$2:$BZ$1001,$A978,col_prompts))))</f>
        <v/>
      </c>
      <c r="E978" s="24" t="str">
        <f>IF($A978&gt;nrows,"",IF(col_web=0,0,N(INDEX('Paste Export'!$A$2:$BZ$1001,$A978,col_web))))</f>
        <v/>
      </c>
      <c r="F978" s="26" t="str">
        <f t="shared" si="106"/>
        <v/>
      </c>
      <c r="G978" s="27" t="str">
        <f t="shared" si="107"/>
        <v/>
      </c>
      <c r="H978" s="24" t="str">
        <f>IF($A978&gt;nrows,"",IF(col_s1=0,0,--(LEN(INDEX('Paste Export'!$A$2:$BZ$1001,$A978,col_s1))&gt;0))+IF(col_s2=0,0,--(LEN(INDEX('Paste Export'!$A$2:$BZ$1001,$A978,col_s2))&gt;0))+IF(col_s3=0,0,--(LEN(INDEX('Paste Export'!$A$2:$BZ$1001,$A978,col_s3))&gt;0))+IF(col_s4=0,0,--(LEN(INDEX('Paste Export'!$A$2:$BZ$1001,$A978,col_s4))&gt;0))+IF(col_s5=0,0,--(LEN(INDEX('Paste Export'!$A$2:$BZ$1001,$A978,col_s5))&gt;0))+IF(col_s6=0,0,--(LEN(INDEX('Paste Export'!$A$2:$BZ$1001,$A978,col_s6))&gt;0))+IF(col_s7=0,0,--(LEN(INDEX('Paste Export'!$A$2:$BZ$1001,$A978,col_s7))&gt;0))+IF(col_s8=0,0,--(LEN(INDEX('Paste Export'!$A$2:$BZ$1001,$A978,col_s8))&gt;0)))</f>
        <v/>
      </c>
      <c r="I978" s="25" t="str">
        <f t="shared" si="108"/>
        <v/>
      </c>
      <c r="J978" s="25" t="str">
        <f t="shared" si="109"/>
        <v/>
      </c>
      <c r="K978" s="24" t="str">
        <f t="shared" si="110"/>
        <v/>
      </c>
      <c r="L978" s="24" t="str">
        <f t="shared" si="111"/>
        <v/>
      </c>
    </row>
    <row r="979" spans="1:12" x14ac:dyDescent="0.25">
      <c r="A979" s="24">
        <f t="shared" si="105"/>
        <v>978</v>
      </c>
      <c r="B979" s="25" t="str">
        <f>IF($A979&gt;nrows,"",IF(col_user=0,"",INDEX('Paste Export'!$A$2:$BZ$1001,$A979,col_user)))</f>
        <v/>
      </c>
      <c r="C979" s="24" t="str">
        <f>IF($A979&gt;nrows,"",IF(col_days=0,0,N(INDEX('Paste Export'!$A$2:$BZ$1001,$A979,col_days))))</f>
        <v/>
      </c>
      <c r="D979" s="24" t="str">
        <f>IF($A979&gt;nrows,"",IF(col_prompts=0,0,N(INDEX('Paste Export'!$A$2:$BZ$1001,$A979,col_prompts))))</f>
        <v/>
      </c>
      <c r="E979" s="24" t="str">
        <f>IF($A979&gt;nrows,"",IF(col_web=0,0,N(INDEX('Paste Export'!$A$2:$BZ$1001,$A979,col_web))))</f>
        <v/>
      </c>
      <c r="F979" s="26" t="str">
        <f t="shared" si="106"/>
        <v/>
      </c>
      <c r="G979" s="27" t="str">
        <f t="shared" si="107"/>
        <v/>
      </c>
      <c r="H979" s="24" t="str">
        <f>IF($A979&gt;nrows,"",IF(col_s1=0,0,--(LEN(INDEX('Paste Export'!$A$2:$BZ$1001,$A979,col_s1))&gt;0))+IF(col_s2=0,0,--(LEN(INDEX('Paste Export'!$A$2:$BZ$1001,$A979,col_s2))&gt;0))+IF(col_s3=0,0,--(LEN(INDEX('Paste Export'!$A$2:$BZ$1001,$A979,col_s3))&gt;0))+IF(col_s4=0,0,--(LEN(INDEX('Paste Export'!$A$2:$BZ$1001,$A979,col_s4))&gt;0))+IF(col_s5=0,0,--(LEN(INDEX('Paste Export'!$A$2:$BZ$1001,$A979,col_s5))&gt;0))+IF(col_s6=0,0,--(LEN(INDEX('Paste Export'!$A$2:$BZ$1001,$A979,col_s6))&gt;0))+IF(col_s7=0,0,--(LEN(INDEX('Paste Export'!$A$2:$BZ$1001,$A979,col_s7))&gt;0))+IF(col_s8=0,0,--(LEN(INDEX('Paste Export'!$A$2:$BZ$1001,$A979,col_s8))&gt;0)))</f>
        <v/>
      </c>
      <c r="I979" s="25" t="str">
        <f t="shared" si="108"/>
        <v/>
      </c>
      <c r="J979" s="25" t="str">
        <f t="shared" si="109"/>
        <v/>
      </c>
      <c r="K979" s="24" t="str">
        <f t="shared" si="110"/>
        <v/>
      </c>
      <c r="L979" s="24" t="str">
        <f t="shared" si="111"/>
        <v/>
      </c>
    </row>
    <row r="980" spans="1:12" x14ac:dyDescent="0.25">
      <c r="A980" s="24">
        <f t="shared" si="105"/>
        <v>979</v>
      </c>
      <c r="B980" s="25" t="str">
        <f>IF($A980&gt;nrows,"",IF(col_user=0,"",INDEX('Paste Export'!$A$2:$BZ$1001,$A980,col_user)))</f>
        <v/>
      </c>
      <c r="C980" s="24" t="str">
        <f>IF($A980&gt;nrows,"",IF(col_days=0,0,N(INDEX('Paste Export'!$A$2:$BZ$1001,$A980,col_days))))</f>
        <v/>
      </c>
      <c r="D980" s="24" t="str">
        <f>IF($A980&gt;nrows,"",IF(col_prompts=0,0,N(INDEX('Paste Export'!$A$2:$BZ$1001,$A980,col_prompts))))</f>
        <v/>
      </c>
      <c r="E980" s="24" t="str">
        <f>IF($A980&gt;nrows,"",IF(col_web=0,0,N(INDEX('Paste Export'!$A$2:$BZ$1001,$A980,col_web))))</f>
        <v/>
      </c>
      <c r="F980" s="26" t="str">
        <f t="shared" si="106"/>
        <v/>
      </c>
      <c r="G980" s="27" t="str">
        <f t="shared" si="107"/>
        <v/>
      </c>
      <c r="H980" s="24" t="str">
        <f>IF($A980&gt;nrows,"",IF(col_s1=0,0,--(LEN(INDEX('Paste Export'!$A$2:$BZ$1001,$A980,col_s1))&gt;0))+IF(col_s2=0,0,--(LEN(INDEX('Paste Export'!$A$2:$BZ$1001,$A980,col_s2))&gt;0))+IF(col_s3=0,0,--(LEN(INDEX('Paste Export'!$A$2:$BZ$1001,$A980,col_s3))&gt;0))+IF(col_s4=0,0,--(LEN(INDEX('Paste Export'!$A$2:$BZ$1001,$A980,col_s4))&gt;0))+IF(col_s5=0,0,--(LEN(INDEX('Paste Export'!$A$2:$BZ$1001,$A980,col_s5))&gt;0))+IF(col_s6=0,0,--(LEN(INDEX('Paste Export'!$A$2:$BZ$1001,$A980,col_s6))&gt;0))+IF(col_s7=0,0,--(LEN(INDEX('Paste Export'!$A$2:$BZ$1001,$A980,col_s7))&gt;0))+IF(col_s8=0,0,--(LEN(INDEX('Paste Export'!$A$2:$BZ$1001,$A980,col_s8))&gt;0)))</f>
        <v/>
      </c>
      <c r="I980" s="25" t="str">
        <f t="shared" si="108"/>
        <v/>
      </c>
      <c r="J980" s="25" t="str">
        <f t="shared" si="109"/>
        <v/>
      </c>
      <c r="K980" s="24" t="str">
        <f t="shared" si="110"/>
        <v/>
      </c>
      <c r="L980" s="24" t="str">
        <f t="shared" si="111"/>
        <v/>
      </c>
    </row>
    <row r="981" spans="1:12" x14ac:dyDescent="0.25">
      <c r="A981" s="24">
        <f t="shared" si="105"/>
        <v>980</v>
      </c>
      <c r="B981" s="25" t="str">
        <f>IF($A981&gt;nrows,"",IF(col_user=0,"",INDEX('Paste Export'!$A$2:$BZ$1001,$A981,col_user)))</f>
        <v/>
      </c>
      <c r="C981" s="24" t="str">
        <f>IF($A981&gt;nrows,"",IF(col_days=0,0,N(INDEX('Paste Export'!$A$2:$BZ$1001,$A981,col_days))))</f>
        <v/>
      </c>
      <c r="D981" s="24" t="str">
        <f>IF($A981&gt;nrows,"",IF(col_prompts=0,0,N(INDEX('Paste Export'!$A$2:$BZ$1001,$A981,col_prompts))))</f>
        <v/>
      </c>
      <c r="E981" s="24" t="str">
        <f>IF($A981&gt;nrows,"",IF(col_web=0,0,N(INDEX('Paste Export'!$A$2:$BZ$1001,$A981,col_web))))</f>
        <v/>
      </c>
      <c r="F981" s="26" t="str">
        <f t="shared" si="106"/>
        <v/>
      </c>
      <c r="G981" s="27" t="str">
        <f t="shared" si="107"/>
        <v/>
      </c>
      <c r="H981" s="24" t="str">
        <f>IF($A981&gt;nrows,"",IF(col_s1=0,0,--(LEN(INDEX('Paste Export'!$A$2:$BZ$1001,$A981,col_s1))&gt;0))+IF(col_s2=0,0,--(LEN(INDEX('Paste Export'!$A$2:$BZ$1001,$A981,col_s2))&gt;0))+IF(col_s3=0,0,--(LEN(INDEX('Paste Export'!$A$2:$BZ$1001,$A981,col_s3))&gt;0))+IF(col_s4=0,0,--(LEN(INDEX('Paste Export'!$A$2:$BZ$1001,$A981,col_s4))&gt;0))+IF(col_s5=0,0,--(LEN(INDEX('Paste Export'!$A$2:$BZ$1001,$A981,col_s5))&gt;0))+IF(col_s6=0,0,--(LEN(INDEX('Paste Export'!$A$2:$BZ$1001,$A981,col_s6))&gt;0))+IF(col_s7=0,0,--(LEN(INDEX('Paste Export'!$A$2:$BZ$1001,$A981,col_s7))&gt;0))+IF(col_s8=0,0,--(LEN(INDEX('Paste Export'!$A$2:$BZ$1001,$A981,col_s8))&gt;0)))</f>
        <v/>
      </c>
      <c r="I981" s="25" t="str">
        <f t="shared" si="108"/>
        <v/>
      </c>
      <c r="J981" s="25" t="str">
        <f t="shared" si="109"/>
        <v/>
      </c>
      <c r="K981" s="24" t="str">
        <f t="shared" si="110"/>
        <v/>
      </c>
      <c r="L981" s="24" t="str">
        <f t="shared" si="111"/>
        <v/>
      </c>
    </row>
    <row r="982" spans="1:12" x14ac:dyDescent="0.25">
      <c r="A982" s="24">
        <f t="shared" si="105"/>
        <v>981</v>
      </c>
      <c r="B982" s="25" t="str">
        <f>IF($A982&gt;nrows,"",IF(col_user=0,"",INDEX('Paste Export'!$A$2:$BZ$1001,$A982,col_user)))</f>
        <v/>
      </c>
      <c r="C982" s="24" t="str">
        <f>IF($A982&gt;nrows,"",IF(col_days=0,0,N(INDEX('Paste Export'!$A$2:$BZ$1001,$A982,col_days))))</f>
        <v/>
      </c>
      <c r="D982" s="24" t="str">
        <f>IF($A982&gt;nrows,"",IF(col_prompts=0,0,N(INDEX('Paste Export'!$A$2:$BZ$1001,$A982,col_prompts))))</f>
        <v/>
      </c>
      <c r="E982" s="24" t="str">
        <f>IF($A982&gt;nrows,"",IF(col_web=0,0,N(INDEX('Paste Export'!$A$2:$BZ$1001,$A982,col_web))))</f>
        <v/>
      </c>
      <c r="F982" s="26" t="str">
        <f t="shared" si="106"/>
        <v/>
      </c>
      <c r="G982" s="27" t="str">
        <f t="shared" si="107"/>
        <v/>
      </c>
      <c r="H982" s="24" t="str">
        <f>IF($A982&gt;nrows,"",IF(col_s1=0,0,--(LEN(INDEX('Paste Export'!$A$2:$BZ$1001,$A982,col_s1))&gt;0))+IF(col_s2=0,0,--(LEN(INDEX('Paste Export'!$A$2:$BZ$1001,$A982,col_s2))&gt;0))+IF(col_s3=0,0,--(LEN(INDEX('Paste Export'!$A$2:$BZ$1001,$A982,col_s3))&gt;0))+IF(col_s4=0,0,--(LEN(INDEX('Paste Export'!$A$2:$BZ$1001,$A982,col_s4))&gt;0))+IF(col_s5=0,0,--(LEN(INDEX('Paste Export'!$A$2:$BZ$1001,$A982,col_s5))&gt;0))+IF(col_s6=0,0,--(LEN(INDEX('Paste Export'!$A$2:$BZ$1001,$A982,col_s6))&gt;0))+IF(col_s7=0,0,--(LEN(INDEX('Paste Export'!$A$2:$BZ$1001,$A982,col_s7))&gt;0))+IF(col_s8=0,0,--(LEN(INDEX('Paste Export'!$A$2:$BZ$1001,$A982,col_s8))&gt;0)))</f>
        <v/>
      </c>
      <c r="I982" s="25" t="str">
        <f t="shared" si="108"/>
        <v/>
      </c>
      <c r="J982" s="25" t="str">
        <f t="shared" si="109"/>
        <v/>
      </c>
      <c r="K982" s="24" t="str">
        <f t="shared" si="110"/>
        <v/>
      </c>
      <c r="L982" s="24" t="str">
        <f t="shared" si="111"/>
        <v/>
      </c>
    </row>
    <row r="983" spans="1:12" x14ac:dyDescent="0.25">
      <c r="A983" s="24">
        <f t="shared" si="105"/>
        <v>982</v>
      </c>
      <c r="B983" s="25" t="str">
        <f>IF($A983&gt;nrows,"",IF(col_user=0,"",INDEX('Paste Export'!$A$2:$BZ$1001,$A983,col_user)))</f>
        <v/>
      </c>
      <c r="C983" s="24" t="str">
        <f>IF($A983&gt;nrows,"",IF(col_days=0,0,N(INDEX('Paste Export'!$A$2:$BZ$1001,$A983,col_days))))</f>
        <v/>
      </c>
      <c r="D983" s="24" t="str">
        <f>IF($A983&gt;nrows,"",IF(col_prompts=0,0,N(INDEX('Paste Export'!$A$2:$BZ$1001,$A983,col_prompts))))</f>
        <v/>
      </c>
      <c r="E983" s="24" t="str">
        <f>IF($A983&gt;nrows,"",IF(col_web=0,0,N(INDEX('Paste Export'!$A$2:$BZ$1001,$A983,col_web))))</f>
        <v/>
      </c>
      <c r="F983" s="26" t="str">
        <f t="shared" si="106"/>
        <v/>
      </c>
      <c r="G983" s="27" t="str">
        <f t="shared" si="107"/>
        <v/>
      </c>
      <c r="H983" s="24" t="str">
        <f>IF($A983&gt;nrows,"",IF(col_s1=0,0,--(LEN(INDEX('Paste Export'!$A$2:$BZ$1001,$A983,col_s1))&gt;0))+IF(col_s2=0,0,--(LEN(INDEX('Paste Export'!$A$2:$BZ$1001,$A983,col_s2))&gt;0))+IF(col_s3=0,0,--(LEN(INDEX('Paste Export'!$A$2:$BZ$1001,$A983,col_s3))&gt;0))+IF(col_s4=0,0,--(LEN(INDEX('Paste Export'!$A$2:$BZ$1001,$A983,col_s4))&gt;0))+IF(col_s5=0,0,--(LEN(INDEX('Paste Export'!$A$2:$BZ$1001,$A983,col_s5))&gt;0))+IF(col_s6=0,0,--(LEN(INDEX('Paste Export'!$A$2:$BZ$1001,$A983,col_s6))&gt;0))+IF(col_s7=0,0,--(LEN(INDEX('Paste Export'!$A$2:$BZ$1001,$A983,col_s7))&gt;0))+IF(col_s8=0,0,--(LEN(INDEX('Paste Export'!$A$2:$BZ$1001,$A983,col_s8))&gt;0)))</f>
        <v/>
      </c>
      <c r="I983" s="25" t="str">
        <f t="shared" si="108"/>
        <v/>
      </c>
      <c r="J983" s="25" t="str">
        <f t="shared" si="109"/>
        <v/>
      </c>
      <c r="K983" s="24" t="str">
        <f t="shared" si="110"/>
        <v/>
      </c>
      <c r="L983" s="24" t="str">
        <f t="shared" si="111"/>
        <v/>
      </c>
    </row>
    <row r="984" spans="1:12" x14ac:dyDescent="0.25">
      <c r="A984" s="24">
        <f t="shared" si="105"/>
        <v>983</v>
      </c>
      <c r="B984" s="25" t="str">
        <f>IF($A984&gt;nrows,"",IF(col_user=0,"",INDEX('Paste Export'!$A$2:$BZ$1001,$A984,col_user)))</f>
        <v/>
      </c>
      <c r="C984" s="24" t="str">
        <f>IF($A984&gt;nrows,"",IF(col_days=0,0,N(INDEX('Paste Export'!$A$2:$BZ$1001,$A984,col_days))))</f>
        <v/>
      </c>
      <c r="D984" s="24" t="str">
        <f>IF($A984&gt;nrows,"",IF(col_prompts=0,0,N(INDEX('Paste Export'!$A$2:$BZ$1001,$A984,col_prompts))))</f>
        <v/>
      </c>
      <c r="E984" s="24" t="str">
        <f>IF($A984&gt;nrows,"",IF(col_web=0,0,N(INDEX('Paste Export'!$A$2:$BZ$1001,$A984,col_web))))</f>
        <v/>
      </c>
      <c r="F984" s="26" t="str">
        <f t="shared" si="106"/>
        <v/>
      </c>
      <c r="G984" s="27" t="str">
        <f t="shared" si="107"/>
        <v/>
      </c>
      <c r="H984" s="24" t="str">
        <f>IF($A984&gt;nrows,"",IF(col_s1=0,0,--(LEN(INDEX('Paste Export'!$A$2:$BZ$1001,$A984,col_s1))&gt;0))+IF(col_s2=0,0,--(LEN(INDEX('Paste Export'!$A$2:$BZ$1001,$A984,col_s2))&gt;0))+IF(col_s3=0,0,--(LEN(INDEX('Paste Export'!$A$2:$BZ$1001,$A984,col_s3))&gt;0))+IF(col_s4=0,0,--(LEN(INDEX('Paste Export'!$A$2:$BZ$1001,$A984,col_s4))&gt;0))+IF(col_s5=0,0,--(LEN(INDEX('Paste Export'!$A$2:$BZ$1001,$A984,col_s5))&gt;0))+IF(col_s6=0,0,--(LEN(INDEX('Paste Export'!$A$2:$BZ$1001,$A984,col_s6))&gt;0))+IF(col_s7=0,0,--(LEN(INDEX('Paste Export'!$A$2:$BZ$1001,$A984,col_s7))&gt;0))+IF(col_s8=0,0,--(LEN(INDEX('Paste Export'!$A$2:$BZ$1001,$A984,col_s8))&gt;0)))</f>
        <v/>
      </c>
      <c r="I984" s="25" t="str">
        <f t="shared" si="108"/>
        <v/>
      </c>
      <c r="J984" s="25" t="str">
        <f t="shared" si="109"/>
        <v/>
      </c>
      <c r="K984" s="24" t="str">
        <f t="shared" si="110"/>
        <v/>
      </c>
      <c r="L984" s="24" t="str">
        <f t="shared" si="111"/>
        <v/>
      </c>
    </row>
    <row r="985" spans="1:12" x14ac:dyDescent="0.25">
      <c r="A985" s="24">
        <f t="shared" si="105"/>
        <v>984</v>
      </c>
      <c r="B985" s="25" t="str">
        <f>IF($A985&gt;nrows,"",IF(col_user=0,"",INDEX('Paste Export'!$A$2:$BZ$1001,$A985,col_user)))</f>
        <v/>
      </c>
      <c r="C985" s="24" t="str">
        <f>IF($A985&gt;nrows,"",IF(col_days=0,0,N(INDEX('Paste Export'!$A$2:$BZ$1001,$A985,col_days))))</f>
        <v/>
      </c>
      <c r="D985" s="24" t="str">
        <f>IF($A985&gt;nrows,"",IF(col_prompts=0,0,N(INDEX('Paste Export'!$A$2:$BZ$1001,$A985,col_prompts))))</f>
        <v/>
      </c>
      <c r="E985" s="24" t="str">
        <f>IF($A985&gt;nrows,"",IF(col_web=0,0,N(INDEX('Paste Export'!$A$2:$BZ$1001,$A985,col_web))))</f>
        <v/>
      </c>
      <c r="F985" s="26" t="str">
        <f t="shared" si="106"/>
        <v/>
      </c>
      <c r="G985" s="27" t="str">
        <f t="shared" si="107"/>
        <v/>
      </c>
      <c r="H985" s="24" t="str">
        <f>IF($A985&gt;nrows,"",IF(col_s1=0,0,--(LEN(INDEX('Paste Export'!$A$2:$BZ$1001,$A985,col_s1))&gt;0))+IF(col_s2=0,0,--(LEN(INDEX('Paste Export'!$A$2:$BZ$1001,$A985,col_s2))&gt;0))+IF(col_s3=0,0,--(LEN(INDEX('Paste Export'!$A$2:$BZ$1001,$A985,col_s3))&gt;0))+IF(col_s4=0,0,--(LEN(INDEX('Paste Export'!$A$2:$BZ$1001,$A985,col_s4))&gt;0))+IF(col_s5=0,0,--(LEN(INDEX('Paste Export'!$A$2:$BZ$1001,$A985,col_s5))&gt;0))+IF(col_s6=0,0,--(LEN(INDEX('Paste Export'!$A$2:$BZ$1001,$A985,col_s6))&gt;0))+IF(col_s7=0,0,--(LEN(INDEX('Paste Export'!$A$2:$BZ$1001,$A985,col_s7))&gt;0))+IF(col_s8=0,0,--(LEN(INDEX('Paste Export'!$A$2:$BZ$1001,$A985,col_s8))&gt;0)))</f>
        <v/>
      </c>
      <c r="I985" s="25" t="str">
        <f t="shared" si="108"/>
        <v/>
      </c>
      <c r="J985" s="25" t="str">
        <f t="shared" si="109"/>
        <v/>
      </c>
      <c r="K985" s="24" t="str">
        <f t="shared" si="110"/>
        <v/>
      </c>
      <c r="L985" s="24" t="str">
        <f t="shared" si="111"/>
        <v/>
      </c>
    </row>
    <row r="986" spans="1:12" x14ac:dyDescent="0.25">
      <c r="A986" s="24">
        <f t="shared" si="105"/>
        <v>985</v>
      </c>
      <c r="B986" s="25" t="str">
        <f>IF($A986&gt;nrows,"",IF(col_user=0,"",INDEX('Paste Export'!$A$2:$BZ$1001,$A986,col_user)))</f>
        <v/>
      </c>
      <c r="C986" s="24" t="str">
        <f>IF($A986&gt;nrows,"",IF(col_days=0,0,N(INDEX('Paste Export'!$A$2:$BZ$1001,$A986,col_days))))</f>
        <v/>
      </c>
      <c r="D986" s="24" t="str">
        <f>IF($A986&gt;nrows,"",IF(col_prompts=0,0,N(INDEX('Paste Export'!$A$2:$BZ$1001,$A986,col_prompts))))</f>
        <v/>
      </c>
      <c r="E986" s="24" t="str">
        <f>IF($A986&gt;nrows,"",IF(col_web=0,0,N(INDEX('Paste Export'!$A$2:$BZ$1001,$A986,col_web))))</f>
        <v/>
      </c>
      <c r="F986" s="26" t="str">
        <f t="shared" si="106"/>
        <v/>
      </c>
      <c r="G986" s="27" t="str">
        <f t="shared" si="107"/>
        <v/>
      </c>
      <c r="H986" s="24" t="str">
        <f>IF($A986&gt;nrows,"",IF(col_s1=0,0,--(LEN(INDEX('Paste Export'!$A$2:$BZ$1001,$A986,col_s1))&gt;0))+IF(col_s2=0,0,--(LEN(INDEX('Paste Export'!$A$2:$BZ$1001,$A986,col_s2))&gt;0))+IF(col_s3=0,0,--(LEN(INDEX('Paste Export'!$A$2:$BZ$1001,$A986,col_s3))&gt;0))+IF(col_s4=0,0,--(LEN(INDEX('Paste Export'!$A$2:$BZ$1001,$A986,col_s4))&gt;0))+IF(col_s5=0,0,--(LEN(INDEX('Paste Export'!$A$2:$BZ$1001,$A986,col_s5))&gt;0))+IF(col_s6=0,0,--(LEN(INDEX('Paste Export'!$A$2:$BZ$1001,$A986,col_s6))&gt;0))+IF(col_s7=0,0,--(LEN(INDEX('Paste Export'!$A$2:$BZ$1001,$A986,col_s7))&gt;0))+IF(col_s8=0,0,--(LEN(INDEX('Paste Export'!$A$2:$BZ$1001,$A986,col_s8))&gt;0)))</f>
        <v/>
      </c>
      <c r="I986" s="25" t="str">
        <f t="shared" si="108"/>
        <v/>
      </c>
      <c r="J986" s="25" t="str">
        <f t="shared" si="109"/>
        <v/>
      </c>
      <c r="K986" s="24" t="str">
        <f t="shared" si="110"/>
        <v/>
      </c>
      <c r="L986" s="24" t="str">
        <f t="shared" si="111"/>
        <v/>
      </c>
    </row>
    <row r="987" spans="1:12" x14ac:dyDescent="0.25">
      <c r="A987" s="24">
        <f t="shared" si="105"/>
        <v>986</v>
      </c>
      <c r="B987" s="25" t="str">
        <f>IF($A987&gt;nrows,"",IF(col_user=0,"",INDEX('Paste Export'!$A$2:$BZ$1001,$A987,col_user)))</f>
        <v/>
      </c>
      <c r="C987" s="24" t="str">
        <f>IF($A987&gt;nrows,"",IF(col_days=0,0,N(INDEX('Paste Export'!$A$2:$BZ$1001,$A987,col_days))))</f>
        <v/>
      </c>
      <c r="D987" s="24" t="str">
        <f>IF($A987&gt;nrows,"",IF(col_prompts=0,0,N(INDEX('Paste Export'!$A$2:$BZ$1001,$A987,col_prompts))))</f>
        <v/>
      </c>
      <c r="E987" s="24" t="str">
        <f>IF($A987&gt;nrows,"",IF(col_web=0,0,N(INDEX('Paste Export'!$A$2:$BZ$1001,$A987,col_web))))</f>
        <v/>
      </c>
      <c r="F987" s="26" t="str">
        <f t="shared" si="106"/>
        <v/>
      </c>
      <c r="G987" s="27" t="str">
        <f t="shared" si="107"/>
        <v/>
      </c>
      <c r="H987" s="24" t="str">
        <f>IF($A987&gt;nrows,"",IF(col_s1=0,0,--(LEN(INDEX('Paste Export'!$A$2:$BZ$1001,$A987,col_s1))&gt;0))+IF(col_s2=0,0,--(LEN(INDEX('Paste Export'!$A$2:$BZ$1001,$A987,col_s2))&gt;0))+IF(col_s3=0,0,--(LEN(INDEX('Paste Export'!$A$2:$BZ$1001,$A987,col_s3))&gt;0))+IF(col_s4=0,0,--(LEN(INDEX('Paste Export'!$A$2:$BZ$1001,$A987,col_s4))&gt;0))+IF(col_s5=0,0,--(LEN(INDEX('Paste Export'!$A$2:$BZ$1001,$A987,col_s5))&gt;0))+IF(col_s6=0,0,--(LEN(INDEX('Paste Export'!$A$2:$BZ$1001,$A987,col_s6))&gt;0))+IF(col_s7=0,0,--(LEN(INDEX('Paste Export'!$A$2:$BZ$1001,$A987,col_s7))&gt;0))+IF(col_s8=0,0,--(LEN(INDEX('Paste Export'!$A$2:$BZ$1001,$A987,col_s8))&gt;0)))</f>
        <v/>
      </c>
      <c r="I987" s="25" t="str">
        <f t="shared" si="108"/>
        <v/>
      </c>
      <c r="J987" s="25" t="str">
        <f t="shared" si="109"/>
        <v/>
      </c>
      <c r="K987" s="24" t="str">
        <f t="shared" si="110"/>
        <v/>
      </c>
      <c r="L987" s="24" t="str">
        <f t="shared" si="111"/>
        <v/>
      </c>
    </row>
    <row r="988" spans="1:12" x14ac:dyDescent="0.25">
      <c r="A988" s="24">
        <f t="shared" si="105"/>
        <v>987</v>
      </c>
      <c r="B988" s="25" t="str">
        <f>IF($A988&gt;nrows,"",IF(col_user=0,"",INDEX('Paste Export'!$A$2:$BZ$1001,$A988,col_user)))</f>
        <v/>
      </c>
      <c r="C988" s="24" t="str">
        <f>IF($A988&gt;nrows,"",IF(col_days=0,0,N(INDEX('Paste Export'!$A$2:$BZ$1001,$A988,col_days))))</f>
        <v/>
      </c>
      <c r="D988" s="24" t="str">
        <f>IF($A988&gt;nrows,"",IF(col_prompts=0,0,N(INDEX('Paste Export'!$A$2:$BZ$1001,$A988,col_prompts))))</f>
        <v/>
      </c>
      <c r="E988" s="24" t="str">
        <f>IF($A988&gt;nrows,"",IF(col_web=0,0,N(INDEX('Paste Export'!$A$2:$BZ$1001,$A988,col_web))))</f>
        <v/>
      </c>
      <c r="F988" s="26" t="str">
        <f t="shared" si="106"/>
        <v/>
      </c>
      <c r="G988" s="27" t="str">
        <f t="shared" si="107"/>
        <v/>
      </c>
      <c r="H988" s="24" t="str">
        <f>IF($A988&gt;nrows,"",IF(col_s1=0,0,--(LEN(INDEX('Paste Export'!$A$2:$BZ$1001,$A988,col_s1))&gt;0))+IF(col_s2=0,0,--(LEN(INDEX('Paste Export'!$A$2:$BZ$1001,$A988,col_s2))&gt;0))+IF(col_s3=0,0,--(LEN(INDEX('Paste Export'!$A$2:$BZ$1001,$A988,col_s3))&gt;0))+IF(col_s4=0,0,--(LEN(INDEX('Paste Export'!$A$2:$BZ$1001,$A988,col_s4))&gt;0))+IF(col_s5=0,0,--(LEN(INDEX('Paste Export'!$A$2:$BZ$1001,$A988,col_s5))&gt;0))+IF(col_s6=0,0,--(LEN(INDEX('Paste Export'!$A$2:$BZ$1001,$A988,col_s6))&gt;0))+IF(col_s7=0,0,--(LEN(INDEX('Paste Export'!$A$2:$BZ$1001,$A988,col_s7))&gt;0))+IF(col_s8=0,0,--(LEN(INDEX('Paste Export'!$A$2:$BZ$1001,$A988,col_s8))&gt;0)))</f>
        <v/>
      </c>
      <c r="I988" s="25" t="str">
        <f t="shared" si="108"/>
        <v/>
      </c>
      <c r="J988" s="25" t="str">
        <f t="shared" si="109"/>
        <v/>
      </c>
      <c r="K988" s="24" t="str">
        <f t="shared" si="110"/>
        <v/>
      </c>
      <c r="L988" s="24" t="str">
        <f t="shared" si="111"/>
        <v/>
      </c>
    </row>
    <row r="989" spans="1:12" x14ac:dyDescent="0.25">
      <c r="A989" s="24">
        <f t="shared" si="105"/>
        <v>988</v>
      </c>
      <c r="B989" s="25" t="str">
        <f>IF($A989&gt;nrows,"",IF(col_user=0,"",INDEX('Paste Export'!$A$2:$BZ$1001,$A989,col_user)))</f>
        <v/>
      </c>
      <c r="C989" s="24" t="str">
        <f>IF($A989&gt;nrows,"",IF(col_days=0,0,N(INDEX('Paste Export'!$A$2:$BZ$1001,$A989,col_days))))</f>
        <v/>
      </c>
      <c r="D989" s="24" t="str">
        <f>IF($A989&gt;nrows,"",IF(col_prompts=0,0,N(INDEX('Paste Export'!$A$2:$BZ$1001,$A989,col_prompts))))</f>
        <v/>
      </c>
      <c r="E989" s="24" t="str">
        <f>IF($A989&gt;nrows,"",IF(col_web=0,0,N(INDEX('Paste Export'!$A$2:$BZ$1001,$A989,col_web))))</f>
        <v/>
      </c>
      <c r="F989" s="26" t="str">
        <f t="shared" si="106"/>
        <v/>
      </c>
      <c r="G989" s="27" t="str">
        <f t="shared" si="107"/>
        <v/>
      </c>
      <c r="H989" s="24" t="str">
        <f>IF($A989&gt;nrows,"",IF(col_s1=0,0,--(LEN(INDEX('Paste Export'!$A$2:$BZ$1001,$A989,col_s1))&gt;0))+IF(col_s2=0,0,--(LEN(INDEX('Paste Export'!$A$2:$BZ$1001,$A989,col_s2))&gt;0))+IF(col_s3=0,0,--(LEN(INDEX('Paste Export'!$A$2:$BZ$1001,$A989,col_s3))&gt;0))+IF(col_s4=0,0,--(LEN(INDEX('Paste Export'!$A$2:$BZ$1001,$A989,col_s4))&gt;0))+IF(col_s5=0,0,--(LEN(INDEX('Paste Export'!$A$2:$BZ$1001,$A989,col_s5))&gt;0))+IF(col_s6=0,0,--(LEN(INDEX('Paste Export'!$A$2:$BZ$1001,$A989,col_s6))&gt;0))+IF(col_s7=0,0,--(LEN(INDEX('Paste Export'!$A$2:$BZ$1001,$A989,col_s7))&gt;0))+IF(col_s8=0,0,--(LEN(INDEX('Paste Export'!$A$2:$BZ$1001,$A989,col_s8))&gt;0)))</f>
        <v/>
      </c>
      <c r="I989" s="25" t="str">
        <f t="shared" si="108"/>
        <v/>
      </c>
      <c r="J989" s="25" t="str">
        <f t="shared" si="109"/>
        <v/>
      </c>
      <c r="K989" s="24" t="str">
        <f t="shared" si="110"/>
        <v/>
      </c>
      <c r="L989" s="24" t="str">
        <f t="shared" si="111"/>
        <v/>
      </c>
    </row>
    <row r="990" spans="1:12" x14ac:dyDescent="0.25">
      <c r="A990" s="24">
        <f t="shared" si="105"/>
        <v>989</v>
      </c>
      <c r="B990" s="25" t="str">
        <f>IF($A990&gt;nrows,"",IF(col_user=0,"",INDEX('Paste Export'!$A$2:$BZ$1001,$A990,col_user)))</f>
        <v/>
      </c>
      <c r="C990" s="24" t="str">
        <f>IF($A990&gt;nrows,"",IF(col_days=0,0,N(INDEX('Paste Export'!$A$2:$BZ$1001,$A990,col_days))))</f>
        <v/>
      </c>
      <c r="D990" s="24" t="str">
        <f>IF($A990&gt;nrows,"",IF(col_prompts=0,0,N(INDEX('Paste Export'!$A$2:$BZ$1001,$A990,col_prompts))))</f>
        <v/>
      </c>
      <c r="E990" s="24" t="str">
        <f>IF($A990&gt;nrows,"",IF(col_web=0,0,N(INDEX('Paste Export'!$A$2:$BZ$1001,$A990,col_web))))</f>
        <v/>
      </c>
      <c r="F990" s="26" t="str">
        <f t="shared" si="106"/>
        <v/>
      </c>
      <c r="G990" s="27" t="str">
        <f t="shared" si="107"/>
        <v/>
      </c>
      <c r="H990" s="24" t="str">
        <f>IF($A990&gt;nrows,"",IF(col_s1=0,0,--(LEN(INDEX('Paste Export'!$A$2:$BZ$1001,$A990,col_s1))&gt;0))+IF(col_s2=0,0,--(LEN(INDEX('Paste Export'!$A$2:$BZ$1001,$A990,col_s2))&gt;0))+IF(col_s3=0,0,--(LEN(INDEX('Paste Export'!$A$2:$BZ$1001,$A990,col_s3))&gt;0))+IF(col_s4=0,0,--(LEN(INDEX('Paste Export'!$A$2:$BZ$1001,$A990,col_s4))&gt;0))+IF(col_s5=0,0,--(LEN(INDEX('Paste Export'!$A$2:$BZ$1001,$A990,col_s5))&gt;0))+IF(col_s6=0,0,--(LEN(INDEX('Paste Export'!$A$2:$BZ$1001,$A990,col_s6))&gt;0))+IF(col_s7=0,0,--(LEN(INDEX('Paste Export'!$A$2:$BZ$1001,$A990,col_s7))&gt;0))+IF(col_s8=0,0,--(LEN(INDEX('Paste Export'!$A$2:$BZ$1001,$A990,col_s8))&gt;0)))</f>
        <v/>
      </c>
      <c r="I990" s="25" t="str">
        <f t="shared" si="108"/>
        <v/>
      </c>
      <c r="J990" s="25" t="str">
        <f t="shared" si="109"/>
        <v/>
      </c>
      <c r="K990" s="24" t="str">
        <f t="shared" si="110"/>
        <v/>
      </c>
      <c r="L990" s="24" t="str">
        <f t="shared" si="111"/>
        <v/>
      </c>
    </row>
    <row r="991" spans="1:12" x14ac:dyDescent="0.25">
      <c r="A991" s="24">
        <f t="shared" si="105"/>
        <v>990</v>
      </c>
      <c r="B991" s="25" t="str">
        <f>IF($A991&gt;nrows,"",IF(col_user=0,"",INDEX('Paste Export'!$A$2:$BZ$1001,$A991,col_user)))</f>
        <v/>
      </c>
      <c r="C991" s="24" t="str">
        <f>IF($A991&gt;nrows,"",IF(col_days=0,0,N(INDEX('Paste Export'!$A$2:$BZ$1001,$A991,col_days))))</f>
        <v/>
      </c>
      <c r="D991" s="24" t="str">
        <f>IF($A991&gt;nrows,"",IF(col_prompts=0,0,N(INDEX('Paste Export'!$A$2:$BZ$1001,$A991,col_prompts))))</f>
        <v/>
      </c>
      <c r="E991" s="24" t="str">
        <f>IF($A991&gt;nrows,"",IF(col_web=0,0,N(INDEX('Paste Export'!$A$2:$BZ$1001,$A991,col_web))))</f>
        <v/>
      </c>
      <c r="F991" s="26" t="str">
        <f t="shared" si="106"/>
        <v/>
      </c>
      <c r="G991" s="27" t="str">
        <f t="shared" si="107"/>
        <v/>
      </c>
      <c r="H991" s="24" t="str">
        <f>IF($A991&gt;nrows,"",IF(col_s1=0,0,--(LEN(INDEX('Paste Export'!$A$2:$BZ$1001,$A991,col_s1))&gt;0))+IF(col_s2=0,0,--(LEN(INDEX('Paste Export'!$A$2:$BZ$1001,$A991,col_s2))&gt;0))+IF(col_s3=0,0,--(LEN(INDEX('Paste Export'!$A$2:$BZ$1001,$A991,col_s3))&gt;0))+IF(col_s4=0,0,--(LEN(INDEX('Paste Export'!$A$2:$BZ$1001,$A991,col_s4))&gt;0))+IF(col_s5=0,0,--(LEN(INDEX('Paste Export'!$A$2:$BZ$1001,$A991,col_s5))&gt;0))+IF(col_s6=0,0,--(LEN(INDEX('Paste Export'!$A$2:$BZ$1001,$A991,col_s6))&gt;0))+IF(col_s7=0,0,--(LEN(INDEX('Paste Export'!$A$2:$BZ$1001,$A991,col_s7))&gt;0))+IF(col_s8=0,0,--(LEN(INDEX('Paste Export'!$A$2:$BZ$1001,$A991,col_s8))&gt;0)))</f>
        <v/>
      </c>
      <c r="I991" s="25" t="str">
        <f t="shared" si="108"/>
        <v/>
      </c>
      <c r="J991" s="25" t="str">
        <f t="shared" si="109"/>
        <v/>
      </c>
      <c r="K991" s="24" t="str">
        <f t="shared" si="110"/>
        <v/>
      </c>
      <c r="L991" s="24" t="str">
        <f t="shared" si="111"/>
        <v/>
      </c>
    </row>
    <row r="992" spans="1:12" x14ac:dyDescent="0.25">
      <c r="A992" s="24">
        <f t="shared" si="105"/>
        <v>991</v>
      </c>
      <c r="B992" s="25" t="str">
        <f>IF($A992&gt;nrows,"",IF(col_user=0,"",INDEX('Paste Export'!$A$2:$BZ$1001,$A992,col_user)))</f>
        <v/>
      </c>
      <c r="C992" s="24" t="str">
        <f>IF($A992&gt;nrows,"",IF(col_days=0,0,N(INDEX('Paste Export'!$A$2:$BZ$1001,$A992,col_days))))</f>
        <v/>
      </c>
      <c r="D992" s="24" t="str">
        <f>IF($A992&gt;nrows,"",IF(col_prompts=0,0,N(INDEX('Paste Export'!$A$2:$BZ$1001,$A992,col_prompts))))</f>
        <v/>
      </c>
      <c r="E992" s="24" t="str">
        <f>IF($A992&gt;nrows,"",IF(col_web=0,0,N(INDEX('Paste Export'!$A$2:$BZ$1001,$A992,col_web))))</f>
        <v/>
      </c>
      <c r="F992" s="26" t="str">
        <f t="shared" si="106"/>
        <v/>
      </c>
      <c r="G992" s="27" t="str">
        <f t="shared" si="107"/>
        <v/>
      </c>
      <c r="H992" s="24" t="str">
        <f>IF($A992&gt;nrows,"",IF(col_s1=0,0,--(LEN(INDEX('Paste Export'!$A$2:$BZ$1001,$A992,col_s1))&gt;0))+IF(col_s2=0,0,--(LEN(INDEX('Paste Export'!$A$2:$BZ$1001,$A992,col_s2))&gt;0))+IF(col_s3=0,0,--(LEN(INDEX('Paste Export'!$A$2:$BZ$1001,$A992,col_s3))&gt;0))+IF(col_s4=0,0,--(LEN(INDEX('Paste Export'!$A$2:$BZ$1001,$A992,col_s4))&gt;0))+IF(col_s5=0,0,--(LEN(INDEX('Paste Export'!$A$2:$BZ$1001,$A992,col_s5))&gt;0))+IF(col_s6=0,0,--(LEN(INDEX('Paste Export'!$A$2:$BZ$1001,$A992,col_s6))&gt;0))+IF(col_s7=0,0,--(LEN(INDEX('Paste Export'!$A$2:$BZ$1001,$A992,col_s7))&gt;0))+IF(col_s8=0,0,--(LEN(INDEX('Paste Export'!$A$2:$BZ$1001,$A992,col_s8))&gt;0)))</f>
        <v/>
      </c>
      <c r="I992" s="25" t="str">
        <f t="shared" si="108"/>
        <v/>
      </c>
      <c r="J992" s="25" t="str">
        <f t="shared" si="109"/>
        <v/>
      </c>
      <c r="K992" s="24" t="str">
        <f t="shared" si="110"/>
        <v/>
      </c>
      <c r="L992" s="24" t="str">
        <f t="shared" si="111"/>
        <v/>
      </c>
    </row>
    <row r="993" spans="1:12" x14ac:dyDescent="0.25">
      <c r="A993" s="24">
        <f t="shared" si="105"/>
        <v>992</v>
      </c>
      <c r="B993" s="25" t="str">
        <f>IF($A993&gt;nrows,"",IF(col_user=0,"",INDEX('Paste Export'!$A$2:$BZ$1001,$A993,col_user)))</f>
        <v/>
      </c>
      <c r="C993" s="24" t="str">
        <f>IF($A993&gt;nrows,"",IF(col_days=0,0,N(INDEX('Paste Export'!$A$2:$BZ$1001,$A993,col_days))))</f>
        <v/>
      </c>
      <c r="D993" s="24" t="str">
        <f>IF($A993&gt;nrows,"",IF(col_prompts=0,0,N(INDEX('Paste Export'!$A$2:$BZ$1001,$A993,col_prompts))))</f>
        <v/>
      </c>
      <c r="E993" s="24" t="str">
        <f>IF($A993&gt;nrows,"",IF(col_web=0,0,N(INDEX('Paste Export'!$A$2:$BZ$1001,$A993,col_web))))</f>
        <v/>
      </c>
      <c r="F993" s="26" t="str">
        <f t="shared" si="106"/>
        <v/>
      </c>
      <c r="G993" s="27" t="str">
        <f t="shared" si="107"/>
        <v/>
      </c>
      <c r="H993" s="24" t="str">
        <f>IF($A993&gt;nrows,"",IF(col_s1=0,0,--(LEN(INDEX('Paste Export'!$A$2:$BZ$1001,$A993,col_s1))&gt;0))+IF(col_s2=0,0,--(LEN(INDEX('Paste Export'!$A$2:$BZ$1001,$A993,col_s2))&gt;0))+IF(col_s3=0,0,--(LEN(INDEX('Paste Export'!$A$2:$BZ$1001,$A993,col_s3))&gt;0))+IF(col_s4=0,0,--(LEN(INDEX('Paste Export'!$A$2:$BZ$1001,$A993,col_s4))&gt;0))+IF(col_s5=0,0,--(LEN(INDEX('Paste Export'!$A$2:$BZ$1001,$A993,col_s5))&gt;0))+IF(col_s6=0,0,--(LEN(INDEX('Paste Export'!$A$2:$BZ$1001,$A993,col_s6))&gt;0))+IF(col_s7=0,0,--(LEN(INDEX('Paste Export'!$A$2:$BZ$1001,$A993,col_s7))&gt;0))+IF(col_s8=0,0,--(LEN(INDEX('Paste Export'!$A$2:$BZ$1001,$A993,col_s8))&gt;0)))</f>
        <v/>
      </c>
      <c r="I993" s="25" t="str">
        <f t="shared" si="108"/>
        <v/>
      </c>
      <c r="J993" s="25" t="str">
        <f t="shared" si="109"/>
        <v/>
      </c>
      <c r="K993" s="24" t="str">
        <f t="shared" si="110"/>
        <v/>
      </c>
      <c r="L993" s="24" t="str">
        <f t="shared" si="111"/>
        <v/>
      </c>
    </row>
    <row r="994" spans="1:12" x14ac:dyDescent="0.25">
      <c r="A994" s="24">
        <f t="shared" si="105"/>
        <v>993</v>
      </c>
      <c r="B994" s="25" t="str">
        <f>IF($A994&gt;nrows,"",IF(col_user=0,"",INDEX('Paste Export'!$A$2:$BZ$1001,$A994,col_user)))</f>
        <v/>
      </c>
      <c r="C994" s="24" t="str">
        <f>IF($A994&gt;nrows,"",IF(col_days=0,0,N(INDEX('Paste Export'!$A$2:$BZ$1001,$A994,col_days))))</f>
        <v/>
      </c>
      <c r="D994" s="24" t="str">
        <f>IF($A994&gt;nrows,"",IF(col_prompts=0,0,N(INDEX('Paste Export'!$A$2:$BZ$1001,$A994,col_prompts))))</f>
        <v/>
      </c>
      <c r="E994" s="24" t="str">
        <f>IF($A994&gt;nrows,"",IF(col_web=0,0,N(INDEX('Paste Export'!$A$2:$BZ$1001,$A994,col_web))))</f>
        <v/>
      </c>
      <c r="F994" s="26" t="str">
        <f t="shared" si="106"/>
        <v/>
      </c>
      <c r="G994" s="27" t="str">
        <f t="shared" si="107"/>
        <v/>
      </c>
      <c r="H994" s="24" t="str">
        <f>IF($A994&gt;nrows,"",IF(col_s1=0,0,--(LEN(INDEX('Paste Export'!$A$2:$BZ$1001,$A994,col_s1))&gt;0))+IF(col_s2=0,0,--(LEN(INDEX('Paste Export'!$A$2:$BZ$1001,$A994,col_s2))&gt;0))+IF(col_s3=0,0,--(LEN(INDEX('Paste Export'!$A$2:$BZ$1001,$A994,col_s3))&gt;0))+IF(col_s4=0,0,--(LEN(INDEX('Paste Export'!$A$2:$BZ$1001,$A994,col_s4))&gt;0))+IF(col_s5=0,0,--(LEN(INDEX('Paste Export'!$A$2:$BZ$1001,$A994,col_s5))&gt;0))+IF(col_s6=0,0,--(LEN(INDEX('Paste Export'!$A$2:$BZ$1001,$A994,col_s6))&gt;0))+IF(col_s7=0,0,--(LEN(INDEX('Paste Export'!$A$2:$BZ$1001,$A994,col_s7))&gt;0))+IF(col_s8=0,0,--(LEN(INDEX('Paste Export'!$A$2:$BZ$1001,$A994,col_s8))&gt;0)))</f>
        <v/>
      </c>
      <c r="I994" s="25" t="str">
        <f t="shared" si="108"/>
        <v/>
      </c>
      <c r="J994" s="25" t="str">
        <f t="shared" si="109"/>
        <v/>
      </c>
      <c r="K994" s="24" t="str">
        <f t="shared" si="110"/>
        <v/>
      </c>
      <c r="L994" s="24" t="str">
        <f t="shared" si="111"/>
        <v/>
      </c>
    </row>
    <row r="995" spans="1:12" x14ac:dyDescent="0.25">
      <c r="A995" s="24">
        <f t="shared" si="105"/>
        <v>994</v>
      </c>
      <c r="B995" s="25" t="str">
        <f>IF($A995&gt;nrows,"",IF(col_user=0,"",INDEX('Paste Export'!$A$2:$BZ$1001,$A995,col_user)))</f>
        <v/>
      </c>
      <c r="C995" s="24" t="str">
        <f>IF($A995&gt;nrows,"",IF(col_days=0,0,N(INDEX('Paste Export'!$A$2:$BZ$1001,$A995,col_days))))</f>
        <v/>
      </c>
      <c r="D995" s="24" t="str">
        <f>IF($A995&gt;nrows,"",IF(col_prompts=0,0,N(INDEX('Paste Export'!$A$2:$BZ$1001,$A995,col_prompts))))</f>
        <v/>
      </c>
      <c r="E995" s="24" t="str">
        <f>IF($A995&gt;nrows,"",IF(col_web=0,0,N(INDEX('Paste Export'!$A$2:$BZ$1001,$A995,col_web))))</f>
        <v/>
      </c>
      <c r="F995" s="26" t="str">
        <f t="shared" si="106"/>
        <v/>
      </c>
      <c r="G995" s="27" t="str">
        <f t="shared" si="107"/>
        <v/>
      </c>
      <c r="H995" s="24" t="str">
        <f>IF($A995&gt;nrows,"",IF(col_s1=0,0,--(LEN(INDEX('Paste Export'!$A$2:$BZ$1001,$A995,col_s1))&gt;0))+IF(col_s2=0,0,--(LEN(INDEX('Paste Export'!$A$2:$BZ$1001,$A995,col_s2))&gt;0))+IF(col_s3=0,0,--(LEN(INDEX('Paste Export'!$A$2:$BZ$1001,$A995,col_s3))&gt;0))+IF(col_s4=0,0,--(LEN(INDEX('Paste Export'!$A$2:$BZ$1001,$A995,col_s4))&gt;0))+IF(col_s5=0,0,--(LEN(INDEX('Paste Export'!$A$2:$BZ$1001,$A995,col_s5))&gt;0))+IF(col_s6=0,0,--(LEN(INDEX('Paste Export'!$A$2:$BZ$1001,$A995,col_s6))&gt;0))+IF(col_s7=0,0,--(LEN(INDEX('Paste Export'!$A$2:$BZ$1001,$A995,col_s7))&gt;0))+IF(col_s8=0,0,--(LEN(INDEX('Paste Export'!$A$2:$BZ$1001,$A995,col_s8))&gt;0)))</f>
        <v/>
      </c>
      <c r="I995" s="25" t="str">
        <f t="shared" si="108"/>
        <v/>
      </c>
      <c r="J995" s="25" t="str">
        <f t="shared" si="109"/>
        <v/>
      </c>
      <c r="K995" s="24" t="str">
        <f t="shared" si="110"/>
        <v/>
      </c>
      <c r="L995" s="24" t="str">
        <f t="shared" si="111"/>
        <v/>
      </c>
    </row>
    <row r="996" spans="1:12" x14ac:dyDescent="0.25">
      <c r="A996" s="24">
        <f t="shared" si="105"/>
        <v>995</v>
      </c>
      <c r="B996" s="25" t="str">
        <f>IF($A996&gt;nrows,"",IF(col_user=0,"",INDEX('Paste Export'!$A$2:$BZ$1001,$A996,col_user)))</f>
        <v/>
      </c>
      <c r="C996" s="24" t="str">
        <f>IF($A996&gt;nrows,"",IF(col_days=0,0,N(INDEX('Paste Export'!$A$2:$BZ$1001,$A996,col_days))))</f>
        <v/>
      </c>
      <c r="D996" s="24" t="str">
        <f>IF($A996&gt;nrows,"",IF(col_prompts=0,0,N(INDEX('Paste Export'!$A$2:$BZ$1001,$A996,col_prompts))))</f>
        <v/>
      </c>
      <c r="E996" s="24" t="str">
        <f>IF($A996&gt;nrows,"",IF(col_web=0,0,N(INDEX('Paste Export'!$A$2:$BZ$1001,$A996,col_web))))</f>
        <v/>
      </c>
      <c r="F996" s="26" t="str">
        <f t="shared" si="106"/>
        <v/>
      </c>
      <c r="G996" s="27" t="str">
        <f t="shared" si="107"/>
        <v/>
      </c>
      <c r="H996" s="24" t="str">
        <f>IF($A996&gt;nrows,"",IF(col_s1=0,0,--(LEN(INDEX('Paste Export'!$A$2:$BZ$1001,$A996,col_s1))&gt;0))+IF(col_s2=0,0,--(LEN(INDEX('Paste Export'!$A$2:$BZ$1001,$A996,col_s2))&gt;0))+IF(col_s3=0,0,--(LEN(INDEX('Paste Export'!$A$2:$BZ$1001,$A996,col_s3))&gt;0))+IF(col_s4=0,0,--(LEN(INDEX('Paste Export'!$A$2:$BZ$1001,$A996,col_s4))&gt;0))+IF(col_s5=0,0,--(LEN(INDEX('Paste Export'!$A$2:$BZ$1001,$A996,col_s5))&gt;0))+IF(col_s6=0,0,--(LEN(INDEX('Paste Export'!$A$2:$BZ$1001,$A996,col_s6))&gt;0))+IF(col_s7=0,0,--(LEN(INDEX('Paste Export'!$A$2:$BZ$1001,$A996,col_s7))&gt;0))+IF(col_s8=0,0,--(LEN(INDEX('Paste Export'!$A$2:$BZ$1001,$A996,col_s8))&gt;0)))</f>
        <v/>
      </c>
      <c r="I996" s="25" t="str">
        <f t="shared" si="108"/>
        <v/>
      </c>
      <c r="J996" s="25" t="str">
        <f t="shared" si="109"/>
        <v/>
      </c>
      <c r="K996" s="24" t="str">
        <f t="shared" si="110"/>
        <v/>
      </c>
      <c r="L996" s="24" t="str">
        <f t="shared" si="111"/>
        <v/>
      </c>
    </row>
    <row r="997" spans="1:12" x14ac:dyDescent="0.25">
      <c r="A997" s="24">
        <f t="shared" si="105"/>
        <v>996</v>
      </c>
      <c r="B997" s="25" t="str">
        <f>IF($A997&gt;nrows,"",IF(col_user=0,"",INDEX('Paste Export'!$A$2:$BZ$1001,$A997,col_user)))</f>
        <v/>
      </c>
      <c r="C997" s="24" t="str">
        <f>IF($A997&gt;nrows,"",IF(col_days=0,0,N(INDEX('Paste Export'!$A$2:$BZ$1001,$A997,col_days))))</f>
        <v/>
      </c>
      <c r="D997" s="24" t="str">
        <f>IF($A997&gt;nrows,"",IF(col_prompts=0,0,N(INDEX('Paste Export'!$A$2:$BZ$1001,$A997,col_prompts))))</f>
        <v/>
      </c>
      <c r="E997" s="24" t="str">
        <f>IF($A997&gt;nrows,"",IF(col_web=0,0,N(INDEX('Paste Export'!$A$2:$BZ$1001,$A997,col_web))))</f>
        <v/>
      </c>
      <c r="F997" s="26" t="str">
        <f t="shared" si="106"/>
        <v/>
      </c>
      <c r="G997" s="27" t="str">
        <f t="shared" si="107"/>
        <v/>
      </c>
      <c r="H997" s="24" t="str">
        <f>IF($A997&gt;nrows,"",IF(col_s1=0,0,--(LEN(INDEX('Paste Export'!$A$2:$BZ$1001,$A997,col_s1))&gt;0))+IF(col_s2=0,0,--(LEN(INDEX('Paste Export'!$A$2:$BZ$1001,$A997,col_s2))&gt;0))+IF(col_s3=0,0,--(LEN(INDEX('Paste Export'!$A$2:$BZ$1001,$A997,col_s3))&gt;0))+IF(col_s4=0,0,--(LEN(INDEX('Paste Export'!$A$2:$BZ$1001,$A997,col_s4))&gt;0))+IF(col_s5=0,0,--(LEN(INDEX('Paste Export'!$A$2:$BZ$1001,$A997,col_s5))&gt;0))+IF(col_s6=0,0,--(LEN(INDEX('Paste Export'!$A$2:$BZ$1001,$A997,col_s6))&gt;0))+IF(col_s7=0,0,--(LEN(INDEX('Paste Export'!$A$2:$BZ$1001,$A997,col_s7))&gt;0))+IF(col_s8=0,0,--(LEN(INDEX('Paste Export'!$A$2:$BZ$1001,$A997,col_s8))&gt;0)))</f>
        <v/>
      </c>
      <c r="I997" s="25" t="str">
        <f t="shared" si="108"/>
        <v/>
      </c>
      <c r="J997" s="25" t="str">
        <f t="shared" si="109"/>
        <v/>
      </c>
      <c r="K997" s="24" t="str">
        <f t="shared" si="110"/>
        <v/>
      </c>
      <c r="L997" s="24" t="str">
        <f t="shared" si="111"/>
        <v/>
      </c>
    </row>
    <row r="998" spans="1:12" x14ac:dyDescent="0.25">
      <c r="A998" s="24">
        <f t="shared" si="105"/>
        <v>997</v>
      </c>
      <c r="B998" s="25" t="str">
        <f>IF($A998&gt;nrows,"",IF(col_user=0,"",INDEX('Paste Export'!$A$2:$BZ$1001,$A998,col_user)))</f>
        <v/>
      </c>
      <c r="C998" s="24" t="str">
        <f>IF($A998&gt;nrows,"",IF(col_days=0,0,N(INDEX('Paste Export'!$A$2:$BZ$1001,$A998,col_days))))</f>
        <v/>
      </c>
      <c r="D998" s="24" t="str">
        <f>IF($A998&gt;nrows,"",IF(col_prompts=0,0,N(INDEX('Paste Export'!$A$2:$BZ$1001,$A998,col_prompts))))</f>
        <v/>
      </c>
      <c r="E998" s="24" t="str">
        <f>IF($A998&gt;nrows,"",IF(col_web=0,0,N(INDEX('Paste Export'!$A$2:$BZ$1001,$A998,col_web))))</f>
        <v/>
      </c>
      <c r="F998" s="26" t="str">
        <f t="shared" si="106"/>
        <v/>
      </c>
      <c r="G998" s="27" t="str">
        <f t="shared" si="107"/>
        <v/>
      </c>
      <c r="H998" s="24" t="str">
        <f>IF($A998&gt;nrows,"",IF(col_s1=0,0,--(LEN(INDEX('Paste Export'!$A$2:$BZ$1001,$A998,col_s1))&gt;0))+IF(col_s2=0,0,--(LEN(INDEX('Paste Export'!$A$2:$BZ$1001,$A998,col_s2))&gt;0))+IF(col_s3=0,0,--(LEN(INDEX('Paste Export'!$A$2:$BZ$1001,$A998,col_s3))&gt;0))+IF(col_s4=0,0,--(LEN(INDEX('Paste Export'!$A$2:$BZ$1001,$A998,col_s4))&gt;0))+IF(col_s5=0,0,--(LEN(INDEX('Paste Export'!$A$2:$BZ$1001,$A998,col_s5))&gt;0))+IF(col_s6=0,0,--(LEN(INDEX('Paste Export'!$A$2:$BZ$1001,$A998,col_s6))&gt;0))+IF(col_s7=0,0,--(LEN(INDEX('Paste Export'!$A$2:$BZ$1001,$A998,col_s7))&gt;0))+IF(col_s8=0,0,--(LEN(INDEX('Paste Export'!$A$2:$BZ$1001,$A998,col_s8))&gt;0)))</f>
        <v/>
      </c>
      <c r="I998" s="25" t="str">
        <f t="shared" si="108"/>
        <v/>
      </c>
      <c r="J998" s="25" t="str">
        <f t="shared" si="109"/>
        <v/>
      </c>
      <c r="K998" s="24" t="str">
        <f t="shared" si="110"/>
        <v/>
      </c>
      <c r="L998" s="24" t="str">
        <f t="shared" si="111"/>
        <v/>
      </c>
    </row>
    <row r="999" spans="1:12" x14ac:dyDescent="0.25">
      <c r="A999" s="24">
        <f t="shared" si="105"/>
        <v>998</v>
      </c>
      <c r="B999" s="25" t="str">
        <f>IF($A999&gt;nrows,"",IF(col_user=0,"",INDEX('Paste Export'!$A$2:$BZ$1001,$A999,col_user)))</f>
        <v/>
      </c>
      <c r="C999" s="24" t="str">
        <f>IF($A999&gt;nrows,"",IF(col_days=0,0,N(INDEX('Paste Export'!$A$2:$BZ$1001,$A999,col_days))))</f>
        <v/>
      </c>
      <c r="D999" s="24" t="str">
        <f>IF($A999&gt;nrows,"",IF(col_prompts=0,0,N(INDEX('Paste Export'!$A$2:$BZ$1001,$A999,col_prompts))))</f>
        <v/>
      </c>
      <c r="E999" s="24" t="str">
        <f>IF($A999&gt;nrows,"",IF(col_web=0,0,N(INDEX('Paste Export'!$A$2:$BZ$1001,$A999,col_web))))</f>
        <v/>
      </c>
      <c r="F999" s="26" t="str">
        <f t="shared" si="106"/>
        <v/>
      </c>
      <c r="G999" s="27" t="str">
        <f t="shared" si="107"/>
        <v/>
      </c>
      <c r="H999" s="24" t="str">
        <f>IF($A999&gt;nrows,"",IF(col_s1=0,0,--(LEN(INDEX('Paste Export'!$A$2:$BZ$1001,$A999,col_s1))&gt;0))+IF(col_s2=0,0,--(LEN(INDEX('Paste Export'!$A$2:$BZ$1001,$A999,col_s2))&gt;0))+IF(col_s3=0,0,--(LEN(INDEX('Paste Export'!$A$2:$BZ$1001,$A999,col_s3))&gt;0))+IF(col_s4=0,0,--(LEN(INDEX('Paste Export'!$A$2:$BZ$1001,$A999,col_s4))&gt;0))+IF(col_s5=0,0,--(LEN(INDEX('Paste Export'!$A$2:$BZ$1001,$A999,col_s5))&gt;0))+IF(col_s6=0,0,--(LEN(INDEX('Paste Export'!$A$2:$BZ$1001,$A999,col_s6))&gt;0))+IF(col_s7=0,0,--(LEN(INDEX('Paste Export'!$A$2:$BZ$1001,$A999,col_s7))&gt;0))+IF(col_s8=0,0,--(LEN(INDEX('Paste Export'!$A$2:$BZ$1001,$A999,col_s8))&gt;0)))</f>
        <v/>
      </c>
      <c r="I999" s="25" t="str">
        <f t="shared" si="108"/>
        <v/>
      </c>
      <c r="J999" s="25" t="str">
        <f t="shared" si="109"/>
        <v/>
      </c>
      <c r="K999" s="24" t="str">
        <f t="shared" si="110"/>
        <v/>
      </c>
      <c r="L999" s="24" t="str">
        <f t="shared" si="111"/>
        <v/>
      </c>
    </row>
    <row r="1000" spans="1:12" x14ac:dyDescent="0.25">
      <c r="A1000" s="24">
        <f t="shared" si="105"/>
        <v>999</v>
      </c>
      <c r="B1000" s="25" t="str">
        <f>IF($A1000&gt;nrows,"",IF(col_user=0,"",INDEX('Paste Export'!$A$2:$BZ$1001,$A1000,col_user)))</f>
        <v/>
      </c>
      <c r="C1000" s="24" t="str">
        <f>IF($A1000&gt;nrows,"",IF(col_days=0,0,N(INDEX('Paste Export'!$A$2:$BZ$1001,$A1000,col_days))))</f>
        <v/>
      </c>
      <c r="D1000" s="24" t="str">
        <f>IF($A1000&gt;nrows,"",IF(col_prompts=0,0,N(INDEX('Paste Export'!$A$2:$BZ$1001,$A1000,col_prompts))))</f>
        <v/>
      </c>
      <c r="E1000" s="24" t="str">
        <f>IF($A1000&gt;nrows,"",IF(col_web=0,0,N(INDEX('Paste Export'!$A$2:$BZ$1001,$A1000,col_web))))</f>
        <v/>
      </c>
      <c r="F1000" s="26" t="str">
        <f t="shared" si="106"/>
        <v/>
      </c>
      <c r="G1000" s="27" t="str">
        <f t="shared" si="107"/>
        <v/>
      </c>
      <c r="H1000" s="24" t="str">
        <f>IF($A1000&gt;nrows,"",IF(col_s1=0,0,--(LEN(INDEX('Paste Export'!$A$2:$BZ$1001,$A1000,col_s1))&gt;0))+IF(col_s2=0,0,--(LEN(INDEX('Paste Export'!$A$2:$BZ$1001,$A1000,col_s2))&gt;0))+IF(col_s3=0,0,--(LEN(INDEX('Paste Export'!$A$2:$BZ$1001,$A1000,col_s3))&gt;0))+IF(col_s4=0,0,--(LEN(INDEX('Paste Export'!$A$2:$BZ$1001,$A1000,col_s4))&gt;0))+IF(col_s5=0,0,--(LEN(INDEX('Paste Export'!$A$2:$BZ$1001,$A1000,col_s5))&gt;0))+IF(col_s6=0,0,--(LEN(INDEX('Paste Export'!$A$2:$BZ$1001,$A1000,col_s6))&gt;0))+IF(col_s7=0,0,--(LEN(INDEX('Paste Export'!$A$2:$BZ$1001,$A1000,col_s7))&gt;0))+IF(col_s8=0,0,--(LEN(INDEX('Paste Export'!$A$2:$BZ$1001,$A1000,col_s8))&gt;0)))</f>
        <v/>
      </c>
      <c r="I1000" s="25" t="str">
        <f t="shared" si="108"/>
        <v/>
      </c>
      <c r="J1000" s="25" t="str">
        <f t="shared" si="109"/>
        <v/>
      </c>
      <c r="K1000" s="24" t="str">
        <f t="shared" si="110"/>
        <v/>
      </c>
      <c r="L1000" s="24" t="str">
        <f t="shared" si="111"/>
        <v/>
      </c>
    </row>
    <row r="1001" spans="1:12" x14ac:dyDescent="0.25">
      <c r="A1001" s="24">
        <f t="shared" si="105"/>
        <v>1000</v>
      </c>
      <c r="B1001" s="25" t="str">
        <f>IF($A1001&gt;nrows,"",IF(col_user=0,"",INDEX('Paste Export'!$A$2:$BZ$1001,$A1001,col_user)))</f>
        <v/>
      </c>
      <c r="C1001" s="24" t="str">
        <f>IF($A1001&gt;nrows,"",IF(col_days=0,0,N(INDEX('Paste Export'!$A$2:$BZ$1001,$A1001,col_days))))</f>
        <v/>
      </c>
      <c r="D1001" s="24" t="str">
        <f>IF($A1001&gt;nrows,"",IF(col_prompts=0,0,N(INDEX('Paste Export'!$A$2:$BZ$1001,$A1001,col_prompts))))</f>
        <v/>
      </c>
      <c r="E1001" s="24" t="str">
        <f>IF($A1001&gt;nrows,"",IF(col_web=0,0,N(INDEX('Paste Export'!$A$2:$BZ$1001,$A1001,col_web))))</f>
        <v/>
      </c>
      <c r="F1001" s="26" t="str">
        <f t="shared" si="106"/>
        <v/>
      </c>
      <c r="G1001" s="27" t="str">
        <f t="shared" si="107"/>
        <v/>
      </c>
      <c r="H1001" s="24" t="str">
        <f>IF($A1001&gt;nrows,"",IF(col_s1=0,0,--(LEN(INDEX('Paste Export'!$A$2:$BZ$1001,$A1001,col_s1))&gt;0))+IF(col_s2=0,0,--(LEN(INDEX('Paste Export'!$A$2:$BZ$1001,$A1001,col_s2))&gt;0))+IF(col_s3=0,0,--(LEN(INDEX('Paste Export'!$A$2:$BZ$1001,$A1001,col_s3))&gt;0))+IF(col_s4=0,0,--(LEN(INDEX('Paste Export'!$A$2:$BZ$1001,$A1001,col_s4))&gt;0))+IF(col_s5=0,0,--(LEN(INDEX('Paste Export'!$A$2:$BZ$1001,$A1001,col_s5))&gt;0))+IF(col_s6=0,0,--(LEN(INDEX('Paste Export'!$A$2:$BZ$1001,$A1001,col_s6))&gt;0))+IF(col_s7=0,0,--(LEN(INDEX('Paste Export'!$A$2:$BZ$1001,$A1001,col_s7))&gt;0))+IF(col_s8=0,0,--(LEN(INDEX('Paste Export'!$A$2:$BZ$1001,$A1001,col_s8))&gt;0)))</f>
        <v/>
      </c>
      <c r="I1001" s="25" t="str">
        <f t="shared" si="108"/>
        <v/>
      </c>
      <c r="J1001" s="25" t="str">
        <f t="shared" si="109"/>
        <v/>
      </c>
      <c r="K1001" s="24" t="str">
        <f t="shared" si="110"/>
        <v/>
      </c>
      <c r="L1001" s="24" t="str">
        <f t="shared" si="111"/>
        <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1"/>
  <sheetViews>
    <sheetView workbookViewId="0">
      <pane ySplit="1" topLeftCell="A2" activePane="bottomLeft" state="frozen"/>
      <selection pane="bottomLeft"/>
    </sheetView>
  </sheetViews>
  <sheetFormatPr defaultRowHeight="15" x14ac:dyDescent="0.25"/>
  <cols>
    <col min="1" max="16" width="13" customWidth="1"/>
  </cols>
  <sheetData>
    <row r="1" spans="1:16" ht="33.950000000000003" customHeight="1" x14ac:dyDescent="0.25">
      <c r="A1" s="28" t="s">
        <v>156</v>
      </c>
      <c r="B1" s="28" t="s">
        <v>157</v>
      </c>
      <c r="C1" s="28" t="s">
        <v>158</v>
      </c>
      <c r="D1" s="28" t="s">
        <v>159</v>
      </c>
      <c r="E1" s="28" t="s">
        <v>160</v>
      </c>
      <c r="F1" s="28" t="s">
        <v>161</v>
      </c>
      <c r="G1" s="28" t="s">
        <v>162</v>
      </c>
      <c r="H1" s="28" t="s">
        <v>163</v>
      </c>
      <c r="I1" s="28" t="s">
        <v>164</v>
      </c>
      <c r="J1" s="28" t="s">
        <v>165</v>
      </c>
      <c r="K1" s="28" t="s">
        <v>166</v>
      </c>
      <c r="L1" s="28" t="s">
        <v>167</v>
      </c>
      <c r="M1" s="28" t="s">
        <v>168</v>
      </c>
      <c r="N1" s="28" t="s">
        <v>169</v>
      </c>
      <c r="O1" s="28" t="s">
        <v>170</v>
      </c>
      <c r="P1" s="28" t="s">
        <v>171</v>
      </c>
    </row>
    <row r="2" spans="1:16" x14ac:dyDescent="0.25">
      <c r="A2" s="29">
        <f>IF(Analysis!$I2="","",IF(Analysis!$I2="Embedded",Analysis!$D2,""))</f>
        <v>612</v>
      </c>
      <c r="B2" s="29" t="str">
        <f>IF(Analysis!$I2="","",IF(Analysis!$I2="Loyal but shallow",Analysis!$D2,""))</f>
        <v/>
      </c>
      <c r="C2" s="29" t="str">
        <f>IF(Analysis!$I2="","",IF(Analysis!$I2="Project-driven",Analysis!$D2,""))</f>
        <v/>
      </c>
      <c r="D2" s="29" t="str">
        <f>IF(Analysis!$I2="","",IF(Analysis!$I2="Drifting",Analysis!$D2,""))</f>
        <v/>
      </c>
      <c r="E2" s="29">
        <f>IF(Analysis!$I2="","",IF(Analysis!$I2="Embedded",Analysis!$C2,""))</f>
        <v>47</v>
      </c>
      <c r="F2" s="29" t="str">
        <f>IF(Analysis!$I2="","",IF(Analysis!$I2="Loyal but shallow",Analysis!$C2,""))</f>
        <v/>
      </c>
      <c r="G2" s="29" t="str">
        <f>IF(Analysis!$I2="","",IF(Analysis!$I2="Project-driven",Analysis!$C2,""))</f>
        <v/>
      </c>
      <c r="H2" s="29" t="str">
        <f>IF(Analysis!$I2="","",IF(Analysis!$I2="Drifting",Analysis!$C2,""))</f>
        <v/>
      </c>
      <c r="I2" s="29">
        <f>IF(Analysis!$I2="","",IF(Analysis!$I2="Embedded",Analysis!$F2,""))</f>
        <v>13.021276595744681</v>
      </c>
      <c r="J2" s="29" t="str">
        <f>IF(Analysis!$I2="","",IF(Analysis!$I2="Loyal but shallow",Analysis!$F2,""))</f>
        <v/>
      </c>
      <c r="K2" s="29" t="str">
        <f>IF(Analysis!$I2="","",IF(Analysis!$I2="Project-driven",Analysis!$F2,""))</f>
        <v/>
      </c>
      <c r="L2" s="29" t="str">
        <f>IF(Analysis!$I2="","",IF(Analysis!$I2="Drifting",Analysis!$F2,""))</f>
        <v/>
      </c>
      <c r="M2" s="29">
        <f>IF(Analysis!$I2="","",IF(Analysis!$I2="Embedded",Analysis!$H2,""))</f>
        <v>8</v>
      </c>
      <c r="N2" s="29" t="str">
        <f>IF(Analysis!$I2="","",IF(Analysis!$I2="Loyal but shallow",Analysis!$H2,""))</f>
        <v/>
      </c>
      <c r="O2" s="29" t="str">
        <f>IF(Analysis!$I2="","",IF(Analysis!$I2="Project-driven",Analysis!$H2,""))</f>
        <v/>
      </c>
      <c r="P2" s="29" t="str">
        <f>IF(Analysis!$I2="","",IF(Analysis!$I2="Drifting",Analysis!$H2,""))</f>
        <v/>
      </c>
    </row>
    <row r="3" spans="1:16" x14ac:dyDescent="0.25">
      <c r="A3" s="29" t="str">
        <f>IF(Analysis!$I3="","",IF(Analysis!$I3="Embedded",Analysis!$D3,""))</f>
        <v/>
      </c>
      <c r="B3" s="29">
        <f>IF(Analysis!$I3="","",IF(Analysis!$I3="Loyal but shallow",Analysis!$D3,""))</f>
        <v>96</v>
      </c>
      <c r="C3" s="29" t="str">
        <f>IF(Analysis!$I3="","",IF(Analysis!$I3="Project-driven",Analysis!$D3,""))</f>
        <v/>
      </c>
      <c r="D3" s="29" t="str">
        <f>IF(Analysis!$I3="","",IF(Analysis!$I3="Drifting",Analysis!$D3,""))</f>
        <v/>
      </c>
      <c r="E3" s="29" t="str">
        <f>IF(Analysis!$I3="","",IF(Analysis!$I3="Embedded",Analysis!$C3,""))</f>
        <v/>
      </c>
      <c r="F3" s="29">
        <f>IF(Analysis!$I3="","",IF(Analysis!$I3="Loyal but shallow",Analysis!$C3,""))</f>
        <v>31</v>
      </c>
      <c r="G3" s="29" t="str">
        <f>IF(Analysis!$I3="","",IF(Analysis!$I3="Project-driven",Analysis!$C3,""))</f>
        <v/>
      </c>
      <c r="H3" s="29" t="str">
        <f>IF(Analysis!$I3="","",IF(Analysis!$I3="Drifting",Analysis!$C3,""))</f>
        <v/>
      </c>
      <c r="I3" s="29" t="str">
        <f>IF(Analysis!$I3="","",IF(Analysis!$I3="Embedded",Analysis!$F3,""))</f>
        <v/>
      </c>
      <c r="J3" s="29">
        <f>IF(Analysis!$I3="","",IF(Analysis!$I3="Loyal but shallow",Analysis!$F3,""))</f>
        <v>3.096774193548387</v>
      </c>
      <c r="K3" s="29" t="str">
        <f>IF(Analysis!$I3="","",IF(Analysis!$I3="Project-driven",Analysis!$F3,""))</f>
        <v/>
      </c>
      <c r="L3" s="29" t="str">
        <f>IF(Analysis!$I3="","",IF(Analysis!$I3="Drifting",Analysis!$F3,""))</f>
        <v/>
      </c>
      <c r="M3" s="29" t="str">
        <f>IF(Analysis!$I3="","",IF(Analysis!$I3="Embedded",Analysis!$H3,""))</f>
        <v/>
      </c>
      <c r="N3" s="29">
        <f>IF(Analysis!$I3="","",IF(Analysis!$I3="Loyal but shallow",Analysis!$H3,""))</f>
        <v>4</v>
      </c>
      <c r="O3" s="29" t="str">
        <f>IF(Analysis!$I3="","",IF(Analysis!$I3="Project-driven",Analysis!$H3,""))</f>
        <v/>
      </c>
      <c r="P3" s="29" t="str">
        <f>IF(Analysis!$I3="","",IF(Analysis!$I3="Drifting",Analysis!$H3,""))</f>
        <v/>
      </c>
    </row>
    <row r="4" spans="1:16" x14ac:dyDescent="0.25">
      <c r="A4" s="29" t="str">
        <f>IF(Analysis!$I4="","",IF(Analysis!$I4="Embedded",Analysis!$D4,""))</f>
        <v/>
      </c>
      <c r="B4" s="29" t="str">
        <f>IF(Analysis!$I4="","",IF(Analysis!$I4="Loyal but shallow",Analysis!$D4,""))</f>
        <v/>
      </c>
      <c r="C4" s="29" t="str">
        <f>IF(Analysis!$I4="","",IF(Analysis!$I4="Project-driven",Analysis!$D4,""))</f>
        <v/>
      </c>
      <c r="D4" s="29">
        <f>IF(Analysis!$I4="","",IF(Analysis!$I4="Drifting",Analysis!$D4,""))</f>
        <v>11</v>
      </c>
      <c r="E4" s="29" t="str">
        <f>IF(Analysis!$I4="","",IF(Analysis!$I4="Embedded",Analysis!$C4,""))</f>
        <v/>
      </c>
      <c r="F4" s="29" t="str">
        <f>IF(Analysis!$I4="","",IF(Analysis!$I4="Loyal but shallow",Analysis!$C4,""))</f>
        <v/>
      </c>
      <c r="G4" s="29" t="str">
        <f>IF(Analysis!$I4="","",IF(Analysis!$I4="Project-driven",Analysis!$C4,""))</f>
        <v/>
      </c>
      <c r="H4" s="29">
        <f>IF(Analysis!$I4="","",IF(Analysis!$I4="Drifting",Analysis!$C4,""))</f>
        <v>3</v>
      </c>
      <c r="I4" s="29" t="str">
        <f>IF(Analysis!$I4="","",IF(Analysis!$I4="Embedded",Analysis!$F4,""))</f>
        <v/>
      </c>
      <c r="J4" s="29" t="str">
        <f>IF(Analysis!$I4="","",IF(Analysis!$I4="Loyal but shallow",Analysis!$F4,""))</f>
        <v/>
      </c>
      <c r="K4" s="29" t="str">
        <f>IF(Analysis!$I4="","",IF(Analysis!$I4="Project-driven",Analysis!$F4,""))</f>
        <v/>
      </c>
      <c r="L4" s="29">
        <f>IF(Analysis!$I4="","",IF(Analysis!$I4="Drifting",Analysis!$F4,""))</f>
        <v>3.6666666666666665</v>
      </c>
      <c r="M4" s="29" t="str">
        <f>IF(Analysis!$I4="","",IF(Analysis!$I4="Embedded",Analysis!$H4,""))</f>
        <v/>
      </c>
      <c r="N4" s="29" t="str">
        <f>IF(Analysis!$I4="","",IF(Analysis!$I4="Loyal but shallow",Analysis!$H4,""))</f>
        <v/>
      </c>
      <c r="O4" s="29" t="str">
        <f>IF(Analysis!$I4="","",IF(Analysis!$I4="Project-driven",Analysis!$H4,""))</f>
        <v/>
      </c>
      <c r="P4" s="29">
        <f>IF(Analysis!$I4="","",IF(Analysis!$I4="Drifting",Analysis!$H4,""))</f>
        <v>4</v>
      </c>
    </row>
    <row r="5" spans="1:16" x14ac:dyDescent="0.25">
      <c r="A5" s="29" t="str">
        <f>IF(Analysis!$I5="","",IF(Analysis!$I5="Embedded",Analysis!$D5,""))</f>
        <v/>
      </c>
      <c r="B5" s="29" t="str">
        <f>IF(Analysis!$I5="","",IF(Analysis!$I5="Loyal but shallow",Analysis!$D5,""))</f>
        <v/>
      </c>
      <c r="C5" s="29" t="str">
        <f>IF(Analysis!$I5="","",IF(Analysis!$I5="Project-driven",Analysis!$D5,""))</f>
        <v/>
      </c>
      <c r="D5" s="29" t="str">
        <f>IF(Analysis!$I5="","",IF(Analysis!$I5="Drifting",Analysis!$D5,""))</f>
        <v/>
      </c>
      <c r="E5" s="29" t="str">
        <f>IF(Analysis!$I5="","",IF(Analysis!$I5="Embedded",Analysis!$C5,""))</f>
        <v/>
      </c>
      <c r="F5" s="29" t="str">
        <f>IF(Analysis!$I5="","",IF(Analysis!$I5="Loyal but shallow",Analysis!$C5,""))</f>
        <v/>
      </c>
      <c r="G5" s="29" t="str">
        <f>IF(Analysis!$I5="","",IF(Analysis!$I5="Project-driven",Analysis!$C5,""))</f>
        <v/>
      </c>
      <c r="H5" s="29" t="str">
        <f>IF(Analysis!$I5="","",IF(Analysis!$I5="Drifting",Analysis!$C5,""))</f>
        <v/>
      </c>
      <c r="I5" s="29" t="str">
        <f>IF(Analysis!$I5="","",IF(Analysis!$I5="Embedded",Analysis!$F5,""))</f>
        <v/>
      </c>
      <c r="J5" s="29" t="str">
        <f>IF(Analysis!$I5="","",IF(Analysis!$I5="Loyal but shallow",Analysis!$F5,""))</f>
        <v/>
      </c>
      <c r="K5" s="29" t="str">
        <f>IF(Analysis!$I5="","",IF(Analysis!$I5="Project-driven",Analysis!$F5,""))</f>
        <v/>
      </c>
      <c r="L5" s="29" t="str">
        <f>IF(Analysis!$I5="","",IF(Analysis!$I5="Drifting",Analysis!$F5,""))</f>
        <v/>
      </c>
      <c r="M5" s="29" t="str">
        <f>IF(Analysis!$I5="","",IF(Analysis!$I5="Embedded",Analysis!$H5,""))</f>
        <v/>
      </c>
      <c r="N5" s="29" t="str">
        <f>IF(Analysis!$I5="","",IF(Analysis!$I5="Loyal but shallow",Analysis!$H5,""))</f>
        <v/>
      </c>
      <c r="O5" s="29" t="str">
        <f>IF(Analysis!$I5="","",IF(Analysis!$I5="Project-driven",Analysis!$H5,""))</f>
        <v/>
      </c>
      <c r="P5" s="29" t="str">
        <f>IF(Analysis!$I5="","",IF(Analysis!$I5="Drifting",Analysis!$H5,""))</f>
        <v/>
      </c>
    </row>
    <row r="6" spans="1:16" x14ac:dyDescent="0.25">
      <c r="A6" s="29" t="str">
        <f>IF(Analysis!$I6="","",IF(Analysis!$I6="Embedded",Analysis!$D6,""))</f>
        <v/>
      </c>
      <c r="B6" s="29" t="str">
        <f>IF(Analysis!$I6="","",IF(Analysis!$I6="Loyal but shallow",Analysis!$D6,""))</f>
        <v/>
      </c>
      <c r="C6" s="29" t="str">
        <f>IF(Analysis!$I6="","",IF(Analysis!$I6="Project-driven",Analysis!$D6,""))</f>
        <v/>
      </c>
      <c r="D6" s="29" t="str">
        <f>IF(Analysis!$I6="","",IF(Analysis!$I6="Drifting",Analysis!$D6,""))</f>
        <v/>
      </c>
      <c r="E6" s="29" t="str">
        <f>IF(Analysis!$I6="","",IF(Analysis!$I6="Embedded",Analysis!$C6,""))</f>
        <v/>
      </c>
      <c r="F6" s="29" t="str">
        <f>IF(Analysis!$I6="","",IF(Analysis!$I6="Loyal but shallow",Analysis!$C6,""))</f>
        <v/>
      </c>
      <c r="G6" s="29" t="str">
        <f>IF(Analysis!$I6="","",IF(Analysis!$I6="Project-driven",Analysis!$C6,""))</f>
        <v/>
      </c>
      <c r="H6" s="29" t="str">
        <f>IF(Analysis!$I6="","",IF(Analysis!$I6="Drifting",Analysis!$C6,""))</f>
        <v/>
      </c>
      <c r="I6" s="29" t="str">
        <f>IF(Analysis!$I6="","",IF(Analysis!$I6="Embedded",Analysis!$F6,""))</f>
        <v/>
      </c>
      <c r="J6" s="29" t="str">
        <f>IF(Analysis!$I6="","",IF(Analysis!$I6="Loyal but shallow",Analysis!$F6,""))</f>
        <v/>
      </c>
      <c r="K6" s="29" t="str">
        <f>IF(Analysis!$I6="","",IF(Analysis!$I6="Project-driven",Analysis!$F6,""))</f>
        <v/>
      </c>
      <c r="L6" s="29" t="str">
        <f>IF(Analysis!$I6="","",IF(Analysis!$I6="Drifting",Analysis!$F6,""))</f>
        <v/>
      </c>
      <c r="M6" s="29" t="str">
        <f>IF(Analysis!$I6="","",IF(Analysis!$I6="Embedded",Analysis!$H6,""))</f>
        <v/>
      </c>
      <c r="N6" s="29" t="str">
        <f>IF(Analysis!$I6="","",IF(Analysis!$I6="Loyal but shallow",Analysis!$H6,""))</f>
        <v/>
      </c>
      <c r="O6" s="29" t="str">
        <f>IF(Analysis!$I6="","",IF(Analysis!$I6="Project-driven",Analysis!$H6,""))</f>
        <v/>
      </c>
      <c r="P6" s="29" t="str">
        <f>IF(Analysis!$I6="","",IF(Analysis!$I6="Drifting",Analysis!$H6,""))</f>
        <v/>
      </c>
    </row>
    <row r="7" spans="1:16" x14ac:dyDescent="0.25">
      <c r="A7" s="29" t="str">
        <f>IF(Analysis!$I7="","",IF(Analysis!$I7="Embedded",Analysis!$D7,""))</f>
        <v/>
      </c>
      <c r="B7" s="29" t="str">
        <f>IF(Analysis!$I7="","",IF(Analysis!$I7="Loyal but shallow",Analysis!$D7,""))</f>
        <v/>
      </c>
      <c r="C7" s="29" t="str">
        <f>IF(Analysis!$I7="","",IF(Analysis!$I7="Project-driven",Analysis!$D7,""))</f>
        <v/>
      </c>
      <c r="D7" s="29" t="str">
        <f>IF(Analysis!$I7="","",IF(Analysis!$I7="Drifting",Analysis!$D7,""))</f>
        <v/>
      </c>
      <c r="E7" s="29" t="str">
        <f>IF(Analysis!$I7="","",IF(Analysis!$I7="Embedded",Analysis!$C7,""))</f>
        <v/>
      </c>
      <c r="F7" s="29" t="str">
        <f>IF(Analysis!$I7="","",IF(Analysis!$I7="Loyal but shallow",Analysis!$C7,""))</f>
        <v/>
      </c>
      <c r="G7" s="29" t="str">
        <f>IF(Analysis!$I7="","",IF(Analysis!$I7="Project-driven",Analysis!$C7,""))</f>
        <v/>
      </c>
      <c r="H7" s="29" t="str">
        <f>IF(Analysis!$I7="","",IF(Analysis!$I7="Drifting",Analysis!$C7,""))</f>
        <v/>
      </c>
      <c r="I7" s="29" t="str">
        <f>IF(Analysis!$I7="","",IF(Analysis!$I7="Embedded",Analysis!$F7,""))</f>
        <v/>
      </c>
      <c r="J7" s="29" t="str">
        <f>IF(Analysis!$I7="","",IF(Analysis!$I7="Loyal but shallow",Analysis!$F7,""))</f>
        <v/>
      </c>
      <c r="K7" s="29" t="str">
        <f>IF(Analysis!$I7="","",IF(Analysis!$I7="Project-driven",Analysis!$F7,""))</f>
        <v/>
      </c>
      <c r="L7" s="29" t="str">
        <f>IF(Analysis!$I7="","",IF(Analysis!$I7="Drifting",Analysis!$F7,""))</f>
        <v/>
      </c>
      <c r="M7" s="29" t="str">
        <f>IF(Analysis!$I7="","",IF(Analysis!$I7="Embedded",Analysis!$H7,""))</f>
        <v/>
      </c>
      <c r="N7" s="29" t="str">
        <f>IF(Analysis!$I7="","",IF(Analysis!$I7="Loyal but shallow",Analysis!$H7,""))</f>
        <v/>
      </c>
      <c r="O7" s="29" t="str">
        <f>IF(Analysis!$I7="","",IF(Analysis!$I7="Project-driven",Analysis!$H7,""))</f>
        <v/>
      </c>
      <c r="P7" s="29" t="str">
        <f>IF(Analysis!$I7="","",IF(Analysis!$I7="Drifting",Analysis!$H7,""))</f>
        <v/>
      </c>
    </row>
    <row r="8" spans="1:16" x14ac:dyDescent="0.25">
      <c r="A8" s="29" t="str">
        <f>IF(Analysis!$I8="","",IF(Analysis!$I8="Embedded",Analysis!$D8,""))</f>
        <v/>
      </c>
      <c r="B8" s="29" t="str">
        <f>IF(Analysis!$I8="","",IF(Analysis!$I8="Loyal but shallow",Analysis!$D8,""))</f>
        <v/>
      </c>
      <c r="C8" s="29" t="str">
        <f>IF(Analysis!$I8="","",IF(Analysis!$I8="Project-driven",Analysis!$D8,""))</f>
        <v/>
      </c>
      <c r="D8" s="29" t="str">
        <f>IF(Analysis!$I8="","",IF(Analysis!$I8="Drifting",Analysis!$D8,""))</f>
        <v/>
      </c>
      <c r="E8" s="29" t="str">
        <f>IF(Analysis!$I8="","",IF(Analysis!$I8="Embedded",Analysis!$C8,""))</f>
        <v/>
      </c>
      <c r="F8" s="29" t="str">
        <f>IF(Analysis!$I8="","",IF(Analysis!$I8="Loyal but shallow",Analysis!$C8,""))</f>
        <v/>
      </c>
      <c r="G8" s="29" t="str">
        <f>IF(Analysis!$I8="","",IF(Analysis!$I8="Project-driven",Analysis!$C8,""))</f>
        <v/>
      </c>
      <c r="H8" s="29" t="str">
        <f>IF(Analysis!$I8="","",IF(Analysis!$I8="Drifting",Analysis!$C8,""))</f>
        <v/>
      </c>
      <c r="I8" s="29" t="str">
        <f>IF(Analysis!$I8="","",IF(Analysis!$I8="Embedded",Analysis!$F8,""))</f>
        <v/>
      </c>
      <c r="J8" s="29" t="str">
        <f>IF(Analysis!$I8="","",IF(Analysis!$I8="Loyal but shallow",Analysis!$F8,""))</f>
        <v/>
      </c>
      <c r="K8" s="29" t="str">
        <f>IF(Analysis!$I8="","",IF(Analysis!$I8="Project-driven",Analysis!$F8,""))</f>
        <v/>
      </c>
      <c r="L8" s="29" t="str">
        <f>IF(Analysis!$I8="","",IF(Analysis!$I8="Drifting",Analysis!$F8,""))</f>
        <v/>
      </c>
      <c r="M8" s="29" t="str">
        <f>IF(Analysis!$I8="","",IF(Analysis!$I8="Embedded",Analysis!$H8,""))</f>
        <v/>
      </c>
      <c r="N8" s="29" t="str">
        <f>IF(Analysis!$I8="","",IF(Analysis!$I8="Loyal but shallow",Analysis!$H8,""))</f>
        <v/>
      </c>
      <c r="O8" s="29" t="str">
        <f>IF(Analysis!$I8="","",IF(Analysis!$I8="Project-driven",Analysis!$H8,""))</f>
        <v/>
      </c>
      <c r="P8" s="29" t="str">
        <f>IF(Analysis!$I8="","",IF(Analysis!$I8="Drifting",Analysis!$H8,""))</f>
        <v/>
      </c>
    </row>
    <row r="9" spans="1:16" x14ac:dyDescent="0.25">
      <c r="A9" s="29" t="str">
        <f>IF(Analysis!$I9="","",IF(Analysis!$I9="Embedded",Analysis!$D9,""))</f>
        <v/>
      </c>
      <c r="B9" s="29" t="str">
        <f>IF(Analysis!$I9="","",IF(Analysis!$I9="Loyal but shallow",Analysis!$D9,""))</f>
        <v/>
      </c>
      <c r="C9" s="29" t="str">
        <f>IF(Analysis!$I9="","",IF(Analysis!$I9="Project-driven",Analysis!$D9,""))</f>
        <v/>
      </c>
      <c r="D9" s="29" t="str">
        <f>IF(Analysis!$I9="","",IF(Analysis!$I9="Drifting",Analysis!$D9,""))</f>
        <v/>
      </c>
      <c r="E9" s="29" t="str">
        <f>IF(Analysis!$I9="","",IF(Analysis!$I9="Embedded",Analysis!$C9,""))</f>
        <v/>
      </c>
      <c r="F9" s="29" t="str">
        <f>IF(Analysis!$I9="","",IF(Analysis!$I9="Loyal but shallow",Analysis!$C9,""))</f>
        <v/>
      </c>
      <c r="G9" s="29" t="str">
        <f>IF(Analysis!$I9="","",IF(Analysis!$I9="Project-driven",Analysis!$C9,""))</f>
        <v/>
      </c>
      <c r="H9" s="29" t="str">
        <f>IF(Analysis!$I9="","",IF(Analysis!$I9="Drifting",Analysis!$C9,""))</f>
        <v/>
      </c>
      <c r="I9" s="29" t="str">
        <f>IF(Analysis!$I9="","",IF(Analysis!$I9="Embedded",Analysis!$F9,""))</f>
        <v/>
      </c>
      <c r="J9" s="29" t="str">
        <f>IF(Analysis!$I9="","",IF(Analysis!$I9="Loyal but shallow",Analysis!$F9,""))</f>
        <v/>
      </c>
      <c r="K9" s="29" t="str">
        <f>IF(Analysis!$I9="","",IF(Analysis!$I9="Project-driven",Analysis!$F9,""))</f>
        <v/>
      </c>
      <c r="L9" s="29" t="str">
        <f>IF(Analysis!$I9="","",IF(Analysis!$I9="Drifting",Analysis!$F9,""))</f>
        <v/>
      </c>
      <c r="M9" s="29" t="str">
        <f>IF(Analysis!$I9="","",IF(Analysis!$I9="Embedded",Analysis!$H9,""))</f>
        <v/>
      </c>
      <c r="N9" s="29" t="str">
        <f>IF(Analysis!$I9="","",IF(Analysis!$I9="Loyal but shallow",Analysis!$H9,""))</f>
        <v/>
      </c>
      <c r="O9" s="29" t="str">
        <f>IF(Analysis!$I9="","",IF(Analysis!$I9="Project-driven",Analysis!$H9,""))</f>
        <v/>
      </c>
      <c r="P9" s="29" t="str">
        <f>IF(Analysis!$I9="","",IF(Analysis!$I9="Drifting",Analysis!$H9,""))</f>
        <v/>
      </c>
    </row>
    <row r="10" spans="1:16" x14ac:dyDescent="0.25">
      <c r="A10" s="29" t="str">
        <f>IF(Analysis!$I10="","",IF(Analysis!$I10="Embedded",Analysis!$D10,""))</f>
        <v/>
      </c>
      <c r="B10" s="29" t="str">
        <f>IF(Analysis!$I10="","",IF(Analysis!$I10="Loyal but shallow",Analysis!$D10,""))</f>
        <v/>
      </c>
      <c r="C10" s="29" t="str">
        <f>IF(Analysis!$I10="","",IF(Analysis!$I10="Project-driven",Analysis!$D10,""))</f>
        <v/>
      </c>
      <c r="D10" s="29" t="str">
        <f>IF(Analysis!$I10="","",IF(Analysis!$I10="Drifting",Analysis!$D10,""))</f>
        <v/>
      </c>
      <c r="E10" s="29" t="str">
        <f>IF(Analysis!$I10="","",IF(Analysis!$I10="Embedded",Analysis!$C10,""))</f>
        <v/>
      </c>
      <c r="F10" s="29" t="str">
        <f>IF(Analysis!$I10="","",IF(Analysis!$I10="Loyal but shallow",Analysis!$C10,""))</f>
        <v/>
      </c>
      <c r="G10" s="29" t="str">
        <f>IF(Analysis!$I10="","",IF(Analysis!$I10="Project-driven",Analysis!$C10,""))</f>
        <v/>
      </c>
      <c r="H10" s="29" t="str">
        <f>IF(Analysis!$I10="","",IF(Analysis!$I10="Drifting",Analysis!$C10,""))</f>
        <v/>
      </c>
      <c r="I10" s="29" t="str">
        <f>IF(Analysis!$I10="","",IF(Analysis!$I10="Embedded",Analysis!$F10,""))</f>
        <v/>
      </c>
      <c r="J10" s="29" t="str">
        <f>IF(Analysis!$I10="","",IF(Analysis!$I10="Loyal but shallow",Analysis!$F10,""))</f>
        <v/>
      </c>
      <c r="K10" s="29" t="str">
        <f>IF(Analysis!$I10="","",IF(Analysis!$I10="Project-driven",Analysis!$F10,""))</f>
        <v/>
      </c>
      <c r="L10" s="29" t="str">
        <f>IF(Analysis!$I10="","",IF(Analysis!$I10="Drifting",Analysis!$F10,""))</f>
        <v/>
      </c>
      <c r="M10" s="29" t="str">
        <f>IF(Analysis!$I10="","",IF(Analysis!$I10="Embedded",Analysis!$H10,""))</f>
        <v/>
      </c>
      <c r="N10" s="29" t="str">
        <f>IF(Analysis!$I10="","",IF(Analysis!$I10="Loyal but shallow",Analysis!$H10,""))</f>
        <v/>
      </c>
      <c r="O10" s="29" t="str">
        <f>IF(Analysis!$I10="","",IF(Analysis!$I10="Project-driven",Analysis!$H10,""))</f>
        <v/>
      </c>
      <c r="P10" s="29" t="str">
        <f>IF(Analysis!$I10="","",IF(Analysis!$I10="Drifting",Analysis!$H10,""))</f>
        <v/>
      </c>
    </row>
    <row r="11" spans="1:16" x14ac:dyDescent="0.25">
      <c r="A11" s="29" t="str">
        <f>IF(Analysis!$I11="","",IF(Analysis!$I11="Embedded",Analysis!$D11,""))</f>
        <v/>
      </c>
      <c r="B11" s="29" t="str">
        <f>IF(Analysis!$I11="","",IF(Analysis!$I11="Loyal but shallow",Analysis!$D11,""))</f>
        <v/>
      </c>
      <c r="C11" s="29" t="str">
        <f>IF(Analysis!$I11="","",IF(Analysis!$I11="Project-driven",Analysis!$D11,""))</f>
        <v/>
      </c>
      <c r="D11" s="29" t="str">
        <f>IF(Analysis!$I11="","",IF(Analysis!$I11="Drifting",Analysis!$D11,""))</f>
        <v/>
      </c>
      <c r="E11" s="29" t="str">
        <f>IF(Analysis!$I11="","",IF(Analysis!$I11="Embedded",Analysis!$C11,""))</f>
        <v/>
      </c>
      <c r="F11" s="29" t="str">
        <f>IF(Analysis!$I11="","",IF(Analysis!$I11="Loyal but shallow",Analysis!$C11,""))</f>
        <v/>
      </c>
      <c r="G11" s="29" t="str">
        <f>IF(Analysis!$I11="","",IF(Analysis!$I11="Project-driven",Analysis!$C11,""))</f>
        <v/>
      </c>
      <c r="H11" s="29" t="str">
        <f>IF(Analysis!$I11="","",IF(Analysis!$I11="Drifting",Analysis!$C11,""))</f>
        <v/>
      </c>
      <c r="I11" s="29" t="str">
        <f>IF(Analysis!$I11="","",IF(Analysis!$I11="Embedded",Analysis!$F11,""))</f>
        <v/>
      </c>
      <c r="J11" s="29" t="str">
        <f>IF(Analysis!$I11="","",IF(Analysis!$I11="Loyal but shallow",Analysis!$F11,""))</f>
        <v/>
      </c>
      <c r="K11" s="29" t="str">
        <f>IF(Analysis!$I11="","",IF(Analysis!$I11="Project-driven",Analysis!$F11,""))</f>
        <v/>
      </c>
      <c r="L11" s="29" t="str">
        <f>IF(Analysis!$I11="","",IF(Analysis!$I11="Drifting",Analysis!$F11,""))</f>
        <v/>
      </c>
      <c r="M11" s="29" t="str">
        <f>IF(Analysis!$I11="","",IF(Analysis!$I11="Embedded",Analysis!$H11,""))</f>
        <v/>
      </c>
      <c r="N11" s="29" t="str">
        <f>IF(Analysis!$I11="","",IF(Analysis!$I11="Loyal but shallow",Analysis!$H11,""))</f>
        <v/>
      </c>
      <c r="O11" s="29" t="str">
        <f>IF(Analysis!$I11="","",IF(Analysis!$I11="Project-driven",Analysis!$H11,""))</f>
        <v/>
      </c>
      <c r="P11" s="29" t="str">
        <f>IF(Analysis!$I11="","",IF(Analysis!$I11="Drifting",Analysis!$H11,""))</f>
        <v/>
      </c>
    </row>
    <row r="12" spans="1:16" x14ac:dyDescent="0.25">
      <c r="A12" s="29" t="str">
        <f>IF(Analysis!$I12="","",IF(Analysis!$I12="Embedded",Analysis!$D12,""))</f>
        <v/>
      </c>
      <c r="B12" s="29" t="str">
        <f>IF(Analysis!$I12="","",IF(Analysis!$I12="Loyal but shallow",Analysis!$D12,""))</f>
        <v/>
      </c>
      <c r="C12" s="29" t="str">
        <f>IF(Analysis!$I12="","",IF(Analysis!$I12="Project-driven",Analysis!$D12,""))</f>
        <v/>
      </c>
      <c r="D12" s="29" t="str">
        <f>IF(Analysis!$I12="","",IF(Analysis!$I12="Drifting",Analysis!$D12,""))</f>
        <v/>
      </c>
      <c r="E12" s="29" t="str">
        <f>IF(Analysis!$I12="","",IF(Analysis!$I12="Embedded",Analysis!$C12,""))</f>
        <v/>
      </c>
      <c r="F12" s="29" t="str">
        <f>IF(Analysis!$I12="","",IF(Analysis!$I12="Loyal but shallow",Analysis!$C12,""))</f>
        <v/>
      </c>
      <c r="G12" s="29" t="str">
        <f>IF(Analysis!$I12="","",IF(Analysis!$I12="Project-driven",Analysis!$C12,""))</f>
        <v/>
      </c>
      <c r="H12" s="29" t="str">
        <f>IF(Analysis!$I12="","",IF(Analysis!$I12="Drifting",Analysis!$C12,""))</f>
        <v/>
      </c>
      <c r="I12" s="29" t="str">
        <f>IF(Analysis!$I12="","",IF(Analysis!$I12="Embedded",Analysis!$F12,""))</f>
        <v/>
      </c>
      <c r="J12" s="29" t="str">
        <f>IF(Analysis!$I12="","",IF(Analysis!$I12="Loyal but shallow",Analysis!$F12,""))</f>
        <v/>
      </c>
      <c r="K12" s="29" t="str">
        <f>IF(Analysis!$I12="","",IF(Analysis!$I12="Project-driven",Analysis!$F12,""))</f>
        <v/>
      </c>
      <c r="L12" s="29" t="str">
        <f>IF(Analysis!$I12="","",IF(Analysis!$I12="Drifting",Analysis!$F12,""))</f>
        <v/>
      </c>
      <c r="M12" s="29" t="str">
        <f>IF(Analysis!$I12="","",IF(Analysis!$I12="Embedded",Analysis!$H12,""))</f>
        <v/>
      </c>
      <c r="N12" s="29" t="str">
        <f>IF(Analysis!$I12="","",IF(Analysis!$I12="Loyal but shallow",Analysis!$H12,""))</f>
        <v/>
      </c>
      <c r="O12" s="29" t="str">
        <f>IF(Analysis!$I12="","",IF(Analysis!$I12="Project-driven",Analysis!$H12,""))</f>
        <v/>
      </c>
      <c r="P12" s="29" t="str">
        <f>IF(Analysis!$I12="","",IF(Analysis!$I12="Drifting",Analysis!$H12,""))</f>
        <v/>
      </c>
    </row>
    <row r="13" spans="1:16" x14ac:dyDescent="0.25">
      <c r="A13" s="29" t="str">
        <f>IF(Analysis!$I13="","",IF(Analysis!$I13="Embedded",Analysis!$D13,""))</f>
        <v/>
      </c>
      <c r="B13" s="29" t="str">
        <f>IF(Analysis!$I13="","",IF(Analysis!$I13="Loyal but shallow",Analysis!$D13,""))</f>
        <v/>
      </c>
      <c r="C13" s="29" t="str">
        <f>IF(Analysis!$I13="","",IF(Analysis!$I13="Project-driven",Analysis!$D13,""))</f>
        <v/>
      </c>
      <c r="D13" s="29" t="str">
        <f>IF(Analysis!$I13="","",IF(Analysis!$I13="Drifting",Analysis!$D13,""))</f>
        <v/>
      </c>
      <c r="E13" s="29" t="str">
        <f>IF(Analysis!$I13="","",IF(Analysis!$I13="Embedded",Analysis!$C13,""))</f>
        <v/>
      </c>
      <c r="F13" s="29" t="str">
        <f>IF(Analysis!$I13="","",IF(Analysis!$I13="Loyal but shallow",Analysis!$C13,""))</f>
        <v/>
      </c>
      <c r="G13" s="29" t="str">
        <f>IF(Analysis!$I13="","",IF(Analysis!$I13="Project-driven",Analysis!$C13,""))</f>
        <v/>
      </c>
      <c r="H13" s="29" t="str">
        <f>IF(Analysis!$I13="","",IF(Analysis!$I13="Drifting",Analysis!$C13,""))</f>
        <v/>
      </c>
      <c r="I13" s="29" t="str">
        <f>IF(Analysis!$I13="","",IF(Analysis!$I13="Embedded",Analysis!$F13,""))</f>
        <v/>
      </c>
      <c r="J13" s="29" t="str">
        <f>IF(Analysis!$I13="","",IF(Analysis!$I13="Loyal but shallow",Analysis!$F13,""))</f>
        <v/>
      </c>
      <c r="K13" s="29" t="str">
        <f>IF(Analysis!$I13="","",IF(Analysis!$I13="Project-driven",Analysis!$F13,""))</f>
        <v/>
      </c>
      <c r="L13" s="29" t="str">
        <f>IF(Analysis!$I13="","",IF(Analysis!$I13="Drifting",Analysis!$F13,""))</f>
        <v/>
      </c>
      <c r="M13" s="29" t="str">
        <f>IF(Analysis!$I13="","",IF(Analysis!$I13="Embedded",Analysis!$H13,""))</f>
        <v/>
      </c>
      <c r="N13" s="29" t="str">
        <f>IF(Analysis!$I13="","",IF(Analysis!$I13="Loyal but shallow",Analysis!$H13,""))</f>
        <v/>
      </c>
      <c r="O13" s="29" t="str">
        <f>IF(Analysis!$I13="","",IF(Analysis!$I13="Project-driven",Analysis!$H13,""))</f>
        <v/>
      </c>
      <c r="P13" s="29" t="str">
        <f>IF(Analysis!$I13="","",IF(Analysis!$I13="Drifting",Analysis!$H13,""))</f>
        <v/>
      </c>
    </row>
    <row r="14" spans="1:16" x14ac:dyDescent="0.25">
      <c r="A14" s="29" t="str">
        <f>IF(Analysis!$I14="","",IF(Analysis!$I14="Embedded",Analysis!$D14,""))</f>
        <v/>
      </c>
      <c r="B14" s="29" t="str">
        <f>IF(Analysis!$I14="","",IF(Analysis!$I14="Loyal but shallow",Analysis!$D14,""))</f>
        <v/>
      </c>
      <c r="C14" s="29" t="str">
        <f>IF(Analysis!$I14="","",IF(Analysis!$I14="Project-driven",Analysis!$D14,""))</f>
        <v/>
      </c>
      <c r="D14" s="29" t="str">
        <f>IF(Analysis!$I14="","",IF(Analysis!$I14="Drifting",Analysis!$D14,""))</f>
        <v/>
      </c>
      <c r="E14" s="29" t="str">
        <f>IF(Analysis!$I14="","",IF(Analysis!$I14="Embedded",Analysis!$C14,""))</f>
        <v/>
      </c>
      <c r="F14" s="29" t="str">
        <f>IF(Analysis!$I14="","",IF(Analysis!$I14="Loyal but shallow",Analysis!$C14,""))</f>
        <v/>
      </c>
      <c r="G14" s="29" t="str">
        <f>IF(Analysis!$I14="","",IF(Analysis!$I14="Project-driven",Analysis!$C14,""))</f>
        <v/>
      </c>
      <c r="H14" s="29" t="str">
        <f>IF(Analysis!$I14="","",IF(Analysis!$I14="Drifting",Analysis!$C14,""))</f>
        <v/>
      </c>
      <c r="I14" s="29" t="str">
        <f>IF(Analysis!$I14="","",IF(Analysis!$I14="Embedded",Analysis!$F14,""))</f>
        <v/>
      </c>
      <c r="J14" s="29" t="str">
        <f>IF(Analysis!$I14="","",IF(Analysis!$I14="Loyal but shallow",Analysis!$F14,""))</f>
        <v/>
      </c>
      <c r="K14" s="29" t="str">
        <f>IF(Analysis!$I14="","",IF(Analysis!$I14="Project-driven",Analysis!$F14,""))</f>
        <v/>
      </c>
      <c r="L14" s="29" t="str">
        <f>IF(Analysis!$I14="","",IF(Analysis!$I14="Drifting",Analysis!$F14,""))</f>
        <v/>
      </c>
      <c r="M14" s="29" t="str">
        <f>IF(Analysis!$I14="","",IF(Analysis!$I14="Embedded",Analysis!$H14,""))</f>
        <v/>
      </c>
      <c r="N14" s="29" t="str">
        <f>IF(Analysis!$I14="","",IF(Analysis!$I14="Loyal but shallow",Analysis!$H14,""))</f>
        <v/>
      </c>
      <c r="O14" s="29" t="str">
        <f>IF(Analysis!$I14="","",IF(Analysis!$I14="Project-driven",Analysis!$H14,""))</f>
        <v/>
      </c>
      <c r="P14" s="29" t="str">
        <f>IF(Analysis!$I14="","",IF(Analysis!$I14="Drifting",Analysis!$H14,""))</f>
        <v/>
      </c>
    </row>
    <row r="15" spans="1:16" x14ac:dyDescent="0.25">
      <c r="A15" s="29" t="str">
        <f>IF(Analysis!$I15="","",IF(Analysis!$I15="Embedded",Analysis!$D15,""))</f>
        <v/>
      </c>
      <c r="B15" s="29" t="str">
        <f>IF(Analysis!$I15="","",IF(Analysis!$I15="Loyal but shallow",Analysis!$D15,""))</f>
        <v/>
      </c>
      <c r="C15" s="29" t="str">
        <f>IF(Analysis!$I15="","",IF(Analysis!$I15="Project-driven",Analysis!$D15,""))</f>
        <v/>
      </c>
      <c r="D15" s="29" t="str">
        <f>IF(Analysis!$I15="","",IF(Analysis!$I15="Drifting",Analysis!$D15,""))</f>
        <v/>
      </c>
      <c r="E15" s="29" t="str">
        <f>IF(Analysis!$I15="","",IF(Analysis!$I15="Embedded",Analysis!$C15,""))</f>
        <v/>
      </c>
      <c r="F15" s="29" t="str">
        <f>IF(Analysis!$I15="","",IF(Analysis!$I15="Loyal but shallow",Analysis!$C15,""))</f>
        <v/>
      </c>
      <c r="G15" s="29" t="str">
        <f>IF(Analysis!$I15="","",IF(Analysis!$I15="Project-driven",Analysis!$C15,""))</f>
        <v/>
      </c>
      <c r="H15" s="29" t="str">
        <f>IF(Analysis!$I15="","",IF(Analysis!$I15="Drifting",Analysis!$C15,""))</f>
        <v/>
      </c>
      <c r="I15" s="29" t="str">
        <f>IF(Analysis!$I15="","",IF(Analysis!$I15="Embedded",Analysis!$F15,""))</f>
        <v/>
      </c>
      <c r="J15" s="29" t="str">
        <f>IF(Analysis!$I15="","",IF(Analysis!$I15="Loyal but shallow",Analysis!$F15,""))</f>
        <v/>
      </c>
      <c r="K15" s="29" t="str">
        <f>IF(Analysis!$I15="","",IF(Analysis!$I15="Project-driven",Analysis!$F15,""))</f>
        <v/>
      </c>
      <c r="L15" s="29" t="str">
        <f>IF(Analysis!$I15="","",IF(Analysis!$I15="Drifting",Analysis!$F15,""))</f>
        <v/>
      </c>
      <c r="M15" s="29" t="str">
        <f>IF(Analysis!$I15="","",IF(Analysis!$I15="Embedded",Analysis!$H15,""))</f>
        <v/>
      </c>
      <c r="N15" s="29" t="str">
        <f>IF(Analysis!$I15="","",IF(Analysis!$I15="Loyal but shallow",Analysis!$H15,""))</f>
        <v/>
      </c>
      <c r="O15" s="29" t="str">
        <f>IF(Analysis!$I15="","",IF(Analysis!$I15="Project-driven",Analysis!$H15,""))</f>
        <v/>
      </c>
      <c r="P15" s="29" t="str">
        <f>IF(Analysis!$I15="","",IF(Analysis!$I15="Drifting",Analysis!$H15,""))</f>
        <v/>
      </c>
    </row>
    <row r="16" spans="1:16" x14ac:dyDescent="0.25">
      <c r="A16" s="29" t="str">
        <f>IF(Analysis!$I16="","",IF(Analysis!$I16="Embedded",Analysis!$D16,""))</f>
        <v/>
      </c>
      <c r="B16" s="29" t="str">
        <f>IF(Analysis!$I16="","",IF(Analysis!$I16="Loyal but shallow",Analysis!$D16,""))</f>
        <v/>
      </c>
      <c r="C16" s="29" t="str">
        <f>IF(Analysis!$I16="","",IF(Analysis!$I16="Project-driven",Analysis!$D16,""))</f>
        <v/>
      </c>
      <c r="D16" s="29" t="str">
        <f>IF(Analysis!$I16="","",IF(Analysis!$I16="Drifting",Analysis!$D16,""))</f>
        <v/>
      </c>
      <c r="E16" s="29" t="str">
        <f>IF(Analysis!$I16="","",IF(Analysis!$I16="Embedded",Analysis!$C16,""))</f>
        <v/>
      </c>
      <c r="F16" s="29" t="str">
        <f>IF(Analysis!$I16="","",IF(Analysis!$I16="Loyal but shallow",Analysis!$C16,""))</f>
        <v/>
      </c>
      <c r="G16" s="29" t="str">
        <f>IF(Analysis!$I16="","",IF(Analysis!$I16="Project-driven",Analysis!$C16,""))</f>
        <v/>
      </c>
      <c r="H16" s="29" t="str">
        <f>IF(Analysis!$I16="","",IF(Analysis!$I16="Drifting",Analysis!$C16,""))</f>
        <v/>
      </c>
      <c r="I16" s="29" t="str">
        <f>IF(Analysis!$I16="","",IF(Analysis!$I16="Embedded",Analysis!$F16,""))</f>
        <v/>
      </c>
      <c r="J16" s="29" t="str">
        <f>IF(Analysis!$I16="","",IF(Analysis!$I16="Loyal but shallow",Analysis!$F16,""))</f>
        <v/>
      </c>
      <c r="K16" s="29" t="str">
        <f>IF(Analysis!$I16="","",IF(Analysis!$I16="Project-driven",Analysis!$F16,""))</f>
        <v/>
      </c>
      <c r="L16" s="29" t="str">
        <f>IF(Analysis!$I16="","",IF(Analysis!$I16="Drifting",Analysis!$F16,""))</f>
        <v/>
      </c>
      <c r="M16" s="29" t="str">
        <f>IF(Analysis!$I16="","",IF(Analysis!$I16="Embedded",Analysis!$H16,""))</f>
        <v/>
      </c>
      <c r="N16" s="29" t="str">
        <f>IF(Analysis!$I16="","",IF(Analysis!$I16="Loyal but shallow",Analysis!$H16,""))</f>
        <v/>
      </c>
      <c r="O16" s="29" t="str">
        <f>IF(Analysis!$I16="","",IF(Analysis!$I16="Project-driven",Analysis!$H16,""))</f>
        <v/>
      </c>
      <c r="P16" s="29" t="str">
        <f>IF(Analysis!$I16="","",IF(Analysis!$I16="Drifting",Analysis!$H16,""))</f>
        <v/>
      </c>
    </row>
    <row r="17" spans="1:16" x14ac:dyDescent="0.25">
      <c r="A17" s="29" t="str">
        <f>IF(Analysis!$I17="","",IF(Analysis!$I17="Embedded",Analysis!$D17,""))</f>
        <v/>
      </c>
      <c r="B17" s="29" t="str">
        <f>IF(Analysis!$I17="","",IF(Analysis!$I17="Loyal but shallow",Analysis!$D17,""))</f>
        <v/>
      </c>
      <c r="C17" s="29" t="str">
        <f>IF(Analysis!$I17="","",IF(Analysis!$I17="Project-driven",Analysis!$D17,""))</f>
        <v/>
      </c>
      <c r="D17" s="29" t="str">
        <f>IF(Analysis!$I17="","",IF(Analysis!$I17="Drifting",Analysis!$D17,""))</f>
        <v/>
      </c>
      <c r="E17" s="29" t="str">
        <f>IF(Analysis!$I17="","",IF(Analysis!$I17="Embedded",Analysis!$C17,""))</f>
        <v/>
      </c>
      <c r="F17" s="29" t="str">
        <f>IF(Analysis!$I17="","",IF(Analysis!$I17="Loyal but shallow",Analysis!$C17,""))</f>
        <v/>
      </c>
      <c r="G17" s="29" t="str">
        <f>IF(Analysis!$I17="","",IF(Analysis!$I17="Project-driven",Analysis!$C17,""))</f>
        <v/>
      </c>
      <c r="H17" s="29" t="str">
        <f>IF(Analysis!$I17="","",IF(Analysis!$I17="Drifting",Analysis!$C17,""))</f>
        <v/>
      </c>
      <c r="I17" s="29" t="str">
        <f>IF(Analysis!$I17="","",IF(Analysis!$I17="Embedded",Analysis!$F17,""))</f>
        <v/>
      </c>
      <c r="J17" s="29" t="str">
        <f>IF(Analysis!$I17="","",IF(Analysis!$I17="Loyal but shallow",Analysis!$F17,""))</f>
        <v/>
      </c>
      <c r="K17" s="29" t="str">
        <f>IF(Analysis!$I17="","",IF(Analysis!$I17="Project-driven",Analysis!$F17,""))</f>
        <v/>
      </c>
      <c r="L17" s="29" t="str">
        <f>IF(Analysis!$I17="","",IF(Analysis!$I17="Drifting",Analysis!$F17,""))</f>
        <v/>
      </c>
      <c r="M17" s="29" t="str">
        <f>IF(Analysis!$I17="","",IF(Analysis!$I17="Embedded",Analysis!$H17,""))</f>
        <v/>
      </c>
      <c r="N17" s="29" t="str">
        <f>IF(Analysis!$I17="","",IF(Analysis!$I17="Loyal but shallow",Analysis!$H17,""))</f>
        <v/>
      </c>
      <c r="O17" s="29" t="str">
        <f>IF(Analysis!$I17="","",IF(Analysis!$I17="Project-driven",Analysis!$H17,""))</f>
        <v/>
      </c>
      <c r="P17" s="29" t="str">
        <f>IF(Analysis!$I17="","",IF(Analysis!$I17="Drifting",Analysis!$H17,""))</f>
        <v/>
      </c>
    </row>
    <row r="18" spans="1:16" x14ac:dyDescent="0.25">
      <c r="A18" s="29" t="str">
        <f>IF(Analysis!$I18="","",IF(Analysis!$I18="Embedded",Analysis!$D18,""))</f>
        <v/>
      </c>
      <c r="B18" s="29" t="str">
        <f>IF(Analysis!$I18="","",IF(Analysis!$I18="Loyal but shallow",Analysis!$D18,""))</f>
        <v/>
      </c>
      <c r="C18" s="29" t="str">
        <f>IF(Analysis!$I18="","",IF(Analysis!$I18="Project-driven",Analysis!$D18,""))</f>
        <v/>
      </c>
      <c r="D18" s="29" t="str">
        <f>IF(Analysis!$I18="","",IF(Analysis!$I18="Drifting",Analysis!$D18,""))</f>
        <v/>
      </c>
      <c r="E18" s="29" t="str">
        <f>IF(Analysis!$I18="","",IF(Analysis!$I18="Embedded",Analysis!$C18,""))</f>
        <v/>
      </c>
      <c r="F18" s="29" t="str">
        <f>IF(Analysis!$I18="","",IF(Analysis!$I18="Loyal but shallow",Analysis!$C18,""))</f>
        <v/>
      </c>
      <c r="G18" s="29" t="str">
        <f>IF(Analysis!$I18="","",IF(Analysis!$I18="Project-driven",Analysis!$C18,""))</f>
        <v/>
      </c>
      <c r="H18" s="29" t="str">
        <f>IF(Analysis!$I18="","",IF(Analysis!$I18="Drifting",Analysis!$C18,""))</f>
        <v/>
      </c>
      <c r="I18" s="29" t="str">
        <f>IF(Analysis!$I18="","",IF(Analysis!$I18="Embedded",Analysis!$F18,""))</f>
        <v/>
      </c>
      <c r="J18" s="29" t="str">
        <f>IF(Analysis!$I18="","",IF(Analysis!$I18="Loyal but shallow",Analysis!$F18,""))</f>
        <v/>
      </c>
      <c r="K18" s="29" t="str">
        <f>IF(Analysis!$I18="","",IF(Analysis!$I18="Project-driven",Analysis!$F18,""))</f>
        <v/>
      </c>
      <c r="L18" s="29" t="str">
        <f>IF(Analysis!$I18="","",IF(Analysis!$I18="Drifting",Analysis!$F18,""))</f>
        <v/>
      </c>
      <c r="M18" s="29" t="str">
        <f>IF(Analysis!$I18="","",IF(Analysis!$I18="Embedded",Analysis!$H18,""))</f>
        <v/>
      </c>
      <c r="N18" s="29" t="str">
        <f>IF(Analysis!$I18="","",IF(Analysis!$I18="Loyal but shallow",Analysis!$H18,""))</f>
        <v/>
      </c>
      <c r="O18" s="29" t="str">
        <f>IF(Analysis!$I18="","",IF(Analysis!$I18="Project-driven",Analysis!$H18,""))</f>
        <v/>
      </c>
      <c r="P18" s="29" t="str">
        <f>IF(Analysis!$I18="","",IF(Analysis!$I18="Drifting",Analysis!$H18,""))</f>
        <v/>
      </c>
    </row>
    <row r="19" spans="1:16" x14ac:dyDescent="0.25">
      <c r="A19" s="29" t="str">
        <f>IF(Analysis!$I19="","",IF(Analysis!$I19="Embedded",Analysis!$D19,""))</f>
        <v/>
      </c>
      <c r="B19" s="29" t="str">
        <f>IF(Analysis!$I19="","",IF(Analysis!$I19="Loyal but shallow",Analysis!$D19,""))</f>
        <v/>
      </c>
      <c r="C19" s="29" t="str">
        <f>IF(Analysis!$I19="","",IF(Analysis!$I19="Project-driven",Analysis!$D19,""))</f>
        <v/>
      </c>
      <c r="D19" s="29" t="str">
        <f>IF(Analysis!$I19="","",IF(Analysis!$I19="Drifting",Analysis!$D19,""))</f>
        <v/>
      </c>
      <c r="E19" s="29" t="str">
        <f>IF(Analysis!$I19="","",IF(Analysis!$I19="Embedded",Analysis!$C19,""))</f>
        <v/>
      </c>
      <c r="F19" s="29" t="str">
        <f>IF(Analysis!$I19="","",IF(Analysis!$I19="Loyal but shallow",Analysis!$C19,""))</f>
        <v/>
      </c>
      <c r="G19" s="29" t="str">
        <f>IF(Analysis!$I19="","",IF(Analysis!$I19="Project-driven",Analysis!$C19,""))</f>
        <v/>
      </c>
      <c r="H19" s="29" t="str">
        <f>IF(Analysis!$I19="","",IF(Analysis!$I19="Drifting",Analysis!$C19,""))</f>
        <v/>
      </c>
      <c r="I19" s="29" t="str">
        <f>IF(Analysis!$I19="","",IF(Analysis!$I19="Embedded",Analysis!$F19,""))</f>
        <v/>
      </c>
      <c r="J19" s="29" t="str">
        <f>IF(Analysis!$I19="","",IF(Analysis!$I19="Loyal but shallow",Analysis!$F19,""))</f>
        <v/>
      </c>
      <c r="K19" s="29" t="str">
        <f>IF(Analysis!$I19="","",IF(Analysis!$I19="Project-driven",Analysis!$F19,""))</f>
        <v/>
      </c>
      <c r="L19" s="29" t="str">
        <f>IF(Analysis!$I19="","",IF(Analysis!$I19="Drifting",Analysis!$F19,""))</f>
        <v/>
      </c>
      <c r="M19" s="29" t="str">
        <f>IF(Analysis!$I19="","",IF(Analysis!$I19="Embedded",Analysis!$H19,""))</f>
        <v/>
      </c>
      <c r="N19" s="29" t="str">
        <f>IF(Analysis!$I19="","",IF(Analysis!$I19="Loyal but shallow",Analysis!$H19,""))</f>
        <v/>
      </c>
      <c r="O19" s="29" t="str">
        <f>IF(Analysis!$I19="","",IF(Analysis!$I19="Project-driven",Analysis!$H19,""))</f>
        <v/>
      </c>
      <c r="P19" s="29" t="str">
        <f>IF(Analysis!$I19="","",IF(Analysis!$I19="Drifting",Analysis!$H19,""))</f>
        <v/>
      </c>
    </row>
    <row r="20" spans="1:16" x14ac:dyDescent="0.25">
      <c r="A20" s="29" t="str">
        <f>IF(Analysis!$I20="","",IF(Analysis!$I20="Embedded",Analysis!$D20,""))</f>
        <v/>
      </c>
      <c r="B20" s="29" t="str">
        <f>IF(Analysis!$I20="","",IF(Analysis!$I20="Loyal but shallow",Analysis!$D20,""))</f>
        <v/>
      </c>
      <c r="C20" s="29" t="str">
        <f>IF(Analysis!$I20="","",IF(Analysis!$I20="Project-driven",Analysis!$D20,""))</f>
        <v/>
      </c>
      <c r="D20" s="29" t="str">
        <f>IF(Analysis!$I20="","",IF(Analysis!$I20="Drifting",Analysis!$D20,""))</f>
        <v/>
      </c>
      <c r="E20" s="29" t="str">
        <f>IF(Analysis!$I20="","",IF(Analysis!$I20="Embedded",Analysis!$C20,""))</f>
        <v/>
      </c>
      <c r="F20" s="29" t="str">
        <f>IF(Analysis!$I20="","",IF(Analysis!$I20="Loyal but shallow",Analysis!$C20,""))</f>
        <v/>
      </c>
      <c r="G20" s="29" t="str">
        <f>IF(Analysis!$I20="","",IF(Analysis!$I20="Project-driven",Analysis!$C20,""))</f>
        <v/>
      </c>
      <c r="H20" s="29" t="str">
        <f>IF(Analysis!$I20="","",IF(Analysis!$I20="Drifting",Analysis!$C20,""))</f>
        <v/>
      </c>
      <c r="I20" s="29" t="str">
        <f>IF(Analysis!$I20="","",IF(Analysis!$I20="Embedded",Analysis!$F20,""))</f>
        <v/>
      </c>
      <c r="J20" s="29" t="str">
        <f>IF(Analysis!$I20="","",IF(Analysis!$I20="Loyal but shallow",Analysis!$F20,""))</f>
        <v/>
      </c>
      <c r="K20" s="29" t="str">
        <f>IF(Analysis!$I20="","",IF(Analysis!$I20="Project-driven",Analysis!$F20,""))</f>
        <v/>
      </c>
      <c r="L20" s="29" t="str">
        <f>IF(Analysis!$I20="","",IF(Analysis!$I20="Drifting",Analysis!$F20,""))</f>
        <v/>
      </c>
      <c r="M20" s="29" t="str">
        <f>IF(Analysis!$I20="","",IF(Analysis!$I20="Embedded",Analysis!$H20,""))</f>
        <v/>
      </c>
      <c r="N20" s="29" t="str">
        <f>IF(Analysis!$I20="","",IF(Analysis!$I20="Loyal but shallow",Analysis!$H20,""))</f>
        <v/>
      </c>
      <c r="O20" s="29" t="str">
        <f>IF(Analysis!$I20="","",IF(Analysis!$I20="Project-driven",Analysis!$H20,""))</f>
        <v/>
      </c>
      <c r="P20" s="29" t="str">
        <f>IF(Analysis!$I20="","",IF(Analysis!$I20="Drifting",Analysis!$H20,""))</f>
        <v/>
      </c>
    </row>
    <row r="21" spans="1:16" x14ac:dyDescent="0.25">
      <c r="A21" s="29" t="str">
        <f>IF(Analysis!$I21="","",IF(Analysis!$I21="Embedded",Analysis!$D21,""))</f>
        <v/>
      </c>
      <c r="B21" s="29" t="str">
        <f>IF(Analysis!$I21="","",IF(Analysis!$I21="Loyal but shallow",Analysis!$D21,""))</f>
        <v/>
      </c>
      <c r="C21" s="29" t="str">
        <f>IF(Analysis!$I21="","",IF(Analysis!$I21="Project-driven",Analysis!$D21,""))</f>
        <v/>
      </c>
      <c r="D21" s="29" t="str">
        <f>IF(Analysis!$I21="","",IF(Analysis!$I21="Drifting",Analysis!$D21,""))</f>
        <v/>
      </c>
      <c r="E21" s="29" t="str">
        <f>IF(Analysis!$I21="","",IF(Analysis!$I21="Embedded",Analysis!$C21,""))</f>
        <v/>
      </c>
      <c r="F21" s="29" t="str">
        <f>IF(Analysis!$I21="","",IF(Analysis!$I21="Loyal but shallow",Analysis!$C21,""))</f>
        <v/>
      </c>
      <c r="G21" s="29" t="str">
        <f>IF(Analysis!$I21="","",IF(Analysis!$I21="Project-driven",Analysis!$C21,""))</f>
        <v/>
      </c>
      <c r="H21" s="29" t="str">
        <f>IF(Analysis!$I21="","",IF(Analysis!$I21="Drifting",Analysis!$C21,""))</f>
        <v/>
      </c>
      <c r="I21" s="29" t="str">
        <f>IF(Analysis!$I21="","",IF(Analysis!$I21="Embedded",Analysis!$F21,""))</f>
        <v/>
      </c>
      <c r="J21" s="29" t="str">
        <f>IF(Analysis!$I21="","",IF(Analysis!$I21="Loyal but shallow",Analysis!$F21,""))</f>
        <v/>
      </c>
      <c r="K21" s="29" t="str">
        <f>IF(Analysis!$I21="","",IF(Analysis!$I21="Project-driven",Analysis!$F21,""))</f>
        <v/>
      </c>
      <c r="L21" s="29" t="str">
        <f>IF(Analysis!$I21="","",IF(Analysis!$I21="Drifting",Analysis!$F21,""))</f>
        <v/>
      </c>
      <c r="M21" s="29" t="str">
        <f>IF(Analysis!$I21="","",IF(Analysis!$I21="Embedded",Analysis!$H21,""))</f>
        <v/>
      </c>
      <c r="N21" s="29" t="str">
        <f>IF(Analysis!$I21="","",IF(Analysis!$I21="Loyal but shallow",Analysis!$H21,""))</f>
        <v/>
      </c>
      <c r="O21" s="29" t="str">
        <f>IF(Analysis!$I21="","",IF(Analysis!$I21="Project-driven",Analysis!$H21,""))</f>
        <v/>
      </c>
      <c r="P21" s="29" t="str">
        <f>IF(Analysis!$I21="","",IF(Analysis!$I21="Drifting",Analysis!$H21,""))</f>
        <v/>
      </c>
    </row>
    <row r="22" spans="1:16" x14ac:dyDescent="0.25">
      <c r="A22" s="29" t="str">
        <f>IF(Analysis!$I22="","",IF(Analysis!$I22="Embedded",Analysis!$D22,""))</f>
        <v/>
      </c>
      <c r="B22" s="29" t="str">
        <f>IF(Analysis!$I22="","",IF(Analysis!$I22="Loyal but shallow",Analysis!$D22,""))</f>
        <v/>
      </c>
      <c r="C22" s="29" t="str">
        <f>IF(Analysis!$I22="","",IF(Analysis!$I22="Project-driven",Analysis!$D22,""))</f>
        <v/>
      </c>
      <c r="D22" s="29" t="str">
        <f>IF(Analysis!$I22="","",IF(Analysis!$I22="Drifting",Analysis!$D22,""))</f>
        <v/>
      </c>
      <c r="E22" s="29" t="str">
        <f>IF(Analysis!$I22="","",IF(Analysis!$I22="Embedded",Analysis!$C22,""))</f>
        <v/>
      </c>
      <c r="F22" s="29" t="str">
        <f>IF(Analysis!$I22="","",IF(Analysis!$I22="Loyal but shallow",Analysis!$C22,""))</f>
        <v/>
      </c>
      <c r="G22" s="29" t="str">
        <f>IF(Analysis!$I22="","",IF(Analysis!$I22="Project-driven",Analysis!$C22,""))</f>
        <v/>
      </c>
      <c r="H22" s="29" t="str">
        <f>IF(Analysis!$I22="","",IF(Analysis!$I22="Drifting",Analysis!$C22,""))</f>
        <v/>
      </c>
      <c r="I22" s="29" t="str">
        <f>IF(Analysis!$I22="","",IF(Analysis!$I22="Embedded",Analysis!$F22,""))</f>
        <v/>
      </c>
      <c r="J22" s="29" t="str">
        <f>IF(Analysis!$I22="","",IF(Analysis!$I22="Loyal but shallow",Analysis!$F22,""))</f>
        <v/>
      </c>
      <c r="K22" s="29" t="str">
        <f>IF(Analysis!$I22="","",IF(Analysis!$I22="Project-driven",Analysis!$F22,""))</f>
        <v/>
      </c>
      <c r="L22" s="29" t="str">
        <f>IF(Analysis!$I22="","",IF(Analysis!$I22="Drifting",Analysis!$F22,""))</f>
        <v/>
      </c>
      <c r="M22" s="29" t="str">
        <f>IF(Analysis!$I22="","",IF(Analysis!$I22="Embedded",Analysis!$H22,""))</f>
        <v/>
      </c>
      <c r="N22" s="29" t="str">
        <f>IF(Analysis!$I22="","",IF(Analysis!$I22="Loyal but shallow",Analysis!$H22,""))</f>
        <v/>
      </c>
      <c r="O22" s="29" t="str">
        <f>IF(Analysis!$I22="","",IF(Analysis!$I22="Project-driven",Analysis!$H22,""))</f>
        <v/>
      </c>
      <c r="P22" s="29" t="str">
        <f>IF(Analysis!$I22="","",IF(Analysis!$I22="Drifting",Analysis!$H22,""))</f>
        <v/>
      </c>
    </row>
    <row r="23" spans="1:16" x14ac:dyDescent="0.25">
      <c r="A23" s="29" t="str">
        <f>IF(Analysis!$I23="","",IF(Analysis!$I23="Embedded",Analysis!$D23,""))</f>
        <v/>
      </c>
      <c r="B23" s="29" t="str">
        <f>IF(Analysis!$I23="","",IF(Analysis!$I23="Loyal but shallow",Analysis!$D23,""))</f>
        <v/>
      </c>
      <c r="C23" s="29" t="str">
        <f>IF(Analysis!$I23="","",IF(Analysis!$I23="Project-driven",Analysis!$D23,""))</f>
        <v/>
      </c>
      <c r="D23" s="29" t="str">
        <f>IF(Analysis!$I23="","",IF(Analysis!$I23="Drifting",Analysis!$D23,""))</f>
        <v/>
      </c>
      <c r="E23" s="29" t="str">
        <f>IF(Analysis!$I23="","",IF(Analysis!$I23="Embedded",Analysis!$C23,""))</f>
        <v/>
      </c>
      <c r="F23" s="29" t="str">
        <f>IF(Analysis!$I23="","",IF(Analysis!$I23="Loyal but shallow",Analysis!$C23,""))</f>
        <v/>
      </c>
      <c r="G23" s="29" t="str">
        <f>IF(Analysis!$I23="","",IF(Analysis!$I23="Project-driven",Analysis!$C23,""))</f>
        <v/>
      </c>
      <c r="H23" s="29" t="str">
        <f>IF(Analysis!$I23="","",IF(Analysis!$I23="Drifting",Analysis!$C23,""))</f>
        <v/>
      </c>
      <c r="I23" s="29" t="str">
        <f>IF(Analysis!$I23="","",IF(Analysis!$I23="Embedded",Analysis!$F23,""))</f>
        <v/>
      </c>
      <c r="J23" s="29" t="str">
        <f>IF(Analysis!$I23="","",IF(Analysis!$I23="Loyal but shallow",Analysis!$F23,""))</f>
        <v/>
      </c>
      <c r="K23" s="29" t="str">
        <f>IF(Analysis!$I23="","",IF(Analysis!$I23="Project-driven",Analysis!$F23,""))</f>
        <v/>
      </c>
      <c r="L23" s="29" t="str">
        <f>IF(Analysis!$I23="","",IF(Analysis!$I23="Drifting",Analysis!$F23,""))</f>
        <v/>
      </c>
      <c r="M23" s="29" t="str">
        <f>IF(Analysis!$I23="","",IF(Analysis!$I23="Embedded",Analysis!$H23,""))</f>
        <v/>
      </c>
      <c r="N23" s="29" t="str">
        <f>IF(Analysis!$I23="","",IF(Analysis!$I23="Loyal but shallow",Analysis!$H23,""))</f>
        <v/>
      </c>
      <c r="O23" s="29" t="str">
        <f>IF(Analysis!$I23="","",IF(Analysis!$I23="Project-driven",Analysis!$H23,""))</f>
        <v/>
      </c>
      <c r="P23" s="29" t="str">
        <f>IF(Analysis!$I23="","",IF(Analysis!$I23="Drifting",Analysis!$H23,""))</f>
        <v/>
      </c>
    </row>
    <row r="24" spans="1:16" x14ac:dyDescent="0.25">
      <c r="A24" s="29" t="str">
        <f>IF(Analysis!$I24="","",IF(Analysis!$I24="Embedded",Analysis!$D24,""))</f>
        <v/>
      </c>
      <c r="B24" s="29" t="str">
        <f>IF(Analysis!$I24="","",IF(Analysis!$I24="Loyal but shallow",Analysis!$D24,""))</f>
        <v/>
      </c>
      <c r="C24" s="29" t="str">
        <f>IF(Analysis!$I24="","",IF(Analysis!$I24="Project-driven",Analysis!$D24,""))</f>
        <v/>
      </c>
      <c r="D24" s="29" t="str">
        <f>IF(Analysis!$I24="","",IF(Analysis!$I24="Drifting",Analysis!$D24,""))</f>
        <v/>
      </c>
      <c r="E24" s="29" t="str">
        <f>IF(Analysis!$I24="","",IF(Analysis!$I24="Embedded",Analysis!$C24,""))</f>
        <v/>
      </c>
      <c r="F24" s="29" t="str">
        <f>IF(Analysis!$I24="","",IF(Analysis!$I24="Loyal but shallow",Analysis!$C24,""))</f>
        <v/>
      </c>
      <c r="G24" s="29" t="str">
        <f>IF(Analysis!$I24="","",IF(Analysis!$I24="Project-driven",Analysis!$C24,""))</f>
        <v/>
      </c>
      <c r="H24" s="29" t="str">
        <f>IF(Analysis!$I24="","",IF(Analysis!$I24="Drifting",Analysis!$C24,""))</f>
        <v/>
      </c>
      <c r="I24" s="29" t="str">
        <f>IF(Analysis!$I24="","",IF(Analysis!$I24="Embedded",Analysis!$F24,""))</f>
        <v/>
      </c>
      <c r="J24" s="29" t="str">
        <f>IF(Analysis!$I24="","",IF(Analysis!$I24="Loyal but shallow",Analysis!$F24,""))</f>
        <v/>
      </c>
      <c r="K24" s="29" t="str">
        <f>IF(Analysis!$I24="","",IF(Analysis!$I24="Project-driven",Analysis!$F24,""))</f>
        <v/>
      </c>
      <c r="L24" s="29" t="str">
        <f>IF(Analysis!$I24="","",IF(Analysis!$I24="Drifting",Analysis!$F24,""))</f>
        <v/>
      </c>
      <c r="M24" s="29" t="str">
        <f>IF(Analysis!$I24="","",IF(Analysis!$I24="Embedded",Analysis!$H24,""))</f>
        <v/>
      </c>
      <c r="N24" s="29" t="str">
        <f>IF(Analysis!$I24="","",IF(Analysis!$I24="Loyal but shallow",Analysis!$H24,""))</f>
        <v/>
      </c>
      <c r="O24" s="29" t="str">
        <f>IF(Analysis!$I24="","",IF(Analysis!$I24="Project-driven",Analysis!$H24,""))</f>
        <v/>
      </c>
      <c r="P24" s="29" t="str">
        <f>IF(Analysis!$I24="","",IF(Analysis!$I24="Drifting",Analysis!$H24,""))</f>
        <v/>
      </c>
    </row>
    <row r="25" spans="1:16" x14ac:dyDescent="0.25">
      <c r="A25" s="29" t="str">
        <f>IF(Analysis!$I25="","",IF(Analysis!$I25="Embedded",Analysis!$D25,""))</f>
        <v/>
      </c>
      <c r="B25" s="29" t="str">
        <f>IF(Analysis!$I25="","",IF(Analysis!$I25="Loyal but shallow",Analysis!$D25,""))</f>
        <v/>
      </c>
      <c r="C25" s="29" t="str">
        <f>IF(Analysis!$I25="","",IF(Analysis!$I25="Project-driven",Analysis!$D25,""))</f>
        <v/>
      </c>
      <c r="D25" s="29" t="str">
        <f>IF(Analysis!$I25="","",IF(Analysis!$I25="Drifting",Analysis!$D25,""))</f>
        <v/>
      </c>
      <c r="E25" s="29" t="str">
        <f>IF(Analysis!$I25="","",IF(Analysis!$I25="Embedded",Analysis!$C25,""))</f>
        <v/>
      </c>
      <c r="F25" s="29" t="str">
        <f>IF(Analysis!$I25="","",IF(Analysis!$I25="Loyal but shallow",Analysis!$C25,""))</f>
        <v/>
      </c>
      <c r="G25" s="29" t="str">
        <f>IF(Analysis!$I25="","",IF(Analysis!$I25="Project-driven",Analysis!$C25,""))</f>
        <v/>
      </c>
      <c r="H25" s="29" t="str">
        <f>IF(Analysis!$I25="","",IF(Analysis!$I25="Drifting",Analysis!$C25,""))</f>
        <v/>
      </c>
      <c r="I25" s="29" t="str">
        <f>IF(Analysis!$I25="","",IF(Analysis!$I25="Embedded",Analysis!$F25,""))</f>
        <v/>
      </c>
      <c r="J25" s="29" t="str">
        <f>IF(Analysis!$I25="","",IF(Analysis!$I25="Loyal but shallow",Analysis!$F25,""))</f>
        <v/>
      </c>
      <c r="K25" s="29" t="str">
        <f>IF(Analysis!$I25="","",IF(Analysis!$I25="Project-driven",Analysis!$F25,""))</f>
        <v/>
      </c>
      <c r="L25" s="29" t="str">
        <f>IF(Analysis!$I25="","",IF(Analysis!$I25="Drifting",Analysis!$F25,""))</f>
        <v/>
      </c>
      <c r="M25" s="29" t="str">
        <f>IF(Analysis!$I25="","",IF(Analysis!$I25="Embedded",Analysis!$H25,""))</f>
        <v/>
      </c>
      <c r="N25" s="29" t="str">
        <f>IF(Analysis!$I25="","",IF(Analysis!$I25="Loyal but shallow",Analysis!$H25,""))</f>
        <v/>
      </c>
      <c r="O25" s="29" t="str">
        <f>IF(Analysis!$I25="","",IF(Analysis!$I25="Project-driven",Analysis!$H25,""))</f>
        <v/>
      </c>
      <c r="P25" s="29" t="str">
        <f>IF(Analysis!$I25="","",IF(Analysis!$I25="Drifting",Analysis!$H25,""))</f>
        <v/>
      </c>
    </row>
    <row r="26" spans="1:16" x14ac:dyDescent="0.25">
      <c r="A26" s="29" t="str">
        <f>IF(Analysis!$I26="","",IF(Analysis!$I26="Embedded",Analysis!$D26,""))</f>
        <v/>
      </c>
      <c r="B26" s="29" t="str">
        <f>IF(Analysis!$I26="","",IF(Analysis!$I26="Loyal but shallow",Analysis!$D26,""))</f>
        <v/>
      </c>
      <c r="C26" s="29" t="str">
        <f>IF(Analysis!$I26="","",IF(Analysis!$I26="Project-driven",Analysis!$D26,""))</f>
        <v/>
      </c>
      <c r="D26" s="29" t="str">
        <f>IF(Analysis!$I26="","",IF(Analysis!$I26="Drifting",Analysis!$D26,""))</f>
        <v/>
      </c>
      <c r="E26" s="29" t="str">
        <f>IF(Analysis!$I26="","",IF(Analysis!$I26="Embedded",Analysis!$C26,""))</f>
        <v/>
      </c>
      <c r="F26" s="29" t="str">
        <f>IF(Analysis!$I26="","",IF(Analysis!$I26="Loyal but shallow",Analysis!$C26,""))</f>
        <v/>
      </c>
      <c r="G26" s="29" t="str">
        <f>IF(Analysis!$I26="","",IF(Analysis!$I26="Project-driven",Analysis!$C26,""))</f>
        <v/>
      </c>
      <c r="H26" s="29" t="str">
        <f>IF(Analysis!$I26="","",IF(Analysis!$I26="Drifting",Analysis!$C26,""))</f>
        <v/>
      </c>
      <c r="I26" s="29" t="str">
        <f>IF(Analysis!$I26="","",IF(Analysis!$I26="Embedded",Analysis!$F26,""))</f>
        <v/>
      </c>
      <c r="J26" s="29" t="str">
        <f>IF(Analysis!$I26="","",IF(Analysis!$I26="Loyal but shallow",Analysis!$F26,""))</f>
        <v/>
      </c>
      <c r="K26" s="29" t="str">
        <f>IF(Analysis!$I26="","",IF(Analysis!$I26="Project-driven",Analysis!$F26,""))</f>
        <v/>
      </c>
      <c r="L26" s="29" t="str">
        <f>IF(Analysis!$I26="","",IF(Analysis!$I26="Drifting",Analysis!$F26,""))</f>
        <v/>
      </c>
      <c r="M26" s="29" t="str">
        <f>IF(Analysis!$I26="","",IF(Analysis!$I26="Embedded",Analysis!$H26,""))</f>
        <v/>
      </c>
      <c r="N26" s="29" t="str">
        <f>IF(Analysis!$I26="","",IF(Analysis!$I26="Loyal but shallow",Analysis!$H26,""))</f>
        <v/>
      </c>
      <c r="O26" s="29" t="str">
        <f>IF(Analysis!$I26="","",IF(Analysis!$I26="Project-driven",Analysis!$H26,""))</f>
        <v/>
      </c>
      <c r="P26" s="29" t="str">
        <f>IF(Analysis!$I26="","",IF(Analysis!$I26="Drifting",Analysis!$H26,""))</f>
        <v/>
      </c>
    </row>
    <row r="27" spans="1:16" x14ac:dyDescent="0.25">
      <c r="A27" s="29" t="str">
        <f>IF(Analysis!$I27="","",IF(Analysis!$I27="Embedded",Analysis!$D27,""))</f>
        <v/>
      </c>
      <c r="B27" s="29" t="str">
        <f>IF(Analysis!$I27="","",IF(Analysis!$I27="Loyal but shallow",Analysis!$D27,""))</f>
        <v/>
      </c>
      <c r="C27" s="29" t="str">
        <f>IF(Analysis!$I27="","",IF(Analysis!$I27="Project-driven",Analysis!$D27,""))</f>
        <v/>
      </c>
      <c r="D27" s="29" t="str">
        <f>IF(Analysis!$I27="","",IF(Analysis!$I27="Drifting",Analysis!$D27,""))</f>
        <v/>
      </c>
      <c r="E27" s="29" t="str">
        <f>IF(Analysis!$I27="","",IF(Analysis!$I27="Embedded",Analysis!$C27,""))</f>
        <v/>
      </c>
      <c r="F27" s="29" t="str">
        <f>IF(Analysis!$I27="","",IF(Analysis!$I27="Loyal but shallow",Analysis!$C27,""))</f>
        <v/>
      </c>
      <c r="G27" s="29" t="str">
        <f>IF(Analysis!$I27="","",IF(Analysis!$I27="Project-driven",Analysis!$C27,""))</f>
        <v/>
      </c>
      <c r="H27" s="29" t="str">
        <f>IF(Analysis!$I27="","",IF(Analysis!$I27="Drifting",Analysis!$C27,""))</f>
        <v/>
      </c>
      <c r="I27" s="29" t="str">
        <f>IF(Analysis!$I27="","",IF(Analysis!$I27="Embedded",Analysis!$F27,""))</f>
        <v/>
      </c>
      <c r="J27" s="29" t="str">
        <f>IF(Analysis!$I27="","",IF(Analysis!$I27="Loyal but shallow",Analysis!$F27,""))</f>
        <v/>
      </c>
      <c r="K27" s="29" t="str">
        <f>IF(Analysis!$I27="","",IF(Analysis!$I27="Project-driven",Analysis!$F27,""))</f>
        <v/>
      </c>
      <c r="L27" s="29" t="str">
        <f>IF(Analysis!$I27="","",IF(Analysis!$I27="Drifting",Analysis!$F27,""))</f>
        <v/>
      </c>
      <c r="M27" s="29" t="str">
        <f>IF(Analysis!$I27="","",IF(Analysis!$I27="Embedded",Analysis!$H27,""))</f>
        <v/>
      </c>
      <c r="N27" s="29" t="str">
        <f>IF(Analysis!$I27="","",IF(Analysis!$I27="Loyal but shallow",Analysis!$H27,""))</f>
        <v/>
      </c>
      <c r="O27" s="29" t="str">
        <f>IF(Analysis!$I27="","",IF(Analysis!$I27="Project-driven",Analysis!$H27,""))</f>
        <v/>
      </c>
      <c r="P27" s="29" t="str">
        <f>IF(Analysis!$I27="","",IF(Analysis!$I27="Drifting",Analysis!$H27,""))</f>
        <v/>
      </c>
    </row>
    <row r="28" spans="1:16" x14ac:dyDescent="0.25">
      <c r="A28" s="29" t="str">
        <f>IF(Analysis!$I28="","",IF(Analysis!$I28="Embedded",Analysis!$D28,""))</f>
        <v/>
      </c>
      <c r="B28" s="29" t="str">
        <f>IF(Analysis!$I28="","",IF(Analysis!$I28="Loyal but shallow",Analysis!$D28,""))</f>
        <v/>
      </c>
      <c r="C28" s="29" t="str">
        <f>IF(Analysis!$I28="","",IF(Analysis!$I28="Project-driven",Analysis!$D28,""))</f>
        <v/>
      </c>
      <c r="D28" s="29" t="str">
        <f>IF(Analysis!$I28="","",IF(Analysis!$I28="Drifting",Analysis!$D28,""))</f>
        <v/>
      </c>
      <c r="E28" s="29" t="str">
        <f>IF(Analysis!$I28="","",IF(Analysis!$I28="Embedded",Analysis!$C28,""))</f>
        <v/>
      </c>
      <c r="F28" s="29" t="str">
        <f>IF(Analysis!$I28="","",IF(Analysis!$I28="Loyal but shallow",Analysis!$C28,""))</f>
        <v/>
      </c>
      <c r="G28" s="29" t="str">
        <f>IF(Analysis!$I28="","",IF(Analysis!$I28="Project-driven",Analysis!$C28,""))</f>
        <v/>
      </c>
      <c r="H28" s="29" t="str">
        <f>IF(Analysis!$I28="","",IF(Analysis!$I28="Drifting",Analysis!$C28,""))</f>
        <v/>
      </c>
      <c r="I28" s="29" t="str">
        <f>IF(Analysis!$I28="","",IF(Analysis!$I28="Embedded",Analysis!$F28,""))</f>
        <v/>
      </c>
      <c r="J28" s="29" t="str">
        <f>IF(Analysis!$I28="","",IF(Analysis!$I28="Loyal but shallow",Analysis!$F28,""))</f>
        <v/>
      </c>
      <c r="K28" s="29" t="str">
        <f>IF(Analysis!$I28="","",IF(Analysis!$I28="Project-driven",Analysis!$F28,""))</f>
        <v/>
      </c>
      <c r="L28" s="29" t="str">
        <f>IF(Analysis!$I28="","",IF(Analysis!$I28="Drifting",Analysis!$F28,""))</f>
        <v/>
      </c>
      <c r="M28" s="29" t="str">
        <f>IF(Analysis!$I28="","",IF(Analysis!$I28="Embedded",Analysis!$H28,""))</f>
        <v/>
      </c>
      <c r="N28" s="29" t="str">
        <f>IF(Analysis!$I28="","",IF(Analysis!$I28="Loyal but shallow",Analysis!$H28,""))</f>
        <v/>
      </c>
      <c r="O28" s="29" t="str">
        <f>IF(Analysis!$I28="","",IF(Analysis!$I28="Project-driven",Analysis!$H28,""))</f>
        <v/>
      </c>
      <c r="P28" s="29" t="str">
        <f>IF(Analysis!$I28="","",IF(Analysis!$I28="Drifting",Analysis!$H28,""))</f>
        <v/>
      </c>
    </row>
    <row r="29" spans="1:16" x14ac:dyDescent="0.25">
      <c r="A29" s="29" t="str">
        <f>IF(Analysis!$I29="","",IF(Analysis!$I29="Embedded",Analysis!$D29,""))</f>
        <v/>
      </c>
      <c r="B29" s="29" t="str">
        <f>IF(Analysis!$I29="","",IF(Analysis!$I29="Loyal but shallow",Analysis!$D29,""))</f>
        <v/>
      </c>
      <c r="C29" s="29" t="str">
        <f>IF(Analysis!$I29="","",IF(Analysis!$I29="Project-driven",Analysis!$D29,""))</f>
        <v/>
      </c>
      <c r="D29" s="29" t="str">
        <f>IF(Analysis!$I29="","",IF(Analysis!$I29="Drifting",Analysis!$D29,""))</f>
        <v/>
      </c>
      <c r="E29" s="29" t="str">
        <f>IF(Analysis!$I29="","",IF(Analysis!$I29="Embedded",Analysis!$C29,""))</f>
        <v/>
      </c>
      <c r="F29" s="29" t="str">
        <f>IF(Analysis!$I29="","",IF(Analysis!$I29="Loyal but shallow",Analysis!$C29,""))</f>
        <v/>
      </c>
      <c r="G29" s="29" t="str">
        <f>IF(Analysis!$I29="","",IF(Analysis!$I29="Project-driven",Analysis!$C29,""))</f>
        <v/>
      </c>
      <c r="H29" s="29" t="str">
        <f>IF(Analysis!$I29="","",IF(Analysis!$I29="Drifting",Analysis!$C29,""))</f>
        <v/>
      </c>
      <c r="I29" s="29" t="str">
        <f>IF(Analysis!$I29="","",IF(Analysis!$I29="Embedded",Analysis!$F29,""))</f>
        <v/>
      </c>
      <c r="J29" s="29" t="str">
        <f>IF(Analysis!$I29="","",IF(Analysis!$I29="Loyal but shallow",Analysis!$F29,""))</f>
        <v/>
      </c>
      <c r="K29" s="29" t="str">
        <f>IF(Analysis!$I29="","",IF(Analysis!$I29="Project-driven",Analysis!$F29,""))</f>
        <v/>
      </c>
      <c r="L29" s="29" t="str">
        <f>IF(Analysis!$I29="","",IF(Analysis!$I29="Drifting",Analysis!$F29,""))</f>
        <v/>
      </c>
      <c r="M29" s="29" t="str">
        <f>IF(Analysis!$I29="","",IF(Analysis!$I29="Embedded",Analysis!$H29,""))</f>
        <v/>
      </c>
      <c r="N29" s="29" t="str">
        <f>IF(Analysis!$I29="","",IF(Analysis!$I29="Loyal but shallow",Analysis!$H29,""))</f>
        <v/>
      </c>
      <c r="O29" s="29" t="str">
        <f>IF(Analysis!$I29="","",IF(Analysis!$I29="Project-driven",Analysis!$H29,""))</f>
        <v/>
      </c>
      <c r="P29" s="29" t="str">
        <f>IF(Analysis!$I29="","",IF(Analysis!$I29="Drifting",Analysis!$H29,""))</f>
        <v/>
      </c>
    </row>
    <row r="30" spans="1:16" x14ac:dyDescent="0.25">
      <c r="A30" s="29" t="str">
        <f>IF(Analysis!$I30="","",IF(Analysis!$I30="Embedded",Analysis!$D30,""))</f>
        <v/>
      </c>
      <c r="B30" s="29" t="str">
        <f>IF(Analysis!$I30="","",IF(Analysis!$I30="Loyal but shallow",Analysis!$D30,""))</f>
        <v/>
      </c>
      <c r="C30" s="29" t="str">
        <f>IF(Analysis!$I30="","",IF(Analysis!$I30="Project-driven",Analysis!$D30,""))</f>
        <v/>
      </c>
      <c r="D30" s="29" t="str">
        <f>IF(Analysis!$I30="","",IF(Analysis!$I30="Drifting",Analysis!$D30,""))</f>
        <v/>
      </c>
      <c r="E30" s="29" t="str">
        <f>IF(Analysis!$I30="","",IF(Analysis!$I30="Embedded",Analysis!$C30,""))</f>
        <v/>
      </c>
      <c r="F30" s="29" t="str">
        <f>IF(Analysis!$I30="","",IF(Analysis!$I30="Loyal but shallow",Analysis!$C30,""))</f>
        <v/>
      </c>
      <c r="G30" s="29" t="str">
        <f>IF(Analysis!$I30="","",IF(Analysis!$I30="Project-driven",Analysis!$C30,""))</f>
        <v/>
      </c>
      <c r="H30" s="29" t="str">
        <f>IF(Analysis!$I30="","",IF(Analysis!$I30="Drifting",Analysis!$C30,""))</f>
        <v/>
      </c>
      <c r="I30" s="29" t="str">
        <f>IF(Analysis!$I30="","",IF(Analysis!$I30="Embedded",Analysis!$F30,""))</f>
        <v/>
      </c>
      <c r="J30" s="29" t="str">
        <f>IF(Analysis!$I30="","",IF(Analysis!$I30="Loyal but shallow",Analysis!$F30,""))</f>
        <v/>
      </c>
      <c r="K30" s="29" t="str">
        <f>IF(Analysis!$I30="","",IF(Analysis!$I30="Project-driven",Analysis!$F30,""))</f>
        <v/>
      </c>
      <c r="L30" s="29" t="str">
        <f>IF(Analysis!$I30="","",IF(Analysis!$I30="Drifting",Analysis!$F30,""))</f>
        <v/>
      </c>
      <c r="M30" s="29" t="str">
        <f>IF(Analysis!$I30="","",IF(Analysis!$I30="Embedded",Analysis!$H30,""))</f>
        <v/>
      </c>
      <c r="N30" s="29" t="str">
        <f>IF(Analysis!$I30="","",IF(Analysis!$I30="Loyal but shallow",Analysis!$H30,""))</f>
        <v/>
      </c>
      <c r="O30" s="29" t="str">
        <f>IF(Analysis!$I30="","",IF(Analysis!$I30="Project-driven",Analysis!$H30,""))</f>
        <v/>
      </c>
      <c r="P30" s="29" t="str">
        <f>IF(Analysis!$I30="","",IF(Analysis!$I30="Drifting",Analysis!$H30,""))</f>
        <v/>
      </c>
    </row>
    <row r="31" spans="1:16" x14ac:dyDescent="0.25">
      <c r="A31" s="29" t="str">
        <f>IF(Analysis!$I31="","",IF(Analysis!$I31="Embedded",Analysis!$D31,""))</f>
        <v/>
      </c>
      <c r="B31" s="29" t="str">
        <f>IF(Analysis!$I31="","",IF(Analysis!$I31="Loyal but shallow",Analysis!$D31,""))</f>
        <v/>
      </c>
      <c r="C31" s="29" t="str">
        <f>IF(Analysis!$I31="","",IF(Analysis!$I31="Project-driven",Analysis!$D31,""))</f>
        <v/>
      </c>
      <c r="D31" s="29" t="str">
        <f>IF(Analysis!$I31="","",IF(Analysis!$I31="Drifting",Analysis!$D31,""))</f>
        <v/>
      </c>
      <c r="E31" s="29" t="str">
        <f>IF(Analysis!$I31="","",IF(Analysis!$I31="Embedded",Analysis!$C31,""))</f>
        <v/>
      </c>
      <c r="F31" s="29" t="str">
        <f>IF(Analysis!$I31="","",IF(Analysis!$I31="Loyal but shallow",Analysis!$C31,""))</f>
        <v/>
      </c>
      <c r="G31" s="29" t="str">
        <f>IF(Analysis!$I31="","",IF(Analysis!$I31="Project-driven",Analysis!$C31,""))</f>
        <v/>
      </c>
      <c r="H31" s="29" t="str">
        <f>IF(Analysis!$I31="","",IF(Analysis!$I31="Drifting",Analysis!$C31,""))</f>
        <v/>
      </c>
      <c r="I31" s="29" t="str">
        <f>IF(Analysis!$I31="","",IF(Analysis!$I31="Embedded",Analysis!$F31,""))</f>
        <v/>
      </c>
      <c r="J31" s="29" t="str">
        <f>IF(Analysis!$I31="","",IF(Analysis!$I31="Loyal but shallow",Analysis!$F31,""))</f>
        <v/>
      </c>
      <c r="K31" s="29" t="str">
        <f>IF(Analysis!$I31="","",IF(Analysis!$I31="Project-driven",Analysis!$F31,""))</f>
        <v/>
      </c>
      <c r="L31" s="29" t="str">
        <f>IF(Analysis!$I31="","",IF(Analysis!$I31="Drifting",Analysis!$F31,""))</f>
        <v/>
      </c>
      <c r="M31" s="29" t="str">
        <f>IF(Analysis!$I31="","",IF(Analysis!$I31="Embedded",Analysis!$H31,""))</f>
        <v/>
      </c>
      <c r="N31" s="29" t="str">
        <f>IF(Analysis!$I31="","",IF(Analysis!$I31="Loyal but shallow",Analysis!$H31,""))</f>
        <v/>
      </c>
      <c r="O31" s="29" t="str">
        <f>IF(Analysis!$I31="","",IF(Analysis!$I31="Project-driven",Analysis!$H31,""))</f>
        <v/>
      </c>
      <c r="P31" s="29" t="str">
        <f>IF(Analysis!$I31="","",IF(Analysis!$I31="Drifting",Analysis!$H31,""))</f>
        <v/>
      </c>
    </row>
    <row r="32" spans="1:16" x14ac:dyDescent="0.25">
      <c r="A32" s="29" t="str">
        <f>IF(Analysis!$I32="","",IF(Analysis!$I32="Embedded",Analysis!$D32,""))</f>
        <v/>
      </c>
      <c r="B32" s="29" t="str">
        <f>IF(Analysis!$I32="","",IF(Analysis!$I32="Loyal but shallow",Analysis!$D32,""))</f>
        <v/>
      </c>
      <c r="C32" s="29" t="str">
        <f>IF(Analysis!$I32="","",IF(Analysis!$I32="Project-driven",Analysis!$D32,""))</f>
        <v/>
      </c>
      <c r="D32" s="29" t="str">
        <f>IF(Analysis!$I32="","",IF(Analysis!$I32="Drifting",Analysis!$D32,""))</f>
        <v/>
      </c>
      <c r="E32" s="29" t="str">
        <f>IF(Analysis!$I32="","",IF(Analysis!$I32="Embedded",Analysis!$C32,""))</f>
        <v/>
      </c>
      <c r="F32" s="29" t="str">
        <f>IF(Analysis!$I32="","",IF(Analysis!$I32="Loyal but shallow",Analysis!$C32,""))</f>
        <v/>
      </c>
      <c r="G32" s="29" t="str">
        <f>IF(Analysis!$I32="","",IF(Analysis!$I32="Project-driven",Analysis!$C32,""))</f>
        <v/>
      </c>
      <c r="H32" s="29" t="str">
        <f>IF(Analysis!$I32="","",IF(Analysis!$I32="Drifting",Analysis!$C32,""))</f>
        <v/>
      </c>
      <c r="I32" s="29" t="str">
        <f>IF(Analysis!$I32="","",IF(Analysis!$I32="Embedded",Analysis!$F32,""))</f>
        <v/>
      </c>
      <c r="J32" s="29" t="str">
        <f>IF(Analysis!$I32="","",IF(Analysis!$I32="Loyal but shallow",Analysis!$F32,""))</f>
        <v/>
      </c>
      <c r="K32" s="29" t="str">
        <f>IF(Analysis!$I32="","",IF(Analysis!$I32="Project-driven",Analysis!$F32,""))</f>
        <v/>
      </c>
      <c r="L32" s="29" t="str">
        <f>IF(Analysis!$I32="","",IF(Analysis!$I32="Drifting",Analysis!$F32,""))</f>
        <v/>
      </c>
      <c r="M32" s="29" t="str">
        <f>IF(Analysis!$I32="","",IF(Analysis!$I32="Embedded",Analysis!$H32,""))</f>
        <v/>
      </c>
      <c r="N32" s="29" t="str">
        <f>IF(Analysis!$I32="","",IF(Analysis!$I32="Loyal but shallow",Analysis!$H32,""))</f>
        <v/>
      </c>
      <c r="O32" s="29" t="str">
        <f>IF(Analysis!$I32="","",IF(Analysis!$I32="Project-driven",Analysis!$H32,""))</f>
        <v/>
      </c>
      <c r="P32" s="29" t="str">
        <f>IF(Analysis!$I32="","",IF(Analysis!$I32="Drifting",Analysis!$H32,""))</f>
        <v/>
      </c>
    </row>
    <row r="33" spans="1:16" x14ac:dyDescent="0.25">
      <c r="A33" s="29" t="str">
        <f>IF(Analysis!$I33="","",IF(Analysis!$I33="Embedded",Analysis!$D33,""))</f>
        <v/>
      </c>
      <c r="B33" s="29" t="str">
        <f>IF(Analysis!$I33="","",IF(Analysis!$I33="Loyal but shallow",Analysis!$D33,""))</f>
        <v/>
      </c>
      <c r="C33" s="29" t="str">
        <f>IF(Analysis!$I33="","",IF(Analysis!$I33="Project-driven",Analysis!$D33,""))</f>
        <v/>
      </c>
      <c r="D33" s="29" t="str">
        <f>IF(Analysis!$I33="","",IF(Analysis!$I33="Drifting",Analysis!$D33,""))</f>
        <v/>
      </c>
      <c r="E33" s="29" t="str">
        <f>IF(Analysis!$I33="","",IF(Analysis!$I33="Embedded",Analysis!$C33,""))</f>
        <v/>
      </c>
      <c r="F33" s="29" t="str">
        <f>IF(Analysis!$I33="","",IF(Analysis!$I33="Loyal but shallow",Analysis!$C33,""))</f>
        <v/>
      </c>
      <c r="G33" s="29" t="str">
        <f>IF(Analysis!$I33="","",IF(Analysis!$I33="Project-driven",Analysis!$C33,""))</f>
        <v/>
      </c>
      <c r="H33" s="29" t="str">
        <f>IF(Analysis!$I33="","",IF(Analysis!$I33="Drifting",Analysis!$C33,""))</f>
        <v/>
      </c>
      <c r="I33" s="29" t="str">
        <f>IF(Analysis!$I33="","",IF(Analysis!$I33="Embedded",Analysis!$F33,""))</f>
        <v/>
      </c>
      <c r="J33" s="29" t="str">
        <f>IF(Analysis!$I33="","",IF(Analysis!$I33="Loyal but shallow",Analysis!$F33,""))</f>
        <v/>
      </c>
      <c r="K33" s="29" t="str">
        <f>IF(Analysis!$I33="","",IF(Analysis!$I33="Project-driven",Analysis!$F33,""))</f>
        <v/>
      </c>
      <c r="L33" s="29" t="str">
        <f>IF(Analysis!$I33="","",IF(Analysis!$I33="Drifting",Analysis!$F33,""))</f>
        <v/>
      </c>
      <c r="M33" s="29" t="str">
        <f>IF(Analysis!$I33="","",IF(Analysis!$I33="Embedded",Analysis!$H33,""))</f>
        <v/>
      </c>
      <c r="N33" s="29" t="str">
        <f>IF(Analysis!$I33="","",IF(Analysis!$I33="Loyal but shallow",Analysis!$H33,""))</f>
        <v/>
      </c>
      <c r="O33" s="29" t="str">
        <f>IF(Analysis!$I33="","",IF(Analysis!$I33="Project-driven",Analysis!$H33,""))</f>
        <v/>
      </c>
      <c r="P33" s="29" t="str">
        <f>IF(Analysis!$I33="","",IF(Analysis!$I33="Drifting",Analysis!$H33,""))</f>
        <v/>
      </c>
    </row>
    <row r="34" spans="1:16" x14ac:dyDescent="0.25">
      <c r="A34" s="29" t="str">
        <f>IF(Analysis!$I34="","",IF(Analysis!$I34="Embedded",Analysis!$D34,""))</f>
        <v/>
      </c>
      <c r="B34" s="29" t="str">
        <f>IF(Analysis!$I34="","",IF(Analysis!$I34="Loyal but shallow",Analysis!$D34,""))</f>
        <v/>
      </c>
      <c r="C34" s="29" t="str">
        <f>IF(Analysis!$I34="","",IF(Analysis!$I34="Project-driven",Analysis!$D34,""))</f>
        <v/>
      </c>
      <c r="D34" s="29" t="str">
        <f>IF(Analysis!$I34="","",IF(Analysis!$I34="Drifting",Analysis!$D34,""))</f>
        <v/>
      </c>
      <c r="E34" s="29" t="str">
        <f>IF(Analysis!$I34="","",IF(Analysis!$I34="Embedded",Analysis!$C34,""))</f>
        <v/>
      </c>
      <c r="F34" s="29" t="str">
        <f>IF(Analysis!$I34="","",IF(Analysis!$I34="Loyal but shallow",Analysis!$C34,""))</f>
        <v/>
      </c>
      <c r="G34" s="29" t="str">
        <f>IF(Analysis!$I34="","",IF(Analysis!$I34="Project-driven",Analysis!$C34,""))</f>
        <v/>
      </c>
      <c r="H34" s="29" t="str">
        <f>IF(Analysis!$I34="","",IF(Analysis!$I34="Drifting",Analysis!$C34,""))</f>
        <v/>
      </c>
      <c r="I34" s="29" t="str">
        <f>IF(Analysis!$I34="","",IF(Analysis!$I34="Embedded",Analysis!$F34,""))</f>
        <v/>
      </c>
      <c r="J34" s="29" t="str">
        <f>IF(Analysis!$I34="","",IF(Analysis!$I34="Loyal but shallow",Analysis!$F34,""))</f>
        <v/>
      </c>
      <c r="K34" s="29" t="str">
        <f>IF(Analysis!$I34="","",IF(Analysis!$I34="Project-driven",Analysis!$F34,""))</f>
        <v/>
      </c>
      <c r="L34" s="29" t="str">
        <f>IF(Analysis!$I34="","",IF(Analysis!$I34="Drifting",Analysis!$F34,""))</f>
        <v/>
      </c>
      <c r="M34" s="29" t="str">
        <f>IF(Analysis!$I34="","",IF(Analysis!$I34="Embedded",Analysis!$H34,""))</f>
        <v/>
      </c>
      <c r="N34" s="29" t="str">
        <f>IF(Analysis!$I34="","",IF(Analysis!$I34="Loyal but shallow",Analysis!$H34,""))</f>
        <v/>
      </c>
      <c r="O34" s="29" t="str">
        <f>IF(Analysis!$I34="","",IF(Analysis!$I34="Project-driven",Analysis!$H34,""))</f>
        <v/>
      </c>
      <c r="P34" s="29" t="str">
        <f>IF(Analysis!$I34="","",IF(Analysis!$I34="Drifting",Analysis!$H34,""))</f>
        <v/>
      </c>
    </row>
    <row r="35" spans="1:16" x14ac:dyDescent="0.25">
      <c r="A35" s="29" t="str">
        <f>IF(Analysis!$I35="","",IF(Analysis!$I35="Embedded",Analysis!$D35,""))</f>
        <v/>
      </c>
      <c r="B35" s="29" t="str">
        <f>IF(Analysis!$I35="","",IF(Analysis!$I35="Loyal but shallow",Analysis!$D35,""))</f>
        <v/>
      </c>
      <c r="C35" s="29" t="str">
        <f>IF(Analysis!$I35="","",IF(Analysis!$I35="Project-driven",Analysis!$D35,""))</f>
        <v/>
      </c>
      <c r="D35" s="29" t="str">
        <f>IF(Analysis!$I35="","",IF(Analysis!$I35="Drifting",Analysis!$D35,""))</f>
        <v/>
      </c>
      <c r="E35" s="29" t="str">
        <f>IF(Analysis!$I35="","",IF(Analysis!$I35="Embedded",Analysis!$C35,""))</f>
        <v/>
      </c>
      <c r="F35" s="29" t="str">
        <f>IF(Analysis!$I35="","",IF(Analysis!$I35="Loyal but shallow",Analysis!$C35,""))</f>
        <v/>
      </c>
      <c r="G35" s="29" t="str">
        <f>IF(Analysis!$I35="","",IF(Analysis!$I35="Project-driven",Analysis!$C35,""))</f>
        <v/>
      </c>
      <c r="H35" s="29" t="str">
        <f>IF(Analysis!$I35="","",IF(Analysis!$I35="Drifting",Analysis!$C35,""))</f>
        <v/>
      </c>
      <c r="I35" s="29" t="str">
        <f>IF(Analysis!$I35="","",IF(Analysis!$I35="Embedded",Analysis!$F35,""))</f>
        <v/>
      </c>
      <c r="J35" s="29" t="str">
        <f>IF(Analysis!$I35="","",IF(Analysis!$I35="Loyal but shallow",Analysis!$F35,""))</f>
        <v/>
      </c>
      <c r="K35" s="29" t="str">
        <f>IF(Analysis!$I35="","",IF(Analysis!$I35="Project-driven",Analysis!$F35,""))</f>
        <v/>
      </c>
      <c r="L35" s="29" t="str">
        <f>IF(Analysis!$I35="","",IF(Analysis!$I35="Drifting",Analysis!$F35,""))</f>
        <v/>
      </c>
      <c r="M35" s="29" t="str">
        <f>IF(Analysis!$I35="","",IF(Analysis!$I35="Embedded",Analysis!$H35,""))</f>
        <v/>
      </c>
      <c r="N35" s="29" t="str">
        <f>IF(Analysis!$I35="","",IF(Analysis!$I35="Loyal but shallow",Analysis!$H35,""))</f>
        <v/>
      </c>
      <c r="O35" s="29" t="str">
        <f>IF(Analysis!$I35="","",IF(Analysis!$I35="Project-driven",Analysis!$H35,""))</f>
        <v/>
      </c>
      <c r="P35" s="29" t="str">
        <f>IF(Analysis!$I35="","",IF(Analysis!$I35="Drifting",Analysis!$H35,""))</f>
        <v/>
      </c>
    </row>
    <row r="36" spans="1:16" x14ac:dyDescent="0.25">
      <c r="A36" s="29" t="str">
        <f>IF(Analysis!$I36="","",IF(Analysis!$I36="Embedded",Analysis!$D36,""))</f>
        <v/>
      </c>
      <c r="B36" s="29" t="str">
        <f>IF(Analysis!$I36="","",IF(Analysis!$I36="Loyal but shallow",Analysis!$D36,""))</f>
        <v/>
      </c>
      <c r="C36" s="29" t="str">
        <f>IF(Analysis!$I36="","",IF(Analysis!$I36="Project-driven",Analysis!$D36,""))</f>
        <v/>
      </c>
      <c r="D36" s="29" t="str">
        <f>IF(Analysis!$I36="","",IF(Analysis!$I36="Drifting",Analysis!$D36,""))</f>
        <v/>
      </c>
      <c r="E36" s="29" t="str">
        <f>IF(Analysis!$I36="","",IF(Analysis!$I36="Embedded",Analysis!$C36,""))</f>
        <v/>
      </c>
      <c r="F36" s="29" t="str">
        <f>IF(Analysis!$I36="","",IF(Analysis!$I36="Loyal but shallow",Analysis!$C36,""))</f>
        <v/>
      </c>
      <c r="G36" s="29" t="str">
        <f>IF(Analysis!$I36="","",IF(Analysis!$I36="Project-driven",Analysis!$C36,""))</f>
        <v/>
      </c>
      <c r="H36" s="29" t="str">
        <f>IF(Analysis!$I36="","",IF(Analysis!$I36="Drifting",Analysis!$C36,""))</f>
        <v/>
      </c>
      <c r="I36" s="29" t="str">
        <f>IF(Analysis!$I36="","",IF(Analysis!$I36="Embedded",Analysis!$F36,""))</f>
        <v/>
      </c>
      <c r="J36" s="29" t="str">
        <f>IF(Analysis!$I36="","",IF(Analysis!$I36="Loyal but shallow",Analysis!$F36,""))</f>
        <v/>
      </c>
      <c r="K36" s="29" t="str">
        <f>IF(Analysis!$I36="","",IF(Analysis!$I36="Project-driven",Analysis!$F36,""))</f>
        <v/>
      </c>
      <c r="L36" s="29" t="str">
        <f>IF(Analysis!$I36="","",IF(Analysis!$I36="Drifting",Analysis!$F36,""))</f>
        <v/>
      </c>
      <c r="M36" s="29" t="str">
        <f>IF(Analysis!$I36="","",IF(Analysis!$I36="Embedded",Analysis!$H36,""))</f>
        <v/>
      </c>
      <c r="N36" s="29" t="str">
        <f>IF(Analysis!$I36="","",IF(Analysis!$I36="Loyal but shallow",Analysis!$H36,""))</f>
        <v/>
      </c>
      <c r="O36" s="29" t="str">
        <f>IF(Analysis!$I36="","",IF(Analysis!$I36="Project-driven",Analysis!$H36,""))</f>
        <v/>
      </c>
      <c r="P36" s="29" t="str">
        <f>IF(Analysis!$I36="","",IF(Analysis!$I36="Drifting",Analysis!$H36,""))</f>
        <v/>
      </c>
    </row>
    <row r="37" spans="1:16" x14ac:dyDescent="0.25">
      <c r="A37" s="29" t="str">
        <f>IF(Analysis!$I37="","",IF(Analysis!$I37="Embedded",Analysis!$D37,""))</f>
        <v/>
      </c>
      <c r="B37" s="29" t="str">
        <f>IF(Analysis!$I37="","",IF(Analysis!$I37="Loyal but shallow",Analysis!$D37,""))</f>
        <v/>
      </c>
      <c r="C37" s="29" t="str">
        <f>IF(Analysis!$I37="","",IF(Analysis!$I37="Project-driven",Analysis!$D37,""))</f>
        <v/>
      </c>
      <c r="D37" s="29" t="str">
        <f>IF(Analysis!$I37="","",IF(Analysis!$I37="Drifting",Analysis!$D37,""))</f>
        <v/>
      </c>
      <c r="E37" s="29" t="str">
        <f>IF(Analysis!$I37="","",IF(Analysis!$I37="Embedded",Analysis!$C37,""))</f>
        <v/>
      </c>
      <c r="F37" s="29" t="str">
        <f>IF(Analysis!$I37="","",IF(Analysis!$I37="Loyal but shallow",Analysis!$C37,""))</f>
        <v/>
      </c>
      <c r="G37" s="29" t="str">
        <f>IF(Analysis!$I37="","",IF(Analysis!$I37="Project-driven",Analysis!$C37,""))</f>
        <v/>
      </c>
      <c r="H37" s="29" t="str">
        <f>IF(Analysis!$I37="","",IF(Analysis!$I37="Drifting",Analysis!$C37,""))</f>
        <v/>
      </c>
      <c r="I37" s="29" t="str">
        <f>IF(Analysis!$I37="","",IF(Analysis!$I37="Embedded",Analysis!$F37,""))</f>
        <v/>
      </c>
      <c r="J37" s="29" t="str">
        <f>IF(Analysis!$I37="","",IF(Analysis!$I37="Loyal but shallow",Analysis!$F37,""))</f>
        <v/>
      </c>
      <c r="K37" s="29" t="str">
        <f>IF(Analysis!$I37="","",IF(Analysis!$I37="Project-driven",Analysis!$F37,""))</f>
        <v/>
      </c>
      <c r="L37" s="29" t="str">
        <f>IF(Analysis!$I37="","",IF(Analysis!$I37="Drifting",Analysis!$F37,""))</f>
        <v/>
      </c>
      <c r="M37" s="29" t="str">
        <f>IF(Analysis!$I37="","",IF(Analysis!$I37="Embedded",Analysis!$H37,""))</f>
        <v/>
      </c>
      <c r="N37" s="29" t="str">
        <f>IF(Analysis!$I37="","",IF(Analysis!$I37="Loyal but shallow",Analysis!$H37,""))</f>
        <v/>
      </c>
      <c r="O37" s="29" t="str">
        <f>IF(Analysis!$I37="","",IF(Analysis!$I37="Project-driven",Analysis!$H37,""))</f>
        <v/>
      </c>
      <c r="P37" s="29" t="str">
        <f>IF(Analysis!$I37="","",IF(Analysis!$I37="Drifting",Analysis!$H37,""))</f>
        <v/>
      </c>
    </row>
    <row r="38" spans="1:16" x14ac:dyDescent="0.25">
      <c r="A38" s="29" t="str">
        <f>IF(Analysis!$I38="","",IF(Analysis!$I38="Embedded",Analysis!$D38,""))</f>
        <v/>
      </c>
      <c r="B38" s="29" t="str">
        <f>IF(Analysis!$I38="","",IF(Analysis!$I38="Loyal but shallow",Analysis!$D38,""))</f>
        <v/>
      </c>
      <c r="C38" s="29" t="str">
        <f>IF(Analysis!$I38="","",IF(Analysis!$I38="Project-driven",Analysis!$D38,""))</f>
        <v/>
      </c>
      <c r="D38" s="29" t="str">
        <f>IF(Analysis!$I38="","",IF(Analysis!$I38="Drifting",Analysis!$D38,""))</f>
        <v/>
      </c>
      <c r="E38" s="29" t="str">
        <f>IF(Analysis!$I38="","",IF(Analysis!$I38="Embedded",Analysis!$C38,""))</f>
        <v/>
      </c>
      <c r="F38" s="29" t="str">
        <f>IF(Analysis!$I38="","",IF(Analysis!$I38="Loyal but shallow",Analysis!$C38,""))</f>
        <v/>
      </c>
      <c r="G38" s="29" t="str">
        <f>IF(Analysis!$I38="","",IF(Analysis!$I38="Project-driven",Analysis!$C38,""))</f>
        <v/>
      </c>
      <c r="H38" s="29" t="str">
        <f>IF(Analysis!$I38="","",IF(Analysis!$I38="Drifting",Analysis!$C38,""))</f>
        <v/>
      </c>
      <c r="I38" s="29" t="str">
        <f>IF(Analysis!$I38="","",IF(Analysis!$I38="Embedded",Analysis!$F38,""))</f>
        <v/>
      </c>
      <c r="J38" s="29" t="str">
        <f>IF(Analysis!$I38="","",IF(Analysis!$I38="Loyal but shallow",Analysis!$F38,""))</f>
        <v/>
      </c>
      <c r="K38" s="29" t="str">
        <f>IF(Analysis!$I38="","",IF(Analysis!$I38="Project-driven",Analysis!$F38,""))</f>
        <v/>
      </c>
      <c r="L38" s="29" t="str">
        <f>IF(Analysis!$I38="","",IF(Analysis!$I38="Drifting",Analysis!$F38,""))</f>
        <v/>
      </c>
      <c r="M38" s="29" t="str">
        <f>IF(Analysis!$I38="","",IF(Analysis!$I38="Embedded",Analysis!$H38,""))</f>
        <v/>
      </c>
      <c r="N38" s="29" t="str">
        <f>IF(Analysis!$I38="","",IF(Analysis!$I38="Loyal but shallow",Analysis!$H38,""))</f>
        <v/>
      </c>
      <c r="O38" s="29" t="str">
        <f>IF(Analysis!$I38="","",IF(Analysis!$I38="Project-driven",Analysis!$H38,""))</f>
        <v/>
      </c>
      <c r="P38" s="29" t="str">
        <f>IF(Analysis!$I38="","",IF(Analysis!$I38="Drifting",Analysis!$H38,""))</f>
        <v/>
      </c>
    </row>
    <row r="39" spans="1:16" x14ac:dyDescent="0.25">
      <c r="A39" s="29" t="str">
        <f>IF(Analysis!$I39="","",IF(Analysis!$I39="Embedded",Analysis!$D39,""))</f>
        <v/>
      </c>
      <c r="B39" s="29" t="str">
        <f>IF(Analysis!$I39="","",IF(Analysis!$I39="Loyal but shallow",Analysis!$D39,""))</f>
        <v/>
      </c>
      <c r="C39" s="29" t="str">
        <f>IF(Analysis!$I39="","",IF(Analysis!$I39="Project-driven",Analysis!$D39,""))</f>
        <v/>
      </c>
      <c r="D39" s="29" t="str">
        <f>IF(Analysis!$I39="","",IF(Analysis!$I39="Drifting",Analysis!$D39,""))</f>
        <v/>
      </c>
      <c r="E39" s="29" t="str">
        <f>IF(Analysis!$I39="","",IF(Analysis!$I39="Embedded",Analysis!$C39,""))</f>
        <v/>
      </c>
      <c r="F39" s="29" t="str">
        <f>IF(Analysis!$I39="","",IF(Analysis!$I39="Loyal but shallow",Analysis!$C39,""))</f>
        <v/>
      </c>
      <c r="G39" s="29" t="str">
        <f>IF(Analysis!$I39="","",IF(Analysis!$I39="Project-driven",Analysis!$C39,""))</f>
        <v/>
      </c>
      <c r="H39" s="29" t="str">
        <f>IF(Analysis!$I39="","",IF(Analysis!$I39="Drifting",Analysis!$C39,""))</f>
        <v/>
      </c>
      <c r="I39" s="29" t="str">
        <f>IF(Analysis!$I39="","",IF(Analysis!$I39="Embedded",Analysis!$F39,""))</f>
        <v/>
      </c>
      <c r="J39" s="29" t="str">
        <f>IF(Analysis!$I39="","",IF(Analysis!$I39="Loyal but shallow",Analysis!$F39,""))</f>
        <v/>
      </c>
      <c r="K39" s="29" t="str">
        <f>IF(Analysis!$I39="","",IF(Analysis!$I39="Project-driven",Analysis!$F39,""))</f>
        <v/>
      </c>
      <c r="L39" s="29" t="str">
        <f>IF(Analysis!$I39="","",IF(Analysis!$I39="Drifting",Analysis!$F39,""))</f>
        <v/>
      </c>
      <c r="M39" s="29" t="str">
        <f>IF(Analysis!$I39="","",IF(Analysis!$I39="Embedded",Analysis!$H39,""))</f>
        <v/>
      </c>
      <c r="N39" s="29" t="str">
        <f>IF(Analysis!$I39="","",IF(Analysis!$I39="Loyal but shallow",Analysis!$H39,""))</f>
        <v/>
      </c>
      <c r="O39" s="29" t="str">
        <f>IF(Analysis!$I39="","",IF(Analysis!$I39="Project-driven",Analysis!$H39,""))</f>
        <v/>
      </c>
      <c r="P39" s="29" t="str">
        <f>IF(Analysis!$I39="","",IF(Analysis!$I39="Drifting",Analysis!$H39,""))</f>
        <v/>
      </c>
    </row>
    <row r="40" spans="1:16" x14ac:dyDescent="0.25">
      <c r="A40" s="29" t="str">
        <f>IF(Analysis!$I40="","",IF(Analysis!$I40="Embedded",Analysis!$D40,""))</f>
        <v/>
      </c>
      <c r="B40" s="29" t="str">
        <f>IF(Analysis!$I40="","",IF(Analysis!$I40="Loyal but shallow",Analysis!$D40,""))</f>
        <v/>
      </c>
      <c r="C40" s="29" t="str">
        <f>IF(Analysis!$I40="","",IF(Analysis!$I40="Project-driven",Analysis!$D40,""))</f>
        <v/>
      </c>
      <c r="D40" s="29" t="str">
        <f>IF(Analysis!$I40="","",IF(Analysis!$I40="Drifting",Analysis!$D40,""))</f>
        <v/>
      </c>
      <c r="E40" s="29" t="str">
        <f>IF(Analysis!$I40="","",IF(Analysis!$I40="Embedded",Analysis!$C40,""))</f>
        <v/>
      </c>
      <c r="F40" s="29" t="str">
        <f>IF(Analysis!$I40="","",IF(Analysis!$I40="Loyal but shallow",Analysis!$C40,""))</f>
        <v/>
      </c>
      <c r="G40" s="29" t="str">
        <f>IF(Analysis!$I40="","",IF(Analysis!$I40="Project-driven",Analysis!$C40,""))</f>
        <v/>
      </c>
      <c r="H40" s="29" t="str">
        <f>IF(Analysis!$I40="","",IF(Analysis!$I40="Drifting",Analysis!$C40,""))</f>
        <v/>
      </c>
      <c r="I40" s="29" t="str">
        <f>IF(Analysis!$I40="","",IF(Analysis!$I40="Embedded",Analysis!$F40,""))</f>
        <v/>
      </c>
      <c r="J40" s="29" t="str">
        <f>IF(Analysis!$I40="","",IF(Analysis!$I40="Loyal but shallow",Analysis!$F40,""))</f>
        <v/>
      </c>
      <c r="K40" s="29" t="str">
        <f>IF(Analysis!$I40="","",IF(Analysis!$I40="Project-driven",Analysis!$F40,""))</f>
        <v/>
      </c>
      <c r="L40" s="29" t="str">
        <f>IF(Analysis!$I40="","",IF(Analysis!$I40="Drifting",Analysis!$F40,""))</f>
        <v/>
      </c>
      <c r="M40" s="29" t="str">
        <f>IF(Analysis!$I40="","",IF(Analysis!$I40="Embedded",Analysis!$H40,""))</f>
        <v/>
      </c>
      <c r="N40" s="29" t="str">
        <f>IF(Analysis!$I40="","",IF(Analysis!$I40="Loyal but shallow",Analysis!$H40,""))</f>
        <v/>
      </c>
      <c r="O40" s="29" t="str">
        <f>IF(Analysis!$I40="","",IF(Analysis!$I40="Project-driven",Analysis!$H40,""))</f>
        <v/>
      </c>
      <c r="P40" s="29" t="str">
        <f>IF(Analysis!$I40="","",IF(Analysis!$I40="Drifting",Analysis!$H40,""))</f>
        <v/>
      </c>
    </row>
    <row r="41" spans="1:16" x14ac:dyDescent="0.25">
      <c r="A41" s="29" t="str">
        <f>IF(Analysis!$I41="","",IF(Analysis!$I41="Embedded",Analysis!$D41,""))</f>
        <v/>
      </c>
      <c r="B41" s="29" t="str">
        <f>IF(Analysis!$I41="","",IF(Analysis!$I41="Loyal but shallow",Analysis!$D41,""))</f>
        <v/>
      </c>
      <c r="C41" s="29" t="str">
        <f>IF(Analysis!$I41="","",IF(Analysis!$I41="Project-driven",Analysis!$D41,""))</f>
        <v/>
      </c>
      <c r="D41" s="29" t="str">
        <f>IF(Analysis!$I41="","",IF(Analysis!$I41="Drifting",Analysis!$D41,""))</f>
        <v/>
      </c>
      <c r="E41" s="29" t="str">
        <f>IF(Analysis!$I41="","",IF(Analysis!$I41="Embedded",Analysis!$C41,""))</f>
        <v/>
      </c>
      <c r="F41" s="29" t="str">
        <f>IF(Analysis!$I41="","",IF(Analysis!$I41="Loyal but shallow",Analysis!$C41,""))</f>
        <v/>
      </c>
      <c r="G41" s="29" t="str">
        <f>IF(Analysis!$I41="","",IF(Analysis!$I41="Project-driven",Analysis!$C41,""))</f>
        <v/>
      </c>
      <c r="H41" s="29" t="str">
        <f>IF(Analysis!$I41="","",IF(Analysis!$I41="Drifting",Analysis!$C41,""))</f>
        <v/>
      </c>
      <c r="I41" s="29" t="str">
        <f>IF(Analysis!$I41="","",IF(Analysis!$I41="Embedded",Analysis!$F41,""))</f>
        <v/>
      </c>
      <c r="J41" s="29" t="str">
        <f>IF(Analysis!$I41="","",IF(Analysis!$I41="Loyal but shallow",Analysis!$F41,""))</f>
        <v/>
      </c>
      <c r="K41" s="29" t="str">
        <f>IF(Analysis!$I41="","",IF(Analysis!$I41="Project-driven",Analysis!$F41,""))</f>
        <v/>
      </c>
      <c r="L41" s="29" t="str">
        <f>IF(Analysis!$I41="","",IF(Analysis!$I41="Drifting",Analysis!$F41,""))</f>
        <v/>
      </c>
      <c r="M41" s="29" t="str">
        <f>IF(Analysis!$I41="","",IF(Analysis!$I41="Embedded",Analysis!$H41,""))</f>
        <v/>
      </c>
      <c r="N41" s="29" t="str">
        <f>IF(Analysis!$I41="","",IF(Analysis!$I41="Loyal but shallow",Analysis!$H41,""))</f>
        <v/>
      </c>
      <c r="O41" s="29" t="str">
        <f>IF(Analysis!$I41="","",IF(Analysis!$I41="Project-driven",Analysis!$H41,""))</f>
        <v/>
      </c>
      <c r="P41" s="29" t="str">
        <f>IF(Analysis!$I41="","",IF(Analysis!$I41="Drifting",Analysis!$H41,""))</f>
        <v/>
      </c>
    </row>
    <row r="42" spans="1:16" x14ac:dyDescent="0.25">
      <c r="A42" s="29" t="str">
        <f>IF(Analysis!$I42="","",IF(Analysis!$I42="Embedded",Analysis!$D42,""))</f>
        <v/>
      </c>
      <c r="B42" s="29" t="str">
        <f>IF(Analysis!$I42="","",IF(Analysis!$I42="Loyal but shallow",Analysis!$D42,""))</f>
        <v/>
      </c>
      <c r="C42" s="29" t="str">
        <f>IF(Analysis!$I42="","",IF(Analysis!$I42="Project-driven",Analysis!$D42,""))</f>
        <v/>
      </c>
      <c r="D42" s="29" t="str">
        <f>IF(Analysis!$I42="","",IF(Analysis!$I42="Drifting",Analysis!$D42,""))</f>
        <v/>
      </c>
      <c r="E42" s="29" t="str">
        <f>IF(Analysis!$I42="","",IF(Analysis!$I42="Embedded",Analysis!$C42,""))</f>
        <v/>
      </c>
      <c r="F42" s="29" t="str">
        <f>IF(Analysis!$I42="","",IF(Analysis!$I42="Loyal but shallow",Analysis!$C42,""))</f>
        <v/>
      </c>
      <c r="G42" s="29" t="str">
        <f>IF(Analysis!$I42="","",IF(Analysis!$I42="Project-driven",Analysis!$C42,""))</f>
        <v/>
      </c>
      <c r="H42" s="29" t="str">
        <f>IF(Analysis!$I42="","",IF(Analysis!$I42="Drifting",Analysis!$C42,""))</f>
        <v/>
      </c>
      <c r="I42" s="29" t="str">
        <f>IF(Analysis!$I42="","",IF(Analysis!$I42="Embedded",Analysis!$F42,""))</f>
        <v/>
      </c>
      <c r="J42" s="29" t="str">
        <f>IF(Analysis!$I42="","",IF(Analysis!$I42="Loyal but shallow",Analysis!$F42,""))</f>
        <v/>
      </c>
      <c r="K42" s="29" t="str">
        <f>IF(Analysis!$I42="","",IF(Analysis!$I42="Project-driven",Analysis!$F42,""))</f>
        <v/>
      </c>
      <c r="L42" s="29" t="str">
        <f>IF(Analysis!$I42="","",IF(Analysis!$I42="Drifting",Analysis!$F42,""))</f>
        <v/>
      </c>
      <c r="M42" s="29" t="str">
        <f>IF(Analysis!$I42="","",IF(Analysis!$I42="Embedded",Analysis!$H42,""))</f>
        <v/>
      </c>
      <c r="N42" s="29" t="str">
        <f>IF(Analysis!$I42="","",IF(Analysis!$I42="Loyal but shallow",Analysis!$H42,""))</f>
        <v/>
      </c>
      <c r="O42" s="29" t="str">
        <f>IF(Analysis!$I42="","",IF(Analysis!$I42="Project-driven",Analysis!$H42,""))</f>
        <v/>
      </c>
      <c r="P42" s="29" t="str">
        <f>IF(Analysis!$I42="","",IF(Analysis!$I42="Drifting",Analysis!$H42,""))</f>
        <v/>
      </c>
    </row>
    <row r="43" spans="1:16" x14ac:dyDescent="0.25">
      <c r="A43" s="29" t="str">
        <f>IF(Analysis!$I43="","",IF(Analysis!$I43="Embedded",Analysis!$D43,""))</f>
        <v/>
      </c>
      <c r="B43" s="29" t="str">
        <f>IF(Analysis!$I43="","",IF(Analysis!$I43="Loyal but shallow",Analysis!$D43,""))</f>
        <v/>
      </c>
      <c r="C43" s="29" t="str">
        <f>IF(Analysis!$I43="","",IF(Analysis!$I43="Project-driven",Analysis!$D43,""))</f>
        <v/>
      </c>
      <c r="D43" s="29" t="str">
        <f>IF(Analysis!$I43="","",IF(Analysis!$I43="Drifting",Analysis!$D43,""))</f>
        <v/>
      </c>
      <c r="E43" s="29" t="str">
        <f>IF(Analysis!$I43="","",IF(Analysis!$I43="Embedded",Analysis!$C43,""))</f>
        <v/>
      </c>
      <c r="F43" s="29" t="str">
        <f>IF(Analysis!$I43="","",IF(Analysis!$I43="Loyal but shallow",Analysis!$C43,""))</f>
        <v/>
      </c>
      <c r="G43" s="29" t="str">
        <f>IF(Analysis!$I43="","",IF(Analysis!$I43="Project-driven",Analysis!$C43,""))</f>
        <v/>
      </c>
      <c r="H43" s="29" t="str">
        <f>IF(Analysis!$I43="","",IF(Analysis!$I43="Drifting",Analysis!$C43,""))</f>
        <v/>
      </c>
      <c r="I43" s="29" t="str">
        <f>IF(Analysis!$I43="","",IF(Analysis!$I43="Embedded",Analysis!$F43,""))</f>
        <v/>
      </c>
      <c r="J43" s="29" t="str">
        <f>IF(Analysis!$I43="","",IF(Analysis!$I43="Loyal but shallow",Analysis!$F43,""))</f>
        <v/>
      </c>
      <c r="K43" s="29" t="str">
        <f>IF(Analysis!$I43="","",IF(Analysis!$I43="Project-driven",Analysis!$F43,""))</f>
        <v/>
      </c>
      <c r="L43" s="29" t="str">
        <f>IF(Analysis!$I43="","",IF(Analysis!$I43="Drifting",Analysis!$F43,""))</f>
        <v/>
      </c>
      <c r="M43" s="29" t="str">
        <f>IF(Analysis!$I43="","",IF(Analysis!$I43="Embedded",Analysis!$H43,""))</f>
        <v/>
      </c>
      <c r="N43" s="29" t="str">
        <f>IF(Analysis!$I43="","",IF(Analysis!$I43="Loyal but shallow",Analysis!$H43,""))</f>
        <v/>
      </c>
      <c r="O43" s="29" t="str">
        <f>IF(Analysis!$I43="","",IF(Analysis!$I43="Project-driven",Analysis!$H43,""))</f>
        <v/>
      </c>
      <c r="P43" s="29" t="str">
        <f>IF(Analysis!$I43="","",IF(Analysis!$I43="Drifting",Analysis!$H43,""))</f>
        <v/>
      </c>
    </row>
    <row r="44" spans="1:16" x14ac:dyDescent="0.25">
      <c r="A44" s="29" t="str">
        <f>IF(Analysis!$I44="","",IF(Analysis!$I44="Embedded",Analysis!$D44,""))</f>
        <v/>
      </c>
      <c r="B44" s="29" t="str">
        <f>IF(Analysis!$I44="","",IF(Analysis!$I44="Loyal but shallow",Analysis!$D44,""))</f>
        <v/>
      </c>
      <c r="C44" s="29" t="str">
        <f>IF(Analysis!$I44="","",IF(Analysis!$I44="Project-driven",Analysis!$D44,""))</f>
        <v/>
      </c>
      <c r="D44" s="29" t="str">
        <f>IF(Analysis!$I44="","",IF(Analysis!$I44="Drifting",Analysis!$D44,""))</f>
        <v/>
      </c>
      <c r="E44" s="29" t="str">
        <f>IF(Analysis!$I44="","",IF(Analysis!$I44="Embedded",Analysis!$C44,""))</f>
        <v/>
      </c>
      <c r="F44" s="29" t="str">
        <f>IF(Analysis!$I44="","",IF(Analysis!$I44="Loyal but shallow",Analysis!$C44,""))</f>
        <v/>
      </c>
      <c r="G44" s="29" t="str">
        <f>IF(Analysis!$I44="","",IF(Analysis!$I44="Project-driven",Analysis!$C44,""))</f>
        <v/>
      </c>
      <c r="H44" s="29" t="str">
        <f>IF(Analysis!$I44="","",IF(Analysis!$I44="Drifting",Analysis!$C44,""))</f>
        <v/>
      </c>
      <c r="I44" s="29" t="str">
        <f>IF(Analysis!$I44="","",IF(Analysis!$I44="Embedded",Analysis!$F44,""))</f>
        <v/>
      </c>
      <c r="J44" s="29" t="str">
        <f>IF(Analysis!$I44="","",IF(Analysis!$I44="Loyal but shallow",Analysis!$F44,""))</f>
        <v/>
      </c>
      <c r="K44" s="29" t="str">
        <f>IF(Analysis!$I44="","",IF(Analysis!$I44="Project-driven",Analysis!$F44,""))</f>
        <v/>
      </c>
      <c r="L44" s="29" t="str">
        <f>IF(Analysis!$I44="","",IF(Analysis!$I44="Drifting",Analysis!$F44,""))</f>
        <v/>
      </c>
      <c r="M44" s="29" t="str">
        <f>IF(Analysis!$I44="","",IF(Analysis!$I44="Embedded",Analysis!$H44,""))</f>
        <v/>
      </c>
      <c r="N44" s="29" t="str">
        <f>IF(Analysis!$I44="","",IF(Analysis!$I44="Loyal but shallow",Analysis!$H44,""))</f>
        <v/>
      </c>
      <c r="O44" s="29" t="str">
        <f>IF(Analysis!$I44="","",IF(Analysis!$I44="Project-driven",Analysis!$H44,""))</f>
        <v/>
      </c>
      <c r="P44" s="29" t="str">
        <f>IF(Analysis!$I44="","",IF(Analysis!$I44="Drifting",Analysis!$H44,""))</f>
        <v/>
      </c>
    </row>
    <row r="45" spans="1:16" x14ac:dyDescent="0.25">
      <c r="A45" s="29" t="str">
        <f>IF(Analysis!$I45="","",IF(Analysis!$I45="Embedded",Analysis!$D45,""))</f>
        <v/>
      </c>
      <c r="B45" s="29" t="str">
        <f>IF(Analysis!$I45="","",IF(Analysis!$I45="Loyal but shallow",Analysis!$D45,""))</f>
        <v/>
      </c>
      <c r="C45" s="29" t="str">
        <f>IF(Analysis!$I45="","",IF(Analysis!$I45="Project-driven",Analysis!$D45,""))</f>
        <v/>
      </c>
      <c r="D45" s="29" t="str">
        <f>IF(Analysis!$I45="","",IF(Analysis!$I45="Drifting",Analysis!$D45,""))</f>
        <v/>
      </c>
      <c r="E45" s="29" t="str">
        <f>IF(Analysis!$I45="","",IF(Analysis!$I45="Embedded",Analysis!$C45,""))</f>
        <v/>
      </c>
      <c r="F45" s="29" t="str">
        <f>IF(Analysis!$I45="","",IF(Analysis!$I45="Loyal but shallow",Analysis!$C45,""))</f>
        <v/>
      </c>
      <c r="G45" s="29" t="str">
        <f>IF(Analysis!$I45="","",IF(Analysis!$I45="Project-driven",Analysis!$C45,""))</f>
        <v/>
      </c>
      <c r="H45" s="29" t="str">
        <f>IF(Analysis!$I45="","",IF(Analysis!$I45="Drifting",Analysis!$C45,""))</f>
        <v/>
      </c>
      <c r="I45" s="29" t="str">
        <f>IF(Analysis!$I45="","",IF(Analysis!$I45="Embedded",Analysis!$F45,""))</f>
        <v/>
      </c>
      <c r="J45" s="29" t="str">
        <f>IF(Analysis!$I45="","",IF(Analysis!$I45="Loyal but shallow",Analysis!$F45,""))</f>
        <v/>
      </c>
      <c r="K45" s="29" t="str">
        <f>IF(Analysis!$I45="","",IF(Analysis!$I45="Project-driven",Analysis!$F45,""))</f>
        <v/>
      </c>
      <c r="L45" s="29" t="str">
        <f>IF(Analysis!$I45="","",IF(Analysis!$I45="Drifting",Analysis!$F45,""))</f>
        <v/>
      </c>
      <c r="M45" s="29" t="str">
        <f>IF(Analysis!$I45="","",IF(Analysis!$I45="Embedded",Analysis!$H45,""))</f>
        <v/>
      </c>
      <c r="N45" s="29" t="str">
        <f>IF(Analysis!$I45="","",IF(Analysis!$I45="Loyal but shallow",Analysis!$H45,""))</f>
        <v/>
      </c>
      <c r="O45" s="29" t="str">
        <f>IF(Analysis!$I45="","",IF(Analysis!$I45="Project-driven",Analysis!$H45,""))</f>
        <v/>
      </c>
      <c r="P45" s="29" t="str">
        <f>IF(Analysis!$I45="","",IF(Analysis!$I45="Drifting",Analysis!$H45,""))</f>
        <v/>
      </c>
    </row>
    <row r="46" spans="1:16" x14ac:dyDescent="0.25">
      <c r="A46" s="29" t="str">
        <f>IF(Analysis!$I46="","",IF(Analysis!$I46="Embedded",Analysis!$D46,""))</f>
        <v/>
      </c>
      <c r="B46" s="29" t="str">
        <f>IF(Analysis!$I46="","",IF(Analysis!$I46="Loyal but shallow",Analysis!$D46,""))</f>
        <v/>
      </c>
      <c r="C46" s="29" t="str">
        <f>IF(Analysis!$I46="","",IF(Analysis!$I46="Project-driven",Analysis!$D46,""))</f>
        <v/>
      </c>
      <c r="D46" s="29" t="str">
        <f>IF(Analysis!$I46="","",IF(Analysis!$I46="Drifting",Analysis!$D46,""))</f>
        <v/>
      </c>
      <c r="E46" s="29" t="str">
        <f>IF(Analysis!$I46="","",IF(Analysis!$I46="Embedded",Analysis!$C46,""))</f>
        <v/>
      </c>
      <c r="F46" s="29" t="str">
        <f>IF(Analysis!$I46="","",IF(Analysis!$I46="Loyal but shallow",Analysis!$C46,""))</f>
        <v/>
      </c>
      <c r="G46" s="29" t="str">
        <f>IF(Analysis!$I46="","",IF(Analysis!$I46="Project-driven",Analysis!$C46,""))</f>
        <v/>
      </c>
      <c r="H46" s="29" t="str">
        <f>IF(Analysis!$I46="","",IF(Analysis!$I46="Drifting",Analysis!$C46,""))</f>
        <v/>
      </c>
      <c r="I46" s="29" t="str">
        <f>IF(Analysis!$I46="","",IF(Analysis!$I46="Embedded",Analysis!$F46,""))</f>
        <v/>
      </c>
      <c r="J46" s="29" t="str">
        <f>IF(Analysis!$I46="","",IF(Analysis!$I46="Loyal but shallow",Analysis!$F46,""))</f>
        <v/>
      </c>
      <c r="K46" s="29" t="str">
        <f>IF(Analysis!$I46="","",IF(Analysis!$I46="Project-driven",Analysis!$F46,""))</f>
        <v/>
      </c>
      <c r="L46" s="29" t="str">
        <f>IF(Analysis!$I46="","",IF(Analysis!$I46="Drifting",Analysis!$F46,""))</f>
        <v/>
      </c>
      <c r="M46" s="29" t="str">
        <f>IF(Analysis!$I46="","",IF(Analysis!$I46="Embedded",Analysis!$H46,""))</f>
        <v/>
      </c>
      <c r="N46" s="29" t="str">
        <f>IF(Analysis!$I46="","",IF(Analysis!$I46="Loyal but shallow",Analysis!$H46,""))</f>
        <v/>
      </c>
      <c r="O46" s="29" t="str">
        <f>IF(Analysis!$I46="","",IF(Analysis!$I46="Project-driven",Analysis!$H46,""))</f>
        <v/>
      </c>
      <c r="P46" s="29" t="str">
        <f>IF(Analysis!$I46="","",IF(Analysis!$I46="Drifting",Analysis!$H46,""))</f>
        <v/>
      </c>
    </row>
    <row r="47" spans="1:16" x14ac:dyDescent="0.25">
      <c r="A47" s="29" t="str">
        <f>IF(Analysis!$I47="","",IF(Analysis!$I47="Embedded",Analysis!$D47,""))</f>
        <v/>
      </c>
      <c r="B47" s="29" t="str">
        <f>IF(Analysis!$I47="","",IF(Analysis!$I47="Loyal but shallow",Analysis!$D47,""))</f>
        <v/>
      </c>
      <c r="C47" s="29" t="str">
        <f>IF(Analysis!$I47="","",IF(Analysis!$I47="Project-driven",Analysis!$D47,""))</f>
        <v/>
      </c>
      <c r="D47" s="29" t="str">
        <f>IF(Analysis!$I47="","",IF(Analysis!$I47="Drifting",Analysis!$D47,""))</f>
        <v/>
      </c>
      <c r="E47" s="29" t="str">
        <f>IF(Analysis!$I47="","",IF(Analysis!$I47="Embedded",Analysis!$C47,""))</f>
        <v/>
      </c>
      <c r="F47" s="29" t="str">
        <f>IF(Analysis!$I47="","",IF(Analysis!$I47="Loyal but shallow",Analysis!$C47,""))</f>
        <v/>
      </c>
      <c r="G47" s="29" t="str">
        <f>IF(Analysis!$I47="","",IF(Analysis!$I47="Project-driven",Analysis!$C47,""))</f>
        <v/>
      </c>
      <c r="H47" s="29" t="str">
        <f>IF(Analysis!$I47="","",IF(Analysis!$I47="Drifting",Analysis!$C47,""))</f>
        <v/>
      </c>
      <c r="I47" s="29" t="str">
        <f>IF(Analysis!$I47="","",IF(Analysis!$I47="Embedded",Analysis!$F47,""))</f>
        <v/>
      </c>
      <c r="J47" s="29" t="str">
        <f>IF(Analysis!$I47="","",IF(Analysis!$I47="Loyal but shallow",Analysis!$F47,""))</f>
        <v/>
      </c>
      <c r="K47" s="29" t="str">
        <f>IF(Analysis!$I47="","",IF(Analysis!$I47="Project-driven",Analysis!$F47,""))</f>
        <v/>
      </c>
      <c r="L47" s="29" t="str">
        <f>IF(Analysis!$I47="","",IF(Analysis!$I47="Drifting",Analysis!$F47,""))</f>
        <v/>
      </c>
      <c r="M47" s="29" t="str">
        <f>IF(Analysis!$I47="","",IF(Analysis!$I47="Embedded",Analysis!$H47,""))</f>
        <v/>
      </c>
      <c r="N47" s="29" t="str">
        <f>IF(Analysis!$I47="","",IF(Analysis!$I47="Loyal but shallow",Analysis!$H47,""))</f>
        <v/>
      </c>
      <c r="O47" s="29" t="str">
        <f>IF(Analysis!$I47="","",IF(Analysis!$I47="Project-driven",Analysis!$H47,""))</f>
        <v/>
      </c>
      <c r="P47" s="29" t="str">
        <f>IF(Analysis!$I47="","",IF(Analysis!$I47="Drifting",Analysis!$H47,""))</f>
        <v/>
      </c>
    </row>
    <row r="48" spans="1:16" x14ac:dyDescent="0.25">
      <c r="A48" s="29" t="str">
        <f>IF(Analysis!$I48="","",IF(Analysis!$I48="Embedded",Analysis!$D48,""))</f>
        <v/>
      </c>
      <c r="B48" s="29" t="str">
        <f>IF(Analysis!$I48="","",IF(Analysis!$I48="Loyal but shallow",Analysis!$D48,""))</f>
        <v/>
      </c>
      <c r="C48" s="29" t="str">
        <f>IF(Analysis!$I48="","",IF(Analysis!$I48="Project-driven",Analysis!$D48,""))</f>
        <v/>
      </c>
      <c r="D48" s="29" t="str">
        <f>IF(Analysis!$I48="","",IF(Analysis!$I48="Drifting",Analysis!$D48,""))</f>
        <v/>
      </c>
      <c r="E48" s="29" t="str">
        <f>IF(Analysis!$I48="","",IF(Analysis!$I48="Embedded",Analysis!$C48,""))</f>
        <v/>
      </c>
      <c r="F48" s="29" t="str">
        <f>IF(Analysis!$I48="","",IF(Analysis!$I48="Loyal but shallow",Analysis!$C48,""))</f>
        <v/>
      </c>
      <c r="G48" s="29" t="str">
        <f>IF(Analysis!$I48="","",IF(Analysis!$I48="Project-driven",Analysis!$C48,""))</f>
        <v/>
      </c>
      <c r="H48" s="29" t="str">
        <f>IF(Analysis!$I48="","",IF(Analysis!$I48="Drifting",Analysis!$C48,""))</f>
        <v/>
      </c>
      <c r="I48" s="29" t="str">
        <f>IF(Analysis!$I48="","",IF(Analysis!$I48="Embedded",Analysis!$F48,""))</f>
        <v/>
      </c>
      <c r="J48" s="29" t="str">
        <f>IF(Analysis!$I48="","",IF(Analysis!$I48="Loyal but shallow",Analysis!$F48,""))</f>
        <v/>
      </c>
      <c r="K48" s="29" t="str">
        <f>IF(Analysis!$I48="","",IF(Analysis!$I48="Project-driven",Analysis!$F48,""))</f>
        <v/>
      </c>
      <c r="L48" s="29" t="str">
        <f>IF(Analysis!$I48="","",IF(Analysis!$I48="Drifting",Analysis!$F48,""))</f>
        <v/>
      </c>
      <c r="M48" s="29" t="str">
        <f>IF(Analysis!$I48="","",IF(Analysis!$I48="Embedded",Analysis!$H48,""))</f>
        <v/>
      </c>
      <c r="N48" s="29" t="str">
        <f>IF(Analysis!$I48="","",IF(Analysis!$I48="Loyal but shallow",Analysis!$H48,""))</f>
        <v/>
      </c>
      <c r="O48" s="29" t="str">
        <f>IF(Analysis!$I48="","",IF(Analysis!$I48="Project-driven",Analysis!$H48,""))</f>
        <v/>
      </c>
      <c r="P48" s="29" t="str">
        <f>IF(Analysis!$I48="","",IF(Analysis!$I48="Drifting",Analysis!$H48,""))</f>
        <v/>
      </c>
    </row>
    <row r="49" spans="1:16" x14ac:dyDescent="0.25">
      <c r="A49" s="29" t="str">
        <f>IF(Analysis!$I49="","",IF(Analysis!$I49="Embedded",Analysis!$D49,""))</f>
        <v/>
      </c>
      <c r="B49" s="29" t="str">
        <f>IF(Analysis!$I49="","",IF(Analysis!$I49="Loyal but shallow",Analysis!$D49,""))</f>
        <v/>
      </c>
      <c r="C49" s="29" t="str">
        <f>IF(Analysis!$I49="","",IF(Analysis!$I49="Project-driven",Analysis!$D49,""))</f>
        <v/>
      </c>
      <c r="D49" s="29" t="str">
        <f>IF(Analysis!$I49="","",IF(Analysis!$I49="Drifting",Analysis!$D49,""))</f>
        <v/>
      </c>
      <c r="E49" s="29" t="str">
        <f>IF(Analysis!$I49="","",IF(Analysis!$I49="Embedded",Analysis!$C49,""))</f>
        <v/>
      </c>
      <c r="F49" s="29" t="str">
        <f>IF(Analysis!$I49="","",IF(Analysis!$I49="Loyal but shallow",Analysis!$C49,""))</f>
        <v/>
      </c>
      <c r="G49" s="29" t="str">
        <f>IF(Analysis!$I49="","",IF(Analysis!$I49="Project-driven",Analysis!$C49,""))</f>
        <v/>
      </c>
      <c r="H49" s="29" t="str">
        <f>IF(Analysis!$I49="","",IF(Analysis!$I49="Drifting",Analysis!$C49,""))</f>
        <v/>
      </c>
      <c r="I49" s="29" t="str">
        <f>IF(Analysis!$I49="","",IF(Analysis!$I49="Embedded",Analysis!$F49,""))</f>
        <v/>
      </c>
      <c r="J49" s="29" t="str">
        <f>IF(Analysis!$I49="","",IF(Analysis!$I49="Loyal but shallow",Analysis!$F49,""))</f>
        <v/>
      </c>
      <c r="K49" s="29" t="str">
        <f>IF(Analysis!$I49="","",IF(Analysis!$I49="Project-driven",Analysis!$F49,""))</f>
        <v/>
      </c>
      <c r="L49" s="29" t="str">
        <f>IF(Analysis!$I49="","",IF(Analysis!$I49="Drifting",Analysis!$F49,""))</f>
        <v/>
      </c>
      <c r="M49" s="29" t="str">
        <f>IF(Analysis!$I49="","",IF(Analysis!$I49="Embedded",Analysis!$H49,""))</f>
        <v/>
      </c>
      <c r="N49" s="29" t="str">
        <f>IF(Analysis!$I49="","",IF(Analysis!$I49="Loyal but shallow",Analysis!$H49,""))</f>
        <v/>
      </c>
      <c r="O49" s="29" t="str">
        <f>IF(Analysis!$I49="","",IF(Analysis!$I49="Project-driven",Analysis!$H49,""))</f>
        <v/>
      </c>
      <c r="P49" s="29" t="str">
        <f>IF(Analysis!$I49="","",IF(Analysis!$I49="Drifting",Analysis!$H49,""))</f>
        <v/>
      </c>
    </row>
    <row r="50" spans="1:16" x14ac:dyDescent="0.25">
      <c r="A50" s="29" t="str">
        <f>IF(Analysis!$I50="","",IF(Analysis!$I50="Embedded",Analysis!$D50,""))</f>
        <v/>
      </c>
      <c r="B50" s="29" t="str">
        <f>IF(Analysis!$I50="","",IF(Analysis!$I50="Loyal but shallow",Analysis!$D50,""))</f>
        <v/>
      </c>
      <c r="C50" s="29" t="str">
        <f>IF(Analysis!$I50="","",IF(Analysis!$I50="Project-driven",Analysis!$D50,""))</f>
        <v/>
      </c>
      <c r="D50" s="29" t="str">
        <f>IF(Analysis!$I50="","",IF(Analysis!$I50="Drifting",Analysis!$D50,""))</f>
        <v/>
      </c>
      <c r="E50" s="29" t="str">
        <f>IF(Analysis!$I50="","",IF(Analysis!$I50="Embedded",Analysis!$C50,""))</f>
        <v/>
      </c>
      <c r="F50" s="29" t="str">
        <f>IF(Analysis!$I50="","",IF(Analysis!$I50="Loyal but shallow",Analysis!$C50,""))</f>
        <v/>
      </c>
      <c r="G50" s="29" t="str">
        <f>IF(Analysis!$I50="","",IF(Analysis!$I50="Project-driven",Analysis!$C50,""))</f>
        <v/>
      </c>
      <c r="H50" s="29" t="str">
        <f>IF(Analysis!$I50="","",IF(Analysis!$I50="Drifting",Analysis!$C50,""))</f>
        <v/>
      </c>
      <c r="I50" s="29" t="str">
        <f>IF(Analysis!$I50="","",IF(Analysis!$I50="Embedded",Analysis!$F50,""))</f>
        <v/>
      </c>
      <c r="J50" s="29" t="str">
        <f>IF(Analysis!$I50="","",IF(Analysis!$I50="Loyal but shallow",Analysis!$F50,""))</f>
        <v/>
      </c>
      <c r="K50" s="29" t="str">
        <f>IF(Analysis!$I50="","",IF(Analysis!$I50="Project-driven",Analysis!$F50,""))</f>
        <v/>
      </c>
      <c r="L50" s="29" t="str">
        <f>IF(Analysis!$I50="","",IF(Analysis!$I50="Drifting",Analysis!$F50,""))</f>
        <v/>
      </c>
      <c r="M50" s="29" t="str">
        <f>IF(Analysis!$I50="","",IF(Analysis!$I50="Embedded",Analysis!$H50,""))</f>
        <v/>
      </c>
      <c r="N50" s="29" t="str">
        <f>IF(Analysis!$I50="","",IF(Analysis!$I50="Loyal but shallow",Analysis!$H50,""))</f>
        <v/>
      </c>
      <c r="O50" s="29" t="str">
        <f>IF(Analysis!$I50="","",IF(Analysis!$I50="Project-driven",Analysis!$H50,""))</f>
        <v/>
      </c>
      <c r="P50" s="29" t="str">
        <f>IF(Analysis!$I50="","",IF(Analysis!$I50="Drifting",Analysis!$H50,""))</f>
        <v/>
      </c>
    </row>
    <row r="51" spans="1:16" x14ac:dyDescent="0.25">
      <c r="A51" s="29" t="str">
        <f>IF(Analysis!$I51="","",IF(Analysis!$I51="Embedded",Analysis!$D51,""))</f>
        <v/>
      </c>
      <c r="B51" s="29" t="str">
        <f>IF(Analysis!$I51="","",IF(Analysis!$I51="Loyal but shallow",Analysis!$D51,""))</f>
        <v/>
      </c>
      <c r="C51" s="29" t="str">
        <f>IF(Analysis!$I51="","",IF(Analysis!$I51="Project-driven",Analysis!$D51,""))</f>
        <v/>
      </c>
      <c r="D51" s="29" t="str">
        <f>IF(Analysis!$I51="","",IF(Analysis!$I51="Drifting",Analysis!$D51,""))</f>
        <v/>
      </c>
      <c r="E51" s="29" t="str">
        <f>IF(Analysis!$I51="","",IF(Analysis!$I51="Embedded",Analysis!$C51,""))</f>
        <v/>
      </c>
      <c r="F51" s="29" t="str">
        <f>IF(Analysis!$I51="","",IF(Analysis!$I51="Loyal but shallow",Analysis!$C51,""))</f>
        <v/>
      </c>
      <c r="G51" s="29" t="str">
        <f>IF(Analysis!$I51="","",IF(Analysis!$I51="Project-driven",Analysis!$C51,""))</f>
        <v/>
      </c>
      <c r="H51" s="29" t="str">
        <f>IF(Analysis!$I51="","",IF(Analysis!$I51="Drifting",Analysis!$C51,""))</f>
        <v/>
      </c>
      <c r="I51" s="29" t="str">
        <f>IF(Analysis!$I51="","",IF(Analysis!$I51="Embedded",Analysis!$F51,""))</f>
        <v/>
      </c>
      <c r="J51" s="29" t="str">
        <f>IF(Analysis!$I51="","",IF(Analysis!$I51="Loyal but shallow",Analysis!$F51,""))</f>
        <v/>
      </c>
      <c r="K51" s="29" t="str">
        <f>IF(Analysis!$I51="","",IF(Analysis!$I51="Project-driven",Analysis!$F51,""))</f>
        <v/>
      </c>
      <c r="L51" s="29" t="str">
        <f>IF(Analysis!$I51="","",IF(Analysis!$I51="Drifting",Analysis!$F51,""))</f>
        <v/>
      </c>
      <c r="M51" s="29" t="str">
        <f>IF(Analysis!$I51="","",IF(Analysis!$I51="Embedded",Analysis!$H51,""))</f>
        <v/>
      </c>
      <c r="N51" s="29" t="str">
        <f>IF(Analysis!$I51="","",IF(Analysis!$I51="Loyal but shallow",Analysis!$H51,""))</f>
        <v/>
      </c>
      <c r="O51" s="29" t="str">
        <f>IF(Analysis!$I51="","",IF(Analysis!$I51="Project-driven",Analysis!$H51,""))</f>
        <v/>
      </c>
      <c r="P51" s="29" t="str">
        <f>IF(Analysis!$I51="","",IF(Analysis!$I51="Drifting",Analysis!$H51,""))</f>
        <v/>
      </c>
    </row>
    <row r="52" spans="1:16" x14ac:dyDescent="0.25">
      <c r="A52" s="29" t="str">
        <f>IF(Analysis!$I52="","",IF(Analysis!$I52="Embedded",Analysis!$D52,""))</f>
        <v/>
      </c>
      <c r="B52" s="29" t="str">
        <f>IF(Analysis!$I52="","",IF(Analysis!$I52="Loyal but shallow",Analysis!$D52,""))</f>
        <v/>
      </c>
      <c r="C52" s="29" t="str">
        <f>IF(Analysis!$I52="","",IF(Analysis!$I52="Project-driven",Analysis!$D52,""))</f>
        <v/>
      </c>
      <c r="D52" s="29" t="str">
        <f>IF(Analysis!$I52="","",IF(Analysis!$I52="Drifting",Analysis!$D52,""))</f>
        <v/>
      </c>
      <c r="E52" s="29" t="str">
        <f>IF(Analysis!$I52="","",IF(Analysis!$I52="Embedded",Analysis!$C52,""))</f>
        <v/>
      </c>
      <c r="F52" s="29" t="str">
        <f>IF(Analysis!$I52="","",IF(Analysis!$I52="Loyal but shallow",Analysis!$C52,""))</f>
        <v/>
      </c>
      <c r="G52" s="29" t="str">
        <f>IF(Analysis!$I52="","",IF(Analysis!$I52="Project-driven",Analysis!$C52,""))</f>
        <v/>
      </c>
      <c r="H52" s="29" t="str">
        <f>IF(Analysis!$I52="","",IF(Analysis!$I52="Drifting",Analysis!$C52,""))</f>
        <v/>
      </c>
      <c r="I52" s="29" t="str">
        <f>IF(Analysis!$I52="","",IF(Analysis!$I52="Embedded",Analysis!$F52,""))</f>
        <v/>
      </c>
      <c r="J52" s="29" t="str">
        <f>IF(Analysis!$I52="","",IF(Analysis!$I52="Loyal but shallow",Analysis!$F52,""))</f>
        <v/>
      </c>
      <c r="K52" s="29" t="str">
        <f>IF(Analysis!$I52="","",IF(Analysis!$I52="Project-driven",Analysis!$F52,""))</f>
        <v/>
      </c>
      <c r="L52" s="29" t="str">
        <f>IF(Analysis!$I52="","",IF(Analysis!$I52="Drifting",Analysis!$F52,""))</f>
        <v/>
      </c>
      <c r="M52" s="29" t="str">
        <f>IF(Analysis!$I52="","",IF(Analysis!$I52="Embedded",Analysis!$H52,""))</f>
        <v/>
      </c>
      <c r="N52" s="29" t="str">
        <f>IF(Analysis!$I52="","",IF(Analysis!$I52="Loyal but shallow",Analysis!$H52,""))</f>
        <v/>
      </c>
      <c r="O52" s="29" t="str">
        <f>IF(Analysis!$I52="","",IF(Analysis!$I52="Project-driven",Analysis!$H52,""))</f>
        <v/>
      </c>
      <c r="P52" s="29" t="str">
        <f>IF(Analysis!$I52="","",IF(Analysis!$I52="Drifting",Analysis!$H52,""))</f>
        <v/>
      </c>
    </row>
    <row r="53" spans="1:16" x14ac:dyDescent="0.25">
      <c r="A53" s="29" t="str">
        <f>IF(Analysis!$I53="","",IF(Analysis!$I53="Embedded",Analysis!$D53,""))</f>
        <v/>
      </c>
      <c r="B53" s="29" t="str">
        <f>IF(Analysis!$I53="","",IF(Analysis!$I53="Loyal but shallow",Analysis!$D53,""))</f>
        <v/>
      </c>
      <c r="C53" s="29" t="str">
        <f>IF(Analysis!$I53="","",IF(Analysis!$I53="Project-driven",Analysis!$D53,""))</f>
        <v/>
      </c>
      <c r="D53" s="29" t="str">
        <f>IF(Analysis!$I53="","",IF(Analysis!$I53="Drifting",Analysis!$D53,""))</f>
        <v/>
      </c>
      <c r="E53" s="29" t="str">
        <f>IF(Analysis!$I53="","",IF(Analysis!$I53="Embedded",Analysis!$C53,""))</f>
        <v/>
      </c>
      <c r="F53" s="29" t="str">
        <f>IF(Analysis!$I53="","",IF(Analysis!$I53="Loyal but shallow",Analysis!$C53,""))</f>
        <v/>
      </c>
      <c r="G53" s="29" t="str">
        <f>IF(Analysis!$I53="","",IF(Analysis!$I53="Project-driven",Analysis!$C53,""))</f>
        <v/>
      </c>
      <c r="H53" s="29" t="str">
        <f>IF(Analysis!$I53="","",IF(Analysis!$I53="Drifting",Analysis!$C53,""))</f>
        <v/>
      </c>
      <c r="I53" s="29" t="str">
        <f>IF(Analysis!$I53="","",IF(Analysis!$I53="Embedded",Analysis!$F53,""))</f>
        <v/>
      </c>
      <c r="J53" s="29" t="str">
        <f>IF(Analysis!$I53="","",IF(Analysis!$I53="Loyal but shallow",Analysis!$F53,""))</f>
        <v/>
      </c>
      <c r="K53" s="29" t="str">
        <f>IF(Analysis!$I53="","",IF(Analysis!$I53="Project-driven",Analysis!$F53,""))</f>
        <v/>
      </c>
      <c r="L53" s="29" t="str">
        <f>IF(Analysis!$I53="","",IF(Analysis!$I53="Drifting",Analysis!$F53,""))</f>
        <v/>
      </c>
      <c r="M53" s="29" t="str">
        <f>IF(Analysis!$I53="","",IF(Analysis!$I53="Embedded",Analysis!$H53,""))</f>
        <v/>
      </c>
      <c r="N53" s="29" t="str">
        <f>IF(Analysis!$I53="","",IF(Analysis!$I53="Loyal but shallow",Analysis!$H53,""))</f>
        <v/>
      </c>
      <c r="O53" s="29" t="str">
        <f>IF(Analysis!$I53="","",IF(Analysis!$I53="Project-driven",Analysis!$H53,""))</f>
        <v/>
      </c>
      <c r="P53" s="29" t="str">
        <f>IF(Analysis!$I53="","",IF(Analysis!$I53="Drifting",Analysis!$H53,""))</f>
        <v/>
      </c>
    </row>
    <row r="54" spans="1:16" x14ac:dyDescent="0.25">
      <c r="A54" s="29" t="str">
        <f>IF(Analysis!$I54="","",IF(Analysis!$I54="Embedded",Analysis!$D54,""))</f>
        <v/>
      </c>
      <c r="B54" s="29" t="str">
        <f>IF(Analysis!$I54="","",IF(Analysis!$I54="Loyal but shallow",Analysis!$D54,""))</f>
        <v/>
      </c>
      <c r="C54" s="29" t="str">
        <f>IF(Analysis!$I54="","",IF(Analysis!$I54="Project-driven",Analysis!$D54,""))</f>
        <v/>
      </c>
      <c r="D54" s="29" t="str">
        <f>IF(Analysis!$I54="","",IF(Analysis!$I54="Drifting",Analysis!$D54,""))</f>
        <v/>
      </c>
      <c r="E54" s="29" t="str">
        <f>IF(Analysis!$I54="","",IF(Analysis!$I54="Embedded",Analysis!$C54,""))</f>
        <v/>
      </c>
      <c r="F54" s="29" t="str">
        <f>IF(Analysis!$I54="","",IF(Analysis!$I54="Loyal but shallow",Analysis!$C54,""))</f>
        <v/>
      </c>
      <c r="G54" s="29" t="str">
        <f>IF(Analysis!$I54="","",IF(Analysis!$I54="Project-driven",Analysis!$C54,""))</f>
        <v/>
      </c>
      <c r="H54" s="29" t="str">
        <f>IF(Analysis!$I54="","",IF(Analysis!$I54="Drifting",Analysis!$C54,""))</f>
        <v/>
      </c>
      <c r="I54" s="29" t="str">
        <f>IF(Analysis!$I54="","",IF(Analysis!$I54="Embedded",Analysis!$F54,""))</f>
        <v/>
      </c>
      <c r="J54" s="29" t="str">
        <f>IF(Analysis!$I54="","",IF(Analysis!$I54="Loyal but shallow",Analysis!$F54,""))</f>
        <v/>
      </c>
      <c r="K54" s="29" t="str">
        <f>IF(Analysis!$I54="","",IF(Analysis!$I54="Project-driven",Analysis!$F54,""))</f>
        <v/>
      </c>
      <c r="L54" s="29" t="str">
        <f>IF(Analysis!$I54="","",IF(Analysis!$I54="Drifting",Analysis!$F54,""))</f>
        <v/>
      </c>
      <c r="M54" s="29" t="str">
        <f>IF(Analysis!$I54="","",IF(Analysis!$I54="Embedded",Analysis!$H54,""))</f>
        <v/>
      </c>
      <c r="N54" s="29" t="str">
        <f>IF(Analysis!$I54="","",IF(Analysis!$I54="Loyal but shallow",Analysis!$H54,""))</f>
        <v/>
      </c>
      <c r="O54" s="29" t="str">
        <f>IF(Analysis!$I54="","",IF(Analysis!$I54="Project-driven",Analysis!$H54,""))</f>
        <v/>
      </c>
      <c r="P54" s="29" t="str">
        <f>IF(Analysis!$I54="","",IF(Analysis!$I54="Drifting",Analysis!$H54,""))</f>
        <v/>
      </c>
    </row>
    <row r="55" spans="1:16" x14ac:dyDescent="0.25">
      <c r="A55" s="29" t="str">
        <f>IF(Analysis!$I55="","",IF(Analysis!$I55="Embedded",Analysis!$D55,""))</f>
        <v/>
      </c>
      <c r="B55" s="29" t="str">
        <f>IF(Analysis!$I55="","",IF(Analysis!$I55="Loyal but shallow",Analysis!$D55,""))</f>
        <v/>
      </c>
      <c r="C55" s="29" t="str">
        <f>IF(Analysis!$I55="","",IF(Analysis!$I55="Project-driven",Analysis!$D55,""))</f>
        <v/>
      </c>
      <c r="D55" s="29" t="str">
        <f>IF(Analysis!$I55="","",IF(Analysis!$I55="Drifting",Analysis!$D55,""))</f>
        <v/>
      </c>
      <c r="E55" s="29" t="str">
        <f>IF(Analysis!$I55="","",IF(Analysis!$I55="Embedded",Analysis!$C55,""))</f>
        <v/>
      </c>
      <c r="F55" s="29" t="str">
        <f>IF(Analysis!$I55="","",IF(Analysis!$I55="Loyal but shallow",Analysis!$C55,""))</f>
        <v/>
      </c>
      <c r="G55" s="29" t="str">
        <f>IF(Analysis!$I55="","",IF(Analysis!$I55="Project-driven",Analysis!$C55,""))</f>
        <v/>
      </c>
      <c r="H55" s="29" t="str">
        <f>IF(Analysis!$I55="","",IF(Analysis!$I55="Drifting",Analysis!$C55,""))</f>
        <v/>
      </c>
      <c r="I55" s="29" t="str">
        <f>IF(Analysis!$I55="","",IF(Analysis!$I55="Embedded",Analysis!$F55,""))</f>
        <v/>
      </c>
      <c r="J55" s="29" t="str">
        <f>IF(Analysis!$I55="","",IF(Analysis!$I55="Loyal but shallow",Analysis!$F55,""))</f>
        <v/>
      </c>
      <c r="K55" s="29" t="str">
        <f>IF(Analysis!$I55="","",IF(Analysis!$I55="Project-driven",Analysis!$F55,""))</f>
        <v/>
      </c>
      <c r="L55" s="29" t="str">
        <f>IF(Analysis!$I55="","",IF(Analysis!$I55="Drifting",Analysis!$F55,""))</f>
        <v/>
      </c>
      <c r="M55" s="29" t="str">
        <f>IF(Analysis!$I55="","",IF(Analysis!$I55="Embedded",Analysis!$H55,""))</f>
        <v/>
      </c>
      <c r="N55" s="29" t="str">
        <f>IF(Analysis!$I55="","",IF(Analysis!$I55="Loyal but shallow",Analysis!$H55,""))</f>
        <v/>
      </c>
      <c r="O55" s="29" t="str">
        <f>IF(Analysis!$I55="","",IF(Analysis!$I55="Project-driven",Analysis!$H55,""))</f>
        <v/>
      </c>
      <c r="P55" s="29" t="str">
        <f>IF(Analysis!$I55="","",IF(Analysis!$I55="Drifting",Analysis!$H55,""))</f>
        <v/>
      </c>
    </row>
    <row r="56" spans="1:16" x14ac:dyDescent="0.25">
      <c r="A56" s="29" t="str">
        <f>IF(Analysis!$I56="","",IF(Analysis!$I56="Embedded",Analysis!$D56,""))</f>
        <v/>
      </c>
      <c r="B56" s="29" t="str">
        <f>IF(Analysis!$I56="","",IF(Analysis!$I56="Loyal but shallow",Analysis!$D56,""))</f>
        <v/>
      </c>
      <c r="C56" s="29" t="str">
        <f>IF(Analysis!$I56="","",IF(Analysis!$I56="Project-driven",Analysis!$D56,""))</f>
        <v/>
      </c>
      <c r="D56" s="29" t="str">
        <f>IF(Analysis!$I56="","",IF(Analysis!$I56="Drifting",Analysis!$D56,""))</f>
        <v/>
      </c>
      <c r="E56" s="29" t="str">
        <f>IF(Analysis!$I56="","",IF(Analysis!$I56="Embedded",Analysis!$C56,""))</f>
        <v/>
      </c>
      <c r="F56" s="29" t="str">
        <f>IF(Analysis!$I56="","",IF(Analysis!$I56="Loyal but shallow",Analysis!$C56,""))</f>
        <v/>
      </c>
      <c r="G56" s="29" t="str">
        <f>IF(Analysis!$I56="","",IF(Analysis!$I56="Project-driven",Analysis!$C56,""))</f>
        <v/>
      </c>
      <c r="H56" s="29" t="str">
        <f>IF(Analysis!$I56="","",IF(Analysis!$I56="Drifting",Analysis!$C56,""))</f>
        <v/>
      </c>
      <c r="I56" s="29" t="str">
        <f>IF(Analysis!$I56="","",IF(Analysis!$I56="Embedded",Analysis!$F56,""))</f>
        <v/>
      </c>
      <c r="J56" s="29" t="str">
        <f>IF(Analysis!$I56="","",IF(Analysis!$I56="Loyal but shallow",Analysis!$F56,""))</f>
        <v/>
      </c>
      <c r="K56" s="29" t="str">
        <f>IF(Analysis!$I56="","",IF(Analysis!$I56="Project-driven",Analysis!$F56,""))</f>
        <v/>
      </c>
      <c r="L56" s="29" t="str">
        <f>IF(Analysis!$I56="","",IF(Analysis!$I56="Drifting",Analysis!$F56,""))</f>
        <v/>
      </c>
      <c r="M56" s="29" t="str">
        <f>IF(Analysis!$I56="","",IF(Analysis!$I56="Embedded",Analysis!$H56,""))</f>
        <v/>
      </c>
      <c r="N56" s="29" t="str">
        <f>IF(Analysis!$I56="","",IF(Analysis!$I56="Loyal but shallow",Analysis!$H56,""))</f>
        <v/>
      </c>
      <c r="O56" s="29" t="str">
        <f>IF(Analysis!$I56="","",IF(Analysis!$I56="Project-driven",Analysis!$H56,""))</f>
        <v/>
      </c>
      <c r="P56" s="29" t="str">
        <f>IF(Analysis!$I56="","",IF(Analysis!$I56="Drifting",Analysis!$H56,""))</f>
        <v/>
      </c>
    </row>
    <row r="57" spans="1:16" x14ac:dyDescent="0.25">
      <c r="A57" s="29" t="str">
        <f>IF(Analysis!$I57="","",IF(Analysis!$I57="Embedded",Analysis!$D57,""))</f>
        <v/>
      </c>
      <c r="B57" s="29" t="str">
        <f>IF(Analysis!$I57="","",IF(Analysis!$I57="Loyal but shallow",Analysis!$D57,""))</f>
        <v/>
      </c>
      <c r="C57" s="29" t="str">
        <f>IF(Analysis!$I57="","",IF(Analysis!$I57="Project-driven",Analysis!$D57,""))</f>
        <v/>
      </c>
      <c r="D57" s="29" t="str">
        <f>IF(Analysis!$I57="","",IF(Analysis!$I57="Drifting",Analysis!$D57,""))</f>
        <v/>
      </c>
      <c r="E57" s="29" t="str">
        <f>IF(Analysis!$I57="","",IF(Analysis!$I57="Embedded",Analysis!$C57,""))</f>
        <v/>
      </c>
      <c r="F57" s="29" t="str">
        <f>IF(Analysis!$I57="","",IF(Analysis!$I57="Loyal but shallow",Analysis!$C57,""))</f>
        <v/>
      </c>
      <c r="G57" s="29" t="str">
        <f>IF(Analysis!$I57="","",IF(Analysis!$I57="Project-driven",Analysis!$C57,""))</f>
        <v/>
      </c>
      <c r="H57" s="29" t="str">
        <f>IF(Analysis!$I57="","",IF(Analysis!$I57="Drifting",Analysis!$C57,""))</f>
        <v/>
      </c>
      <c r="I57" s="29" t="str">
        <f>IF(Analysis!$I57="","",IF(Analysis!$I57="Embedded",Analysis!$F57,""))</f>
        <v/>
      </c>
      <c r="J57" s="29" t="str">
        <f>IF(Analysis!$I57="","",IF(Analysis!$I57="Loyal but shallow",Analysis!$F57,""))</f>
        <v/>
      </c>
      <c r="K57" s="29" t="str">
        <f>IF(Analysis!$I57="","",IF(Analysis!$I57="Project-driven",Analysis!$F57,""))</f>
        <v/>
      </c>
      <c r="L57" s="29" t="str">
        <f>IF(Analysis!$I57="","",IF(Analysis!$I57="Drifting",Analysis!$F57,""))</f>
        <v/>
      </c>
      <c r="M57" s="29" t="str">
        <f>IF(Analysis!$I57="","",IF(Analysis!$I57="Embedded",Analysis!$H57,""))</f>
        <v/>
      </c>
      <c r="N57" s="29" t="str">
        <f>IF(Analysis!$I57="","",IF(Analysis!$I57="Loyal but shallow",Analysis!$H57,""))</f>
        <v/>
      </c>
      <c r="O57" s="29" t="str">
        <f>IF(Analysis!$I57="","",IF(Analysis!$I57="Project-driven",Analysis!$H57,""))</f>
        <v/>
      </c>
      <c r="P57" s="29" t="str">
        <f>IF(Analysis!$I57="","",IF(Analysis!$I57="Drifting",Analysis!$H57,""))</f>
        <v/>
      </c>
    </row>
    <row r="58" spans="1:16" x14ac:dyDescent="0.25">
      <c r="A58" s="29" t="str">
        <f>IF(Analysis!$I58="","",IF(Analysis!$I58="Embedded",Analysis!$D58,""))</f>
        <v/>
      </c>
      <c r="B58" s="29" t="str">
        <f>IF(Analysis!$I58="","",IF(Analysis!$I58="Loyal but shallow",Analysis!$D58,""))</f>
        <v/>
      </c>
      <c r="C58" s="29" t="str">
        <f>IF(Analysis!$I58="","",IF(Analysis!$I58="Project-driven",Analysis!$D58,""))</f>
        <v/>
      </c>
      <c r="D58" s="29" t="str">
        <f>IF(Analysis!$I58="","",IF(Analysis!$I58="Drifting",Analysis!$D58,""))</f>
        <v/>
      </c>
      <c r="E58" s="29" t="str">
        <f>IF(Analysis!$I58="","",IF(Analysis!$I58="Embedded",Analysis!$C58,""))</f>
        <v/>
      </c>
      <c r="F58" s="29" t="str">
        <f>IF(Analysis!$I58="","",IF(Analysis!$I58="Loyal but shallow",Analysis!$C58,""))</f>
        <v/>
      </c>
      <c r="G58" s="29" t="str">
        <f>IF(Analysis!$I58="","",IF(Analysis!$I58="Project-driven",Analysis!$C58,""))</f>
        <v/>
      </c>
      <c r="H58" s="29" t="str">
        <f>IF(Analysis!$I58="","",IF(Analysis!$I58="Drifting",Analysis!$C58,""))</f>
        <v/>
      </c>
      <c r="I58" s="29" t="str">
        <f>IF(Analysis!$I58="","",IF(Analysis!$I58="Embedded",Analysis!$F58,""))</f>
        <v/>
      </c>
      <c r="J58" s="29" t="str">
        <f>IF(Analysis!$I58="","",IF(Analysis!$I58="Loyal but shallow",Analysis!$F58,""))</f>
        <v/>
      </c>
      <c r="K58" s="29" t="str">
        <f>IF(Analysis!$I58="","",IF(Analysis!$I58="Project-driven",Analysis!$F58,""))</f>
        <v/>
      </c>
      <c r="L58" s="29" t="str">
        <f>IF(Analysis!$I58="","",IF(Analysis!$I58="Drifting",Analysis!$F58,""))</f>
        <v/>
      </c>
      <c r="M58" s="29" t="str">
        <f>IF(Analysis!$I58="","",IF(Analysis!$I58="Embedded",Analysis!$H58,""))</f>
        <v/>
      </c>
      <c r="N58" s="29" t="str">
        <f>IF(Analysis!$I58="","",IF(Analysis!$I58="Loyal but shallow",Analysis!$H58,""))</f>
        <v/>
      </c>
      <c r="O58" s="29" t="str">
        <f>IF(Analysis!$I58="","",IF(Analysis!$I58="Project-driven",Analysis!$H58,""))</f>
        <v/>
      </c>
      <c r="P58" s="29" t="str">
        <f>IF(Analysis!$I58="","",IF(Analysis!$I58="Drifting",Analysis!$H58,""))</f>
        <v/>
      </c>
    </row>
    <row r="59" spans="1:16" x14ac:dyDescent="0.25">
      <c r="A59" s="29" t="str">
        <f>IF(Analysis!$I59="","",IF(Analysis!$I59="Embedded",Analysis!$D59,""))</f>
        <v/>
      </c>
      <c r="B59" s="29" t="str">
        <f>IF(Analysis!$I59="","",IF(Analysis!$I59="Loyal but shallow",Analysis!$D59,""))</f>
        <v/>
      </c>
      <c r="C59" s="29" t="str">
        <f>IF(Analysis!$I59="","",IF(Analysis!$I59="Project-driven",Analysis!$D59,""))</f>
        <v/>
      </c>
      <c r="D59" s="29" t="str">
        <f>IF(Analysis!$I59="","",IF(Analysis!$I59="Drifting",Analysis!$D59,""))</f>
        <v/>
      </c>
      <c r="E59" s="29" t="str">
        <f>IF(Analysis!$I59="","",IF(Analysis!$I59="Embedded",Analysis!$C59,""))</f>
        <v/>
      </c>
      <c r="F59" s="29" t="str">
        <f>IF(Analysis!$I59="","",IF(Analysis!$I59="Loyal but shallow",Analysis!$C59,""))</f>
        <v/>
      </c>
      <c r="G59" s="29" t="str">
        <f>IF(Analysis!$I59="","",IF(Analysis!$I59="Project-driven",Analysis!$C59,""))</f>
        <v/>
      </c>
      <c r="H59" s="29" t="str">
        <f>IF(Analysis!$I59="","",IF(Analysis!$I59="Drifting",Analysis!$C59,""))</f>
        <v/>
      </c>
      <c r="I59" s="29" t="str">
        <f>IF(Analysis!$I59="","",IF(Analysis!$I59="Embedded",Analysis!$F59,""))</f>
        <v/>
      </c>
      <c r="J59" s="29" t="str">
        <f>IF(Analysis!$I59="","",IF(Analysis!$I59="Loyal but shallow",Analysis!$F59,""))</f>
        <v/>
      </c>
      <c r="K59" s="29" t="str">
        <f>IF(Analysis!$I59="","",IF(Analysis!$I59="Project-driven",Analysis!$F59,""))</f>
        <v/>
      </c>
      <c r="L59" s="29" t="str">
        <f>IF(Analysis!$I59="","",IF(Analysis!$I59="Drifting",Analysis!$F59,""))</f>
        <v/>
      </c>
      <c r="M59" s="29" t="str">
        <f>IF(Analysis!$I59="","",IF(Analysis!$I59="Embedded",Analysis!$H59,""))</f>
        <v/>
      </c>
      <c r="N59" s="29" t="str">
        <f>IF(Analysis!$I59="","",IF(Analysis!$I59="Loyal but shallow",Analysis!$H59,""))</f>
        <v/>
      </c>
      <c r="O59" s="29" t="str">
        <f>IF(Analysis!$I59="","",IF(Analysis!$I59="Project-driven",Analysis!$H59,""))</f>
        <v/>
      </c>
      <c r="P59" s="29" t="str">
        <f>IF(Analysis!$I59="","",IF(Analysis!$I59="Drifting",Analysis!$H59,""))</f>
        <v/>
      </c>
    </row>
    <row r="60" spans="1:16" x14ac:dyDescent="0.25">
      <c r="A60" s="29" t="str">
        <f>IF(Analysis!$I60="","",IF(Analysis!$I60="Embedded",Analysis!$D60,""))</f>
        <v/>
      </c>
      <c r="B60" s="29" t="str">
        <f>IF(Analysis!$I60="","",IF(Analysis!$I60="Loyal but shallow",Analysis!$D60,""))</f>
        <v/>
      </c>
      <c r="C60" s="29" t="str">
        <f>IF(Analysis!$I60="","",IF(Analysis!$I60="Project-driven",Analysis!$D60,""))</f>
        <v/>
      </c>
      <c r="D60" s="29" t="str">
        <f>IF(Analysis!$I60="","",IF(Analysis!$I60="Drifting",Analysis!$D60,""))</f>
        <v/>
      </c>
      <c r="E60" s="29" t="str">
        <f>IF(Analysis!$I60="","",IF(Analysis!$I60="Embedded",Analysis!$C60,""))</f>
        <v/>
      </c>
      <c r="F60" s="29" t="str">
        <f>IF(Analysis!$I60="","",IF(Analysis!$I60="Loyal but shallow",Analysis!$C60,""))</f>
        <v/>
      </c>
      <c r="G60" s="29" t="str">
        <f>IF(Analysis!$I60="","",IF(Analysis!$I60="Project-driven",Analysis!$C60,""))</f>
        <v/>
      </c>
      <c r="H60" s="29" t="str">
        <f>IF(Analysis!$I60="","",IF(Analysis!$I60="Drifting",Analysis!$C60,""))</f>
        <v/>
      </c>
      <c r="I60" s="29" t="str">
        <f>IF(Analysis!$I60="","",IF(Analysis!$I60="Embedded",Analysis!$F60,""))</f>
        <v/>
      </c>
      <c r="J60" s="29" t="str">
        <f>IF(Analysis!$I60="","",IF(Analysis!$I60="Loyal but shallow",Analysis!$F60,""))</f>
        <v/>
      </c>
      <c r="K60" s="29" t="str">
        <f>IF(Analysis!$I60="","",IF(Analysis!$I60="Project-driven",Analysis!$F60,""))</f>
        <v/>
      </c>
      <c r="L60" s="29" t="str">
        <f>IF(Analysis!$I60="","",IF(Analysis!$I60="Drifting",Analysis!$F60,""))</f>
        <v/>
      </c>
      <c r="M60" s="29" t="str">
        <f>IF(Analysis!$I60="","",IF(Analysis!$I60="Embedded",Analysis!$H60,""))</f>
        <v/>
      </c>
      <c r="N60" s="29" t="str">
        <f>IF(Analysis!$I60="","",IF(Analysis!$I60="Loyal but shallow",Analysis!$H60,""))</f>
        <v/>
      </c>
      <c r="O60" s="29" t="str">
        <f>IF(Analysis!$I60="","",IF(Analysis!$I60="Project-driven",Analysis!$H60,""))</f>
        <v/>
      </c>
      <c r="P60" s="29" t="str">
        <f>IF(Analysis!$I60="","",IF(Analysis!$I60="Drifting",Analysis!$H60,""))</f>
        <v/>
      </c>
    </row>
    <row r="61" spans="1:16" x14ac:dyDescent="0.25">
      <c r="A61" s="29" t="str">
        <f>IF(Analysis!$I61="","",IF(Analysis!$I61="Embedded",Analysis!$D61,""))</f>
        <v/>
      </c>
      <c r="B61" s="29" t="str">
        <f>IF(Analysis!$I61="","",IF(Analysis!$I61="Loyal but shallow",Analysis!$D61,""))</f>
        <v/>
      </c>
      <c r="C61" s="29" t="str">
        <f>IF(Analysis!$I61="","",IF(Analysis!$I61="Project-driven",Analysis!$D61,""))</f>
        <v/>
      </c>
      <c r="D61" s="29" t="str">
        <f>IF(Analysis!$I61="","",IF(Analysis!$I61="Drifting",Analysis!$D61,""))</f>
        <v/>
      </c>
      <c r="E61" s="29" t="str">
        <f>IF(Analysis!$I61="","",IF(Analysis!$I61="Embedded",Analysis!$C61,""))</f>
        <v/>
      </c>
      <c r="F61" s="29" t="str">
        <f>IF(Analysis!$I61="","",IF(Analysis!$I61="Loyal but shallow",Analysis!$C61,""))</f>
        <v/>
      </c>
      <c r="G61" s="29" t="str">
        <f>IF(Analysis!$I61="","",IF(Analysis!$I61="Project-driven",Analysis!$C61,""))</f>
        <v/>
      </c>
      <c r="H61" s="29" t="str">
        <f>IF(Analysis!$I61="","",IF(Analysis!$I61="Drifting",Analysis!$C61,""))</f>
        <v/>
      </c>
      <c r="I61" s="29" t="str">
        <f>IF(Analysis!$I61="","",IF(Analysis!$I61="Embedded",Analysis!$F61,""))</f>
        <v/>
      </c>
      <c r="J61" s="29" t="str">
        <f>IF(Analysis!$I61="","",IF(Analysis!$I61="Loyal but shallow",Analysis!$F61,""))</f>
        <v/>
      </c>
      <c r="K61" s="29" t="str">
        <f>IF(Analysis!$I61="","",IF(Analysis!$I61="Project-driven",Analysis!$F61,""))</f>
        <v/>
      </c>
      <c r="L61" s="29" t="str">
        <f>IF(Analysis!$I61="","",IF(Analysis!$I61="Drifting",Analysis!$F61,""))</f>
        <v/>
      </c>
      <c r="M61" s="29" t="str">
        <f>IF(Analysis!$I61="","",IF(Analysis!$I61="Embedded",Analysis!$H61,""))</f>
        <v/>
      </c>
      <c r="N61" s="29" t="str">
        <f>IF(Analysis!$I61="","",IF(Analysis!$I61="Loyal but shallow",Analysis!$H61,""))</f>
        <v/>
      </c>
      <c r="O61" s="29" t="str">
        <f>IF(Analysis!$I61="","",IF(Analysis!$I61="Project-driven",Analysis!$H61,""))</f>
        <v/>
      </c>
      <c r="P61" s="29" t="str">
        <f>IF(Analysis!$I61="","",IF(Analysis!$I61="Drifting",Analysis!$H61,""))</f>
        <v/>
      </c>
    </row>
    <row r="62" spans="1:16" x14ac:dyDescent="0.25">
      <c r="A62" s="29" t="str">
        <f>IF(Analysis!$I62="","",IF(Analysis!$I62="Embedded",Analysis!$D62,""))</f>
        <v/>
      </c>
      <c r="B62" s="29" t="str">
        <f>IF(Analysis!$I62="","",IF(Analysis!$I62="Loyal but shallow",Analysis!$D62,""))</f>
        <v/>
      </c>
      <c r="C62" s="29" t="str">
        <f>IF(Analysis!$I62="","",IF(Analysis!$I62="Project-driven",Analysis!$D62,""))</f>
        <v/>
      </c>
      <c r="D62" s="29" t="str">
        <f>IF(Analysis!$I62="","",IF(Analysis!$I62="Drifting",Analysis!$D62,""))</f>
        <v/>
      </c>
      <c r="E62" s="29" t="str">
        <f>IF(Analysis!$I62="","",IF(Analysis!$I62="Embedded",Analysis!$C62,""))</f>
        <v/>
      </c>
      <c r="F62" s="29" t="str">
        <f>IF(Analysis!$I62="","",IF(Analysis!$I62="Loyal but shallow",Analysis!$C62,""))</f>
        <v/>
      </c>
      <c r="G62" s="29" t="str">
        <f>IF(Analysis!$I62="","",IF(Analysis!$I62="Project-driven",Analysis!$C62,""))</f>
        <v/>
      </c>
      <c r="H62" s="29" t="str">
        <f>IF(Analysis!$I62="","",IF(Analysis!$I62="Drifting",Analysis!$C62,""))</f>
        <v/>
      </c>
      <c r="I62" s="29" t="str">
        <f>IF(Analysis!$I62="","",IF(Analysis!$I62="Embedded",Analysis!$F62,""))</f>
        <v/>
      </c>
      <c r="J62" s="29" t="str">
        <f>IF(Analysis!$I62="","",IF(Analysis!$I62="Loyal but shallow",Analysis!$F62,""))</f>
        <v/>
      </c>
      <c r="K62" s="29" t="str">
        <f>IF(Analysis!$I62="","",IF(Analysis!$I62="Project-driven",Analysis!$F62,""))</f>
        <v/>
      </c>
      <c r="L62" s="29" t="str">
        <f>IF(Analysis!$I62="","",IF(Analysis!$I62="Drifting",Analysis!$F62,""))</f>
        <v/>
      </c>
      <c r="M62" s="29" t="str">
        <f>IF(Analysis!$I62="","",IF(Analysis!$I62="Embedded",Analysis!$H62,""))</f>
        <v/>
      </c>
      <c r="N62" s="29" t="str">
        <f>IF(Analysis!$I62="","",IF(Analysis!$I62="Loyal but shallow",Analysis!$H62,""))</f>
        <v/>
      </c>
      <c r="O62" s="29" t="str">
        <f>IF(Analysis!$I62="","",IF(Analysis!$I62="Project-driven",Analysis!$H62,""))</f>
        <v/>
      </c>
      <c r="P62" s="29" t="str">
        <f>IF(Analysis!$I62="","",IF(Analysis!$I62="Drifting",Analysis!$H62,""))</f>
        <v/>
      </c>
    </row>
    <row r="63" spans="1:16" x14ac:dyDescent="0.25">
      <c r="A63" s="29" t="str">
        <f>IF(Analysis!$I63="","",IF(Analysis!$I63="Embedded",Analysis!$D63,""))</f>
        <v/>
      </c>
      <c r="B63" s="29" t="str">
        <f>IF(Analysis!$I63="","",IF(Analysis!$I63="Loyal but shallow",Analysis!$D63,""))</f>
        <v/>
      </c>
      <c r="C63" s="29" t="str">
        <f>IF(Analysis!$I63="","",IF(Analysis!$I63="Project-driven",Analysis!$D63,""))</f>
        <v/>
      </c>
      <c r="D63" s="29" t="str">
        <f>IF(Analysis!$I63="","",IF(Analysis!$I63="Drifting",Analysis!$D63,""))</f>
        <v/>
      </c>
      <c r="E63" s="29" t="str">
        <f>IF(Analysis!$I63="","",IF(Analysis!$I63="Embedded",Analysis!$C63,""))</f>
        <v/>
      </c>
      <c r="F63" s="29" t="str">
        <f>IF(Analysis!$I63="","",IF(Analysis!$I63="Loyal but shallow",Analysis!$C63,""))</f>
        <v/>
      </c>
      <c r="G63" s="29" t="str">
        <f>IF(Analysis!$I63="","",IF(Analysis!$I63="Project-driven",Analysis!$C63,""))</f>
        <v/>
      </c>
      <c r="H63" s="29" t="str">
        <f>IF(Analysis!$I63="","",IF(Analysis!$I63="Drifting",Analysis!$C63,""))</f>
        <v/>
      </c>
      <c r="I63" s="29" t="str">
        <f>IF(Analysis!$I63="","",IF(Analysis!$I63="Embedded",Analysis!$F63,""))</f>
        <v/>
      </c>
      <c r="J63" s="29" t="str">
        <f>IF(Analysis!$I63="","",IF(Analysis!$I63="Loyal but shallow",Analysis!$F63,""))</f>
        <v/>
      </c>
      <c r="K63" s="29" t="str">
        <f>IF(Analysis!$I63="","",IF(Analysis!$I63="Project-driven",Analysis!$F63,""))</f>
        <v/>
      </c>
      <c r="L63" s="29" t="str">
        <f>IF(Analysis!$I63="","",IF(Analysis!$I63="Drifting",Analysis!$F63,""))</f>
        <v/>
      </c>
      <c r="M63" s="29" t="str">
        <f>IF(Analysis!$I63="","",IF(Analysis!$I63="Embedded",Analysis!$H63,""))</f>
        <v/>
      </c>
      <c r="N63" s="29" t="str">
        <f>IF(Analysis!$I63="","",IF(Analysis!$I63="Loyal but shallow",Analysis!$H63,""))</f>
        <v/>
      </c>
      <c r="O63" s="29" t="str">
        <f>IF(Analysis!$I63="","",IF(Analysis!$I63="Project-driven",Analysis!$H63,""))</f>
        <v/>
      </c>
      <c r="P63" s="29" t="str">
        <f>IF(Analysis!$I63="","",IF(Analysis!$I63="Drifting",Analysis!$H63,""))</f>
        <v/>
      </c>
    </row>
    <row r="64" spans="1:16" x14ac:dyDescent="0.25">
      <c r="A64" s="29" t="str">
        <f>IF(Analysis!$I64="","",IF(Analysis!$I64="Embedded",Analysis!$D64,""))</f>
        <v/>
      </c>
      <c r="B64" s="29" t="str">
        <f>IF(Analysis!$I64="","",IF(Analysis!$I64="Loyal but shallow",Analysis!$D64,""))</f>
        <v/>
      </c>
      <c r="C64" s="29" t="str">
        <f>IF(Analysis!$I64="","",IF(Analysis!$I64="Project-driven",Analysis!$D64,""))</f>
        <v/>
      </c>
      <c r="D64" s="29" t="str">
        <f>IF(Analysis!$I64="","",IF(Analysis!$I64="Drifting",Analysis!$D64,""))</f>
        <v/>
      </c>
      <c r="E64" s="29" t="str">
        <f>IF(Analysis!$I64="","",IF(Analysis!$I64="Embedded",Analysis!$C64,""))</f>
        <v/>
      </c>
      <c r="F64" s="29" t="str">
        <f>IF(Analysis!$I64="","",IF(Analysis!$I64="Loyal but shallow",Analysis!$C64,""))</f>
        <v/>
      </c>
      <c r="G64" s="29" t="str">
        <f>IF(Analysis!$I64="","",IF(Analysis!$I64="Project-driven",Analysis!$C64,""))</f>
        <v/>
      </c>
      <c r="H64" s="29" t="str">
        <f>IF(Analysis!$I64="","",IF(Analysis!$I64="Drifting",Analysis!$C64,""))</f>
        <v/>
      </c>
      <c r="I64" s="29" t="str">
        <f>IF(Analysis!$I64="","",IF(Analysis!$I64="Embedded",Analysis!$F64,""))</f>
        <v/>
      </c>
      <c r="J64" s="29" t="str">
        <f>IF(Analysis!$I64="","",IF(Analysis!$I64="Loyal but shallow",Analysis!$F64,""))</f>
        <v/>
      </c>
      <c r="K64" s="29" t="str">
        <f>IF(Analysis!$I64="","",IF(Analysis!$I64="Project-driven",Analysis!$F64,""))</f>
        <v/>
      </c>
      <c r="L64" s="29" t="str">
        <f>IF(Analysis!$I64="","",IF(Analysis!$I64="Drifting",Analysis!$F64,""))</f>
        <v/>
      </c>
      <c r="M64" s="29" t="str">
        <f>IF(Analysis!$I64="","",IF(Analysis!$I64="Embedded",Analysis!$H64,""))</f>
        <v/>
      </c>
      <c r="N64" s="29" t="str">
        <f>IF(Analysis!$I64="","",IF(Analysis!$I64="Loyal but shallow",Analysis!$H64,""))</f>
        <v/>
      </c>
      <c r="O64" s="29" t="str">
        <f>IF(Analysis!$I64="","",IF(Analysis!$I64="Project-driven",Analysis!$H64,""))</f>
        <v/>
      </c>
      <c r="P64" s="29" t="str">
        <f>IF(Analysis!$I64="","",IF(Analysis!$I64="Drifting",Analysis!$H64,""))</f>
        <v/>
      </c>
    </row>
    <row r="65" spans="1:16" x14ac:dyDescent="0.25">
      <c r="A65" s="29" t="str">
        <f>IF(Analysis!$I65="","",IF(Analysis!$I65="Embedded",Analysis!$D65,""))</f>
        <v/>
      </c>
      <c r="B65" s="29" t="str">
        <f>IF(Analysis!$I65="","",IF(Analysis!$I65="Loyal but shallow",Analysis!$D65,""))</f>
        <v/>
      </c>
      <c r="C65" s="29" t="str">
        <f>IF(Analysis!$I65="","",IF(Analysis!$I65="Project-driven",Analysis!$D65,""))</f>
        <v/>
      </c>
      <c r="D65" s="29" t="str">
        <f>IF(Analysis!$I65="","",IF(Analysis!$I65="Drifting",Analysis!$D65,""))</f>
        <v/>
      </c>
      <c r="E65" s="29" t="str">
        <f>IF(Analysis!$I65="","",IF(Analysis!$I65="Embedded",Analysis!$C65,""))</f>
        <v/>
      </c>
      <c r="F65" s="29" t="str">
        <f>IF(Analysis!$I65="","",IF(Analysis!$I65="Loyal but shallow",Analysis!$C65,""))</f>
        <v/>
      </c>
      <c r="G65" s="29" t="str">
        <f>IF(Analysis!$I65="","",IF(Analysis!$I65="Project-driven",Analysis!$C65,""))</f>
        <v/>
      </c>
      <c r="H65" s="29" t="str">
        <f>IF(Analysis!$I65="","",IF(Analysis!$I65="Drifting",Analysis!$C65,""))</f>
        <v/>
      </c>
      <c r="I65" s="29" t="str">
        <f>IF(Analysis!$I65="","",IF(Analysis!$I65="Embedded",Analysis!$F65,""))</f>
        <v/>
      </c>
      <c r="J65" s="29" t="str">
        <f>IF(Analysis!$I65="","",IF(Analysis!$I65="Loyal but shallow",Analysis!$F65,""))</f>
        <v/>
      </c>
      <c r="K65" s="29" t="str">
        <f>IF(Analysis!$I65="","",IF(Analysis!$I65="Project-driven",Analysis!$F65,""))</f>
        <v/>
      </c>
      <c r="L65" s="29" t="str">
        <f>IF(Analysis!$I65="","",IF(Analysis!$I65="Drifting",Analysis!$F65,""))</f>
        <v/>
      </c>
      <c r="M65" s="29" t="str">
        <f>IF(Analysis!$I65="","",IF(Analysis!$I65="Embedded",Analysis!$H65,""))</f>
        <v/>
      </c>
      <c r="N65" s="29" t="str">
        <f>IF(Analysis!$I65="","",IF(Analysis!$I65="Loyal but shallow",Analysis!$H65,""))</f>
        <v/>
      </c>
      <c r="O65" s="29" t="str">
        <f>IF(Analysis!$I65="","",IF(Analysis!$I65="Project-driven",Analysis!$H65,""))</f>
        <v/>
      </c>
      <c r="P65" s="29" t="str">
        <f>IF(Analysis!$I65="","",IF(Analysis!$I65="Drifting",Analysis!$H65,""))</f>
        <v/>
      </c>
    </row>
    <row r="66" spans="1:16" x14ac:dyDescent="0.25">
      <c r="A66" s="29" t="str">
        <f>IF(Analysis!$I66="","",IF(Analysis!$I66="Embedded",Analysis!$D66,""))</f>
        <v/>
      </c>
      <c r="B66" s="29" t="str">
        <f>IF(Analysis!$I66="","",IF(Analysis!$I66="Loyal but shallow",Analysis!$D66,""))</f>
        <v/>
      </c>
      <c r="C66" s="29" t="str">
        <f>IF(Analysis!$I66="","",IF(Analysis!$I66="Project-driven",Analysis!$D66,""))</f>
        <v/>
      </c>
      <c r="D66" s="29" t="str">
        <f>IF(Analysis!$I66="","",IF(Analysis!$I66="Drifting",Analysis!$D66,""))</f>
        <v/>
      </c>
      <c r="E66" s="29" t="str">
        <f>IF(Analysis!$I66="","",IF(Analysis!$I66="Embedded",Analysis!$C66,""))</f>
        <v/>
      </c>
      <c r="F66" s="29" t="str">
        <f>IF(Analysis!$I66="","",IF(Analysis!$I66="Loyal but shallow",Analysis!$C66,""))</f>
        <v/>
      </c>
      <c r="G66" s="29" t="str">
        <f>IF(Analysis!$I66="","",IF(Analysis!$I66="Project-driven",Analysis!$C66,""))</f>
        <v/>
      </c>
      <c r="H66" s="29" t="str">
        <f>IF(Analysis!$I66="","",IF(Analysis!$I66="Drifting",Analysis!$C66,""))</f>
        <v/>
      </c>
      <c r="I66" s="29" t="str">
        <f>IF(Analysis!$I66="","",IF(Analysis!$I66="Embedded",Analysis!$F66,""))</f>
        <v/>
      </c>
      <c r="J66" s="29" t="str">
        <f>IF(Analysis!$I66="","",IF(Analysis!$I66="Loyal but shallow",Analysis!$F66,""))</f>
        <v/>
      </c>
      <c r="K66" s="29" t="str">
        <f>IF(Analysis!$I66="","",IF(Analysis!$I66="Project-driven",Analysis!$F66,""))</f>
        <v/>
      </c>
      <c r="L66" s="29" t="str">
        <f>IF(Analysis!$I66="","",IF(Analysis!$I66="Drifting",Analysis!$F66,""))</f>
        <v/>
      </c>
      <c r="M66" s="29" t="str">
        <f>IF(Analysis!$I66="","",IF(Analysis!$I66="Embedded",Analysis!$H66,""))</f>
        <v/>
      </c>
      <c r="N66" s="29" t="str">
        <f>IF(Analysis!$I66="","",IF(Analysis!$I66="Loyal but shallow",Analysis!$H66,""))</f>
        <v/>
      </c>
      <c r="O66" s="29" t="str">
        <f>IF(Analysis!$I66="","",IF(Analysis!$I66="Project-driven",Analysis!$H66,""))</f>
        <v/>
      </c>
      <c r="P66" s="29" t="str">
        <f>IF(Analysis!$I66="","",IF(Analysis!$I66="Drifting",Analysis!$H66,""))</f>
        <v/>
      </c>
    </row>
    <row r="67" spans="1:16" x14ac:dyDescent="0.25">
      <c r="A67" s="29" t="str">
        <f>IF(Analysis!$I67="","",IF(Analysis!$I67="Embedded",Analysis!$D67,""))</f>
        <v/>
      </c>
      <c r="B67" s="29" t="str">
        <f>IF(Analysis!$I67="","",IF(Analysis!$I67="Loyal but shallow",Analysis!$D67,""))</f>
        <v/>
      </c>
      <c r="C67" s="29" t="str">
        <f>IF(Analysis!$I67="","",IF(Analysis!$I67="Project-driven",Analysis!$D67,""))</f>
        <v/>
      </c>
      <c r="D67" s="29" t="str">
        <f>IF(Analysis!$I67="","",IF(Analysis!$I67="Drifting",Analysis!$D67,""))</f>
        <v/>
      </c>
      <c r="E67" s="29" t="str">
        <f>IF(Analysis!$I67="","",IF(Analysis!$I67="Embedded",Analysis!$C67,""))</f>
        <v/>
      </c>
      <c r="F67" s="29" t="str">
        <f>IF(Analysis!$I67="","",IF(Analysis!$I67="Loyal but shallow",Analysis!$C67,""))</f>
        <v/>
      </c>
      <c r="G67" s="29" t="str">
        <f>IF(Analysis!$I67="","",IF(Analysis!$I67="Project-driven",Analysis!$C67,""))</f>
        <v/>
      </c>
      <c r="H67" s="29" t="str">
        <f>IF(Analysis!$I67="","",IF(Analysis!$I67="Drifting",Analysis!$C67,""))</f>
        <v/>
      </c>
      <c r="I67" s="29" t="str">
        <f>IF(Analysis!$I67="","",IF(Analysis!$I67="Embedded",Analysis!$F67,""))</f>
        <v/>
      </c>
      <c r="J67" s="29" t="str">
        <f>IF(Analysis!$I67="","",IF(Analysis!$I67="Loyal but shallow",Analysis!$F67,""))</f>
        <v/>
      </c>
      <c r="K67" s="29" t="str">
        <f>IF(Analysis!$I67="","",IF(Analysis!$I67="Project-driven",Analysis!$F67,""))</f>
        <v/>
      </c>
      <c r="L67" s="29" t="str">
        <f>IF(Analysis!$I67="","",IF(Analysis!$I67="Drifting",Analysis!$F67,""))</f>
        <v/>
      </c>
      <c r="M67" s="29" t="str">
        <f>IF(Analysis!$I67="","",IF(Analysis!$I67="Embedded",Analysis!$H67,""))</f>
        <v/>
      </c>
      <c r="N67" s="29" t="str">
        <f>IF(Analysis!$I67="","",IF(Analysis!$I67="Loyal but shallow",Analysis!$H67,""))</f>
        <v/>
      </c>
      <c r="O67" s="29" t="str">
        <f>IF(Analysis!$I67="","",IF(Analysis!$I67="Project-driven",Analysis!$H67,""))</f>
        <v/>
      </c>
      <c r="P67" s="29" t="str">
        <f>IF(Analysis!$I67="","",IF(Analysis!$I67="Drifting",Analysis!$H67,""))</f>
        <v/>
      </c>
    </row>
    <row r="68" spans="1:16" x14ac:dyDescent="0.25">
      <c r="A68" s="29" t="str">
        <f>IF(Analysis!$I68="","",IF(Analysis!$I68="Embedded",Analysis!$D68,""))</f>
        <v/>
      </c>
      <c r="B68" s="29" t="str">
        <f>IF(Analysis!$I68="","",IF(Analysis!$I68="Loyal but shallow",Analysis!$D68,""))</f>
        <v/>
      </c>
      <c r="C68" s="29" t="str">
        <f>IF(Analysis!$I68="","",IF(Analysis!$I68="Project-driven",Analysis!$D68,""))</f>
        <v/>
      </c>
      <c r="D68" s="29" t="str">
        <f>IF(Analysis!$I68="","",IF(Analysis!$I68="Drifting",Analysis!$D68,""))</f>
        <v/>
      </c>
      <c r="E68" s="29" t="str">
        <f>IF(Analysis!$I68="","",IF(Analysis!$I68="Embedded",Analysis!$C68,""))</f>
        <v/>
      </c>
      <c r="F68" s="29" t="str">
        <f>IF(Analysis!$I68="","",IF(Analysis!$I68="Loyal but shallow",Analysis!$C68,""))</f>
        <v/>
      </c>
      <c r="G68" s="29" t="str">
        <f>IF(Analysis!$I68="","",IF(Analysis!$I68="Project-driven",Analysis!$C68,""))</f>
        <v/>
      </c>
      <c r="H68" s="29" t="str">
        <f>IF(Analysis!$I68="","",IF(Analysis!$I68="Drifting",Analysis!$C68,""))</f>
        <v/>
      </c>
      <c r="I68" s="29" t="str">
        <f>IF(Analysis!$I68="","",IF(Analysis!$I68="Embedded",Analysis!$F68,""))</f>
        <v/>
      </c>
      <c r="J68" s="29" t="str">
        <f>IF(Analysis!$I68="","",IF(Analysis!$I68="Loyal but shallow",Analysis!$F68,""))</f>
        <v/>
      </c>
      <c r="K68" s="29" t="str">
        <f>IF(Analysis!$I68="","",IF(Analysis!$I68="Project-driven",Analysis!$F68,""))</f>
        <v/>
      </c>
      <c r="L68" s="29" t="str">
        <f>IF(Analysis!$I68="","",IF(Analysis!$I68="Drifting",Analysis!$F68,""))</f>
        <v/>
      </c>
      <c r="M68" s="29" t="str">
        <f>IF(Analysis!$I68="","",IF(Analysis!$I68="Embedded",Analysis!$H68,""))</f>
        <v/>
      </c>
      <c r="N68" s="29" t="str">
        <f>IF(Analysis!$I68="","",IF(Analysis!$I68="Loyal but shallow",Analysis!$H68,""))</f>
        <v/>
      </c>
      <c r="O68" s="29" t="str">
        <f>IF(Analysis!$I68="","",IF(Analysis!$I68="Project-driven",Analysis!$H68,""))</f>
        <v/>
      </c>
      <c r="P68" s="29" t="str">
        <f>IF(Analysis!$I68="","",IF(Analysis!$I68="Drifting",Analysis!$H68,""))</f>
        <v/>
      </c>
    </row>
    <row r="69" spans="1:16" x14ac:dyDescent="0.25">
      <c r="A69" s="29" t="str">
        <f>IF(Analysis!$I69="","",IF(Analysis!$I69="Embedded",Analysis!$D69,""))</f>
        <v/>
      </c>
      <c r="B69" s="29" t="str">
        <f>IF(Analysis!$I69="","",IF(Analysis!$I69="Loyal but shallow",Analysis!$D69,""))</f>
        <v/>
      </c>
      <c r="C69" s="29" t="str">
        <f>IF(Analysis!$I69="","",IF(Analysis!$I69="Project-driven",Analysis!$D69,""))</f>
        <v/>
      </c>
      <c r="D69" s="29" t="str">
        <f>IF(Analysis!$I69="","",IF(Analysis!$I69="Drifting",Analysis!$D69,""))</f>
        <v/>
      </c>
      <c r="E69" s="29" t="str">
        <f>IF(Analysis!$I69="","",IF(Analysis!$I69="Embedded",Analysis!$C69,""))</f>
        <v/>
      </c>
      <c r="F69" s="29" t="str">
        <f>IF(Analysis!$I69="","",IF(Analysis!$I69="Loyal but shallow",Analysis!$C69,""))</f>
        <v/>
      </c>
      <c r="G69" s="29" t="str">
        <f>IF(Analysis!$I69="","",IF(Analysis!$I69="Project-driven",Analysis!$C69,""))</f>
        <v/>
      </c>
      <c r="H69" s="29" t="str">
        <f>IF(Analysis!$I69="","",IF(Analysis!$I69="Drifting",Analysis!$C69,""))</f>
        <v/>
      </c>
      <c r="I69" s="29" t="str">
        <f>IF(Analysis!$I69="","",IF(Analysis!$I69="Embedded",Analysis!$F69,""))</f>
        <v/>
      </c>
      <c r="J69" s="29" t="str">
        <f>IF(Analysis!$I69="","",IF(Analysis!$I69="Loyal but shallow",Analysis!$F69,""))</f>
        <v/>
      </c>
      <c r="K69" s="29" t="str">
        <f>IF(Analysis!$I69="","",IF(Analysis!$I69="Project-driven",Analysis!$F69,""))</f>
        <v/>
      </c>
      <c r="L69" s="29" t="str">
        <f>IF(Analysis!$I69="","",IF(Analysis!$I69="Drifting",Analysis!$F69,""))</f>
        <v/>
      </c>
      <c r="M69" s="29" t="str">
        <f>IF(Analysis!$I69="","",IF(Analysis!$I69="Embedded",Analysis!$H69,""))</f>
        <v/>
      </c>
      <c r="N69" s="29" t="str">
        <f>IF(Analysis!$I69="","",IF(Analysis!$I69="Loyal but shallow",Analysis!$H69,""))</f>
        <v/>
      </c>
      <c r="O69" s="29" t="str">
        <f>IF(Analysis!$I69="","",IF(Analysis!$I69="Project-driven",Analysis!$H69,""))</f>
        <v/>
      </c>
      <c r="P69" s="29" t="str">
        <f>IF(Analysis!$I69="","",IF(Analysis!$I69="Drifting",Analysis!$H69,""))</f>
        <v/>
      </c>
    </row>
    <row r="70" spans="1:16" x14ac:dyDescent="0.25">
      <c r="A70" s="29" t="str">
        <f>IF(Analysis!$I70="","",IF(Analysis!$I70="Embedded",Analysis!$D70,""))</f>
        <v/>
      </c>
      <c r="B70" s="29" t="str">
        <f>IF(Analysis!$I70="","",IF(Analysis!$I70="Loyal but shallow",Analysis!$D70,""))</f>
        <v/>
      </c>
      <c r="C70" s="29" t="str">
        <f>IF(Analysis!$I70="","",IF(Analysis!$I70="Project-driven",Analysis!$D70,""))</f>
        <v/>
      </c>
      <c r="D70" s="29" t="str">
        <f>IF(Analysis!$I70="","",IF(Analysis!$I70="Drifting",Analysis!$D70,""))</f>
        <v/>
      </c>
      <c r="E70" s="29" t="str">
        <f>IF(Analysis!$I70="","",IF(Analysis!$I70="Embedded",Analysis!$C70,""))</f>
        <v/>
      </c>
      <c r="F70" s="29" t="str">
        <f>IF(Analysis!$I70="","",IF(Analysis!$I70="Loyal but shallow",Analysis!$C70,""))</f>
        <v/>
      </c>
      <c r="G70" s="29" t="str">
        <f>IF(Analysis!$I70="","",IF(Analysis!$I70="Project-driven",Analysis!$C70,""))</f>
        <v/>
      </c>
      <c r="H70" s="29" t="str">
        <f>IF(Analysis!$I70="","",IF(Analysis!$I70="Drifting",Analysis!$C70,""))</f>
        <v/>
      </c>
      <c r="I70" s="29" t="str">
        <f>IF(Analysis!$I70="","",IF(Analysis!$I70="Embedded",Analysis!$F70,""))</f>
        <v/>
      </c>
      <c r="J70" s="29" t="str">
        <f>IF(Analysis!$I70="","",IF(Analysis!$I70="Loyal but shallow",Analysis!$F70,""))</f>
        <v/>
      </c>
      <c r="K70" s="29" t="str">
        <f>IF(Analysis!$I70="","",IF(Analysis!$I70="Project-driven",Analysis!$F70,""))</f>
        <v/>
      </c>
      <c r="L70" s="29" t="str">
        <f>IF(Analysis!$I70="","",IF(Analysis!$I70="Drifting",Analysis!$F70,""))</f>
        <v/>
      </c>
      <c r="M70" s="29" t="str">
        <f>IF(Analysis!$I70="","",IF(Analysis!$I70="Embedded",Analysis!$H70,""))</f>
        <v/>
      </c>
      <c r="N70" s="29" t="str">
        <f>IF(Analysis!$I70="","",IF(Analysis!$I70="Loyal but shallow",Analysis!$H70,""))</f>
        <v/>
      </c>
      <c r="O70" s="29" t="str">
        <f>IF(Analysis!$I70="","",IF(Analysis!$I70="Project-driven",Analysis!$H70,""))</f>
        <v/>
      </c>
      <c r="P70" s="29" t="str">
        <f>IF(Analysis!$I70="","",IF(Analysis!$I70="Drifting",Analysis!$H70,""))</f>
        <v/>
      </c>
    </row>
    <row r="71" spans="1:16" x14ac:dyDescent="0.25">
      <c r="A71" s="29" t="str">
        <f>IF(Analysis!$I71="","",IF(Analysis!$I71="Embedded",Analysis!$D71,""))</f>
        <v/>
      </c>
      <c r="B71" s="29" t="str">
        <f>IF(Analysis!$I71="","",IF(Analysis!$I71="Loyal but shallow",Analysis!$D71,""))</f>
        <v/>
      </c>
      <c r="C71" s="29" t="str">
        <f>IF(Analysis!$I71="","",IF(Analysis!$I71="Project-driven",Analysis!$D71,""))</f>
        <v/>
      </c>
      <c r="D71" s="29" t="str">
        <f>IF(Analysis!$I71="","",IF(Analysis!$I71="Drifting",Analysis!$D71,""))</f>
        <v/>
      </c>
      <c r="E71" s="29" t="str">
        <f>IF(Analysis!$I71="","",IF(Analysis!$I71="Embedded",Analysis!$C71,""))</f>
        <v/>
      </c>
      <c r="F71" s="29" t="str">
        <f>IF(Analysis!$I71="","",IF(Analysis!$I71="Loyal but shallow",Analysis!$C71,""))</f>
        <v/>
      </c>
      <c r="G71" s="29" t="str">
        <f>IF(Analysis!$I71="","",IF(Analysis!$I71="Project-driven",Analysis!$C71,""))</f>
        <v/>
      </c>
      <c r="H71" s="29" t="str">
        <f>IF(Analysis!$I71="","",IF(Analysis!$I71="Drifting",Analysis!$C71,""))</f>
        <v/>
      </c>
      <c r="I71" s="29" t="str">
        <f>IF(Analysis!$I71="","",IF(Analysis!$I71="Embedded",Analysis!$F71,""))</f>
        <v/>
      </c>
      <c r="J71" s="29" t="str">
        <f>IF(Analysis!$I71="","",IF(Analysis!$I71="Loyal but shallow",Analysis!$F71,""))</f>
        <v/>
      </c>
      <c r="K71" s="29" t="str">
        <f>IF(Analysis!$I71="","",IF(Analysis!$I71="Project-driven",Analysis!$F71,""))</f>
        <v/>
      </c>
      <c r="L71" s="29" t="str">
        <f>IF(Analysis!$I71="","",IF(Analysis!$I71="Drifting",Analysis!$F71,""))</f>
        <v/>
      </c>
      <c r="M71" s="29" t="str">
        <f>IF(Analysis!$I71="","",IF(Analysis!$I71="Embedded",Analysis!$H71,""))</f>
        <v/>
      </c>
      <c r="N71" s="29" t="str">
        <f>IF(Analysis!$I71="","",IF(Analysis!$I71="Loyal but shallow",Analysis!$H71,""))</f>
        <v/>
      </c>
      <c r="O71" s="29" t="str">
        <f>IF(Analysis!$I71="","",IF(Analysis!$I71="Project-driven",Analysis!$H71,""))</f>
        <v/>
      </c>
      <c r="P71" s="29" t="str">
        <f>IF(Analysis!$I71="","",IF(Analysis!$I71="Drifting",Analysis!$H71,""))</f>
        <v/>
      </c>
    </row>
    <row r="72" spans="1:16" x14ac:dyDescent="0.25">
      <c r="A72" s="29" t="str">
        <f>IF(Analysis!$I72="","",IF(Analysis!$I72="Embedded",Analysis!$D72,""))</f>
        <v/>
      </c>
      <c r="B72" s="29" t="str">
        <f>IF(Analysis!$I72="","",IF(Analysis!$I72="Loyal but shallow",Analysis!$D72,""))</f>
        <v/>
      </c>
      <c r="C72" s="29" t="str">
        <f>IF(Analysis!$I72="","",IF(Analysis!$I72="Project-driven",Analysis!$D72,""))</f>
        <v/>
      </c>
      <c r="D72" s="29" t="str">
        <f>IF(Analysis!$I72="","",IF(Analysis!$I72="Drifting",Analysis!$D72,""))</f>
        <v/>
      </c>
      <c r="E72" s="29" t="str">
        <f>IF(Analysis!$I72="","",IF(Analysis!$I72="Embedded",Analysis!$C72,""))</f>
        <v/>
      </c>
      <c r="F72" s="29" t="str">
        <f>IF(Analysis!$I72="","",IF(Analysis!$I72="Loyal but shallow",Analysis!$C72,""))</f>
        <v/>
      </c>
      <c r="G72" s="29" t="str">
        <f>IF(Analysis!$I72="","",IF(Analysis!$I72="Project-driven",Analysis!$C72,""))</f>
        <v/>
      </c>
      <c r="H72" s="29" t="str">
        <f>IF(Analysis!$I72="","",IF(Analysis!$I72="Drifting",Analysis!$C72,""))</f>
        <v/>
      </c>
      <c r="I72" s="29" t="str">
        <f>IF(Analysis!$I72="","",IF(Analysis!$I72="Embedded",Analysis!$F72,""))</f>
        <v/>
      </c>
      <c r="J72" s="29" t="str">
        <f>IF(Analysis!$I72="","",IF(Analysis!$I72="Loyal but shallow",Analysis!$F72,""))</f>
        <v/>
      </c>
      <c r="K72" s="29" t="str">
        <f>IF(Analysis!$I72="","",IF(Analysis!$I72="Project-driven",Analysis!$F72,""))</f>
        <v/>
      </c>
      <c r="L72" s="29" t="str">
        <f>IF(Analysis!$I72="","",IF(Analysis!$I72="Drifting",Analysis!$F72,""))</f>
        <v/>
      </c>
      <c r="M72" s="29" t="str">
        <f>IF(Analysis!$I72="","",IF(Analysis!$I72="Embedded",Analysis!$H72,""))</f>
        <v/>
      </c>
      <c r="N72" s="29" t="str">
        <f>IF(Analysis!$I72="","",IF(Analysis!$I72="Loyal but shallow",Analysis!$H72,""))</f>
        <v/>
      </c>
      <c r="O72" s="29" t="str">
        <f>IF(Analysis!$I72="","",IF(Analysis!$I72="Project-driven",Analysis!$H72,""))</f>
        <v/>
      </c>
      <c r="P72" s="29" t="str">
        <f>IF(Analysis!$I72="","",IF(Analysis!$I72="Drifting",Analysis!$H72,""))</f>
        <v/>
      </c>
    </row>
    <row r="73" spans="1:16" x14ac:dyDescent="0.25">
      <c r="A73" s="29" t="str">
        <f>IF(Analysis!$I73="","",IF(Analysis!$I73="Embedded",Analysis!$D73,""))</f>
        <v/>
      </c>
      <c r="B73" s="29" t="str">
        <f>IF(Analysis!$I73="","",IF(Analysis!$I73="Loyal but shallow",Analysis!$D73,""))</f>
        <v/>
      </c>
      <c r="C73" s="29" t="str">
        <f>IF(Analysis!$I73="","",IF(Analysis!$I73="Project-driven",Analysis!$D73,""))</f>
        <v/>
      </c>
      <c r="D73" s="29" t="str">
        <f>IF(Analysis!$I73="","",IF(Analysis!$I73="Drifting",Analysis!$D73,""))</f>
        <v/>
      </c>
      <c r="E73" s="29" t="str">
        <f>IF(Analysis!$I73="","",IF(Analysis!$I73="Embedded",Analysis!$C73,""))</f>
        <v/>
      </c>
      <c r="F73" s="29" t="str">
        <f>IF(Analysis!$I73="","",IF(Analysis!$I73="Loyal but shallow",Analysis!$C73,""))</f>
        <v/>
      </c>
      <c r="G73" s="29" t="str">
        <f>IF(Analysis!$I73="","",IF(Analysis!$I73="Project-driven",Analysis!$C73,""))</f>
        <v/>
      </c>
      <c r="H73" s="29" t="str">
        <f>IF(Analysis!$I73="","",IF(Analysis!$I73="Drifting",Analysis!$C73,""))</f>
        <v/>
      </c>
      <c r="I73" s="29" t="str">
        <f>IF(Analysis!$I73="","",IF(Analysis!$I73="Embedded",Analysis!$F73,""))</f>
        <v/>
      </c>
      <c r="J73" s="29" t="str">
        <f>IF(Analysis!$I73="","",IF(Analysis!$I73="Loyal but shallow",Analysis!$F73,""))</f>
        <v/>
      </c>
      <c r="K73" s="29" t="str">
        <f>IF(Analysis!$I73="","",IF(Analysis!$I73="Project-driven",Analysis!$F73,""))</f>
        <v/>
      </c>
      <c r="L73" s="29" t="str">
        <f>IF(Analysis!$I73="","",IF(Analysis!$I73="Drifting",Analysis!$F73,""))</f>
        <v/>
      </c>
      <c r="M73" s="29" t="str">
        <f>IF(Analysis!$I73="","",IF(Analysis!$I73="Embedded",Analysis!$H73,""))</f>
        <v/>
      </c>
      <c r="N73" s="29" t="str">
        <f>IF(Analysis!$I73="","",IF(Analysis!$I73="Loyal but shallow",Analysis!$H73,""))</f>
        <v/>
      </c>
      <c r="O73" s="29" t="str">
        <f>IF(Analysis!$I73="","",IF(Analysis!$I73="Project-driven",Analysis!$H73,""))</f>
        <v/>
      </c>
      <c r="P73" s="29" t="str">
        <f>IF(Analysis!$I73="","",IF(Analysis!$I73="Drifting",Analysis!$H73,""))</f>
        <v/>
      </c>
    </row>
    <row r="74" spans="1:16" x14ac:dyDescent="0.25">
      <c r="A74" s="29" t="str">
        <f>IF(Analysis!$I74="","",IF(Analysis!$I74="Embedded",Analysis!$D74,""))</f>
        <v/>
      </c>
      <c r="B74" s="29" t="str">
        <f>IF(Analysis!$I74="","",IF(Analysis!$I74="Loyal but shallow",Analysis!$D74,""))</f>
        <v/>
      </c>
      <c r="C74" s="29" t="str">
        <f>IF(Analysis!$I74="","",IF(Analysis!$I74="Project-driven",Analysis!$D74,""))</f>
        <v/>
      </c>
      <c r="D74" s="29" t="str">
        <f>IF(Analysis!$I74="","",IF(Analysis!$I74="Drifting",Analysis!$D74,""))</f>
        <v/>
      </c>
      <c r="E74" s="29" t="str">
        <f>IF(Analysis!$I74="","",IF(Analysis!$I74="Embedded",Analysis!$C74,""))</f>
        <v/>
      </c>
      <c r="F74" s="29" t="str">
        <f>IF(Analysis!$I74="","",IF(Analysis!$I74="Loyal but shallow",Analysis!$C74,""))</f>
        <v/>
      </c>
      <c r="G74" s="29" t="str">
        <f>IF(Analysis!$I74="","",IF(Analysis!$I74="Project-driven",Analysis!$C74,""))</f>
        <v/>
      </c>
      <c r="H74" s="29" t="str">
        <f>IF(Analysis!$I74="","",IF(Analysis!$I74="Drifting",Analysis!$C74,""))</f>
        <v/>
      </c>
      <c r="I74" s="29" t="str">
        <f>IF(Analysis!$I74="","",IF(Analysis!$I74="Embedded",Analysis!$F74,""))</f>
        <v/>
      </c>
      <c r="J74" s="29" t="str">
        <f>IF(Analysis!$I74="","",IF(Analysis!$I74="Loyal but shallow",Analysis!$F74,""))</f>
        <v/>
      </c>
      <c r="K74" s="29" t="str">
        <f>IF(Analysis!$I74="","",IF(Analysis!$I74="Project-driven",Analysis!$F74,""))</f>
        <v/>
      </c>
      <c r="L74" s="29" t="str">
        <f>IF(Analysis!$I74="","",IF(Analysis!$I74="Drifting",Analysis!$F74,""))</f>
        <v/>
      </c>
      <c r="M74" s="29" t="str">
        <f>IF(Analysis!$I74="","",IF(Analysis!$I74="Embedded",Analysis!$H74,""))</f>
        <v/>
      </c>
      <c r="N74" s="29" t="str">
        <f>IF(Analysis!$I74="","",IF(Analysis!$I74="Loyal but shallow",Analysis!$H74,""))</f>
        <v/>
      </c>
      <c r="O74" s="29" t="str">
        <f>IF(Analysis!$I74="","",IF(Analysis!$I74="Project-driven",Analysis!$H74,""))</f>
        <v/>
      </c>
      <c r="P74" s="29" t="str">
        <f>IF(Analysis!$I74="","",IF(Analysis!$I74="Drifting",Analysis!$H74,""))</f>
        <v/>
      </c>
    </row>
    <row r="75" spans="1:16" x14ac:dyDescent="0.25">
      <c r="A75" s="29" t="str">
        <f>IF(Analysis!$I75="","",IF(Analysis!$I75="Embedded",Analysis!$D75,""))</f>
        <v/>
      </c>
      <c r="B75" s="29" t="str">
        <f>IF(Analysis!$I75="","",IF(Analysis!$I75="Loyal but shallow",Analysis!$D75,""))</f>
        <v/>
      </c>
      <c r="C75" s="29" t="str">
        <f>IF(Analysis!$I75="","",IF(Analysis!$I75="Project-driven",Analysis!$D75,""))</f>
        <v/>
      </c>
      <c r="D75" s="29" t="str">
        <f>IF(Analysis!$I75="","",IF(Analysis!$I75="Drifting",Analysis!$D75,""))</f>
        <v/>
      </c>
      <c r="E75" s="29" t="str">
        <f>IF(Analysis!$I75="","",IF(Analysis!$I75="Embedded",Analysis!$C75,""))</f>
        <v/>
      </c>
      <c r="F75" s="29" t="str">
        <f>IF(Analysis!$I75="","",IF(Analysis!$I75="Loyal but shallow",Analysis!$C75,""))</f>
        <v/>
      </c>
      <c r="G75" s="29" t="str">
        <f>IF(Analysis!$I75="","",IF(Analysis!$I75="Project-driven",Analysis!$C75,""))</f>
        <v/>
      </c>
      <c r="H75" s="29" t="str">
        <f>IF(Analysis!$I75="","",IF(Analysis!$I75="Drifting",Analysis!$C75,""))</f>
        <v/>
      </c>
      <c r="I75" s="29" t="str">
        <f>IF(Analysis!$I75="","",IF(Analysis!$I75="Embedded",Analysis!$F75,""))</f>
        <v/>
      </c>
      <c r="J75" s="29" t="str">
        <f>IF(Analysis!$I75="","",IF(Analysis!$I75="Loyal but shallow",Analysis!$F75,""))</f>
        <v/>
      </c>
      <c r="K75" s="29" t="str">
        <f>IF(Analysis!$I75="","",IF(Analysis!$I75="Project-driven",Analysis!$F75,""))</f>
        <v/>
      </c>
      <c r="L75" s="29" t="str">
        <f>IF(Analysis!$I75="","",IF(Analysis!$I75="Drifting",Analysis!$F75,""))</f>
        <v/>
      </c>
      <c r="M75" s="29" t="str">
        <f>IF(Analysis!$I75="","",IF(Analysis!$I75="Embedded",Analysis!$H75,""))</f>
        <v/>
      </c>
      <c r="N75" s="29" t="str">
        <f>IF(Analysis!$I75="","",IF(Analysis!$I75="Loyal but shallow",Analysis!$H75,""))</f>
        <v/>
      </c>
      <c r="O75" s="29" t="str">
        <f>IF(Analysis!$I75="","",IF(Analysis!$I75="Project-driven",Analysis!$H75,""))</f>
        <v/>
      </c>
      <c r="P75" s="29" t="str">
        <f>IF(Analysis!$I75="","",IF(Analysis!$I75="Drifting",Analysis!$H75,""))</f>
        <v/>
      </c>
    </row>
    <row r="76" spans="1:16" x14ac:dyDescent="0.25">
      <c r="A76" s="29" t="str">
        <f>IF(Analysis!$I76="","",IF(Analysis!$I76="Embedded",Analysis!$D76,""))</f>
        <v/>
      </c>
      <c r="B76" s="29" t="str">
        <f>IF(Analysis!$I76="","",IF(Analysis!$I76="Loyal but shallow",Analysis!$D76,""))</f>
        <v/>
      </c>
      <c r="C76" s="29" t="str">
        <f>IF(Analysis!$I76="","",IF(Analysis!$I76="Project-driven",Analysis!$D76,""))</f>
        <v/>
      </c>
      <c r="D76" s="29" t="str">
        <f>IF(Analysis!$I76="","",IF(Analysis!$I76="Drifting",Analysis!$D76,""))</f>
        <v/>
      </c>
      <c r="E76" s="29" t="str">
        <f>IF(Analysis!$I76="","",IF(Analysis!$I76="Embedded",Analysis!$C76,""))</f>
        <v/>
      </c>
      <c r="F76" s="29" t="str">
        <f>IF(Analysis!$I76="","",IF(Analysis!$I76="Loyal but shallow",Analysis!$C76,""))</f>
        <v/>
      </c>
      <c r="G76" s="29" t="str">
        <f>IF(Analysis!$I76="","",IF(Analysis!$I76="Project-driven",Analysis!$C76,""))</f>
        <v/>
      </c>
      <c r="H76" s="29" t="str">
        <f>IF(Analysis!$I76="","",IF(Analysis!$I76="Drifting",Analysis!$C76,""))</f>
        <v/>
      </c>
      <c r="I76" s="29" t="str">
        <f>IF(Analysis!$I76="","",IF(Analysis!$I76="Embedded",Analysis!$F76,""))</f>
        <v/>
      </c>
      <c r="J76" s="29" t="str">
        <f>IF(Analysis!$I76="","",IF(Analysis!$I76="Loyal but shallow",Analysis!$F76,""))</f>
        <v/>
      </c>
      <c r="K76" s="29" t="str">
        <f>IF(Analysis!$I76="","",IF(Analysis!$I76="Project-driven",Analysis!$F76,""))</f>
        <v/>
      </c>
      <c r="L76" s="29" t="str">
        <f>IF(Analysis!$I76="","",IF(Analysis!$I76="Drifting",Analysis!$F76,""))</f>
        <v/>
      </c>
      <c r="M76" s="29" t="str">
        <f>IF(Analysis!$I76="","",IF(Analysis!$I76="Embedded",Analysis!$H76,""))</f>
        <v/>
      </c>
      <c r="N76" s="29" t="str">
        <f>IF(Analysis!$I76="","",IF(Analysis!$I76="Loyal but shallow",Analysis!$H76,""))</f>
        <v/>
      </c>
      <c r="O76" s="29" t="str">
        <f>IF(Analysis!$I76="","",IF(Analysis!$I76="Project-driven",Analysis!$H76,""))</f>
        <v/>
      </c>
      <c r="P76" s="29" t="str">
        <f>IF(Analysis!$I76="","",IF(Analysis!$I76="Drifting",Analysis!$H76,""))</f>
        <v/>
      </c>
    </row>
    <row r="77" spans="1:16" x14ac:dyDescent="0.25">
      <c r="A77" s="29" t="str">
        <f>IF(Analysis!$I77="","",IF(Analysis!$I77="Embedded",Analysis!$D77,""))</f>
        <v/>
      </c>
      <c r="B77" s="29" t="str">
        <f>IF(Analysis!$I77="","",IF(Analysis!$I77="Loyal but shallow",Analysis!$D77,""))</f>
        <v/>
      </c>
      <c r="C77" s="29" t="str">
        <f>IF(Analysis!$I77="","",IF(Analysis!$I77="Project-driven",Analysis!$D77,""))</f>
        <v/>
      </c>
      <c r="D77" s="29" t="str">
        <f>IF(Analysis!$I77="","",IF(Analysis!$I77="Drifting",Analysis!$D77,""))</f>
        <v/>
      </c>
      <c r="E77" s="29" t="str">
        <f>IF(Analysis!$I77="","",IF(Analysis!$I77="Embedded",Analysis!$C77,""))</f>
        <v/>
      </c>
      <c r="F77" s="29" t="str">
        <f>IF(Analysis!$I77="","",IF(Analysis!$I77="Loyal but shallow",Analysis!$C77,""))</f>
        <v/>
      </c>
      <c r="G77" s="29" t="str">
        <f>IF(Analysis!$I77="","",IF(Analysis!$I77="Project-driven",Analysis!$C77,""))</f>
        <v/>
      </c>
      <c r="H77" s="29" t="str">
        <f>IF(Analysis!$I77="","",IF(Analysis!$I77="Drifting",Analysis!$C77,""))</f>
        <v/>
      </c>
      <c r="I77" s="29" t="str">
        <f>IF(Analysis!$I77="","",IF(Analysis!$I77="Embedded",Analysis!$F77,""))</f>
        <v/>
      </c>
      <c r="J77" s="29" t="str">
        <f>IF(Analysis!$I77="","",IF(Analysis!$I77="Loyal but shallow",Analysis!$F77,""))</f>
        <v/>
      </c>
      <c r="K77" s="29" t="str">
        <f>IF(Analysis!$I77="","",IF(Analysis!$I77="Project-driven",Analysis!$F77,""))</f>
        <v/>
      </c>
      <c r="L77" s="29" t="str">
        <f>IF(Analysis!$I77="","",IF(Analysis!$I77="Drifting",Analysis!$F77,""))</f>
        <v/>
      </c>
      <c r="M77" s="29" t="str">
        <f>IF(Analysis!$I77="","",IF(Analysis!$I77="Embedded",Analysis!$H77,""))</f>
        <v/>
      </c>
      <c r="N77" s="29" t="str">
        <f>IF(Analysis!$I77="","",IF(Analysis!$I77="Loyal but shallow",Analysis!$H77,""))</f>
        <v/>
      </c>
      <c r="O77" s="29" t="str">
        <f>IF(Analysis!$I77="","",IF(Analysis!$I77="Project-driven",Analysis!$H77,""))</f>
        <v/>
      </c>
      <c r="P77" s="29" t="str">
        <f>IF(Analysis!$I77="","",IF(Analysis!$I77="Drifting",Analysis!$H77,""))</f>
        <v/>
      </c>
    </row>
    <row r="78" spans="1:16" x14ac:dyDescent="0.25">
      <c r="A78" s="29" t="str">
        <f>IF(Analysis!$I78="","",IF(Analysis!$I78="Embedded",Analysis!$D78,""))</f>
        <v/>
      </c>
      <c r="B78" s="29" t="str">
        <f>IF(Analysis!$I78="","",IF(Analysis!$I78="Loyal but shallow",Analysis!$D78,""))</f>
        <v/>
      </c>
      <c r="C78" s="29" t="str">
        <f>IF(Analysis!$I78="","",IF(Analysis!$I78="Project-driven",Analysis!$D78,""))</f>
        <v/>
      </c>
      <c r="D78" s="29" t="str">
        <f>IF(Analysis!$I78="","",IF(Analysis!$I78="Drifting",Analysis!$D78,""))</f>
        <v/>
      </c>
      <c r="E78" s="29" t="str">
        <f>IF(Analysis!$I78="","",IF(Analysis!$I78="Embedded",Analysis!$C78,""))</f>
        <v/>
      </c>
      <c r="F78" s="29" t="str">
        <f>IF(Analysis!$I78="","",IF(Analysis!$I78="Loyal but shallow",Analysis!$C78,""))</f>
        <v/>
      </c>
      <c r="G78" s="29" t="str">
        <f>IF(Analysis!$I78="","",IF(Analysis!$I78="Project-driven",Analysis!$C78,""))</f>
        <v/>
      </c>
      <c r="H78" s="29" t="str">
        <f>IF(Analysis!$I78="","",IF(Analysis!$I78="Drifting",Analysis!$C78,""))</f>
        <v/>
      </c>
      <c r="I78" s="29" t="str">
        <f>IF(Analysis!$I78="","",IF(Analysis!$I78="Embedded",Analysis!$F78,""))</f>
        <v/>
      </c>
      <c r="J78" s="29" t="str">
        <f>IF(Analysis!$I78="","",IF(Analysis!$I78="Loyal but shallow",Analysis!$F78,""))</f>
        <v/>
      </c>
      <c r="K78" s="29" t="str">
        <f>IF(Analysis!$I78="","",IF(Analysis!$I78="Project-driven",Analysis!$F78,""))</f>
        <v/>
      </c>
      <c r="L78" s="29" t="str">
        <f>IF(Analysis!$I78="","",IF(Analysis!$I78="Drifting",Analysis!$F78,""))</f>
        <v/>
      </c>
      <c r="M78" s="29" t="str">
        <f>IF(Analysis!$I78="","",IF(Analysis!$I78="Embedded",Analysis!$H78,""))</f>
        <v/>
      </c>
      <c r="N78" s="29" t="str">
        <f>IF(Analysis!$I78="","",IF(Analysis!$I78="Loyal but shallow",Analysis!$H78,""))</f>
        <v/>
      </c>
      <c r="O78" s="29" t="str">
        <f>IF(Analysis!$I78="","",IF(Analysis!$I78="Project-driven",Analysis!$H78,""))</f>
        <v/>
      </c>
      <c r="P78" s="29" t="str">
        <f>IF(Analysis!$I78="","",IF(Analysis!$I78="Drifting",Analysis!$H78,""))</f>
        <v/>
      </c>
    </row>
    <row r="79" spans="1:16" x14ac:dyDescent="0.25">
      <c r="A79" s="29" t="str">
        <f>IF(Analysis!$I79="","",IF(Analysis!$I79="Embedded",Analysis!$D79,""))</f>
        <v/>
      </c>
      <c r="B79" s="29" t="str">
        <f>IF(Analysis!$I79="","",IF(Analysis!$I79="Loyal but shallow",Analysis!$D79,""))</f>
        <v/>
      </c>
      <c r="C79" s="29" t="str">
        <f>IF(Analysis!$I79="","",IF(Analysis!$I79="Project-driven",Analysis!$D79,""))</f>
        <v/>
      </c>
      <c r="D79" s="29" t="str">
        <f>IF(Analysis!$I79="","",IF(Analysis!$I79="Drifting",Analysis!$D79,""))</f>
        <v/>
      </c>
      <c r="E79" s="29" t="str">
        <f>IF(Analysis!$I79="","",IF(Analysis!$I79="Embedded",Analysis!$C79,""))</f>
        <v/>
      </c>
      <c r="F79" s="29" t="str">
        <f>IF(Analysis!$I79="","",IF(Analysis!$I79="Loyal but shallow",Analysis!$C79,""))</f>
        <v/>
      </c>
      <c r="G79" s="29" t="str">
        <f>IF(Analysis!$I79="","",IF(Analysis!$I79="Project-driven",Analysis!$C79,""))</f>
        <v/>
      </c>
      <c r="H79" s="29" t="str">
        <f>IF(Analysis!$I79="","",IF(Analysis!$I79="Drifting",Analysis!$C79,""))</f>
        <v/>
      </c>
      <c r="I79" s="29" t="str">
        <f>IF(Analysis!$I79="","",IF(Analysis!$I79="Embedded",Analysis!$F79,""))</f>
        <v/>
      </c>
      <c r="J79" s="29" t="str">
        <f>IF(Analysis!$I79="","",IF(Analysis!$I79="Loyal but shallow",Analysis!$F79,""))</f>
        <v/>
      </c>
      <c r="K79" s="29" t="str">
        <f>IF(Analysis!$I79="","",IF(Analysis!$I79="Project-driven",Analysis!$F79,""))</f>
        <v/>
      </c>
      <c r="L79" s="29" t="str">
        <f>IF(Analysis!$I79="","",IF(Analysis!$I79="Drifting",Analysis!$F79,""))</f>
        <v/>
      </c>
      <c r="M79" s="29" t="str">
        <f>IF(Analysis!$I79="","",IF(Analysis!$I79="Embedded",Analysis!$H79,""))</f>
        <v/>
      </c>
      <c r="N79" s="29" t="str">
        <f>IF(Analysis!$I79="","",IF(Analysis!$I79="Loyal but shallow",Analysis!$H79,""))</f>
        <v/>
      </c>
      <c r="O79" s="29" t="str">
        <f>IF(Analysis!$I79="","",IF(Analysis!$I79="Project-driven",Analysis!$H79,""))</f>
        <v/>
      </c>
      <c r="P79" s="29" t="str">
        <f>IF(Analysis!$I79="","",IF(Analysis!$I79="Drifting",Analysis!$H79,""))</f>
        <v/>
      </c>
    </row>
    <row r="80" spans="1:16" x14ac:dyDescent="0.25">
      <c r="A80" s="29" t="str">
        <f>IF(Analysis!$I80="","",IF(Analysis!$I80="Embedded",Analysis!$D80,""))</f>
        <v/>
      </c>
      <c r="B80" s="29" t="str">
        <f>IF(Analysis!$I80="","",IF(Analysis!$I80="Loyal but shallow",Analysis!$D80,""))</f>
        <v/>
      </c>
      <c r="C80" s="29" t="str">
        <f>IF(Analysis!$I80="","",IF(Analysis!$I80="Project-driven",Analysis!$D80,""))</f>
        <v/>
      </c>
      <c r="D80" s="29" t="str">
        <f>IF(Analysis!$I80="","",IF(Analysis!$I80="Drifting",Analysis!$D80,""))</f>
        <v/>
      </c>
      <c r="E80" s="29" t="str">
        <f>IF(Analysis!$I80="","",IF(Analysis!$I80="Embedded",Analysis!$C80,""))</f>
        <v/>
      </c>
      <c r="F80" s="29" t="str">
        <f>IF(Analysis!$I80="","",IF(Analysis!$I80="Loyal but shallow",Analysis!$C80,""))</f>
        <v/>
      </c>
      <c r="G80" s="29" t="str">
        <f>IF(Analysis!$I80="","",IF(Analysis!$I80="Project-driven",Analysis!$C80,""))</f>
        <v/>
      </c>
      <c r="H80" s="29" t="str">
        <f>IF(Analysis!$I80="","",IF(Analysis!$I80="Drifting",Analysis!$C80,""))</f>
        <v/>
      </c>
      <c r="I80" s="29" t="str">
        <f>IF(Analysis!$I80="","",IF(Analysis!$I80="Embedded",Analysis!$F80,""))</f>
        <v/>
      </c>
      <c r="J80" s="29" t="str">
        <f>IF(Analysis!$I80="","",IF(Analysis!$I80="Loyal but shallow",Analysis!$F80,""))</f>
        <v/>
      </c>
      <c r="K80" s="29" t="str">
        <f>IF(Analysis!$I80="","",IF(Analysis!$I80="Project-driven",Analysis!$F80,""))</f>
        <v/>
      </c>
      <c r="L80" s="29" t="str">
        <f>IF(Analysis!$I80="","",IF(Analysis!$I80="Drifting",Analysis!$F80,""))</f>
        <v/>
      </c>
      <c r="M80" s="29" t="str">
        <f>IF(Analysis!$I80="","",IF(Analysis!$I80="Embedded",Analysis!$H80,""))</f>
        <v/>
      </c>
      <c r="N80" s="29" t="str">
        <f>IF(Analysis!$I80="","",IF(Analysis!$I80="Loyal but shallow",Analysis!$H80,""))</f>
        <v/>
      </c>
      <c r="O80" s="29" t="str">
        <f>IF(Analysis!$I80="","",IF(Analysis!$I80="Project-driven",Analysis!$H80,""))</f>
        <v/>
      </c>
      <c r="P80" s="29" t="str">
        <f>IF(Analysis!$I80="","",IF(Analysis!$I80="Drifting",Analysis!$H80,""))</f>
        <v/>
      </c>
    </row>
    <row r="81" spans="1:16" x14ac:dyDescent="0.25">
      <c r="A81" s="29" t="str">
        <f>IF(Analysis!$I81="","",IF(Analysis!$I81="Embedded",Analysis!$D81,""))</f>
        <v/>
      </c>
      <c r="B81" s="29" t="str">
        <f>IF(Analysis!$I81="","",IF(Analysis!$I81="Loyal but shallow",Analysis!$D81,""))</f>
        <v/>
      </c>
      <c r="C81" s="29" t="str">
        <f>IF(Analysis!$I81="","",IF(Analysis!$I81="Project-driven",Analysis!$D81,""))</f>
        <v/>
      </c>
      <c r="D81" s="29" t="str">
        <f>IF(Analysis!$I81="","",IF(Analysis!$I81="Drifting",Analysis!$D81,""))</f>
        <v/>
      </c>
      <c r="E81" s="29" t="str">
        <f>IF(Analysis!$I81="","",IF(Analysis!$I81="Embedded",Analysis!$C81,""))</f>
        <v/>
      </c>
      <c r="F81" s="29" t="str">
        <f>IF(Analysis!$I81="","",IF(Analysis!$I81="Loyal but shallow",Analysis!$C81,""))</f>
        <v/>
      </c>
      <c r="G81" s="29" t="str">
        <f>IF(Analysis!$I81="","",IF(Analysis!$I81="Project-driven",Analysis!$C81,""))</f>
        <v/>
      </c>
      <c r="H81" s="29" t="str">
        <f>IF(Analysis!$I81="","",IF(Analysis!$I81="Drifting",Analysis!$C81,""))</f>
        <v/>
      </c>
      <c r="I81" s="29" t="str">
        <f>IF(Analysis!$I81="","",IF(Analysis!$I81="Embedded",Analysis!$F81,""))</f>
        <v/>
      </c>
      <c r="J81" s="29" t="str">
        <f>IF(Analysis!$I81="","",IF(Analysis!$I81="Loyal but shallow",Analysis!$F81,""))</f>
        <v/>
      </c>
      <c r="K81" s="29" t="str">
        <f>IF(Analysis!$I81="","",IF(Analysis!$I81="Project-driven",Analysis!$F81,""))</f>
        <v/>
      </c>
      <c r="L81" s="29" t="str">
        <f>IF(Analysis!$I81="","",IF(Analysis!$I81="Drifting",Analysis!$F81,""))</f>
        <v/>
      </c>
      <c r="M81" s="29" t="str">
        <f>IF(Analysis!$I81="","",IF(Analysis!$I81="Embedded",Analysis!$H81,""))</f>
        <v/>
      </c>
      <c r="N81" s="29" t="str">
        <f>IF(Analysis!$I81="","",IF(Analysis!$I81="Loyal but shallow",Analysis!$H81,""))</f>
        <v/>
      </c>
      <c r="O81" s="29" t="str">
        <f>IF(Analysis!$I81="","",IF(Analysis!$I81="Project-driven",Analysis!$H81,""))</f>
        <v/>
      </c>
      <c r="P81" s="29" t="str">
        <f>IF(Analysis!$I81="","",IF(Analysis!$I81="Drifting",Analysis!$H81,""))</f>
        <v/>
      </c>
    </row>
    <row r="82" spans="1:16" x14ac:dyDescent="0.25">
      <c r="A82" s="29" t="str">
        <f>IF(Analysis!$I82="","",IF(Analysis!$I82="Embedded",Analysis!$D82,""))</f>
        <v/>
      </c>
      <c r="B82" s="29" t="str">
        <f>IF(Analysis!$I82="","",IF(Analysis!$I82="Loyal but shallow",Analysis!$D82,""))</f>
        <v/>
      </c>
      <c r="C82" s="29" t="str">
        <f>IF(Analysis!$I82="","",IF(Analysis!$I82="Project-driven",Analysis!$D82,""))</f>
        <v/>
      </c>
      <c r="D82" s="29" t="str">
        <f>IF(Analysis!$I82="","",IF(Analysis!$I82="Drifting",Analysis!$D82,""))</f>
        <v/>
      </c>
      <c r="E82" s="29" t="str">
        <f>IF(Analysis!$I82="","",IF(Analysis!$I82="Embedded",Analysis!$C82,""))</f>
        <v/>
      </c>
      <c r="F82" s="29" t="str">
        <f>IF(Analysis!$I82="","",IF(Analysis!$I82="Loyal but shallow",Analysis!$C82,""))</f>
        <v/>
      </c>
      <c r="G82" s="29" t="str">
        <f>IF(Analysis!$I82="","",IF(Analysis!$I82="Project-driven",Analysis!$C82,""))</f>
        <v/>
      </c>
      <c r="H82" s="29" t="str">
        <f>IF(Analysis!$I82="","",IF(Analysis!$I82="Drifting",Analysis!$C82,""))</f>
        <v/>
      </c>
      <c r="I82" s="29" t="str">
        <f>IF(Analysis!$I82="","",IF(Analysis!$I82="Embedded",Analysis!$F82,""))</f>
        <v/>
      </c>
      <c r="J82" s="29" t="str">
        <f>IF(Analysis!$I82="","",IF(Analysis!$I82="Loyal but shallow",Analysis!$F82,""))</f>
        <v/>
      </c>
      <c r="K82" s="29" t="str">
        <f>IF(Analysis!$I82="","",IF(Analysis!$I82="Project-driven",Analysis!$F82,""))</f>
        <v/>
      </c>
      <c r="L82" s="29" t="str">
        <f>IF(Analysis!$I82="","",IF(Analysis!$I82="Drifting",Analysis!$F82,""))</f>
        <v/>
      </c>
      <c r="M82" s="29" t="str">
        <f>IF(Analysis!$I82="","",IF(Analysis!$I82="Embedded",Analysis!$H82,""))</f>
        <v/>
      </c>
      <c r="N82" s="29" t="str">
        <f>IF(Analysis!$I82="","",IF(Analysis!$I82="Loyal but shallow",Analysis!$H82,""))</f>
        <v/>
      </c>
      <c r="O82" s="29" t="str">
        <f>IF(Analysis!$I82="","",IF(Analysis!$I82="Project-driven",Analysis!$H82,""))</f>
        <v/>
      </c>
      <c r="P82" s="29" t="str">
        <f>IF(Analysis!$I82="","",IF(Analysis!$I82="Drifting",Analysis!$H82,""))</f>
        <v/>
      </c>
    </row>
    <row r="83" spans="1:16" x14ac:dyDescent="0.25">
      <c r="A83" s="29" t="str">
        <f>IF(Analysis!$I83="","",IF(Analysis!$I83="Embedded",Analysis!$D83,""))</f>
        <v/>
      </c>
      <c r="B83" s="29" t="str">
        <f>IF(Analysis!$I83="","",IF(Analysis!$I83="Loyal but shallow",Analysis!$D83,""))</f>
        <v/>
      </c>
      <c r="C83" s="29" t="str">
        <f>IF(Analysis!$I83="","",IF(Analysis!$I83="Project-driven",Analysis!$D83,""))</f>
        <v/>
      </c>
      <c r="D83" s="29" t="str">
        <f>IF(Analysis!$I83="","",IF(Analysis!$I83="Drifting",Analysis!$D83,""))</f>
        <v/>
      </c>
      <c r="E83" s="29" t="str">
        <f>IF(Analysis!$I83="","",IF(Analysis!$I83="Embedded",Analysis!$C83,""))</f>
        <v/>
      </c>
      <c r="F83" s="29" t="str">
        <f>IF(Analysis!$I83="","",IF(Analysis!$I83="Loyal but shallow",Analysis!$C83,""))</f>
        <v/>
      </c>
      <c r="G83" s="29" t="str">
        <f>IF(Analysis!$I83="","",IF(Analysis!$I83="Project-driven",Analysis!$C83,""))</f>
        <v/>
      </c>
      <c r="H83" s="29" t="str">
        <f>IF(Analysis!$I83="","",IF(Analysis!$I83="Drifting",Analysis!$C83,""))</f>
        <v/>
      </c>
      <c r="I83" s="29" t="str">
        <f>IF(Analysis!$I83="","",IF(Analysis!$I83="Embedded",Analysis!$F83,""))</f>
        <v/>
      </c>
      <c r="J83" s="29" t="str">
        <f>IF(Analysis!$I83="","",IF(Analysis!$I83="Loyal but shallow",Analysis!$F83,""))</f>
        <v/>
      </c>
      <c r="K83" s="29" t="str">
        <f>IF(Analysis!$I83="","",IF(Analysis!$I83="Project-driven",Analysis!$F83,""))</f>
        <v/>
      </c>
      <c r="L83" s="29" t="str">
        <f>IF(Analysis!$I83="","",IF(Analysis!$I83="Drifting",Analysis!$F83,""))</f>
        <v/>
      </c>
      <c r="M83" s="29" t="str">
        <f>IF(Analysis!$I83="","",IF(Analysis!$I83="Embedded",Analysis!$H83,""))</f>
        <v/>
      </c>
      <c r="N83" s="29" t="str">
        <f>IF(Analysis!$I83="","",IF(Analysis!$I83="Loyal but shallow",Analysis!$H83,""))</f>
        <v/>
      </c>
      <c r="O83" s="29" t="str">
        <f>IF(Analysis!$I83="","",IF(Analysis!$I83="Project-driven",Analysis!$H83,""))</f>
        <v/>
      </c>
      <c r="P83" s="29" t="str">
        <f>IF(Analysis!$I83="","",IF(Analysis!$I83="Drifting",Analysis!$H83,""))</f>
        <v/>
      </c>
    </row>
    <row r="84" spans="1:16" x14ac:dyDescent="0.25">
      <c r="A84" s="29" t="str">
        <f>IF(Analysis!$I84="","",IF(Analysis!$I84="Embedded",Analysis!$D84,""))</f>
        <v/>
      </c>
      <c r="B84" s="29" t="str">
        <f>IF(Analysis!$I84="","",IF(Analysis!$I84="Loyal but shallow",Analysis!$D84,""))</f>
        <v/>
      </c>
      <c r="C84" s="29" t="str">
        <f>IF(Analysis!$I84="","",IF(Analysis!$I84="Project-driven",Analysis!$D84,""))</f>
        <v/>
      </c>
      <c r="D84" s="29" t="str">
        <f>IF(Analysis!$I84="","",IF(Analysis!$I84="Drifting",Analysis!$D84,""))</f>
        <v/>
      </c>
      <c r="E84" s="29" t="str">
        <f>IF(Analysis!$I84="","",IF(Analysis!$I84="Embedded",Analysis!$C84,""))</f>
        <v/>
      </c>
      <c r="F84" s="29" t="str">
        <f>IF(Analysis!$I84="","",IF(Analysis!$I84="Loyal but shallow",Analysis!$C84,""))</f>
        <v/>
      </c>
      <c r="G84" s="29" t="str">
        <f>IF(Analysis!$I84="","",IF(Analysis!$I84="Project-driven",Analysis!$C84,""))</f>
        <v/>
      </c>
      <c r="H84" s="29" t="str">
        <f>IF(Analysis!$I84="","",IF(Analysis!$I84="Drifting",Analysis!$C84,""))</f>
        <v/>
      </c>
      <c r="I84" s="29" t="str">
        <f>IF(Analysis!$I84="","",IF(Analysis!$I84="Embedded",Analysis!$F84,""))</f>
        <v/>
      </c>
      <c r="J84" s="29" t="str">
        <f>IF(Analysis!$I84="","",IF(Analysis!$I84="Loyal but shallow",Analysis!$F84,""))</f>
        <v/>
      </c>
      <c r="K84" s="29" t="str">
        <f>IF(Analysis!$I84="","",IF(Analysis!$I84="Project-driven",Analysis!$F84,""))</f>
        <v/>
      </c>
      <c r="L84" s="29" t="str">
        <f>IF(Analysis!$I84="","",IF(Analysis!$I84="Drifting",Analysis!$F84,""))</f>
        <v/>
      </c>
      <c r="M84" s="29" t="str">
        <f>IF(Analysis!$I84="","",IF(Analysis!$I84="Embedded",Analysis!$H84,""))</f>
        <v/>
      </c>
      <c r="N84" s="29" t="str">
        <f>IF(Analysis!$I84="","",IF(Analysis!$I84="Loyal but shallow",Analysis!$H84,""))</f>
        <v/>
      </c>
      <c r="O84" s="29" t="str">
        <f>IF(Analysis!$I84="","",IF(Analysis!$I84="Project-driven",Analysis!$H84,""))</f>
        <v/>
      </c>
      <c r="P84" s="29" t="str">
        <f>IF(Analysis!$I84="","",IF(Analysis!$I84="Drifting",Analysis!$H84,""))</f>
        <v/>
      </c>
    </row>
    <row r="85" spans="1:16" x14ac:dyDescent="0.25">
      <c r="A85" s="29" t="str">
        <f>IF(Analysis!$I85="","",IF(Analysis!$I85="Embedded",Analysis!$D85,""))</f>
        <v/>
      </c>
      <c r="B85" s="29" t="str">
        <f>IF(Analysis!$I85="","",IF(Analysis!$I85="Loyal but shallow",Analysis!$D85,""))</f>
        <v/>
      </c>
      <c r="C85" s="29" t="str">
        <f>IF(Analysis!$I85="","",IF(Analysis!$I85="Project-driven",Analysis!$D85,""))</f>
        <v/>
      </c>
      <c r="D85" s="29" t="str">
        <f>IF(Analysis!$I85="","",IF(Analysis!$I85="Drifting",Analysis!$D85,""))</f>
        <v/>
      </c>
      <c r="E85" s="29" t="str">
        <f>IF(Analysis!$I85="","",IF(Analysis!$I85="Embedded",Analysis!$C85,""))</f>
        <v/>
      </c>
      <c r="F85" s="29" t="str">
        <f>IF(Analysis!$I85="","",IF(Analysis!$I85="Loyal but shallow",Analysis!$C85,""))</f>
        <v/>
      </c>
      <c r="G85" s="29" t="str">
        <f>IF(Analysis!$I85="","",IF(Analysis!$I85="Project-driven",Analysis!$C85,""))</f>
        <v/>
      </c>
      <c r="H85" s="29" t="str">
        <f>IF(Analysis!$I85="","",IF(Analysis!$I85="Drifting",Analysis!$C85,""))</f>
        <v/>
      </c>
      <c r="I85" s="29" t="str">
        <f>IF(Analysis!$I85="","",IF(Analysis!$I85="Embedded",Analysis!$F85,""))</f>
        <v/>
      </c>
      <c r="J85" s="29" t="str">
        <f>IF(Analysis!$I85="","",IF(Analysis!$I85="Loyal but shallow",Analysis!$F85,""))</f>
        <v/>
      </c>
      <c r="K85" s="29" t="str">
        <f>IF(Analysis!$I85="","",IF(Analysis!$I85="Project-driven",Analysis!$F85,""))</f>
        <v/>
      </c>
      <c r="L85" s="29" t="str">
        <f>IF(Analysis!$I85="","",IF(Analysis!$I85="Drifting",Analysis!$F85,""))</f>
        <v/>
      </c>
      <c r="M85" s="29" t="str">
        <f>IF(Analysis!$I85="","",IF(Analysis!$I85="Embedded",Analysis!$H85,""))</f>
        <v/>
      </c>
      <c r="N85" s="29" t="str">
        <f>IF(Analysis!$I85="","",IF(Analysis!$I85="Loyal but shallow",Analysis!$H85,""))</f>
        <v/>
      </c>
      <c r="O85" s="29" t="str">
        <f>IF(Analysis!$I85="","",IF(Analysis!$I85="Project-driven",Analysis!$H85,""))</f>
        <v/>
      </c>
      <c r="P85" s="29" t="str">
        <f>IF(Analysis!$I85="","",IF(Analysis!$I85="Drifting",Analysis!$H85,""))</f>
        <v/>
      </c>
    </row>
    <row r="86" spans="1:16" x14ac:dyDescent="0.25">
      <c r="A86" s="29" t="str">
        <f>IF(Analysis!$I86="","",IF(Analysis!$I86="Embedded",Analysis!$D86,""))</f>
        <v/>
      </c>
      <c r="B86" s="29" t="str">
        <f>IF(Analysis!$I86="","",IF(Analysis!$I86="Loyal but shallow",Analysis!$D86,""))</f>
        <v/>
      </c>
      <c r="C86" s="29" t="str">
        <f>IF(Analysis!$I86="","",IF(Analysis!$I86="Project-driven",Analysis!$D86,""))</f>
        <v/>
      </c>
      <c r="D86" s="29" t="str">
        <f>IF(Analysis!$I86="","",IF(Analysis!$I86="Drifting",Analysis!$D86,""))</f>
        <v/>
      </c>
      <c r="E86" s="29" t="str">
        <f>IF(Analysis!$I86="","",IF(Analysis!$I86="Embedded",Analysis!$C86,""))</f>
        <v/>
      </c>
      <c r="F86" s="29" t="str">
        <f>IF(Analysis!$I86="","",IF(Analysis!$I86="Loyal but shallow",Analysis!$C86,""))</f>
        <v/>
      </c>
      <c r="G86" s="29" t="str">
        <f>IF(Analysis!$I86="","",IF(Analysis!$I86="Project-driven",Analysis!$C86,""))</f>
        <v/>
      </c>
      <c r="H86" s="29" t="str">
        <f>IF(Analysis!$I86="","",IF(Analysis!$I86="Drifting",Analysis!$C86,""))</f>
        <v/>
      </c>
      <c r="I86" s="29" t="str">
        <f>IF(Analysis!$I86="","",IF(Analysis!$I86="Embedded",Analysis!$F86,""))</f>
        <v/>
      </c>
      <c r="J86" s="29" t="str">
        <f>IF(Analysis!$I86="","",IF(Analysis!$I86="Loyal but shallow",Analysis!$F86,""))</f>
        <v/>
      </c>
      <c r="K86" s="29" t="str">
        <f>IF(Analysis!$I86="","",IF(Analysis!$I86="Project-driven",Analysis!$F86,""))</f>
        <v/>
      </c>
      <c r="L86" s="29" t="str">
        <f>IF(Analysis!$I86="","",IF(Analysis!$I86="Drifting",Analysis!$F86,""))</f>
        <v/>
      </c>
      <c r="M86" s="29" t="str">
        <f>IF(Analysis!$I86="","",IF(Analysis!$I86="Embedded",Analysis!$H86,""))</f>
        <v/>
      </c>
      <c r="N86" s="29" t="str">
        <f>IF(Analysis!$I86="","",IF(Analysis!$I86="Loyal but shallow",Analysis!$H86,""))</f>
        <v/>
      </c>
      <c r="O86" s="29" t="str">
        <f>IF(Analysis!$I86="","",IF(Analysis!$I86="Project-driven",Analysis!$H86,""))</f>
        <v/>
      </c>
      <c r="P86" s="29" t="str">
        <f>IF(Analysis!$I86="","",IF(Analysis!$I86="Drifting",Analysis!$H86,""))</f>
        <v/>
      </c>
    </row>
    <row r="87" spans="1:16" x14ac:dyDescent="0.25">
      <c r="A87" s="29" t="str">
        <f>IF(Analysis!$I87="","",IF(Analysis!$I87="Embedded",Analysis!$D87,""))</f>
        <v/>
      </c>
      <c r="B87" s="29" t="str">
        <f>IF(Analysis!$I87="","",IF(Analysis!$I87="Loyal but shallow",Analysis!$D87,""))</f>
        <v/>
      </c>
      <c r="C87" s="29" t="str">
        <f>IF(Analysis!$I87="","",IF(Analysis!$I87="Project-driven",Analysis!$D87,""))</f>
        <v/>
      </c>
      <c r="D87" s="29" t="str">
        <f>IF(Analysis!$I87="","",IF(Analysis!$I87="Drifting",Analysis!$D87,""))</f>
        <v/>
      </c>
      <c r="E87" s="29" t="str">
        <f>IF(Analysis!$I87="","",IF(Analysis!$I87="Embedded",Analysis!$C87,""))</f>
        <v/>
      </c>
      <c r="F87" s="29" t="str">
        <f>IF(Analysis!$I87="","",IF(Analysis!$I87="Loyal but shallow",Analysis!$C87,""))</f>
        <v/>
      </c>
      <c r="G87" s="29" t="str">
        <f>IF(Analysis!$I87="","",IF(Analysis!$I87="Project-driven",Analysis!$C87,""))</f>
        <v/>
      </c>
      <c r="H87" s="29" t="str">
        <f>IF(Analysis!$I87="","",IF(Analysis!$I87="Drifting",Analysis!$C87,""))</f>
        <v/>
      </c>
      <c r="I87" s="29" t="str">
        <f>IF(Analysis!$I87="","",IF(Analysis!$I87="Embedded",Analysis!$F87,""))</f>
        <v/>
      </c>
      <c r="J87" s="29" t="str">
        <f>IF(Analysis!$I87="","",IF(Analysis!$I87="Loyal but shallow",Analysis!$F87,""))</f>
        <v/>
      </c>
      <c r="K87" s="29" t="str">
        <f>IF(Analysis!$I87="","",IF(Analysis!$I87="Project-driven",Analysis!$F87,""))</f>
        <v/>
      </c>
      <c r="L87" s="29" t="str">
        <f>IF(Analysis!$I87="","",IF(Analysis!$I87="Drifting",Analysis!$F87,""))</f>
        <v/>
      </c>
      <c r="M87" s="29" t="str">
        <f>IF(Analysis!$I87="","",IF(Analysis!$I87="Embedded",Analysis!$H87,""))</f>
        <v/>
      </c>
      <c r="N87" s="29" t="str">
        <f>IF(Analysis!$I87="","",IF(Analysis!$I87="Loyal but shallow",Analysis!$H87,""))</f>
        <v/>
      </c>
      <c r="O87" s="29" t="str">
        <f>IF(Analysis!$I87="","",IF(Analysis!$I87="Project-driven",Analysis!$H87,""))</f>
        <v/>
      </c>
      <c r="P87" s="29" t="str">
        <f>IF(Analysis!$I87="","",IF(Analysis!$I87="Drifting",Analysis!$H87,""))</f>
        <v/>
      </c>
    </row>
    <row r="88" spans="1:16" x14ac:dyDescent="0.25">
      <c r="A88" s="29" t="str">
        <f>IF(Analysis!$I88="","",IF(Analysis!$I88="Embedded",Analysis!$D88,""))</f>
        <v/>
      </c>
      <c r="B88" s="29" t="str">
        <f>IF(Analysis!$I88="","",IF(Analysis!$I88="Loyal but shallow",Analysis!$D88,""))</f>
        <v/>
      </c>
      <c r="C88" s="29" t="str">
        <f>IF(Analysis!$I88="","",IF(Analysis!$I88="Project-driven",Analysis!$D88,""))</f>
        <v/>
      </c>
      <c r="D88" s="29" t="str">
        <f>IF(Analysis!$I88="","",IF(Analysis!$I88="Drifting",Analysis!$D88,""))</f>
        <v/>
      </c>
      <c r="E88" s="29" t="str">
        <f>IF(Analysis!$I88="","",IF(Analysis!$I88="Embedded",Analysis!$C88,""))</f>
        <v/>
      </c>
      <c r="F88" s="29" t="str">
        <f>IF(Analysis!$I88="","",IF(Analysis!$I88="Loyal but shallow",Analysis!$C88,""))</f>
        <v/>
      </c>
      <c r="G88" s="29" t="str">
        <f>IF(Analysis!$I88="","",IF(Analysis!$I88="Project-driven",Analysis!$C88,""))</f>
        <v/>
      </c>
      <c r="H88" s="29" t="str">
        <f>IF(Analysis!$I88="","",IF(Analysis!$I88="Drifting",Analysis!$C88,""))</f>
        <v/>
      </c>
      <c r="I88" s="29" t="str">
        <f>IF(Analysis!$I88="","",IF(Analysis!$I88="Embedded",Analysis!$F88,""))</f>
        <v/>
      </c>
      <c r="J88" s="29" t="str">
        <f>IF(Analysis!$I88="","",IF(Analysis!$I88="Loyal but shallow",Analysis!$F88,""))</f>
        <v/>
      </c>
      <c r="K88" s="29" t="str">
        <f>IF(Analysis!$I88="","",IF(Analysis!$I88="Project-driven",Analysis!$F88,""))</f>
        <v/>
      </c>
      <c r="L88" s="29" t="str">
        <f>IF(Analysis!$I88="","",IF(Analysis!$I88="Drifting",Analysis!$F88,""))</f>
        <v/>
      </c>
      <c r="M88" s="29" t="str">
        <f>IF(Analysis!$I88="","",IF(Analysis!$I88="Embedded",Analysis!$H88,""))</f>
        <v/>
      </c>
      <c r="N88" s="29" t="str">
        <f>IF(Analysis!$I88="","",IF(Analysis!$I88="Loyal but shallow",Analysis!$H88,""))</f>
        <v/>
      </c>
      <c r="O88" s="29" t="str">
        <f>IF(Analysis!$I88="","",IF(Analysis!$I88="Project-driven",Analysis!$H88,""))</f>
        <v/>
      </c>
      <c r="P88" s="29" t="str">
        <f>IF(Analysis!$I88="","",IF(Analysis!$I88="Drifting",Analysis!$H88,""))</f>
        <v/>
      </c>
    </row>
    <row r="89" spans="1:16" x14ac:dyDescent="0.25">
      <c r="A89" s="29" t="str">
        <f>IF(Analysis!$I89="","",IF(Analysis!$I89="Embedded",Analysis!$D89,""))</f>
        <v/>
      </c>
      <c r="B89" s="29" t="str">
        <f>IF(Analysis!$I89="","",IF(Analysis!$I89="Loyal but shallow",Analysis!$D89,""))</f>
        <v/>
      </c>
      <c r="C89" s="29" t="str">
        <f>IF(Analysis!$I89="","",IF(Analysis!$I89="Project-driven",Analysis!$D89,""))</f>
        <v/>
      </c>
      <c r="D89" s="29" t="str">
        <f>IF(Analysis!$I89="","",IF(Analysis!$I89="Drifting",Analysis!$D89,""))</f>
        <v/>
      </c>
      <c r="E89" s="29" t="str">
        <f>IF(Analysis!$I89="","",IF(Analysis!$I89="Embedded",Analysis!$C89,""))</f>
        <v/>
      </c>
      <c r="F89" s="29" t="str">
        <f>IF(Analysis!$I89="","",IF(Analysis!$I89="Loyal but shallow",Analysis!$C89,""))</f>
        <v/>
      </c>
      <c r="G89" s="29" t="str">
        <f>IF(Analysis!$I89="","",IF(Analysis!$I89="Project-driven",Analysis!$C89,""))</f>
        <v/>
      </c>
      <c r="H89" s="29" t="str">
        <f>IF(Analysis!$I89="","",IF(Analysis!$I89="Drifting",Analysis!$C89,""))</f>
        <v/>
      </c>
      <c r="I89" s="29" t="str">
        <f>IF(Analysis!$I89="","",IF(Analysis!$I89="Embedded",Analysis!$F89,""))</f>
        <v/>
      </c>
      <c r="J89" s="29" t="str">
        <f>IF(Analysis!$I89="","",IF(Analysis!$I89="Loyal but shallow",Analysis!$F89,""))</f>
        <v/>
      </c>
      <c r="K89" s="29" t="str">
        <f>IF(Analysis!$I89="","",IF(Analysis!$I89="Project-driven",Analysis!$F89,""))</f>
        <v/>
      </c>
      <c r="L89" s="29" t="str">
        <f>IF(Analysis!$I89="","",IF(Analysis!$I89="Drifting",Analysis!$F89,""))</f>
        <v/>
      </c>
      <c r="M89" s="29" t="str">
        <f>IF(Analysis!$I89="","",IF(Analysis!$I89="Embedded",Analysis!$H89,""))</f>
        <v/>
      </c>
      <c r="N89" s="29" t="str">
        <f>IF(Analysis!$I89="","",IF(Analysis!$I89="Loyal but shallow",Analysis!$H89,""))</f>
        <v/>
      </c>
      <c r="O89" s="29" t="str">
        <f>IF(Analysis!$I89="","",IF(Analysis!$I89="Project-driven",Analysis!$H89,""))</f>
        <v/>
      </c>
      <c r="P89" s="29" t="str">
        <f>IF(Analysis!$I89="","",IF(Analysis!$I89="Drifting",Analysis!$H89,""))</f>
        <v/>
      </c>
    </row>
    <row r="90" spans="1:16" x14ac:dyDescent="0.25">
      <c r="A90" s="29" t="str">
        <f>IF(Analysis!$I90="","",IF(Analysis!$I90="Embedded",Analysis!$D90,""))</f>
        <v/>
      </c>
      <c r="B90" s="29" t="str">
        <f>IF(Analysis!$I90="","",IF(Analysis!$I90="Loyal but shallow",Analysis!$D90,""))</f>
        <v/>
      </c>
      <c r="C90" s="29" t="str">
        <f>IF(Analysis!$I90="","",IF(Analysis!$I90="Project-driven",Analysis!$D90,""))</f>
        <v/>
      </c>
      <c r="D90" s="29" t="str">
        <f>IF(Analysis!$I90="","",IF(Analysis!$I90="Drifting",Analysis!$D90,""))</f>
        <v/>
      </c>
      <c r="E90" s="29" t="str">
        <f>IF(Analysis!$I90="","",IF(Analysis!$I90="Embedded",Analysis!$C90,""))</f>
        <v/>
      </c>
      <c r="F90" s="29" t="str">
        <f>IF(Analysis!$I90="","",IF(Analysis!$I90="Loyal but shallow",Analysis!$C90,""))</f>
        <v/>
      </c>
      <c r="G90" s="29" t="str">
        <f>IF(Analysis!$I90="","",IF(Analysis!$I90="Project-driven",Analysis!$C90,""))</f>
        <v/>
      </c>
      <c r="H90" s="29" t="str">
        <f>IF(Analysis!$I90="","",IF(Analysis!$I90="Drifting",Analysis!$C90,""))</f>
        <v/>
      </c>
      <c r="I90" s="29" t="str">
        <f>IF(Analysis!$I90="","",IF(Analysis!$I90="Embedded",Analysis!$F90,""))</f>
        <v/>
      </c>
      <c r="J90" s="29" t="str">
        <f>IF(Analysis!$I90="","",IF(Analysis!$I90="Loyal but shallow",Analysis!$F90,""))</f>
        <v/>
      </c>
      <c r="K90" s="29" t="str">
        <f>IF(Analysis!$I90="","",IF(Analysis!$I90="Project-driven",Analysis!$F90,""))</f>
        <v/>
      </c>
      <c r="L90" s="29" t="str">
        <f>IF(Analysis!$I90="","",IF(Analysis!$I90="Drifting",Analysis!$F90,""))</f>
        <v/>
      </c>
      <c r="M90" s="29" t="str">
        <f>IF(Analysis!$I90="","",IF(Analysis!$I90="Embedded",Analysis!$H90,""))</f>
        <v/>
      </c>
      <c r="N90" s="29" t="str">
        <f>IF(Analysis!$I90="","",IF(Analysis!$I90="Loyal but shallow",Analysis!$H90,""))</f>
        <v/>
      </c>
      <c r="O90" s="29" t="str">
        <f>IF(Analysis!$I90="","",IF(Analysis!$I90="Project-driven",Analysis!$H90,""))</f>
        <v/>
      </c>
      <c r="P90" s="29" t="str">
        <f>IF(Analysis!$I90="","",IF(Analysis!$I90="Drifting",Analysis!$H90,""))</f>
        <v/>
      </c>
    </row>
    <row r="91" spans="1:16" x14ac:dyDescent="0.25">
      <c r="A91" s="29" t="str">
        <f>IF(Analysis!$I91="","",IF(Analysis!$I91="Embedded",Analysis!$D91,""))</f>
        <v/>
      </c>
      <c r="B91" s="29" t="str">
        <f>IF(Analysis!$I91="","",IF(Analysis!$I91="Loyal but shallow",Analysis!$D91,""))</f>
        <v/>
      </c>
      <c r="C91" s="29" t="str">
        <f>IF(Analysis!$I91="","",IF(Analysis!$I91="Project-driven",Analysis!$D91,""))</f>
        <v/>
      </c>
      <c r="D91" s="29" t="str">
        <f>IF(Analysis!$I91="","",IF(Analysis!$I91="Drifting",Analysis!$D91,""))</f>
        <v/>
      </c>
      <c r="E91" s="29" t="str">
        <f>IF(Analysis!$I91="","",IF(Analysis!$I91="Embedded",Analysis!$C91,""))</f>
        <v/>
      </c>
      <c r="F91" s="29" t="str">
        <f>IF(Analysis!$I91="","",IF(Analysis!$I91="Loyal but shallow",Analysis!$C91,""))</f>
        <v/>
      </c>
      <c r="G91" s="29" t="str">
        <f>IF(Analysis!$I91="","",IF(Analysis!$I91="Project-driven",Analysis!$C91,""))</f>
        <v/>
      </c>
      <c r="H91" s="29" t="str">
        <f>IF(Analysis!$I91="","",IF(Analysis!$I91="Drifting",Analysis!$C91,""))</f>
        <v/>
      </c>
      <c r="I91" s="29" t="str">
        <f>IF(Analysis!$I91="","",IF(Analysis!$I91="Embedded",Analysis!$F91,""))</f>
        <v/>
      </c>
      <c r="J91" s="29" t="str">
        <f>IF(Analysis!$I91="","",IF(Analysis!$I91="Loyal but shallow",Analysis!$F91,""))</f>
        <v/>
      </c>
      <c r="K91" s="29" t="str">
        <f>IF(Analysis!$I91="","",IF(Analysis!$I91="Project-driven",Analysis!$F91,""))</f>
        <v/>
      </c>
      <c r="L91" s="29" t="str">
        <f>IF(Analysis!$I91="","",IF(Analysis!$I91="Drifting",Analysis!$F91,""))</f>
        <v/>
      </c>
      <c r="M91" s="29" t="str">
        <f>IF(Analysis!$I91="","",IF(Analysis!$I91="Embedded",Analysis!$H91,""))</f>
        <v/>
      </c>
      <c r="N91" s="29" t="str">
        <f>IF(Analysis!$I91="","",IF(Analysis!$I91="Loyal but shallow",Analysis!$H91,""))</f>
        <v/>
      </c>
      <c r="O91" s="29" t="str">
        <f>IF(Analysis!$I91="","",IF(Analysis!$I91="Project-driven",Analysis!$H91,""))</f>
        <v/>
      </c>
      <c r="P91" s="29" t="str">
        <f>IF(Analysis!$I91="","",IF(Analysis!$I91="Drifting",Analysis!$H91,""))</f>
        <v/>
      </c>
    </row>
    <row r="92" spans="1:16" x14ac:dyDescent="0.25">
      <c r="A92" s="29" t="str">
        <f>IF(Analysis!$I92="","",IF(Analysis!$I92="Embedded",Analysis!$D92,""))</f>
        <v/>
      </c>
      <c r="B92" s="29" t="str">
        <f>IF(Analysis!$I92="","",IF(Analysis!$I92="Loyal but shallow",Analysis!$D92,""))</f>
        <v/>
      </c>
      <c r="C92" s="29" t="str">
        <f>IF(Analysis!$I92="","",IF(Analysis!$I92="Project-driven",Analysis!$D92,""))</f>
        <v/>
      </c>
      <c r="D92" s="29" t="str">
        <f>IF(Analysis!$I92="","",IF(Analysis!$I92="Drifting",Analysis!$D92,""))</f>
        <v/>
      </c>
      <c r="E92" s="29" t="str">
        <f>IF(Analysis!$I92="","",IF(Analysis!$I92="Embedded",Analysis!$C92,""))</f>
        <v/>
      </c>
      <c r="F92" s="29" t="str">
        <f>IF(Analysis!$I92="","",IF(Analysis!$I92="Loyal but shallow",Analysis!$C92,""))</f>
        <v/>
      </c>
      <c r="G92" s="29" t="str">
        <f>IF(Analysis!$I92="","",IF(Analysis!$I92="Project-driven",Analysis!$C92,""))</f>
        <v/>
      </c>
      <c r="H92" s="29" t="str">
        <f>IF(Analysis!$I92="","",IF(Analysis!$I92="Drifting",Analysis!$C92,""))</f>
        <v/>
      </c>
      <c r="I92" s="29" t="str">
        <f>IF(Analysis!$I92="","",IF(Analysis!$I92="Embedded",Analysis!$F92,""))</f>
        <v/>
      </c>
      <c r="J92" s="29" t="str">
        <f>IF(Analysis!$I92="","",IF(Analysis!$I92="Loyal but shallow",Analysis!$F92,""))</f>
        <v/>
      </c>
      <c r="K92" s="29" t="str">
        <f>IF(Analysis!$I92="","",IF(Analysis!$I92="Project-driven",Analysis!$F92,""))</f>
        <v/>
      </c>
      <c r="L92" s="29" t="str">
        <f>IF(Analysis!$I92="","",IF(Analysis!$I92="Drifting",Analysis!$F92,""))</f>
        <v/>
      </c>
      <c r="M92" s="29" t="str">
        <f>IF(Analysis!$I92="","",IF(Analysis!$I92="Embedded",Analysis!$H92,""))</f>
        <v/>
      </c>
      <c r="N92" s="29" t="str">
        <f>IF(Analysis!$I92="","",IF(Analysis!$I92="Loyal but shallow",Analysis!$H92,""))</f>
        <v/>
      </c>
      <c r="O92" s="29" t="str">
        <f>IF(Analysis!$I92="","",IF(Analysis!$I92="Project-driven",Analysis!$H92,""))</f>
        <v/>
      </c>
      <c r="P92" s="29" t="str">
        <f>IF(Analysis!$I92="","",IF(Analysis!$I92="Drifting",Analysis!$H92,""))</f>
        <v/>
      </c>
    </row>
    <row r="93" spans="1:16" x14ac:dyDescent="0.25">
      <c r="A93" s="29" t="str">
        <f>IF(Analysis!$I93="","",IF(Analysis!$I93="Embedded",Analysis!$D93,""))</f>
        <v/>
      </c>
      <c r="B93" s="29" t="str">
        <f>IF(Analysis!$I93="","",IF(Analysis!$I93="Loyal but shallow",Analysis!$D93,""))</f>
        <v/>
      </c>
      <c r="C93" s="29" t="str">
        <f>IF(Analysis!$I93="","",IF(Analysis!$I93="Project-driven",Analysis!$D93,""))</f>
        <v/>
      </c>
      <c r="D93" s="29" t="str">
        <f>IF(Analysis!$I93="","",IF(Analysis!$I93="Drifting",Analysis!$D93,""))</f>
        <v/>
      </c>
      <c r="E93" s="29" t="str">
        <f>IF(Analysis!$I93="","",IF(Analysis!$I93="Embedded",Analysis!$C93,""))</f>
        <v/>
      </c>
      <c r="F93" s="29" t="str">
        <f>IF(Analysis!$I93="","",IF(Analysis!$I93="Loyal but shallow",Analysis!$C93,""))</f>
        <v/>
      </c>
      <c r="G93" s="29" t="str">
        <f>IF(Analysis!$I93="","",IF(Analysis!$I93="Project-driven",Analysis!$C93,""))</f>
        <v/>
      </c>
      <c r="H93" s="29" t="str">
        <f>IF(Analysis!$I93="","",IF(Analysis!$I93="Drifting",Analysis!$C93,""))</f>
        <v/>
      </c>
      <c r="I93" s="29" t="str">
        <f>IF(Analysis!$I93="","",IF(Analysis!$I93="Embedded",Analysis!$F93,""))</f>
        <v/>
      </c>
      <c r="J93" s="29" t="str">
        <f>IF(Analysis!$I93="","",IF(Analysis!$I93="Loyal but shallow",Analysis!$F93,""))</f>
        <v/>
      </c>
      <c r="K93" s="29" t="str">
        <f>IF(Analysis!$I93="","",IF(Analysis!$I93="Project-driven",Analysis!$F93,""))</f>
        <v/>
      </c>
      <c r="L93" s="29" t="str">
        <f>IF(Analysis!$I93="","",IF(Analysis!$I93="Drifting",Analysis!$F93,""))</f>
        <v/>
      </c>
      <c r="M93" s="29" t="str">
        <f>IF(Analysis!$I93="","",IF(Analysis!$I93="Embedded",Analysis!$H93,""))</f>
        <v/>
      </c>
      <c r="N93" s="29" t="str">
        <f>IF(Analysis!$I93="","",IF(Analysis!$I93="Loyal but shallow",Analysis!$H93,""))</f>
        <v/>
      </c>
      <c r="O93" s="29" t="str">
        <f>IF(Analysis!$I93="","",IF(Analysis!$I93="Project-driven",Analysis!$H93,""))</f>
        <v/>
      </c>
      <c r="P93" s="29" t="str">
        <f>IF(Analysis!$I93="","",IF(Analysis!$I93="Drifting",Analysis!$H93,""))</f>
        <v/>
      </c>
    </row>
    <row r="94" spans="1:16" x14ac:dyDescent="0.25">
      <c r="A94" s="29" t="str">
        <f>IF(Analysis!$I94="","",IF(Analysis!$I94="Embedded",Analysis!$D94,""))</f>
        <v/>
      </c>
      <c r="B94" s="29" t="str">
        <f>IF(Analysis!$I94="","",IF(Analysis!$I94="Loyal but shallow",Analysis!$D94,""))</f>
        <v/>
      </c>
      <c r="C94" s="29" t="str">
        <f>IF(Analysis!$I94="","",IF(Analysis!$I94="Project-driven",Analysis!$D94,""))</f>
        <v/>
      </c>
      <c r="D94" s="29" t="str">
        <f>IF(Analysis!$I94="","",IF(Analysis!$I94="Drifting",Analysis!$D94,""))</f>
        <v/>
      </c>
      <c r="E94" s="29" t="str">
        <f>IF(Analysis!$I94="","",IF(Analysis!$I94="Embedded",Analysis!$C94,""))</f>
        <v/>
      </c>
      <c r="F94" s="29" t="str">
        <f>IF(Analysis!$I94="","",IF(Analysis!$I94="Loyal but shallow",Analysis!$C94,""))</f>
        <v/>
      </c>
      <c r="G94" s="29" t="str">
        <f>IF(Analysis!$I94="","",IF(Analysis!$I94="Project-driven",Analysis!$C94,""))</f>
        <v/>
      </c>
      <c r="H94" s="29" t="str">
        <f>IF(Analysis!$I94="","",IF(Analysis!$I94="Drifting",Analysis!$C94,""))</f>
        <v/>
      </c>
      <c r="I94" s="29" t="str">
        <f>IF(Analysis!$I94="","",IF(Analysis!$I94="Embedded",Analysis!$F94,""))</f>
        <v/>
      </c>
      <c r="J94" s="29" t="str">
        <f>IF(Analysis!$I94="","",IF(Analysis!$I94="Loyal but shallow",Analysis!$F94,""))</f>
        <v/>
      </c>
      <c r="K94" s="29" t="str">
        <f>IF(Analysis!$I94="","",IF(Analysis!$I94="Project-driven",Analysis!$F94,""))</f>
        <v/>
      </c>
      <c r="L94" s="29" t="str">
        <f>IF(Analysis!$I94="","",IF(Analysis!$I94="Drifting",Analysis!$F94,""))</f>
        <v/>
      </c>
      <c r="M94" s="29" t="str">
        <f>IF(Analysis!$I94="","",IF(Analysis!$I94="Embedded",Analysis!$H94,""))</f>
        <v/>
      </c>
      <c r="N94" s="29" t="str">
        <f>IF(Analysis!$I94="","",IF(Analysis!$I94="Loyal but shallow",Analysis!$H94,""))</f>
        <v/>
      </c>
      <c r="O94" s="29" t="str">
        <f>IF(Analysis!$I94="","",IF(Analysis!$I94="Project-driven",Analysis!$H94,""))</f>
        <v/>
      </c>
      <c r="P94" s="29" t="str">
        <f>IF(Analysis!$I94="","",IF(Analysis!$I94="Drifting",Analysis!$H94,""))</f>
        <v/>
      </c>
    </row>
    <row r="95" spans="1:16" x14ac:dyDescent="0.25">
      <c r="A95" s="29" t="str">
        <f>IF(Analysis!$I95="","",IF(Analysis!$I95="Embedded",Analysis!$D95,""))</f>
        <v/>
      </c>
      <c r="B95" s="29" t="str">
        <f>IF(Analysis!$I95="","",IF(Analysis!$I95="Loyal but shallow",Analysis!$D95,""))</f>
        <v/>
      </c>
      <c r="C95" s="29" t="str">
        <f>IF(Analysis!$I95="","",IF(Analysis!$I95="Project-driven",Analysis!$D95,""))</f>
        <v/>
      </c>
      <c r="D95" s="29" t="str">
        <f>IF(Analysis!$I95="","",IF(Analysis!$I95="Drifting",Analysis!$D95,""))</f>
        <v/>
      </c>
      <c r="E95" s="29" t="str">
        <f>IF(Analysis!$I95="","",IF(Analysis!$I95="Embedded",Analysis!$C95,""))</f>
        <v/>
      </c>
      <c r="F95" s="29" t="str">
        <f>IF(Analysis!$I95="","",IF(Analysis!$I95="Loyal but shallow",Analysis!$C95,""))</f>
        <v/>
      </c>
      <c r="G95" s="29" t="str">
        <f>IF(Analysis!$I95="","",IF(Analysis!$I95="Project-driven",Analysis!$C95,""))</f>
        <v/>
      </c>
      <c r="H95" s="29" t="str">
        <f>IF(Analysis!$I95="","",IF(Analysis!$I95="Drifting",Analysis!$C95,""))</f>
        <v/>
      </c>
      <c r="I95" s="29" t="str">
        <f>IF(Analysis!$I95="","",IF(Analysis!$I95="Embedded",Analysis!$F95,""))</f>
        <v/>
      </c>
      <c r="J95" s="29" t="str">
        <f>IF(Analysis!$I95="","",IF(Analysis!$I95="Loyal but shallow",Analysis!$F95,""))</f>
        <v/>
      </c>
      <c r="K95" s="29" t="str">
        <f>IF(Analysis!$I95="","",IF(Analysis!$I95="Project-driven",Analysis!$F95,""))</f>
        <v/>
      </c>
      <c r="L95" s="29" t="str">
        <f>IF(Analysis!$I95="","",IF(Analysis!$I95="Drifting",Analysis!$F95,""))</f>
        <v/>
      </c>
      <c r="M95" s="29" t="str">
        <f>IF(Analysis!$I95="","",IF(Analysis!$I95="Embedded",Analysis!$H95,""))</f>
        <v/>
      </c>
      <c r="N95" s="29" t="str">
        <f>IF(Analysis!$I95="","",IF(Analysis!$I95="Loyal but shallow",Analysis!$H95,""))</f>
        <v/>
      </c>
      <c r="O95" s="29" t="str">
        <f>IF(Analysis!$I95="","",IF(Analysis!$I95="Project-driven",Analysis!$H95,""))</f>
        <v/>
      </c>
      <c r="P95" s="29" t="str">
        <f>IF(Analysis!$I95="","",IF(Analysis!$I95="Drifting",Analysis!$H95,""))</f>
        <v/>
      </c>
    </row>
    <row r="96" spans="1:16" x14ac:dyDescent="0.25">
      <c r="A96" s="29" t="str">
        <f>IF(Analysis!$I96="","",IF(Analysis!$I96="Embedded",Analysis!$D96,""))</f>
        <v/>
      </c>
      <c r="B96" s="29" t="str">
        <f>IF(Analysis!$I96="","",IF(Analysis!$I96="Loyal but shallow",Analysis!$D96,""))</f>
        <v/>
      </c>
      <c r="C96" s="29" t="str">
        <f>IF(Analysis!$I96="","",IF(Analysis!$I96="Project-driven",Analysis!$D96,""))</f>
        <v/>
      </c>
      <c r="D96" s="29" t="str">
        <f>IF(Analysis!$I96="","",IF(Analysis!$I96="Drifting",Analysis!$D96,""))</f>
        <v/>
      </c>
      <c r="E96" s="29" t="str">
        <f>IF(Analysis!$I96="","",IF(Analysis!$I96="Embedded",Analysis!$C96,""))</f>
        <v/>
      </c>
      <c r="F96" s="29" t="str">
        <f>IF(Analysis!$I96="","",IF(Analysis!$I96="Loyal but shallow",Analysis!$C96,""))</f>
        <v/>
      </c>
      <c r="G96" s="29" t="str">
        <f>IF(Analysis!$I96="","",IF(Analysis!$I96="Project-driven",Analysis!$C96,""))</f>
        <v/>
      </c>
      <c r="H96" s="29" t="str">
        <f>IF(Analysis!$I96="","",IF(Analysis!$I96="Drifting",Analysis!$C96,""))</f>
        <v/>
      </c>
      <c r="I96" s="29" t="str">
        <f>IF(Analysis!$I96="","",IF(Analysis!$I96="Embedded",Analysis!$F96,""))</f>
        <v/>
      </c>
      <c r="J96" s="29" t="str">
        <f>IF(Analysis!$I96="","",IF(Analysis!$I96="Loyal but shallow",Analysis!$F96,""))</f>
        <v/>
      </c>
      <c r="K96" s="29" t="str">
        <f>IF(Analysis!$I96="","",IF(Analysis!$I96="Project-driven",Analysis!$F96,""))</f>
        <v/>
      </c>
      <c r="L96" s="29" t="str">
        <f>IF(Analysis!$I96="","",IF(Analysis!$I96="Drifting",Analysis!$F96,""))</f>
        <v/>
      </c>
      <c r="M96" s="29" t="str">
        <f>IF(Analysis!$I96="","",IF(Analysis!$I96="Embedded",Analysis!$H96,""))</f>
        <v/>
      </c>
      <c r="N96" s="29" t="str">
        <f>IF(Analysis!$I96="","",IF(Analysis!$I96="Loyal but shallow",Analysis!$H96,""))</f>
        <v/>
      </c>
      <c r="O96" s="29" t="str">
        <f>IF(Analysis!$I96="","",IF(Analysis!$I96="Project-driven",Analysis!$H96,""))</f>
        <v/>
      </c>
      <c r="P96" s="29" t="str">
        <f>IF(Analysis!$I96="","",IF(Analysis!$I96="Drifting",Analysis!$H96,""))</f>
        <v/>
      </c>
    </row>
    <row r="97" spans="1:16" x14ac:dyDescent="0.25">
      <c r="A97" s="29" t="str">
        <f>IF(Analysis!$I97="","",IF(Analysis!$I97="Embedded",Analysis!$D97,""))</f>
        <v/>
      </c>
      <c r="B97" s="29" t="str">
        <f>IF(Analysis!$I97="","",IF(Analysis!$I97="Loyal but shallow",Analysis!$D97,""))</f>
        <v/>
      </c>
      <c r="C97" s="29" t="str">
        <f>IF(Analysis!$I97="","",IF(Analysis!$I97="Project-driven",Analysis!$D97,""))</f>
        <v/>
      </c>
      <c r="D97" s="29" t="str">
        <f>IF(Analysis!$I97="","",IF(Analysis!$I97="Drifting",Analysis!$D97,""))</f>
        <v/>
      </c>
      <c r="E97" s="29" t="str">
        <f>IF(Analysis!$I97="","",IF(Analysis!$I97="Embedded",Analysis!$C97,""))</f>
        <v/>
      </c>
      <c r="F97" s="29" t="str">
        <f>IF(Analysis!$I97="","",IF(Analysis!$I97="Loyal but shallow",Analysis!$C97,""))</f>
        <v/>
      </c>
      <c r="G97" s="29" t="str">
        <f>IF(Analysis!$I97="","",IF(Analysis!$I97="Project-driven",Analysis!$C97,""))</f>
        <v/>
      </c>
      <c r="H97" s="29" t="str">
        <f>IF(Analysis!$I97="","",IF(Analysis!$I97="Drifting",Analysis!$C97,""))</f>
        <v/>
      </c>
      <c r="I97" s="29" t="str">
        <f>IF(Analysis!$I97="","",IF(Analysis!$I97="Embedded",Analysis!$F97,""))</f>
        <v/>
      </c>
      <c r="J97" s="29" t="str">
        <f>IF(Analysis!$I97="","",IF(Analysis!$I97="Loyal but shallow",Analysis!$F97,""))</f>
        <v/>
      </c>
      <c r="K97" s="29" t="str">
        <f>IF(Analysis!$I97="","",IF(Analysis!$I97="Project-driven",Analysis!$F97,""))</f>
        <v/>
      </c>
      <c r="L97" s="29" t="str">
        <f>IF(Analysis!$I97="","",IF(Analysis!$I97="Drifting",Analysis!$F97,""))</f>
        <v/>
      </c>
      <c r="M97" s="29" t="str">
        <f>IF(Analysis!$I97="","",IF(Analysis!$I97="Embedded",Analysis!$H97,""))</f>
        <v/>
      </c>
      <c r="N97" s="29" t="str">
        <f>IF(Analysis!$I97="","",IF(Analysis!$I97="Loyal but shallow",Analysis!$H97,""))</f>
        <v/>
      </c>
      <c r="O97" s="29" t="str">
        <f>IF(Analysis!$I97="","",IF(Analysis!$I97="Project-driven",Analysis!$H97,""))</f>
        <v/>
      </c>
      <c r="P97" s="29" t="str">
        <f>IF(Analysis!$I97="","",IF(Analysis!$I97="Drifting",Analysis!$H97,""))</f>
        <v/>
      </c>
    </row>
    <row r="98" spans="1:16" x14ac:dyDescent="0.25">
      <c r="A98" s="29" t="str">
        <f>IF(Analysis!$I98="","",IF(Analysis!$I98="Embedded",Analysis!$D98,""))</f>
        <v/>
      </c>
      <c r="B98" s="29" t="str">
        <f>IF(Analysis!$I98="","",IF(Analysis!$I98="Loyal but shallow",Analysis!$D98,""))</f>
        <v/>
      </c>
      <c r="C98" s="29" t="str">
        <f>IF(Analysis!$I98="","",IF(Analysis!$I98="Project-driven",Analysis!$D98,""))</f>
        <v/>
      </c>
      <c r="D98" s="29" t="str">
        <f>IF(Analysis!$I98="","",IF(Analysis!$I98="Drifting",Analysis!$D98,""))</f>
        <v/>
      </c>
      <c r="E98" s="29" t="str">
        <f>IF(Analysis!$I98="","",IF(Analysis!$I98="Embedded",Analysis!$C98,""))</f>
        <v/>
      </c>
      <c r="F98" s="29" t="str">
        <f>IF(Analysis!$I98="","",IF(Analysis!$I98="Loyal but shallow",Analysis!$C98,""))</f>
        <v/>
      </c>
      <c r="G98" s="29" t="str">
        <f>IF(Analysis!$I98="","",IF(Analysis!$I98="Project-driven",Analysis!$C98,""))</f>
        <v/>
      </c>
      <c r="H98" s="29" t="str">
        <f>IF(Analysis!$I98="","",IF(Analysis!$I98="Drifting",Analysis!$C98,""))</f>
        <v/>
      </c>
      <c r="I98" s="29" t="str">
        <f>IF(Analysis!$I98="","",IF(Analysis!$I98="Embedded",Analysis!$F98,""))</f>
        <v/>
      </c>
      <c r="J98" s="29" t="str">
        <f>IF(Analysis!$I98="","",IF(Analysis!$I98="Loyal but shallow",Analysis!$F98,""))</f>
        <v/>
      </c>
      <c r="K98" s="29" t="str">
        <f>IF(Analysis!$I98="","",IF(Analysis!$I98="Project-driven",Analysis!$F98,""))</f>
        <v/>
      </c>
      <c r="L98" s="29" t="str">
        <f>IF(Analysis!$I98="","",IF(Analysis!$I98="Drifting",Analysis!$F98,""))</f>
        <v/>
      </c>
      <c r="M98" s="29" t="str">
        <f>IF(Analysis!$I98="","",IF(Analysis!$I98="Embedded",Analysis!$H98,""))</f>
        <v/>
      </c>
      <c r="N98" s="29" t="str">
        <f>IF(Analysis!$I98="","",IF(Analysis!$I98="Loyal but shallow",Analysis!$H98,""))</f>
        <v/>
      </c>
      <c r="O98" s="29" t="str">
        <f>IF(Analysis!$I98="","",IF(Analysis!$I98="Project-driven",Analysis!$H98,""))</f>
        <v/>
      </c>
      <c r="P98" s="29" t="str">
        <f>IF(Analysis!$I98="","",IF(Analysis!$I98="Drifting",Analysis!$H98,""))</f>
        <v/>
      </c>
    </row>
    <row r="99" spans="1:16" x14ac:dyDescent="0.25">
      <c r="A99" s="29" t="str">
        <f>IF(Analysis!$I99="","",IF(Analysis!$I99="Embedded",Analysis!$D99,""))</f>
        <v/>
      </c>
      <c r="B99" s="29" t="str">
        <f>IF(Analysis!$I99="","",IF(Analysis!$I99="Loyal but shallow",Analysis!$D99,""))</f>
        <v/>
      </c>
      <c r="C99" s="29" t="str">
        <f>IF(Analysis!$I99="","",IF(Analysis!$I99="Project-driven",Analysis!$D99,""))</f>
        <v/>
      </c>
      <c r="D99" s="29" t="str">
        <f>IF(Analysis!$I99="","",IF(Analysis!$I99="Drifting",Analysis!$D99,""))</f>
        <v/>
      </c>
      <c r="E99" s="29" t="str">
        <f>IF(Analysis!$I99="","",IF(Analysis!$I99="Embedded",Analysis!$C99,""))</f>
        <v/>
      </c>
      <c r="F99" s="29" t="str">
        <f>IF(Analysis!$I99="","",IF(Analysis!$I99="Loyal but shallow",Analysis!$C99,""))</f>
        <v/>
      </c>
      <c r="G99" s="29" t="str">
        <f>IF(Analysis!$I99="","",IF(Analysis!$I99="Project-driven",Analysis!$C99,""))</f>
        <v/>
      </c>
      <c r="H99" s="29" t="str">
        <f>IF(Analysis!$I99="","",IF(Analysis!$I99="Drifting",Analysis!$C99,""))</f>
        <v/>
      </c>
      <c r="I99" s="29" t="str">
        <f>IF(Analysis!$I99="","",IF(Analysis!$I99="Embedded",Analysis!$F99,""))</f>
        <v/>
      </c>
      <c r="J99" s="29" t="str">
        <f>IF(Analysis!$I99="","",IF(Analysis!$I99="Loyal but shallow",Analysis!$F99,""))</f>
        <v/>
      </c>
      <c r="K99" s="29" t="str">
        <f>IF(Analysis!$I99="","",IF(Analysis!$I99="Project-driven",Analysis!$F99,""))</f>
        <v/>
      </c>
      <c r="L99" s="29" t="str">
        <f>IF(Analysis!$I99="","",IF(Analysis!$I99="Drifting",Analysis!$F99,""))</f>
        <v/>
      </c>
      <c r="M99" s="29" t="str">
        <f>IF(Analysis!$I99="","",IF(Analysis!$I99="Embedded",Analysis!$H99,""))</f>
        <v/>
      </c>
      <c r="N99" s="29" t="str">
        <f>IF(Analysis!$I99="","",IF(Analysis!$I99="Loyal but shallow",Analysis!$H99,""))</f>
        <v/>
      </c>
      <c r="O99" s="29" t="str">
        <f>IF(Analysis!$I99="","",IF(Analysis!$I99="Project-driven",Analysis!$H99,""))</f>
        <v/>
      </c>
      <c r="P99" s="29" t="str">
        <f>IF(Analysis!$I99="","",IF(Analysis!$I99="Drifting",Analysis!$H99,""))</f>
        <v/>
      </c>
    </row>
    <row r="100" spans="1:16" x14ac:dyDescent="0.25">
      <c r="A100" s="29" t="str">
        <f>IF(Analysis!$I100="","",IF(Analysis!$I100="Embedded",Analysis!$D100,""))</f>
        <v/>
      </c>
      <c r="B100" s="29" t="str">
        <f>IF(Analysis!$I100="","",IF(Analysis!$I100="Loyal but shallow",Analysis!$D100,""))</f>
        <v/>
      </c>
      <c r="C100" s="29" t="str">
        <f>IF(Analysis!$I100="","",IF(Analysis!$I100="Project-driven",Analysis!$D100,""))</f>
        <v/>
      </c>
      <c r="D100" s="29" t="str">
        <f>IF(Analysis!$I100="","",IF(Analysis!$I100="Drifting",Analysis!$D100,""))</f>
        <v/>
      </c>
      <c r="E100" s="29" t="str">
        <f>IF(Analysis!$I100="","",IF(Analysis!$I100="Embedded",Analysis!$C100,""))</f>
        <v/>
      </c>
      <c r="F100" s="29" t="str">
        <f>IF(Analysis!$I100="","",IF(Analysis!$I100="Loyal but shallow",Analysis!$C100,""))</f>
        <v/>
      </c>
      <c r="G100" s="29" t="str">
        <f>IF(Analysis!$I100="","",IF(Analysis!$I100="Project-driven",Analysis!$C100,""))</f>
        <v/>
      </c>
      <c r="H100" s="29" t="str">
        <f>IF(Analysis!$I100="","",IF(Analysis!$I100="Drifting",Analysis!$C100,""))</f>
        <v/>
      </c>
      <c r="I100" s="29" t="str">
        <f>IF(Analysis!$I100="","",IF(Analysis!$I100="Embedded",Analysis!$F100,""))</f>
        <v/>
      </c>
      <c r="J100" s="29" t="str">
        <f>IF(Analysis!$I100="","",IF(Analysis!$I100="Loyal but shallow",Analysis!$F100,""))</f>
        <v/>
      </c>
      <c r="K100" s="29" t="str">
        <f>IF(Analysis!$I100="","",IF(Analysis!$I100="Project-driven",Analysis!$F100,""))</f>
        <v/>
      </c>
      <c r="L100" s="29" t="str">
        <f>IF(Analysis!$I100="","",IF(Analysis!$I100="Drifting",Analysis!$F100,""))</f>
        <v/>
      </c>
      <c r="M100" s="29" t="str">
        <f>IF(Analysis!$I100="","",IF(Analysis!$I100="Embedded",Analysis!$H100,""))</f>
        <v/>
      </c>
      <c r="N100" s="29" t="str">
        <f>IF(Analysis!$I100="","",IF(Analysis!$I100="Loyal but shallow",Analysis!$H100,""))</f>
        <v/>
      </c>
      <c r="O100" s="29" t="str">
        <f>IF(Analysis!$I100="","",IF(Analysis!$I100="Project-driven",Analysis!$H100,""))</f>
        <v/>
      </c>
      <c r="P100" s="29" t="str">
        <f>IF(Analysis!$I100="","",IF(Analysis!$I100="Drifting",Analysis!$H100,""))</f>
        <v/>
      </c>
    </row>
    <row r="101" spans="1:16" x14ac:dyDescent="0.25">
      <c r="A101" s="29" t="str">
        <f>IF(Analysis!$I101="","",IF(Analysis!$I101="Embedded",Analysis!$D101,""))</f>
        <v/>
      </c>
      <c r="B101" s="29" t="str">
        <f>IF(Analysis!$I101="","",IF(Analysis!$I101="Loyal but shallow",Analysis!$D101,""))</f>
        <v/>
      </c>
      <c r="C101" s="29" t="str">
        <f>IF(Analysis!$I101="","",IF(Analysis!$I101="Project-driven",Analysis!$D101,""))</f>
        <v/>
      </c>
      <c r="D101" s="29" t="str">
        <f>IF(Analysis!$I101="","",IF(Analysis!$I101="Drifting",Analysis!$D101,""))</f>
        <v/>
      </c>
      <c r="E101" s="29" t="str">
        <f>IF(Analysis!$I101="","",IF(Analysis!$I101="Embedded",Analysis!$C101,""))</f>
        <v/>
      </c>
      <c r="F101" s="29" t="str">
        <f>IF(Analysis!$I101="","",IF(Analysis!$I101="Loyal but shallow",Analysis!$C101,""))</f>
        <v/>
      </c>
      <c r="G101" s="29" t="str">
        <f>IF(Analysis!$I101="","",IF(Analysis!$I101="Project-driven",Analysis!$C101,""))</f>
        <v/>
      </c>
      <c r="H101" s="29" t="str">
        <f>IF(Analysis!$I101="","",IF(Analysis!$I101="Drifting",Analysis!$C101,""))</f>
        <v/>
      </c>
      <c r="I101" s="29" t="str">
        <f>IF(Analysis!$I101="","",IF(Analysis!$I101="Embedded",Analysis!$F101,""))</f>
        <v/>
      </c>
      <c r="J101" s="29" t="str">
        <f>IF(Analysis!$I101="","",IF(Analysis!$I101="Loyal but shallow",Analysis!$F101,""))</f>
        <v/>
      </c>
      <c r="K101" s="29" t="str">
        <f>IF(Analysis!$I101="","",IF(Analysis!$I101="Project-driven",Analysis!$F101,""))</f>
        <v/>
      </c>
      <c r="L101" s="29" t="str">
        <f>IF(Analysis!$I101="","",IF(Analysis!$I101="Drifting",Analysis!$F101,""))</f>
        <v/>
      </c>
      <c r="M101" s="29" t="str">
        <f>IF(Analysis!$I101="","",IF(Analysis!$I101="Embedded",Analysis!$H101,""))</f>
        <v/>
      </c>
      <c r="N101" s="29" t="str">
        <f>IF(Analysis!$I101="","",IF(Analysis!$I101="Loyal but shallow",Analysis!$H101,""))</f>
        <v/>
      </c>
      <c r="O101" s="29" t="str">
        <f>IF(Analysis!$I101="","",IF(Analysis!$I101="Project-driven",Analysis!$H101,""))</f>
        <v/>
      </c>
      <c r="P101" s="29" t="str">
        <f>IF(Analysis!$I101="","",IF(Analysis!$I101="Drifting",Analysis!$H101,""))</f>
        <v/>
      </c>
    </row>
    <row r="102" spans="1:16" x14ac:dyDescent="0.25">
      <c r="A102" s="29" t="str">
        <f>IF(Analysis!$I102="","",IF(Analysis!$I102="Embedded",Analysis!$D102,""))</f>
        <v/>
      </c>
      <c r="B102" s="29" t="str">
        <f>IF(Analysis!$I102="","",IF(Analysis!$I102="Loyal but shallow",Analysis!$D102,""))</f>
        <v/>
      </c>
      <c r="C102" s="29" t="str">
        <f>IF(Analysis!$I102="","",IF(Analysis!$I102="Project-driven",Analysis!$D102,""))</f>
        <v/>
      </c>
      <c r="D102" s="29" t="str">
        <f>IF(Analysis!$I102="","",IF(Analysis!$I102="Drifting",Analysis!$D102,""))</f>
        <v/>
      </c>
      <c r="E102" s="29" t="str">
        <f>IF(Analysis!$I102="","",IF(Analysis!$I102="Embedded",Analysis!$C102,""))</f>
        <v/>
      </c>
      <c r="F102" s="29" t="str">
        <f>IF(Analysis!$I102="","",IF(Analysis!$I102="Loyal but shallow",Analysis!$C102,""))</f>
        <v/>
      </c>
      <c r="G102" s="29" t="str">
        <f>IF(Analysis!$I102="","",IF(Analysis!$I102="Project-driven",Analysis!$C102,""))</f>
        <v/>
      </c>
      <c r="H102" s="29" t="str">
        <f>IF(Analysis!$I102="","",IF(Analysis!$I102="Drifting",Analysis!$C102,""))</f>
        <v/>
      </c>
      <c r="I102" s="29" t="str">
        <f>IF(Analysis!$I102="","",IF(Analysis!$I102="Embedded",Analysis!$F102,""))</f>
        <v/>
      </c>
      <c r="J102" s="29" t="str">
        <f>IF(Analysis!$I102="","",IF(Analysis!$I102="Loyal but shallow",Analysis!$F102,""))</f>
        <v/>
      </c>
      <c r="K102" s="29" t="str">
        <f>IF(Analysis!$I102="","",IF(Analysis!$I102="Project-driven",Analysis!$F102,""))</f>
        <v/>
      </c>
      <c r="L102" s="29" t="str">
        <f>IF(Analysis!$I102="","",IF(Analysis!$I102="Drifting",Analysis!$F102,""))</f>
        <v/>
      </c>
      <c r="M102" s="29" t="str">
        <f>IF(Analysis!$I102="","",IF(Analysis!$I102="Embedded",Analysis!$H102,""))</f>
        <v/>
      </c>
      <c r="N102" s="29" t="str">
        <f>IF(Analysis!$I102="","",IF(Analysis!$I102="Loyal but shallow",Analysis!$H102,""))</f>
        <v/>
      </c>
      <c r="O102" s="29" t="str">
        <f>IF(Analysis!$I102="","",IF(Analysis!$I102="Project-driven",Analysis!$H102,""))</f>
        <v/>
      </c>
      <c r="P102" s="29" t="str">
        <f>IF(Analysis!$I102="","",IF(Analysis!$I102="Drifting",Analysis!$H102,""))</f>
        <v/>
      </c>
    </row>
    <row r="103" spans="1:16" x14ac:dyDescent="0.25">
      <c r="A103" s="29" t="str">
        <f>IF(Analysis!$I103="","",IF(Analysis!$I103="Embedded",Analysis!$D103,""))</f>
        <v/>
      </c>
      <c r="B103" s="29" t="str">
        <f>IF(Analysis!$I103="","",IF(Analysis!$I103="Loyal but shallow",Analysis!$D103,""))</f>
        <v/>
      </c>
      <c r="C103" s="29" t="str">
        <f>IF(Analysis!$I103="","",IF(Analysis!$I103="Project-driven",Analysis!$D103,""))</f>
        <v/>
      </c>
      <c r="D103" s="29" t="str">
        <f>IF(Analysis!$I103="","",IF(Analysis!$I103="Drifting",Analysis!$D103,""))</f>
        <v/>
      </c>
      <c r="E103" s="29" t="str">
        <f>IF(Analysis!$I103="","",IF(Analysis!$I103="Embedded",Analysis!$C103,""))</f>
        <v/>
      </c>
      <c r="F103" s="29" t="str">
        <f>IF(Analysis!$I103="","",IF(Analysis!$I103="Loyal but shallow",Analysis!$C103,""))</f>
        <v/>
      </c>
      <c r="G103" s="29" t="str">
        <f>IF(Analysis!$I103="","",IF(Analysis!$I103="Project-driven",Analysis!$C103,""))</f>
        <v/>
      </c>
      <c r="H103" s="29" t="str">
        <f>IF(Analysis!$I103="","",IF(Analysis!$I103="Drifting",Analysis!$C103,""))</f>
        <v/>
      </c>
      <c r="I103" s="29" t="str">
        <f>IF(Analysis!$I103="","",IF(Analysis!$I103="Embedded",Analysis!$F103,""))</f>
        <v/>
      </c>
      <c r="J103" s="29" t="str">
        <f>IF(Analysis!$I103="","",IF(Analysis!$I103="Loyal but shallow",Analysis!$F103,""))</f>
        <v/>
      </c>
      <c r="K103" s="29" t="str">
        <f>IF(Analysis!$I103="","",IF(Analysis!$I103="Project-driven",Analysis!$F103,""))</f>
        <v/>
      </c>
      <c r="L103" s="29" t="str">
        <f>IF(Analysis!$I103="","",IF(Analysis!$I103="Drifting",Analysis!$F103,""))</f>
        <v/>
      </c>
      <c r="M103" s="29" t="str">
        <f>IF(Analysis!$I103="","",IF(Analysis!$I103="Embedded",Analysis!$H103,""))</f>
        <v/>
      </c>
      <c r="N103" s="29" t="str">
        <f>IF(Analysis!$I103="","",IF(Analysis!$I103="Loyal but shallow",Analysis!$H103,""))</f>
        <v/>
      </c>
      <c r="O103" s="29" t="str">
        <f>IF(Analysis!$I103="","",IF(Analysis!$I103="Project-driven",Analysis!$H103,""))</f>
        <v/>
      </c>
      <c r="P103" s="29" t="str">
        <f>IF(Analysis!$I103="","",IF(Analysis!$I103="Drifting",Analysis!$H103,""))</f>
        <v/>
      </c>
    </row>
    <row r="104" spans="1:16" x14ac:dyDescent="0.25">
      <c r="A104" s="29" t="str">
        <f>IF(Analysis!$I104="","",IF(Analysis!$I104="Embedded",Analysis!$D104,""))</f>
        <v/>
      </c>
      <c r="B104" s="29" t="str">
        <f>IF(Analysis!$I104="","",IF(Analysis!$I104="Loyal but shallow",Analysis!$D104,""))</f>
        <v/>
      </c>
      <c r="C104" s="29" t="str">
        <f>IF(Analysis!$I104="","",IF(Analysis!$I104="Project-driven",Analysis!$D104,""))</f>
        <v/>
      </c>
      <c r="D104" s="29" t="str">
        <f>IF(Analysis!$I104="","",IF(Analysis!$I104="Drifting",Analysis!$D104,""))</f>
        <v/>
      </c>
      <c r="E104" s="29" t="str">
        <f>IF(Analysis!$I104="","",IF(Analysis!$I104="Embedded",Analysis!$C104,""))</f>
        <v/>
      </c>
      <c r="F104" s="29" t="str">
        <f>IF(Analysis!$I104="","",IF(Analysis!$I104="Loyal but shallow",Analysis!$C104,""))</f>
        <v/>
      </c>
      <c r="G104" s="29" t="str">
        <f>IF(Analysis!$I104="","",IF(Analysis!$I104="Project-driven",Analysis!$C104,""))</f>
        <v/>
      </c>
      <c r="H104" s="29" t="str">
        <f>IF(Analysis!$I104="","",IF(Analysis!$I104="Drifting",Analysis!$C104,""))</f>
        <v/>
      </c>
      <c r="I104" s="29" t="str">
        <f>IF(Analysis!$I104="","",IF(Analysis!$I104="Embedded",Analysis!$F104,""))</f>
        <v/>
      </c>
      <c r="J104" s="29" t="str">
        <f>IF(Analysis!$I104="","",IF(Analysis!$I104="Loyal but shallow",Analysis!$F104,""))</f>
        <v/>
      </c>
      <c r="K104" s="29" t="str">
        <f>IF(Analysis!$I104="","",IF(Analysis!$I104="Project-driven",Analysis!$F104,""))</f>
        <v/>
      </c>
      <c r="L104" s="29" t="str">
        <f>IF(Analysis!$I104="","",IF(Analysis!$I104="Drifting",Analysis!$F104,""))</f>
        <v/>
      </c>
      <c r="M104" s="29" t="str">
        <f>IF(Analysis!$I104="","",IF(Analysis!$I104="Embedded",Analysis!$H104,""))</f>
        <v/>
      </c>
      <c r="N104" s="29" t="str">
        <f>IF(Analysis!$I104="","",IF(Analysis!$I104="Loyal but shallow",Analysis!$H104,""))</f>
        <v/>
      </c>
      <c r="O104" s="29" t="str">
        <f>IF(Analysis!$I104="","",IF(Analysis!$I104="Project-driven",Analysis!$H104,""))</f>
        <v/>
      </c>
      <c r="P104" s="29" t="str">
        <f>IF(Analysis!$I104="","",IF(Analysis!$I104="Drifting",Analysis!$H104,""))</f>
        <v/>
      </c>
    </row>
    <row r="105" spans="1:16" x14ac:dyDescent="0.25">
      <c r="A105" s="29" t="str">
        <f>IF(Analysis!$I105="","",IF(Analysis!$I105="Embedded",Analysis!$D105,""))</f>
        <v/>
      </c>
      <c r="B105" s="29" t="str">
        <f>IF(Analysis!$I105="","",IF(Analysis!$I105="Loyal but shallow",Analysis!$D105,""))</f>
        <v/>
      </c>
      <c r="C105" s="29" t="str">
        <f>IF(Analysis!$I105="","",IF(Analysis!$I105="Project-driven",Analysis!$D105,""))</f>
        <v/>
      </c>
      <c r="D105" s="29" t="str">
        <f>IF(Analysis!$I105="","",IF(Analysis!$I105="Drifting",Analysis!$D105,""))</f>
        <v/>
      </c>
      <c r="E105" s="29" t="str">
        <f>IF(Analysis!$I105="","",IF(Analysis!$I105="Embedded",Analysis!$C105,""))</f>
        <v/>
      </c>
      <c r="F105" s="29" t="str">
        <f>IF(Analysis!$I105="","",IF(Analysis!$I105="Loyal but shallow",Analysis!$C105,""))</f>
        <v/>
      </c>
      <c r="G105" s="29" t="str">
        <f>IF(Analysis!$I105="","",IF(Analysis!$I105="Project-driven",Analysis!$C105,""))</f>
        <v/>
      </c>
      <c r="H105" s="29" t="str">
        <f>IF(Analysis!$I105="","",IF(Analysis!$I105="Drifting",Analysis!$C105,""))</f>
        <v/>
      </c>
      <c r="I105" s="29" t="str">
        <f>IF(Analysis!$I105="","",IF(Analysis!$I105="Embedded",Analysis!$F105,""))</f>
        <v/>
      </c>
      <c r="J105" s="29" t="str">
        <f>IF(Analysis!$I105="","",IF(Analysis!$I105="Loyal but shallow",Analysis!$F105,""))</f>
        <v/>
      </c>
      <c r="K105" s="29" t="str">
        <f>IF(Analysis!$I105="","",IF(Analysis!$I105="Project-driven",Analysis!$F105,""))</f>
        <v/>
      </c>
      <c r="L105" s="29" t="str">
        <f>IF(Analysis!$I105="","",IF(Analysis!$I105="Drifting",Analysis!$F105,""))</f>
        <v/>
      </c>
      <c r="M105" s="29" t="str">
        <f>IF(Analysis!$I105="","",IF(Analysis!$I105="Embedded",Analysis!$H105,""))</f>
        <v/>
      </c>
      <c r="N105" s="29" t="str">
        <f>IF(Analysis!$I105="","",IF(Analysis!$I105="Loyal but shallow",Analysis!$H105,""))</f>
        <v/>
      </c>
      <c r="O105" s="29" t="str">
        <f>IF(Analysis!$I105="","",IF(Analysis!$I105="Project-driven",Analysis!$H105,""))</f>
        <v/>
      </c>
      <c r="P105" s="29" t="str">
        <f>IF(Analysis!$I105="","",IF(Analysis!$I105="Drifting",Analysis!$H105,""))</f>
        <v/>
      </c>
    </row>
    <row r="106" spans="1:16" x14ac:dyDescent="0.25">
      <c r="A106" s="29" t="str">
        <f>IF(Analysis!$I106="","",IF(Analysis!$I106="Embedded",Analysis!$D106,""))</f>
        <v/>
      </c>
      <c r="B106" s="29" t="str">
        <f>IF(Analysis!$I106="","",IF(Analysis!$I106="Loyal but shallow",Analysis!$D106,""))</f>
        <v/>
      </c>
      <c r="C106" s="29" t="str">
        <f>IF(Analysis!$I106="","",IF(Analysis!$I106="Project-driven",Analysis!$D106,""))</f>
        <v/>
      </c>
      <c r="D106" s="29" t="str">
        <f>IF(Analysis!$I106="","",IF(Analysis!$I106="Drifting",Analysis!$D106,""))</f>
        <v/>
      </c>
      <c r="E106" s="29" t="str">
        <f>IF(Analysis!$I106="","",IF(Analysis!$I106="Embedded",Analysis!$C106,""))</f>
        <v/>
      </c>
      <c r="F106" s="29" t="str">
        <f>IF(Analysis!$I106="","",IF(Analysis!$I106="Loyal but shallow",Analysis!$C106,""))</f>
        <v/>
      </c>
      <c r="G106" s="29" t="str">
        <f>IF(Analysis!$I106="","",IF(Analysis!$I106="Project-driven",Analysis!$C106,""))</f>
        <v/>
      </c>
      <c r="H106" s="29" t="str">
        <f>IF(Analysis!$I106="","",IF(Analysis!$I106="Drifting",Analysis!$C106,""))</f>
        <v/>
      </c>
      <c r="I106" s="29" t="str">
        <f>IF(Analysis!$I106="","",IF(Analysis!$I106="Embedded",Analysis!$F106,""))</f>
        <v/>
      </c>
      <c r="J106" s="29" t="str">
        <f>IF(Analysis!$I106="","",IF(Analysis!$I106="Loyal but shallow",Analysis!$F106,""))</f>
        <v/>
      </c>
      <c r="K106" s="29" t="str">
        <f>IF(Analysis!$I106="","",IF(Analysis!$I106="Project-driven",Analysis!$F106,""))</f>
        <v/>
      </c>
      <c r="L106" s="29" t="str">
        <f>IF(Analysis!$I106="","",IF(Analysis!$I106="Drifting",Analysis!$F106,""))</f>
        <v/>
      </c>
      <c r="M106" s="29" t="str">
        <f>IF(Analysis!$I106="","",IF(Analysis!$I106="Embedded",Analysis!$H106,""))</f>
        <v/>
      </c>
      <c r="N106" s="29" t="str">
        <f>IF(Analysis!$I106="","",IF(Analysis!$I106="Loyal but shallow",Analysis!$H106,""))</f>
        <v/>
      </c>
      <c r="O106" s="29" t="str">
        <f>IF(Analysis!$I106="","",IF(Analysis!$I106="Project-driven",Analysis!$H106,""))</f>
        <v/>
      </c>
      <c r="P106" s="29" t="str">
        <f>IF(Analysis!$I106="","",IF(Analysis!$I106="Drifting",Analysis!$H106,""))</f>
        <v/>
      </c>
    </row>
    <row r="107" spans="1:16" x14ac:dyDescent="0.25">
      <c r="A107" s="29" t="str">
        <f>IF(Analysis!$I107="","",IF(Analysis!$I107="Embedded",Analysis!$D107,""))</f>
        <v/>
      </c>
      <c r="B107" s="29" t="str">
        <f>IF(Analysis!$I107="","",IF(Analysis!$I107="Loyal but shallow",Analysis!$D107,""))</f>
        <v/>
      </c>
      <c r="C107" s="29" t="str">
        <f>IF(Analysis!$I107="","",IF(Analysis!$I107="Project-driven",Analysis!$D107,""))</f>
        <v/>
      </c>
      <c r="D107" s="29" t="str">
        <f>IF(Analysis!$I107="","",IF(Analysis!$I107="Drifting",Analysis!$D107,""))</f>
        <v/>
      </c>
      <c r="E107" s="29" t="str">
        <f>IF(Analysis!$I107="","",IF(Analysis!$I107="Embedded",Analysis!$C107,""))</f>
        <v/>
      </c>
      <c r="F107" s="29" t="str">
        <f>IF(Analysis!$I107="","",IF(Analysis!$I107="Loyal but shallow",Analysis!$C107,""))</f>
        <v/>
      </c>
      <c r="G107" s="29" t="str">
        <f>IF(Analysis!$I107="","",IF(Analysis!$I107="Project-driven",Analysis!$C107,""))</f>
        <v/>
      </c>
      <c r="H107" s="29" t="str">
        <f>IF(Analysis!$I107="","",IF(Analysis!$I107="Drifting",Analysis!$C107,""))</f>
        <v/>
      </c>
      <c r="I107" s="29" t="str">
        <f>IF(Analysis!$I107="","",IF(Analysis!$I107="Embedded",Analysis!$F107,""))</f>
        <v/>
      </c>
      <c r="J107" s="29" t="str">
        <f>IF(Analysis!$I107="","",IF(Analysis!$I107="Loyal but shallow",Analysis!$F107,""))</f>
        <v/>
      </c>
      <c r="K107" s="29" t="str">
        <f>IF(Analysis!$I107="","",IF(Analysis!$I107="Project-driven",Analysis!$F107,""))</f>
        <v/>
      </c>
      <c r="L107" s="29" t="str">
        <f>IF(Analysis!$I107="","",IF(Analysis!$I107="Drifting",Analysis!$F107,""))</f>
        <v/>
      </c>
      <c r="M107" s="29" t="str">
        <f>IF(Analysis!$I107="","",IF(Analysis!$I107="Embedded",Analysis!$H107,""))</f>
        <v/>
      </c>
      <c r="N107" s="29" t="str">
        <f>IF(Analysis!$I107="","",IF(Analysis!$I107="Loyal but shallow",Analysis!$H107,""))</f>
        <v/>
      </c>
      <c r="O107" s="29" t="str">
        <f>IF(Analysis!$I107="","",IF(Analysis!$I107="Project-driven",Analysis!$H107,""))</f>
        <v/>
      </c>
      <c r="P107" s="29" t="str">
        <f>IF(Analysis!$I107="","",IF(Analysis!$I107="Drifting",Analysis!$H107,""))</f>
        <v/>
      </c>
    </row>
    <row r="108" spans="1:16" x14ac:dyDescent="0.25">
      <c r="A108" s="29" t="str">
        <f>IF(Analysis!$I108="","",IF(Analysis!$I108="Embedded",Analysis!$D108,""))</f>
        <v/>
      </c>
      <c r="B108" s="29" t="str">
        <f>IF(Analysis!$I108="","",IF(Analysis!$I108="Loyal but shallow",Analysis!$D108,""))</f>
        <v/>
      </c>
      <c r="C108" s="29" t="str">
        <f>IF(Analysis!$I108="","",IF(Analysis!$I108="Project-driven",Analysis!$D108,""))</f>
        <v/>
      </c>
      <c r="D108" s="29" t="str">
        <f>IF(Analysis!$I108="","",IF(Analysis!$I108="Drifting",Analysis!$D108,""))</f>
        <v/>
      </c>
      <c r="E108" s="29" t="str">
        <f>IF(Analysis!$I108="","",IF(Analysis!$I108="Embedded",Analysis!$C108,""))</f>
        <v/>
      </c>
      <c r="F108" s="29" t="str">
        <f>IF(Analysis!$I108="","",IF(Analysis!$I108="Loyal but shallow",Analysis!$C108,""))</f>
        <v/>
      </c>
      <c r="G108" s="29" t="str">
        <f>IF(Analysis!$I108="","",IF(Analysis!$I108="Project-driven",Analysis!$C108,""))</f>
        <v/>
      </c>
      <c r="H108" s="29" t="str">
        <f>IF(Analysis!$I108="","",IF(Analysis!$I108="Drifting",Analysis!$C108,""))</f>
        <v/>
      </c>
      <c r="I108" s="29" t="str">
        <f>IF(Analysis!$I108="","",IF(Analysis!$I108="Embedded",Analysis!$F108,""))</f>
        <v/>
      </c>
      <c r="J108" s="29" t="str">
        <f>IF(Analysis!$I108="","",IF(Analysis!$I108="Loyal but shallow",Analysis!$F108,""))</f>
        <v/>
      </c>
      <c r="K108" s="29" t="str">
        <f>IF(Analysis!$I108="","",IF(Analysis!$I108="Project-driven",Analysis!$F108,""))</f>
        <v/>
      </c>
      <c r="L108" s="29" t="str">
        <f>IF(Analysis!$I108="","",IF(Analysis!$I108="Drifting",Analysis!$F108,""))</f>
        <v/>
      </c>
      <c r="M108" s="29" t="str">
        <f>IF(Analysis!$I108="","",IF(Analysis!$I108="Embedded",Analysis!$H108,""))</f>
        <v/>
      </c>
      <c r="N108" s="29" t="str">
        <f>IF(Analysis!$I108="","",IF(Analysis!$I108="Loyal but shallow",Analysis!$H108,""))</f>
        <v/>
      </c>
      <c r="O108" s="29" t="str">
        <f>IF(Analysis!$I108="","",IF(Analysis!$I108="Project-driven",Analysis!$H108,""))</f>
        <v/>
      </c>
      <c r="P108" s="29" t="str">
        <f>IF(Analysis!$I108="","",IF(Analysis!$I108="Drifting",Analysis!$H108,""))</f>
        <v/>
      </c>
    </row>
    <row r="109" spans="1:16" x14ac:dyDescent="0.25">
      <c r="A109" s="29" t="str">
        <f>IF(Analysis!$I109="","",IF(Analysis!$I109="Embedded",Analysis!$D109,""))</f>
        <v/>
      </c>
      <c r="B109" s="29" t="str">
        <f>IF(Analysis!$I109="","",IF(Analysis!$I109="Loyal but shallow",Analysis!$D109,""))</f>
        <v/>
      </c>
      <c r="C109" s="29" t="str">
        <f>IF(Analysis!$I109="","",IF(Analysis!$I109="Project-driven",Analysis!$D109,""))</f>
        <v/>
      </c>
      <c r="D109" s="29" t="str">
        <f>IF(Analysis!$I109="","",IF(Analysis!$I109="Drifting",Analysis!$D109,""))</f>
        <v/>
      </c>
      <c r="E109" s="29" t="str">
        <f>IF(Analysis!$I109="","",IF(Analysis!$I109="Embedded",Analysis!$C109,""))</f>
        <v/>
      </c>
      <c r="F109" s="29" t="str">
        <f>IF(Analysis!$I109="","",IF(Analysis!$I109="Loyal but shallow",Analysis!$C109,""))</f>
        <v/>
      </c>
      <c r="G109" s="29" t="str">
        <f>IF(Analysis!$I109="","",IF(Analysis!$I109="Project-driven",Analysis!$C109,""))</f>
        <v/>
      </c>
      <c r="H109" s="29" t="str">
        <f>IF(Analysis!$I109="","",IF(Analysis!$I109="Drifting",Analysis!$C109,""))</f>
        <v/>
      </c>
      <c r="I109" s="29" t="str">
        <f>IF(Analysis!$I109="","",IF(Analysis!$I109="Embedded",Analysis!$F109,""))</f>
        <v/>
      </c>
      <c r="J109" s="29" t="str">
        <f>IF(Analysis!$I109="","",IF(Analysis!$I109="Loyal but shallow",Analysis!$F109,""))</f>
        <v/>
      </c>
      <c r="K109" s="29" t="str">
        <f>IF(Analysis!$I109="","",IF(Analysis!$I109="Project-driven",Analysis!$F109,""))</f>
        <v/>
      </c>
      <c r="L109" s="29" t="str">
        <f>IF(Analysis!$I109="","",IF(Analysis!$I109="Drifting",Analysis!$F109,""))</f>
        <v/>
      </c>
      <c r="M109" s="29" t="str">
        <f>IF(Analysis!$I109="","",IF(Analysis!$I109="Embedded",Analysis!$H109,""))</f>
        <v/>
      </c>
      <c r="N109" s="29" t="str">
        <f>IF(Analysis!$I109="","",IF(Analysis!$I109="Loyal but shallow",Analysis!$H109,""))</f>
        <v/>
      </c>
      <c r="O109" s="29" t="str">
        <f>IF(Analysis!$I109="","",IF(Analysis!$I109="Project-driven",Analysis!$H109,""))</f>
        <v/>
      </c>
      <c r="P109" s="29" t="str">
        <f>IF(Analysis!$I109="","",IF(Analysis!$I109="Drifting",Analysis!$H109,""))</f>
        <v/>
      </c>
    </row>
    <row r="110" spans="1:16" x14ac:dyDescent="0.25">
      <c r="A110" s="29" t="str">
        <f>IF(Analysis!$I110="","",IF(Analysis!$I110="Embedded",Analysis!$D110,""))</f>
        <v/>
      </c>
      <c r="B110" s="29" t="str">
        <f>IF(Analysis!$I110="","",IF(Analysis!$I110="Loyal but shallow",Analysis!$D110,""))</f>
        <v/>
      </c>
      <c r="C110" s="29" t="str">
        <f>IF(Analysis!$I110="","",IF(Analysis!$I110="Project-driven",Analysis!$D110,""))</f>
        <v/>
      </c>
      <c r="D110" s="29" t="str">
        <f>IF(Analysis!$I110="","",IF(Analysis!$I110="Drifting",Analysis!$D110,""))</f>
        <v/>
      </c>
      <c r="E110" s="29" t="str">
        <f>IF(Analysis!$I110="","",IF(Analysis!$I110="Embedded",Analysis!$C110,""))</f>
        <v/>
      </c>
      <c r="F110" s="29" t="str">
        <f>IF(Analysis!$I110="","",IF(Analysis!$I110="Loyal but shallow",Analysis!$C110,""))</f>
        <v/>
      </c>
      <c r="G110" s="29" t="str">
        <f>IF(Analysis!$I110="","",IF(Analysis!$I110="Project-driven",Analysis!$C110,""))</f>
        <v/>
      </c>
      <c r="H110" s="29" t="str">
        <f>IF(Analysis!$I110="","",IF(Analysis!$I110="Drifting",Analysis!$C110,""))</f>
        <v/>
      </c>
      <c r="I110" s="29" t="str">
        <f>IF(Analysis!$I110="","",IF(Analysis!$I110="Embedded",Analysis!$F110,""))</f>
        <v/>
      </c>
      <c r="J110" s="29" t="str">
        <f>IF(Analysis!$I110="","",IF(Analysis!$I110="Loyal but shallow",Analysis!$F110,""))</f>
        <v/>
      </c>
      <c r="K110" s="29" t="str">
        <f>IF(Analysis!$I110="","",IF(Analysis!$I110="Project-driven",Analysis!$F110,""))</f>
        <v/>
      </c>
      <c r="L110" s="29" t="str">
        <f>IF(Analysis!$I110="","",IF(Analysis!$I110="Drifting",Analysis!$F110,""))</f>
        <v/>
      </c>
      <c r="M110" s="29" t="str">
        <f>IF(Analysis!$I110="","",IF(Analysis!$I110="Embedded",Analysis!$H110,""))</f>
        <v/>
      </c>
      <c r="N110" s="29" t="str">
        <f>IF(Analysis!$I110="","",IF(Analysis!$I110="Loyal but shallow",Analysis!$H110,""))</f>
        <v/>
      </c>
      <c r="O110" s="29" t="str">
        <f>IF(Analysis!$I110="","",IF(Analysis!$I110="Project-driven",Analysis!$H110,""))</f>
        <v/>
      </c>
      <c r="P110" s="29" t="str">
        <f>IF(Analysis!$I110="","",IF(Analysis!$I110="Drifting",Analysis!$H110,""))</f>
        <v/>
      </c>
    </row>
    <row r="111" spans="1:16" x14ac:dyDescent="0.25">
      <c r="A111" s="29" t="str">
        <f>IF(Analysis!$I111="","",IF(Analysis!$I111="Embedded",Analysis!$D111,""))</f>
        <v/>
      </c>
      <c r="B111" s="29" t="str">
        <f>IF(Analysis!$I111="","",IF(Analysis!$I111="Loyal but shallow",Analysis!$D111,""))</f>
        <v/>
      </c>
      <c r="C111" s="29" t="str">
        <f>IF(Analysis!$I111="","",IF(Analysis!$I111="Project-driven",Analysis!$D111,""))</f>
        <v/>
      </c>
      <c r="D111" s="29" t="str">
        <f>IF(Analysis!$I111="","",IF(Analysis!$I111="Drifting",Analysis!$D111,""))</f>
        <v/>
      </c>
      <c r="E111" s="29" t="str">
        <f>IF(Analysis!$I111="","",IF(Analysis!$I111="Embedded",Analysis!$C111,""))</f>
        <v/>
      </c>
      <c r="F111" s="29" t="str">
        <f>IF(Analysis!$I111="","",IF(Analysis!$I111="Loyal but shallow",Analysis!$C111,""))</f>
        <v/>
      </c>
      <c r="G111" s="29" t="str">
        <f>IF(Analysis!$I111="","",IF(Analysis!$I111="Project-driven",Analysis!$C111,""))</f>
        <v/>
      </c>
      <c r="H111" s="29" t="str">
        <f>IF(Analysis!$I111="","",IF(Analysis!$I111="Drifting",Analysis!$C111,""))</f>
        <v/>
      </c>
      <c r="I111" s="29" t="str">
        <f>IF(Analysis!$I111="","",IF(Analysis!$I111="Embedded",Analysis!$F111,""))</f>
        <v/>
      </c>
      <c r="J111" s="29" t="str">
        <f>IF(Analysis!$I111="","",IF(Analysis!$I111="Loyal but shallow",Analysis!$F111,""))</f>
        <v/>
      </c>
      <c r="K111" s="29" t="str">
        <f>IF(Analysis!$I111="","",IF(Analysis!$I111="Project-driven",Analysis!$F111,""))</f>
        <v/>
      </c>
      <c r="L111" s="29" t="str">
        <f>IF(Analysis!$I111="","",IF(Analysis!$I111="Drifting",Analysis!$F111,""))</f>
        <v/>
      </c>
      <c r="M111" s="29" t="str">
        <f>IF(Analysis!$I111="","",IF(Analysis!$I111="Embedded",Analysis!$H111,""))</f>
        <v/>
      </c>
      <c r="N111" s="29" t="str">
        <f>IF(Analysis!$I111="","",IF(Analysis!$I111="Loyal but shallow",Analysis!$H111,""))</f>
        <v/>
      </c>
      <c r="O111" s="29" t="str">
        <f>IF(Analysis!$I111="","",IF(Analysis!$I111="Project-driven",Analysis!$H111,""))</f>
        <v/>
      </c>
      <c r="P111" s="29" t="str">
        <f>IF(Analysis!$I111="","",IF(Analysis!$I111="Drifting",Analysis!$H111,""))</f>
        <v/>
      </c>
    </row>
    <row r="112" spans="1:16" x14ac:dyDescent="0.25">
      <c r="A112" s="29" t="str">
        <f>IF(Analysis!$I112="","",IF(Analysis!$I112="Embedded",Analysis!$D112,""))</f>
        <v/>
      </c>
      <c r="B112" s="29" t="str">
        <f>IF(Analysis!$I112="","",IF(Analysis!$I112="Loyal but shallow",Analysis!$D112,""))</f>
        <v/>
      </c>
      <c r="C112" s="29" t="str">
        <f>IF(Analysis!$I112="","",IF(Analysis!$I112="Project-driven",Analysis!$D112,""))</f>
        <v/>
      </c>
      <c r="D112" s="29" t="str">
        <f>IF(Analysis!$I112="","",IF(Analysis!$I112="Drifting",Analysis!$D112,""))</f>
        <v/>
      </c>
      <c r="E112" s="29" t="str">
        <f>IF(Analysis!$I112="","",IF(Analysis!$I112="Embedded",Analysis!$C112,""))</f>
        <v/>
      </c>
      <c r="F112" s="29" t="str">
        <f>IF(Analysis!$I112="","",IF(Analysis!$I112="Loyal but shallow",Analysis!$C112,""))</f>
        <v/>
      </c>
      <c r="G112" s="29" t="str">
        <f>IF(Analysis!$I112="","",IF(Analysis!$I112="Project-driven",Analysis!$C112,""))</f>
        <v/>
      </c>
      <c r="H112" s="29" t="str">
        <f>IF(Analysis!$I112="","",IF(Analysis!$I112="Drifting",Analysis!$C112,""))</f>
        <v/>
      </c>
      <c r="I112" s="29" t="str">
        <f>IF(Analysis!$I112="","",IF(Analysis!$I112="Embedded",Analysis!$F112,""))</f>
        <v/>
      </c>
      <c r="J112" s="29" t="str">
        <f>IF(Analysis!$I112="","",IF(Analysis!$I112="Loyal but shallow",Analysis!$F112,""))</f>
        <v/>
      </c>
      <c r="K112" s="29" t="str">
        <f>IF(Analysis!$I112="","",IF(Analysis!$I112="Project-driven",Analysis!$F112,""))</f>
        <v/>
      </c>
      <c r="L112" s="29" t="str">
        <f>IF(Analysis!$I112="","",IF(Analysis!$I112="Drifting",Analysis!$F112,""))</f>
        <v/>
      </c>
      <c r="M112" s="29" t="str">
        <f>IF(Analysis!$I112="","",IF(Analysis!$I112="Embedded",Analysis!$H112,""))</f>
        <v/>
      </c>
      <c r="N112" s="29" t="str">
        <f>IF(Analysis!$I112="","",IF(Analysis!$I112="Loyal but shallow",Analysis!$H112,""))</f>
        <v/>
      </c>
      <c r="O112" s="29" t="str">
        <f>IF(Analysis!$I112="","",IF(Analysis!$I112="Project-driven",Analysis!$H112,""))</f>
        <v/>
      </c>
      <c r="P112" s="29" t="str">
        <f>IF(Analysis!$I112="","",IF(Analysis!$I112="Drifting",Analysis!$H112,""))</f>
        <v/>
      </c>
    </row>
    <row r="113" spans="1:16" x14ac:dyDescent="0.25">
      <c r="A113" s="29" t="str">
        <f>IF(Analysis!$I113="","",IF(Analysis!$I113="Embedded",Analysis!$D113,""))</f>
        <v/>
      </c>
      <c r="B113" s="29" t="str">
        <f>IF(Analysis!$I113="","",IF(Analysis!$I113="Loyal but shallow",Analysis!$D113,""))</f>
        <v/>
      </c>
      <c r="C113" s="29" t="str">
        <f>IF(Analysis!$I113="","",IF(Analysis!$I113="Project-driven",Analysis!$D113,""))</f>
        <v/>
      </c>
      <c r="D113" s="29" t="str">
        <f>IF(Analysis!$I113="","",IF(Analysis!$I113="Drifting",Analysis!$D113,""))</f>
        <v/>
      </c>
      <c r="E113" s="29" t="str">
        <f>IF(Analysis!$I113="","",IF(Analysis!$I113="Embedded",Analysis!$C113,""))</f>
        <v/>
      </c>
      <c r="F113" s="29" t="str">
        <f>IF(Analysis!$I113="","",IF(Analysis!$I113="Loyal but shallow",Analysis!$C113,""))</f>
        <v/>
      </c>
      <c r="G113" s="29" t="str">
        <f>IF(Analysis!$I113="","",IF(Analysis!$I113="Project-driven",Analysis!$C113,""))</f>
        <v/>
      </c>
      <c r="H113" s="29" t="str">
        <f>IF(Analysis!$I113="","",IF(Analysis!$I113="Drifting",Analysis!$C113,""))</f>
        <v/>
      </c>
      <c r="I113" s="29" t="str">
        <f>IF(Analysis!$I113="","",IF(Analysis!$I113="Embedded",Analysis!$F113,""))</f>
        <v/>
      </c>
      <c r="J113" s="29" t="str">
        <f>IF(Analysis!$I113="","",IF(Analysis!$I113="Loyal but shallow",Analysis!$F113,""))</f>
        <v/>
      </c>
      <c r="K113" s="29" t="str">
        <f>IF(Analysis!$I113="","",IF(Analysis!$I113="Project-driven",Analysis!$F113,""))</f>
        <v/>
      </c>
      <c r="L113" s="29" t="str">
        <f>IF(Analysis!$I113="","",IF(Analysis!$I113="Drifting",Analysis!$F113,""))</f>
        <v/>
      </c>
      <c r="M113" s="29" t="str">
        <f>IF(Analysis!$I113="","",IF(Analysis!$I113="Embedded",Analysis!$H113,""))</f>
        <v/>
      </c>
      <c r="N113" s="29" t="str">
        <f>IF(Analysis!$I113="","",IF(Analysis!$I113="Loyal but shallow",Analysis!$H113,""))</f>
        <v/>
      </c>
      <c r="O113" s="29" t="str">
        <f>IF(Analysis!$I113="","",IF(Analysis!$I113="Project-driven",Analysis!$H113,""))</f>
        <v/>
      </c>
      <c r="P113" s="29" t="str">
        <f>IF(Analysis!$I113="","",IF(Analysis!$I113="Drifting",Analysis!$H113,""))</f>
        <v/>
      </c>
    </row>
    <row r="114" spans="1:16" x14ac:dyDescent="0.25">
      <c r="A114" s="29" t="str">
        <f>IF(Analysis!$I114="","",IF(Analysis!$I114="Embedded",Analysis!$D114,""))</f>
        <v/>
      </c>
      <c r="B114" s="29" t="str">
        <f>IF(Analysis!$I114="","",IF(Analysis!$I114="Loyal but shallow",Analysis!$D114,""))</f>
        <v/>
      </c>
      <c r="C114" s="29" t="str">
        <f>IF(Analysis!$I114="","",IF(Analysis!$I114="Project-driven",Analysis!$D114,""))</f>
        <v/>
      </c>
      <c r="D114" s="29" t="str">
        <f>IF(Analysis!$I114="","",IF(Analysis!$I114="Drifting",Analysis!$D114,""))</f>
        <v/>
      </c>
      <c r="E114" s="29" t="str">
        <f>IF(Analysis!$I114="","",IF(Analysis!$I114="Embedded",Analysis!$C114,""))</f>
        <v/>
      </c>
      <c r="F114" s="29" t="str">
        <f>IF(Analysis!$I114="","",IF(Analysis!$I114="Loyal but shallow",Analysis!$C114,""))</f>
        <v/>
      </c>
      <c r="G114" s="29" t="str">
        <f>IF(Analysis!$I114="","",IF(Analysis!$I114="Project-driven",Analysis!$C114,""))</f>
        <v/>
      </c>
      <c r="H114" s="29" t="str">
        <f>IF(Analysis!$I114="","",IF(Analysis!$I114="Drifting",Analysis!$C114,""))</f>
        <v/>
      </c>
      <c r="I114" s="29" t="str">
        <f>IF(Analysis!$I114="","",IF(Analysis!$I114="Embedded",Analysis!$F114,""))</f>
        <v/>
      </c>
      <c r="J114" s="29" t="str">
        <f>IF(Analysis!$I114="","",IF(Analysis!$I114="Loyal but shallow",Analysis!$F114,""))</f>
        <v/>
      </c>
      <c r="K114" s="29" t="str">
        <f>IF(Analysis!$I114="","",IF(Analysis!$I114="Project-driven",Analysis!$F114,""))</f>
        <v/>
      </c>
      <c r="L114" s="29" t="str">
        <f>IF(Analysis!$I114="","",IF(Analysis!$I114="Drifting",Analysis!$F114,""))</f>
        <v/>
      </c>
      <c r="M114" s="29" t="str">
        <f>IF(Analysis!$I114="","",IF(Analysis!$I114="Embedded",Analysis!$H114,""))</f>
        <v/>
      </c>
      <c r="N114" s="29" t="str">
        <f>IF(Analysis!$I114="","",IF(Analysis!$I114="Loyal but shallow",Analysis!$H114,""))</f>
        <v/>
      </c>
      <c r="O114" s="29" t="str">
        <f>IF(Analysis!$I114="","",IF(Analysis!$I114="Project-driven",Analysis!$H114,""))</f>
        <v/>
      </c>
      <c r="P114" s="29" t="str">
        <f>IF(Analysis!$I114="","",IF(Analysis!$I114="Drifting",Analysis!$H114,""))</f>
        <v/>
      </c>
    </row>
    <row r="115" spans="1:16" x14ac:dyDescent="0.25">
      <c r="A115" s="29" t="str">
        <f>IF(Analysis!$I115="","",IF(Analysis!$I115="Embedded",Analysis!$D115,""))</f>
        <v/>
      </c>
      <c r="B115" s="29" t="str">
        <f>IF(Analysis!$I115="","",IF(Analysis!$I115="Loyal but shallow",Analysis!$D115,""))</f>
        <v/>
      </c>
      <c r="C115" s="29" t="str">
        <f>IF(Analysis!$I115="","",IF(Analysis!$I115="Project-driven",Analysis!$D115,""))</f>
        <v/>
      </c>
      <c r="D115" s="29" t="str">
        <f>IF(Analysis!$I115="","",IF(Analysis!$I115="Drifting",Analysis!$D115,""))</f>
        <v/>
      </c>
      <c r="E115" s="29" t="str">
        <f>IF(Analysis!$I115="","",IF(Analysis!$I115="Embedded",Analysis!$C115,""))</f>
        <v/>
      </c>
      <c r="F115" s="29" t="str">
        <f>IF(Analysis!$I115="","",IF(Analysis!$I115="Loyal but shallow",Analysis!$C115,""))</f>
        <v/>
      </c>
      <c r="G115" s="29" t="str">
        <f>IF(Analysis!$I115="","",IF(Analysis!$I115="Project-driven",Analysis!$C115,""))</f>
        <v/>
      </c>
      <c r="H115" s="29" t="str">
        <f>IF(Analysis!$I115="","",IF(Analysis!$I115="Drifting",Analysis!$C115,""))</f>
        <v/>
      </c>
      <c r="I115" s="29" t="str">
        <f>IF(Analysis!$I115="","",IF(Analysis!$I115="Embedded",Analysis!$F115,""))</f>
        <v/>
      </c>
      <c r="J115" s="29" t="str">
        <f>IF(Analysis!$I115="","",IF(Analysis!$I115="Loyal but shallow",Analysis!$F115,""))</f>
        <v/>
      </c>
      <c r="K115" s="29" t="str">
        <f>IF(Analysis!$I115="","",IF(Analysis!$I115="Project-driven",Analysis!$F115,""))</f>
        <v/>
      </c>
      <c r="L115" s="29" t="str">
        <f>IF(Analysis!$I115="","",IF(Analysis!$I115="Drifting",Analysis!$F115,""))</f>
        <v/>
      </c>
      <c r="M115" s="29" t="str">
        <f>IF(Analysis!$I115="","",IF(Analysis!$I115="Embedded",Analysis!$H115,""))</f>
        <v/>
      </c>
      <c r="N115" s="29" t="str">
        <f>IF(Analysis!$I115="","",IF(Analysis!$I115="Loyal but shallow",Analysis!$H115,""))</f>
        <v/>
      </c>
      <c r="O115" s="29" t="str">
        <f>IF(Analysis!$I115="","",IF(Analysis!$I115="Project-driven",Analysis!$H115,""))</f>
        <v/>
      </c>
      <c r="P115" s="29" t="str">
        <f>IF(Analysis!$I115="","",IF(Analysis!$I115="Drifting",Analysis!$H115,""))</f>
        <v/>
      </c>
    </row>
    <row r="116" spans="1:16" x14ac:dyDescent="0.25">
      <c r="A116" s="29" t="str">
        <f>IF(Analysis!$I116="","",IF(Analysis!$I116="Embedded",Analysis!$D116,""))</f>
        <v/>
      </c>
      <c r="B116" s="29" t="str">
        <f>IF(Analysis!$I116="","",IF(Analysis!$I116="Loyal but shallow",Analysis!$D116,""))</f>
        <v/>
      </c>
      <c r="C116" s="29" t="str">
        <f>IF(Analysis!$I116="","",IF(Analysis!$I116="Project-driven",Analysis!$D116,""))</f>
        <v/>
      </c>
      <c r="D116" s="29" t="str">
        <f>IF(Analysis!$I116="","",IF(Analysis!$I116="Drifting",Analysis!$D116,""))</f>
        <v/>
      </c>
      <c r="E116" s="29" t="str">
        <f>IF(Analysis!$I116="","",IF(Analysis!$I116="Embedded",Analysis!$C116,""))</f>
        <v/>
      </c>
      <c r="F116" s="29" t="str">
        <f>IF(Analysis!$I116="","",IF(Analysis!$I116="Loyal but shallow",Analysis!$C116,""))</f>
        <v/>
      </c>
      <c r="G116" s="29" t="str">
        <f>IF(Analysis!$I116="","",IF(Analysis!$I116="Project-driven",Analysis!$C116,""))</f>
        <v/>
      </c>
      <c r="H116" s="29" t="str">
        <f>IF(Analysis!$I116="","",IF(Analysis!$I116="Drifting",Analysis!$C116,""))</f>
        <v/>
      </c>
      <c r="I116" s="29" t="str">
        <f>IF(Analysis!$I116="","",IF(Analysis!$I116="Embedded",Analysis!$F116,""))</f>
        <v/>
      </c>
      <c r="J116" s="29" t="str">
        <f>IF(Analysis!$I116="","",IF(Analysis!$I116="Loyal but shallow",Analysis!$F116,""))</f>
        <v/>
      </c>
      <c r="K116" s="29" t="str">
        <f>IF(Analysis!$I116="","",IF(Analysis!$I116="Project-driven",Analysis!$F116,""))</f>
        <v/>
      </c>
      <c r="L116" s="29" t="str">
        <f>IF(Analysis!$I116="","",IF(Analysis!$I116="Drifting",Analysis!$F116,""))</f>
        <v/>
      </c>
      <c r="M116" s="29" t="str">
        <f>IF(Analysis!$I116="","",IF(Analysis!$I116="Embedded",Analysis!$H116,""))</f>
        <v/>
      </c>
      <c r="N116" s="29" t="str">
        <f>IF(Analysis!$I116="","",IF(Analysis!$I116="Loyal but shallow",Analysis!$H116,""))</f>
        <v/>
      </c>
      <c r="O116" s="29" t="str">
        <f>IF(Analysis!$I116="","",IF(Analysis!$I116="Project-driven",Analysis!$H116,""))</f>
        <v/>
      </c>
      <c r="P116" s="29" t="str">
        <f>IF(Analysis!$I116="","",IF(Analysis!$I116="Drifting",Analysis!$H116,""))</f>
        <v/>
      </c>
    </row>
    <row r="117" spans="1:16" x14ac:dyDescent="0.25">
      <c r="A117" s="29" t="str">
        <f>IF(Analysis!$I117="","",IF(Analysis!$I117="Embedded",Analysis!$D117,""))</f>
        <v/>
      </c>
      <c r="B117" s="29" t="str">
        <f>IF(Analysis!$I117="","",IF(Analysis!$I117="Loyal but shallow",Analysis!$D117,""))</f>
        <v/>
      </c>
      <c r="C117" s="29" t="str">
        <f>IF(Analysis!$I117="","",IF(Analysis!$I117="Project-driven",Analysis!$D117,""))</f>
        <v/>
      </c>
      <c r="D117" s="29" t="str">
        <f>IF(Analysis!$I117="","",IF(Analysis!$I117="Drifting",Analysis!$D117,""))</f>
        <v/>
      </c>
      <c r="E117" s="29" t="str">
        <f>IF(Analysis!$I117="","",IF(Analysis!$I117="Embedded",Analysis!$C117,""))</f>
        <v/>
      </c>
      <c r="F117" s="29" t="str">
        <f>IF(Analysis!$I117="","",IF(Analysis!$I117="Loyal but shallow",Analysis!$C117,""))</f>
        <v/>
      </c>
      <c r="G117" s="29" t="str">
        <f>IF(Analysis!$I117="","",IF(Analysis!$I117="Project-driven",Analysis!$C117,""))</f>
        <v/>
      </c>
      <c r="H117" s="29" t="str">
        <f>IF(Analysis!$I117="","",IF(Analysis!$I117="Drifting",Analysis!$C117,""))</f>
        <v/>
      </c>
      <c r="I117" s="29" t="str">
        <f>IF(Analysis!$I117="","",IF(Analysis!$I117="Embedded",Analysis!$F117,""))</f>
        <v/>
      </c>
      <c r="J117" s="29" t="str">
        <f>IF(Analysis!$I117="","",IF(Analysis!$I117="Loyal but shallow",Analysis!$F117,""))</f>
        <v/>
      </c>
      <c r="K117" s="29" t="str">
        <f>IF(Analysis!$I117="","",IF(Analysis!$I117="Project-driven",Analysis!$F117,""))</f>
        <v/>
      </c>
      <c r="L117" s="29" t="str">
        <f>IF(Analysis!$I117="","",IF(Analysis!$I117="Drifting",Analysis!$F117,""))</f>
        <v/>
      </c>
      <c r="M117" s="29" t="str">
        <f>IF(Analysis!$I117="","",IF(Analysis!$I117="Embedded",Analysis!$H117,""))</f>
        <v/>
      </c>
      <c r="N117" s="29" t="str">
        <f>IF(Analysis!$I117="","",IF(Analysis!$I117="Loyal but shallow",Analysis!$H117,""))</f>
        <v/>
      </c>
      <c r="O117" s="29" t="str">
        <f>IF(Analysis!$I117="","",IF(Analysis!$I117="Project-driven",Analysis!$H117,""))</f>
        <v/>
      </c>
      <c r="P117" s="29" t="str">
        <f>IF(Analysis!$I117="","",IF(Analysis!$I117="Drifting",Analysis!$H117,""))</f>
        <v/>
      </c>
    </row>
    <row r="118" spans="1:16" x14ac:dyDescent="0.25">
      <c r="A118" s="29" t="str">
        <f>IF(Analysis!$I118="","",IF(Analysis!$I118="Embedded",Analysis!$D118,""))</f>
        <v/>
      </c>
      <c r="B118" s="29" t="str">
        <f>IF(Analysis!$I118="","",IF(Analysis!$I118="Loyal but shallow",Analysis!$D118,""))</f>
        <v/>
      </c>
      <c r="C118" s="29" t="str">
        <f>IF(Analysis!$I118="","",IF(Analysis!$I118="Project-driven",Analysis!$D118,""))</f>
        <v/>
      </c>
      <c r="D118" s="29" t="str">
        <f>IF(Analysis!$I118="","",IF(Analysis!$I118="Drifting",Analysis!$D118,""))</f>
        <v/>
      </c>
      <c r="E118" s="29" t="str">
        <f>IF(Analysis!$I118="","",IF(Analysis!$I118="Embedded",Analysis!$C118,""))</f>
        <v/>
      </c>
      <c r="F118" s="29" t="str">
        <f>IF(Analysis!$I118="","",IF(Analysis!$I118="Loyal but shallow",Analysis!$C118,""))</f>
        <v/>
      </c>
      <c r="G118" s="29" t="str">
        <f>IF(Analysis!$I118="","",IF(Analysis!$I118="Project-driven",Analysis!$C118,""))</f>
        <v/>
      </c>
      <c r="H118" s="29" t="str">
        <f>IF(Analysis!$I118="","",IF(Analysis!$I118="Drifting",Analysis!$C118,""))</f>
        <v/>
      </c>
      <c r="I118" s="29" t="str">
        <f>IF(Analysis!$I118="","",IF(Analysis!$I118="Embedded",Analysis!$F118,""))</f>
        <v/>
      </c>
      <c r="J118" s="29" t="str">
        <f>IF(Analysis!$I118="","",IF(Analysis!$I118="Loyal but shallow",Analysis!$F118,""))</f>
        <v/>
      </c>
      <c r="K118" s="29" t="str">
        <f>IF(Analysis!$I118="","",IF(Analysis!$I118="Project-driven",Analysis!$F118,""))</f>
        <v/>
      </c>
      <c r="L118" s="29" t="str">
        <f>IF(Analysis!$I118="","",IF(Analysis!$I118="Drifting",Analysis!$F118,""))</f>
        <v/>
      </c>
      <c r="M118" s="29" t="str">
        <f>IF(Analysis!$I118="","",IF(Analysis!$I118="Embedded",Analysis!$H118,""))</f>
        <v/>
      </c>
      <c r="N118" s="29" t="str">
        <f>IF(Analysis!$I118="","",IF(Analysis!$I118="Loyal but shallow",Analysis!$H118,""))</f>
        <v/>
      </c>
      <c r="O118" s="29" t="str">
        <f>IF(Analysis!$I118="","",IF(Analysis!$I118="Project-driven",Analysis!$H118,""))</f>
        <v/>
      </c>
      <c r="P118" s="29" t="str">
        <f>IF(Analysis!$I118="","",IF(Analysis!$I118="Drifting",Analysis!$H118,""))</f>
        <v/>
      </c>
    </row>
    <row r="119" spans="1:16" x14ac:dyDescent="0.25">
      <c r="A119" s="29" t="str">
        <f>IF(Analysis!$I119="","",IF(Analysis!$I119="Embedded",Analysis!$D119,""))</f>
        <v/>
      </c>
      <c r="B119" s="29" t="str">
        <f>IF(Analysis!$I119="","",IF(Analysis!$I119="Loyal but shallow",Analysis!$D119,""))</f>
        <v/>
      </c>
      <c r="C119" s="29" t="str">
        <f>IF(Analysis!$I119="","",IF(Analysis!$I119="Project-driven",Analysis!$D119,""))</f>
        <v/>
      </c>
      <c r="D119" s="29" t="str">
        <f>IF(Analysis!$I119="","",IF(Analysis!$I119="Drifting",Analysis!$D119,""))</f>
        <v/>
      </c>
      <c r="E119" s="29" t="str">
        <f>IF(Analysis!$I119="","",IF(Analysis!$I119="Embedded",Analysis!$C119,""))</f>
        <v/>
      </c>
      <c r="F119" s="29" t="str">
        <f>IF(Analysis!$I119="","",IF(Analysis!$I119="Loyal but shallow",Analysis!$C119,""))</f>
        <v/>
      </c>
      <c r="G119" s="29" t="str">
        <f>IF(Analysis!$I119="","",IF(Analysis!$I119="Project-driven",Analysis!$C119,""))</f>
        <v/>
      </c>
      <c r="H119" s="29" t="str">
        <f>IF(Analysis!$I119="","",IF(Analysis!$I119="Drifting",Analysis!$C119,""))</f>
        <v/>
      </c>
      <c r="I119" s="29" t="str">
        <f>IF(Analysis!$I119="","",IF(Analysis!$I119="Embedded",Analysis!$F119,""))</f>
        <v/>
      </c>
      <c r="J119" s="29" t="str">
        <f>IF(Analysis!$I119="","",IF(Analysis!$I119="Loyal but shallow",Analysis!$F119,""))</f>
        <v/>
      </c>
      <c r="K119" s="29" t="str">
        <f>IF(Analysis!$I119="","",IF(Analysis!$I119="Project-driven",Analysis!$F119,""))</f>
        <v/>
      </c>
      <c r="L119" s="29" t="str">
        <f>IF(Analysis!$I119="","",IF(Analysis!$I119="Drifting",Analysis!$F119,""))</f>
        <v/>
      </c>
      <c r="M119" s="29" t="str">
        <f>IF(Analysis!$I119="","",IF(Analysis!$I119="Embedded",Analysis!$H119,""))</f>
        <v/>
      </c>
      <c r="N119" s="29" t="str">
        <f>IF(Analysis!$I119="","",IF(Analysis!$I119="Loyal but shallow",Analysis!$H119,""))</f>
        <v/>
      </c>
      <c r="O119" s="29" t="str">
        <f>IF(Analysis!$I119="","",IF(Analysis!$I119="Project-driven",Analysis!$H119,""))</f>
        <v/>
      </c>
      <c r="P119" s="29" t="str">
        <f>IF(Analysis!$I119="","",IF(Analysis!$I119="Drifting",Analysis!$H119,""))</f>
        <v/>
      </c>
    </row>
    <row r="120" spans="1:16" x14ac:dyDescent="0.25">
      <c r="A120" s="29" t="str">
        <f>IF(Analysis!$I120="","",IF(Analysis!$I120="Embedded",Analysis!$D120,""))</f>
        <v/>
      </c>
      <c r="B120" s="29" t="str">
        <f>IF(Analysis!$I120="","",IF(Analysis!$I120="Loyal but shallow",Analysis!$D120,""))</f>
        <v/>
      </c>
      <c r="C120" s="29" t="str">
        <f>IF(Analysis!$I120="","",IF(Analysis!$I120="Project-driven",Analysis!$D120,""))</f>
        <v/>
      </c>
      <c r="D120" s="29" t="str">
        <f>IF(Analysis!$I120="","",IF(Analysis!$I120="Drifting",Analysis!$D120,""))</f>
        <v/>
      </c>
      <c r="E120" s="29" t="str">
        <f>IF(Analysis!$I120="","",IF(Analysis!$I120="Embedded",Analysis!$C120,""))</f>
        <v/>
      </c>
      <c r="F120" s="29" t="str">
        <f>IF(Analysis!$I120="","",IF(Analysis!$I120="Loyal but shallow",Analysis!$C120,""))</f>
        <v/>
      </c>
      <c r="G120" s="29" t="str">
        <f>IF(Analysis!$I120="","",IF(Analysis!$I120="Project-driven",Analysis!$C120,""))</f>
        <v/>
      </c>
      <c r="H120" s="29" t="str">
        <f>IF(Analysis!$I120="","",IF(Analysis!$I120="Drifting",Analysis!$C120,""))</f>
        <v/>
      </c>
      <c r="I120" s="29" t="str">
        <f>IF(Analysis!$I120="","",IF(Analysis!$I120="Embedded",Analysis!$F120,""))</f>
        <v/>
      </c>
      <c r="J120" s="29" t="str">
        <f>IF(Analysis!$I120="","",IF(Analysis!$I120="Loyal but shallow",Analysis!$F120,""))</f>
        <v/>
      </c>
      <c r="K120" s="29" t="str">
        <f>IF(Analysis!$I120="","",IF(Analysis!$I120="Project-driven",Analysis!$F120,""))</f>
        <v/>
      </c>
      <c r="L120" s="29" t="str">
        <f>IF(Analysis!$I120="","",IF(Analysis!$I120="Drifting",Analysis!$F120,""))</f>
        <v/>
      </c>
      <c r="M120" s="29" t="str">
        <f>IF(Analysis!$I120="","",IF(Analysis!$I120="Embedded",Analysis!$H120,""))</f>
        <v/>
      </c>
      <c r="N120" s="29" t="str">
        <f>IF(Analysis!$I120="","",IF(Analysis!$I120="Loyal but shallow",Analysis!$H120,""))</f>
        <v/>
      </c>
      <c r="O120" s="29" t="str">
        <f>IF(Analysis!$I120="","",IF(Analysis!$I120="Project-driven",Analysis!$H120,""))</f>
        <v/>
      </c>
      <c r="P120" s="29" t="str">
        <f>IF(Analysis!$I120="","",IF(Analysis!$I120="Drifting",Analysis!$H120,""))</f>
        <v/>
      </c>
    </row>
    <row r="121" spans="1:16" x14ac:dyDescent="0.25">
      <c r="A121" s="29" t="str">
        <f>IF(Analysis!$I121="","",IF(Analysis!$I121="Embedded",Analysis!$D121,""))</f>
        <v/>
      </c>
      <c r="B121" s="29" t="str">
        <f>IF(Analysis!$I121="","",IF(Analysis!$I121="Loyal but shallow",Analysis!$D121,""))</f>
        <v/>
      </c>
      <c r="C121" s="29" t="str">
        <f>IF(Analysis!$I121="","",IF(Analysis!$I121="Project-driven",Analysis!$D121,""))</f>
        <v/>
      </c>
      <c r="D121" s="29" t="str">
        <f>IF(Analysis!$I121="","",IF(Analysis!$I121="Drifting",Analysis!$D121,""))</f>
        <v/>
      </c>
      <c r="E121" s="29" t="str">
        <f>IF(Analysis!$I121="","",IF(Analysis!$I121="Embedded",Analysis!$C121,""))</f>
        <v/>
      </c>
      <c r="F121" s="29" t="str">
        <f>IF(Analysis!$I121="","",IF(Analysis!$I121="Loyal but shallow",Analysis!$C121,""))</f>
        <v/>
      </c>
      <c r="G121" s="29" t="str">
        <f>IF(Analysis!$I121="","",IF(Analysis!$I121="Project-driven",Analysis!$C121,""))</f>
        <v/>
      </c>
      <c r="H121" s="29" t="str">
        <f>IF(Analysis!$I121="","",IF(Analysis!$I121="Drifting",Analysis!$C121,""))</f>
        <v/>
      </c>
      <c r="I121" s="29" t="str">
        <f>IF(Analysis!$I121="","",IF(Analysis!$I121="Embedded",Analysis!$F121,""))</f>
        <v/>
      </c>
      <c r="J121" s="29" t="str">
        <f>IF(Analysis!$I121="","",IF(Analysis!$I121="Loyal but shallow",Analysis!$F121,""))</f>
        <v/>
      </c>
      <c r="K121" s="29" t="str">
        <f>IF(Analysis!$I121="","",IF(Analysis!$I121="Project-driven",Analysis!$F121,""))</f>
        <v/>
      </c>
      <c r="L121" s="29" t="str">
        <f>IF(Analysis!$I121="","",IF(Analysis!$I121="Drifting",Analysis!$F121,""))</f>
        <v/>
      </c>
      <c r="M121" s="29" t="str">
        <f>IF(Analysis!$I121="","",IF(Analysis!$I121="Embedded",Analysis!$H121,""))</f>
        <v/>
      </c>
      <c r="N121" s="29" t="str">
        <f>IF(Analysis!$I121="","",IF(Analysis!$I121="Loyal but shallow",Analysis!$H121,""))</f>
        <v/>
      </c>
      <c r="O121" s="29" t="str">
        <f>IF(Analysis!$I121="","",IF(Analysis!$I121="Project-driven",Analysis!$H121,""))</f>
        <v/>
      </c>
      <c r="P121" s="29" t="str">
        <f>IF(Analysis!$I121="","",IF(Analysis!$I121="Drifting",Analysis!$H121,""))</f>
        <v/>
      </c>
    </row>
    <row r="122" spans="1:16" x14ac:dyDescent="0.25">
      <c r="A122" s="29" t="str">
        <f>IF(Analysis!$I122="","",IF(Analysis!$I122="Embedded",Analysis!$D122,""))</f>
        <v/>
      </c>
      <c r="B122" s="29" t="str">
        <f>IF(Analysis!$I122="","",IF(Analysis!$I122="Loyal but shallow",Analysis!$D122,""))</f>
        <v/>
      </c>
      <c r="C122" s="29" t="str">
        <f>IF(Analysis!$I122="","",IF(Analysis!$I122="Project-driven",Analysis!$D122,""))</f>
        <v/>
      </c>
      <c r="D122" s="29" t="str">
        <f>IF(Analysis!$I122="","",IF(Analysis!$I122="Drifting",Analysis!$D122,""))</f>
        <v/>
      </c>
      <c r="E122" s="29" t="str">
        <f>IF(Analysis!$I122="","",IF(Analysis!$I122="Embedded",Analysis!$C122,""))</f>
        <v/>
      </c>
      <c r="F122" s="29" t="str">
        <f>IF(Analysis!$I122="","",IF(Analysis!$I122="Loyal but shallow",Analysis!$C122,""))</f>
        <v/>
      </c>
      <c r="G122" s="29" t="str">
        <f>IF(Analysis!$I122="","",IF(Analysis!$I122="Project-driven",Analysis!$C122,""))</f>
        <v/>
      </c>
      <c r="H122" s="29" t="str">
        <f>IF(Analysis!$I122="","",IF(Analysis!$I122="Drifting",Analysis!$C122,""))</f>
        <v/>
      </c>
      <c r="I122" s="29" t="str">
        <f>IF(Analysis!$I122="","",IF(Analysis!$I122="Embedded",Analysis!$F122,""))</f>
        <v/>
      </c>
      <c r="J122" s="29" t="str">
        <f>IF(Analysis!$I122="","",IF(Analysis!$I122="Loyal but shallow",Analysis!$F122,""))</f>
        <v/>
      </c>
      <c r="K122" s="29" t="str">
        <f>IF(Analysis!$I122="","",IF(Analysis!$I122="Project-driven",Analysis!$F122,""))</f>
        <v/>
      </c>
      <c r="L122" s="29" t="str">
        <f>IF(Analysis!$I122="","",IF(Analysis!$I122="Drifting",Analysis!$F122,""))</f>
        <v/>
      </c>
      <c r="M122" s="29" t="str">
        <f>IF(Analysis!$I122="","",IF(Analysis!$I122="Embedded",Analysis!$H122,""))</f>
        <v/>
      </c>
      <c r="N122" s="29" t="str">
        <f>IF(Analysis!$I122="","",IF(Analysis!$I122="Loyal but shallow",Analysis!$H122,""))</f>
        <v/>
      </c>
      <c r="O122" s="29" t="str">
        <f>IF(Analysis!$I122="","",IF(Analysis!$I122="Project-driven",Analysis!$H122,""))</f>
        <v/>
      </c>
      <c r="P122" s="29" t="str">
        <f>IF(Analysis!$I122="","",IF(Analysis!$I122="Drifting",Analysis!$H122,""))</f>
        <v/>
      </c>
    </row>
    <row r="123" spans="1:16" x14ac:dyDescent="0.25">
      <c r="A123" s="29" t="str">
        <f>IF(Analysis!$I123="","",IF(Analysis!$I123="Embedded",Analysis!$D123,""))</f>
        <v/>
      </c>
      <c r="B123" s="29" t="str">
        <f>IF(Analysis!$I123="","",IF(Analysis!$I123="Loyal but shallow",Analysis!$D123,""))</f>
        <v/>
      </c>
      <c r="C123" s="29" t="str">
        <f>IF(Analysis!$I123="","",IF(Analysis!$I123="Project-driven",Analysis!$D123,""))</f>
        <v/>
      </c>
      <c r="D123" s="29" t="str">
        <f>IF(Analysis!$I123="","",IF(Analysis!$I123="Drifting",Analysis!$D123,""))</f>
        <v/>
      </c>
      <c r="E123" s="29" t="str">
        <f>IF(Analysis!$I123="","",IF(Analysis!$I123="Embedded",Analysis!$C123,""))</f>
        <v/>
      </c>
      <c r="F123" s="29" t="str">
        <f>IF(Analysis!$I123="","",IF(Analysis!$I123="Loyal but shallow",Analysis!$C123,""))</f>
        <v/>
      </c>
      <c r="G123" s="29" t="str">
        <f>IF(Analysis!$I123="","",IF(Analysis!$I123="Project-driven",Analysis!$C123,""))</f>
        <v/>
      </c>
      <c r="H123" s="29" t="str">
        <f>IF(Analysis!$I123="","",IF(Analysis!$I123="Drifting",Analysis!$C123,""))</f>
        <v/>
      </c>
      <c r="I123" s="29" t="str">
        <f>IF(Analysis!$I123="","",IF(Analysis!$I123="Embedded",Analysis!$F123,""))</f>
        <v/>
      </c>
      <c r="J123" s="29" t="str">
        <f>IF(Analysis!$I123="","",IF(Analysis!$I123="Loyal but shallow",Analysis!$F123,""))</f>
        <v/>
      </c>
      <c r="K123" s="29" t="str">
        <f>IF(Analysis!$I123="","",IF(Analysis!$I123="Project-driven",Analysis!$F123,""))</f>
        <v/>
      </c>
      <c r="L123" s="29" t="str">
        <f>IF(Analysis!$I123="","",IF(Analysis!$I123="Drifting",Analysis!$F123,""))</f>
        <v/>
      </c>
      <c r="M123" s="29" t="str">
        <f>IF(Analysis!$I123="","",IF(Analysis!$I123="Embedded",Analysis!$H123,""))</f>
        <v/>
      </c>
      <c r="N123" s="29" t="str">
        <f>IF(Analysis!$I123="","",IF(Analysis!$I123="Loyal but shallow",Analysis!$H123,""))</f>
        <v/>
      </c>
      <c r="O123" s="29" t="str">
        <f>IF(Analysis!$I123="","",IF(Analysis!$I123="Project-driven",Analysis!$H123,""))</f>
        <v/>
      </c>
      <c r="P123" s="29" t="str">
        <f>IF(Analysis!$I123="","",IF(Analysis!$I123="Drifting",Analysis!$H123,""))</f>
        <v/>
      </c>
    </row>
    <row r="124" spans="1:16" x14ac:dyDescent="0.25">
      <c r="A124" s="29" t="str">
        <f>IF(Analysis!$I124="","",IF(Analysis!$I124="Embedded",Analysis!$D124,""))</f>
        <v/>
      </c>
      <c r="B124" s="29" t="str">
        <f>IF(Analysis!$I124="","",IF(Analysis!$I124="Loyal but shallow",Analysis!$D124,""))</f>
        <v/>
      </c>
      <c r="C124" s="29" t="str">
        <f>IF(Analysis!$I124="","",IF(Analysis!$I124="Project-driven",Analysis!$D124,""))</f>
        <v/>
      </c>
      <c r="D124" s="29" t="str">
        <f>IF(Analysis!$I124="","",IF(Analysis!$I124="Drifting",Analysis!$D124,""))</f>
        <v/>
      </c>
      <c r="E124" s="29" t="str">
        <f>IF(Analysis!$I124="","",IF(Analysis!$I124="Embedded",Analysis!$C124,""))</f>
        <v/>
      </c>
      <c r="F124" s="29" t="str">
        <f>IF(Analysis!$I124="","",IF(Analysis!$I124="Loyal but shallow",Analysis!$C124,""))</f>
        <v/>
      </c>
      <c r="G124" s="29" t="str">
        <f>IF(Analysis!$I124="","",IF(Analysis!$I124="Project-driven",Analysis!$C124,""))</f>
        <v/>
      </c>
      <c r="H124" s="29" t="str">
        <f>IF(Analysis!$I124="","",IF(Analysis!$I124="Drifting",Analysis!$C124,""))</f>
        <v/>
      </c>
      <c r="I124" s="29" t="str">
        <f>IF(Analysis!$I124="","",IF(Analysis!$I124="Embedded",Analysis!$F124,""))</f>
        <v/>
      </c>
      <c r="J124" s="29" t="str">
        <f>IF(Analysis!$I124="","",IF(Analysis!$I124="Loyal but shallow",Analysis!$F124,""))</f>
        <v/>
      </c>
      <c r="K124" s="29" t="str">
        <f>IF(Analysis!$I124="","",IF(Analysis!$I124="Project-driven",Analysis!$F124,""))</f>
        <v/>
      </c>
      <c r="L124" s="29" t="str">
        <f>IF(Analysis!$I124="","",IF(Analysis!$I124="Drifting",Analysis!$F124,""))</f>
        <v/>
      </c>
      <c r="M124" s="29" t="str">
        <f>IF(Analysis!$I124="","",IF(Analysis!$I124="Embedded",Analysis!$H124,""))</f>
        <v/>
      </c>
      <c r="N124" s="29" t="str">
        <f>IF(Analysis!$I124="","",IF(Analysis!$I124="Loyal but shallow",Analysis!$H124,""))</f>
        <v/>
      </c>
      <c r="O124" s="29" t="str">
        <f>IF(Analysis!$I124="","",IF(Analysis!$I124="Project-driven",Analysis!$H124,""))</f>
        <v/>
      </c>
      <c r="P124" s="29" t="str">
        <f>IF(Analysis!$I124="","",IF(Analysis!$I124="Drifting",Analysis!$H124,""))</f>
        <v/>
      </c>
    </row>
    <row r="125" spans="1:16" x14ac:dyDescent="0.25">
      <c r="A125" s="29" t="str">
        <f>IF(Analysis!$I125="","",IF(Analysis!$I125="Embedded",Analysis!$D125,""))</f>
        <v/>
      </c>
      <c r="B125" s="29" t="str">
        <f>IF(Analysis!$I125="","",IF(Analysis!$I125="Loyal but shallow",Analysis!$D125,""))</f>
        <v/>
      </c>
      <c r="C125" s="29" t="str">
        <f>IF(Analysis!$I125="","",IF(Analysis!$I125="Project-driven",Analysis!$D125,""))</f>
        <v/>
      </c>
      <c r="D125" s="29" t="str">
        <f>IF(Analysis!$I125="","",IF(Analysis!$I125="Drifting",Analysis!$D125,""))</f>
        <v/>
      </c>
      <c r="E125" s="29" t="str">
        <f>IF(Analysis!$I125="","",IF(Analysis!$I125="Embedded",Analysis!$C125,""))</f>
        <v/>
      </c>
      <c r="F125" s="29" t="str">
        <f>IF(Analysis!$I125="","",IF(Analysis!$I125="Loyal but shallow",Analysis!$C125,""))</f>
        <v/>
      </c>
      <c r="G125" s="29" t="str">
        <f>IF(Analysis!$I125="","",IF(Analysis!$I125="Project-driven",Analysis!$C125,""))</f>
        <v/>
      </c>
      <c r="H125" s="29" t="str">
        <f>IF(Analysis!$I125="","",IF(Analysis!$I125="Drifting",Analysis!$C125,""))</f>
        <v/>
      </c>
      <c r="I125" s="29" t="str">
        <f>IF(Analysis!$I125="","",IF(Analysis!$I125="Embedded",Analysis!$F125,""))</f>
        <v/>
      </c>
      <c r="J125" s="29" t="str">
        <f>IF(Analysis!$I125="","",IF(Analysis!$I125="Loyal but shallow",Analysis!$F125,""))</f>
        <v/>
      </c>
      <c r="K125" s="29" t="str">
        <f>IF(Analysis!$I125="","",IF(Analysis!$I125="Project-driven",Analysis!$F125,""))</f>
        <v/>
      </c>
      <c r="L125" s="29" t="str">
        <f>IF(Analysis!$I125="","",IF(Analysis!$I125="Drifting",Analysis!$F125,""))</f>
        <v/>
      </c>
      <c r="M125" s="29" t="str">
        <f>IF(Analysis!$I125="","",IF(Analysis!$I125="Embedded",Analysis!$H125,""))</f>
        <v/>
      </c>
      <c r="N125" s="29" t="str">
        <f>IF(Analysis!$I125="","",IF(Analysis!$I125="Loyal but shallow",Analysis!$H125,""))</f>
        <v/>
      </c>
      <c r="O125" s="29" t="str">
        <f>IF(Analysis!$I125="","",IF(Analysis!$I125="Project-driven",Analysis!$H125,""))</f>
        <v/>
      </c>
      <c r="P125" s="29" t="str">
        <f>IF(Analysis!$I125="","",IF(Analysis!$I125="Drifting",Analysis!$H125,""))</f>
        <v/>
      </c>
    </row>
    <row r="126" spans="1:16" x14ac:dyDescent="0.25">
      <c r="A126" s="29" t="str">
        <f>IF(Analysis!$I126="","",IF(Analysis!$I126="Embedded",Analysis!$D126,""))</f>
        <v/>
      </c>
      <c r="B126" s="29" t="str">
        <f>IF(Analysis!$I126="","",IF(Analysis!$I126="Loyal but shallow",Analysis!$D126,""))</f>
        <v/>
      </c>
      <c r="C126" s="29" t="str">
        <f>IF(Analysis!$I126="","",IF(Analysis!$I126="Project-driven",Analysis!$D126,""))</f>
        <v/>
      </c>
      <c r="D126" s="29" t="str">
        <f>IF(Analysis!$I126="","",IF(Analysis!$I126="Drifting",Analysis!$D126,""))</f>
        <v/>
      </c>
      <c r="E126" s="29" t="str">
        <f>IF(Analysis!$I126="","",IF(Analysis!$I126="Embedded",Analysis!$C126,""))</f>
        <v/>
      </c>
      <c r="F126" s="29" t="str">
        <f>IF(Analysis!$I126="","",IF(Analysis!$I126="Loyal but shallow",Analysis!$C126,""))</f>
        <v/>
      </c>
      <c r="G126" s="29" t="str">
        <f>IF(Analysis!$I126="","",IF(Analysis!$I126="Project-driven",Analysis!$C126,""))</f>
        <v/>
      </c>
      <c r="H126" s="29" t="str">
        <f>IF(Analysis!$I126="","",IF(Analysis!$I126="Drifting",Analysis!$C126,""))</f>
        <v/>
      </c>
      <c r="I126" s="29" t="str">
        <f>IF(Analysis!$I126="","",IF(Analysis!$I126="Embedded",Analysis!$F126,""))</f>
        <v/>
      </c>
      <c r="J126" s="29" t="str">
        <f>IF(Analysis!$I126="","",IF(Analysis!$I126="Loyal but shallow",Analysis!$F126,""))</f>
        <v/>
      </c>
      <c r="K126" s="29" t="str">
        <f>IF(Analysis!$I126="","",IF(Analysis!$I126="Project-driven",Analysis!$F126,""))</f>
        <v/>
      </c>
      <c r="L126" s="29" t="str">
        <f>IF(Analysis!$I126="","",IF(Analysis!$I126="Drifting",Analysis!$F126,""))</f>
        <v/>
      </c>
      <c r="M126" s="29" t="str">
        <f>IF(Analysis!$I126="","",IF(Analysis!$I126="Embedded",Analysis!$H126,""))</f>
        <v/>
      </c>
      <c r="N126" s="29" t="str">
        <f>IF(Analysis!$I126="","",IF(Analysis!$I126="Loyal but shallow",Analysis!$H126,""))</f>
        <v/>
      </c>
      <c r="O126" s="29" t="str">
        <f>IF(Analysis!$I126="","",IF(Analysis!$I126="Project-driven",Analysis!$H126,""))</f>
        <v/>
      </c>
      <c r="P126" s="29" t="str">
        <f>IF(Analysis!$I126="","",IF(Analysis!$I126="Drifting",Analysis!$H126,""))</f>
        <v/>
      </c>
    </row>
    <row r="127" spans="1:16" x14ac:dyDescent="0.25">
      <c r="A127" s="29" t="str">
        <f>IF(Analysis!$I127="","",IF(Analysis!$I127="Embedded",Analysis!$D127,""))</f>
        <v/>
      </c>
      <c r="B127" s="29" t="str">
        <f>IF(Analysis!$I127="","",IF(Analysis!$I127="Loyal but shallow",Analysis!$D127,""))</f>
        <v/>
      </c>
      <c r="C127" s="29" t="str">
        <f>IF(Analysis!$I127="","",IF(Analysis!$I127="Project-driven",Analysis!$D127,""))</f>
        <v/>
      </c>
      <c r="D127" s="29" t="str">
        <f>IF(Analysis!$I127="","",IF(Analysis!$I127="Drifting",Analysis!$D127,""))</f>
        <v/>
      </c>
      <c r="E127" s="29" t="str">
        <f>IF(Analysis!$I127="","",IF(Analysis!$I127="Embedded",Analysis!$C127,""))</f>
        <v/>
      </c>
      <c r="F127" s="29" t="str">
        <f>IF(Analysis!$I127="","",IF(Analysis!$I127="Loyal but shallow",Analysis!$C127,""))</f>
        <v/>
      </c>
      <c r="G127" s="29" t="str">
        <f>IF(Analysis!$I127="","",IF(Analysis!$I127="Project-driven",Analysis!$C127,""))</f>
        <v/>
      </c>
      <c r="H127" s="29" t="str">
        <f>IF(Analysis!$I127="","",IF(Analysis!$I127="Drifting",Analysis!$C127,""))</f>
        <v/>
      </c>
      <c r="I127" s="29" t="str">
        <f>IF(Analysis!$I127="","",IF(Analysis!$I127="Embedded",Analysis!$F127,""))</f>
        <v/>
      </c>
      <c r="J127" s="29" t="str">
        <f>IF(Analysis!$I127="","",IF(Analysis!$I127="Loyal but shallow",Analysis!$F127,""))</f>
        <v/>
      </c>
      <c r="K127" s="29" t="str">
        <f>IF(Analysis!$I127="","",IF(Analysis!$I127="Project-driven",Analysis!$F127,""))</f>
        <v/>
      </c>
      <c r="L127" s="29" t="str">
        <f>IF(Analysis!$I127="","",IF(Analysis!$I127="Drifting",Analysis!$F127,""))</f>
        <v/>
      </c>
      <c r="M127" s="29" t="str">
        <f>IF(Analysis!$I127="","",IF(Analysis!$I127="Embedded",Analysis!$H127,""))</f>
        <v/>
      </c>
      <c r="N127" s="29" t="str">
        <f>IF(Analysis!$I127="","",IF(Analysis!$I127="Loyal but shallow",Analysis!$H127,""))</f>
        <v/>
      </c>
      <c r="O127" s="29" t="str">
        <f>IF(Analysis!$I127="","",IF(Analysis!$I127="Project-driven",Analysis!$H127,""))</f>
        <v/>
      </c>
      <c r="P127" s="29" t="str">
        <f>IF(Analysis!$I127="","",IF(Analysis!$I127="Drifting",Analysis!$H127,""))</f>
        <v/>
      </c>
    </row>
    <row r="128" spans="1:16" x14ac:dyDescent="0.25">
      <c r="A128" s="29" t="str">
        <f>IF(Analysis!$I128="","",IF(Analysis!$I128="Embedded",Analysis!$D128,""))</f>
        <v/>
      </c>
      <c r="B128" s="29" t="str">
        <f>IF(Analysis!$I128="","",IF(Analysis!$I128="Loyal but shallow",Analysis!$D128,""))</f>
        <v/>
      </c>
      <c r="C128" s="29" t="str">
        <f>IF(Analysis!$I128="","",IF(Analysis!$I128="Project-driven",Analysis!$D128,""))</f>
        <v/>
      </c>
      <c r="D128" s="29" t="str">
        <f>IF(Analysis!$I128="","",IF(Analysis!$I128="Drifting",Analysis!$D128,""))</f>
        <v/>
      </c>
      <c r="E128" s="29" t="str">
        <f>IF(Analysis!$I128="","",IF(Analysis!$I128="Embedded",Analysis!$C128,""))</f>
        <v/>
      </c>
      <c r="F128" s="29" t="str">
        <f>IF(Analysis!$I128="","",IF(Analysis!$I128="Loyal but shallow",Analysis!$C128,""))</f>
        <v/>
      </c>
      <c r="G128" s="29" t="str">
        <f>IF(Analysis!$I128="","",IF(Analysis!$I128="Project-driven",Analysis!$C128,""))</f>
        <v/>
      </c>
      <c r="H128" s="29" t="str">
        <f>IF(Analysis!$I128="","",IF(Analysis!$I128="Drifting",Analysis!$C128,""))</f>
        <v/>
      </c>
      <c r="I128" s="29" t="str">
        <f>IF(Analysis!$I128="","",IF(Analysis!$I128="Embedded",Analysis!$F128,""))</f>
        <v/>
      </c>
      <c r="J128" s="29" t="str">
        <f>IF(Analysis!$I128="","",IF(Analysis!$I128="Loyal but shallow",Analysis!$F128,""))</f>
        <v/>
      </c>
      <c r="K128" s="29" t="str">
        <f>IF(Analysis!$I128="","",IF(Analysis!$I128="Project-driven",Analysis!$F128,""))</f>
        <v/>
      </c>
      <c r="L128" s="29" t="str">
        <f>IF(Analysis!$I128="","",IF(Analysis!$I128="Drifting",Analysis!$F128,""))</f>
        <v/>
      </c>
      <c r="M128" s="29" t="str">
        <f>IF(Analysis!$I128="","",IF(Analysis!$I128="Embedded",Analysis!$H128,""))</f>
        <v/>
      </c>
      <c r="N128" s="29" t="str">
        <f>IF(Analysis!$I128="","",IF(Analysis!$I128="Loyal but shallow",Analysis!$H128,""))</f>
        <v/>
      </c>
      <c r="O128" s="29" t="str">
        <f>IF(Analysis!$I128="","",IF(Analysis!$I128="Project-driven",Analysis!$H128,""))</f>
        <v/>
      </c>
      <c r="P128" s="29" t="str">
        <f>IF(Analysis!$I128="","",IF(Analysis!$I128="Drifting",Analysis!$H128,""))</f>
        <v/>
      </c>
    </row>
    <row r="129" spans="1:16" x14ac:dyDescent="0.25">
      <c r="A129" s="29" t="str">
        <f>IF(Analysis!$I129="","",IF(Analysis!$I129="Embedded",Analysis!$D129,""))</f>
        <v/>
      </c>
      <c r="B129" s="29" t="str">
        <f>IF(Analysis!$I129="","",IF(Analysis!$I129="Loyal but shallow",Analysis!$D129,""))</f>
        <v/>
      </c>
      <c r="C129" s="29" t="str">
        <f>IF(Analysis!$I129="","",IF(Analysis!$I129="Project-driven",Analysis!$D129,""))</f>
        <v/>
      </c>
      <c r="D129" s="29" t="str">
        <f>IF(Analysis!$I129="","",IF(Analysis!$I129="Drifting",Analysis!$D129,""))</f>
        <v/>
      </c>
      <c r="E129" s="29" t="str">
        <f>IF(Analysis!$I129="","",IF(Analysis!$I129="Embedded",Analysis!$C129,""))</f>
        <v/>
      </c>
      <c r="F129" s="29" t="str">
        <f>IF(Analysis!$I129="","",IF(Analysis!$I129="Loyal but shallow",Analysis!$C129,""))</f>
        <v/>
      </c>
      <c r="G129" s="29" t="str">
        <f>IF(Analysis!$I129="","",IF(Analysis!$I129="Project-driven",Analysis!$C129,""))</f>
        <v/>
      </c>
      <c r="H129" s="29" t="str">
        <f>IF(Analysis!$I129="","",IF(Analysis!$I129="Drifting",Analysis!$C129,""))</f>
        <v/>
      </c>
      <c r="I129" s="29" t="str">
        <f>IF(Analysis!$I129="","",IF(Analysis!$I129="Embedded",Analysis!$F129,""))</f>
        <v/>
      </c>
      <c r="J129" s="29" t="str">
        <f>IF(Analysis!$I129="","",IF(Analysis!$I129="Loyal but shallow",Analysis!$F129,""))</f>
        <v/>
      </c>
      <c r="K129" s="29" t="str">
        <f>IF(Analysis!$I129="","",IF(Analysis!$I129="Project-driven",Analysis!$F129,""))</f>
        <v/>
      </c>
      <c r="L129" s="29" t="str">
        <f>IF(Analysis!$I129="","",IF(Analysis!$I129="Drifting",Analysis!$F129,""))</f>
        <v/>
      </c>
      <c r="M129" s="29" t="str">
        <f>IF(Analysis!$I129="","",IF(Analysis!$I129="Embedded",Analysis!$H129,""))</f>
        <v/>
      </c>
      <c r="N129" s="29" t="str">
        <f>IF(Analysis!$I129="","",IF(Analysis!$I129="Loyal but shallow",Analysis!$H129,""))</f>
        <v/>
      </c>
      <c r="O129" s="29" t="str">
        <f>IF(Analysis!$I129="","",IF(Analysis!$I129="Project-driven",Analysis!$H129,""))</f>
        <v/>
      </c>
      <c r="P129" s="29" t="str">
        <f>IF(Analysis!$I129="","",IF(Analysis!$I129="Drifting",Analysis!$H129,""))</f>
        <v/>
      </c>
    </row>
    <row r="130" spans="1:16" x14ac:dyDescent="0.25">
      <c r="A130" s="29" t="str">
        <f>IF(Analysis!$I130="","",IF(Analysis!$I130="Embedded",Analysis!$D130,""))</f>
        <v/>
      </c>
      <c r="B130" s="29" t="str">
        <f>IF(Analysis!$I130="","",IF(Analysis!$I130="Loyal but shallow",Analysis!$D130,""))</f>
        <v/>
      </c>
      <c r="C130" s="29" t="str">
        <f>IF(Analysis!$I130="","",IF(Analysis!$I130="Project-driven",Analysis!$D130,""))</f>
        <v/>
      </c>
      <c r="D130" s="29" t="str">
        <f>IF(Analysis!$I130="","",IF(Analysis!$I130="Drifting",Analysis!$D130,""))</f>
        <v/>
      </c>
      <c r="E130" s="29" t="str">
        <f>IF(Analysis!$I130="","",IF(Analysis!$I130="Embedded",Analysis!$C130,""))</f>
        <v/>
      </c>
      <c r="F130" s="29" t="str">
        <f>IF(Analysis!$I130="","",IF(Analysis!$I130="Loyal but shallow",Analysis!$C130,""))</f>
        <v/>
      </c>
      <c r="G130" s="29" t="str">
        <f>IF(Analysis!$I130="","",IF(Analysis!$I130="Project-driven",Analysis!$C130,""))</f>
        <v/>
      </c>
      <c r="H130" s="29" t="str">
        <f>IF(Analysis!$I130="","",IF(Analysis!$I130="Drifting",Analysis!$C130,""))</f>
        <v/>
      </c>
      <c r="I130" s="29" t="str">
        <f>IF(Analysis!$I130="","",IF(Analysis!$I130="Embedded",Analysis!$F130,""))</f>
        <v/>
      </c>
      <c r="J130" s="29" t="str">
        <f>IF(Analysis!$I130="","",IF(Analysis!$I130="Loyal but shallow",Analysis!$F130,""))</f>
        <v/>
      </c>
      <c r="K130" s="29" t="str">
        <f>IF(Analysis!$I130="","",IF(Analysis!$I130="Project-driven",Analysis!$F130,""))</f>
        <v/>
      </c>
      <c r="L130" s="29" t="str">
        <f>IF(Analysis!$I130="","",IF(Analysis!$I130="Drifting",Analysis!$F130,""))</f>
        <v/>
      </c>
      <c r="M130" s="29" t="str">
        <f>IF(Analysis!$I130="","",IF(Analysis!$I130="Embedded",Analysis!$H130,""))</f>
        <v/>
      </c>
      <c r="N130" s="29" t="str">
        <f>IF(Analysis!$I130="","",IF(Analysis!$I130="Loyal but shallow",Analysis!$H130,""))</f>
        <v/>
      </c>
      <c r="O130" s="29" t="str">
        <f>IF(Analysis!$I130="","",IF(Analysis!$I130="Project-driven",Analysis!$H130,""))</f>
        <v/>
      </c>
      <c r="P130" s="29" t="str">
        <f>IF(Analysis!$I130="","",IF(Analysis!$I130="Drifting",Analysis!$H130,""))</f>
        <v/>
      </c>
    </row>
    <row r="131" spans="1:16" x14ac:dyDescent="0.25">
      <c r="A131" s="29" t="str">
        <f>IF(Analysis!$I131="","",IF(Analysis!$I131="Embedded",Analysis!$D131,""))</f>
        <v/>
      </c>
      <c r="B131" s="29" t="str">
        <f>IF(Analysis!$I131="","",IF(Analysis!$I131="Loyal but shallow",Analysis!$D131,""))</f>
        <v/>
      </c>
      <c r="C131" s="29" t="str">
        <f>IF(Analysis!$I131="","",IF(Analysis!$I131="Project-driven",Analysis!$D131,""))</f>
        <v/>
      </c>
      <c r="D131" s="29" t="str">
        <f>IF(Analysis!$I131="","",IF(Analysis!$I131="Drifting",Analysis!$D131,""))</f>
        <v/>
      </c>
      <c r="E131" s="29" t="str">
        <f>IF(Analysis!$I131="","",IF(Analysis!$I131="Embedded",Analysis!$C131,""))</f>
        <v/>
      </c>
      <c r="F131" s="29" t="str">
        <f>IF(Analysis!$I131="","",IF(Analysis!$I131="Loyal but shallow",Analysis!$C131,""))</f>
        <v/>
      </c>
      <c r="G131" s="29" t="str">
        <f>IF(Analysis!$I131="","",IF(Analysis!$I131="Project-driven",Analysis!$C131,""))</f>
        <v/>
      </c>
      <c r="H131" s="29" t="str">
        <f>IF(Analysis!$I131="","",IF(Analysis!$I131="Drifting",Analysis!$C131,""))</f>
        <v/>
      </c>
      <c r="I131" s="29" t="str">
        <f>IF(Analysis!$I131="","",IF(Analysis!$I131="Embedded",Analysis!$F131,""))</f>
        <v/>
      </c>
      <c r="J131" s="29" t="str">
        <f>IF(Analysis!$I131="","",IF(Analysis!$I131="Loyal but shallow",Analysis!$F131,""))</f>
        <v/>
      </c>
      <c r="K131" s="29" t="str">
        <f>IF(Analysis!$I131="","",IF(Analysis!$I131="Project-driven",Analysis!$F131,""))</f>
        <v/>
      </c>
      <c r="L131" s="29" t="str">
        <f>IF(Analysis!$I131="","",IF(Analysis!$I131="Drifting",Analysis!$F131,""))</f>
        <v/>
      </c>
      <c r="M131" s="29" t="str">
        <f>IF(Analysis!$I131="","",IF(Analysis!$I131="Embedded",Analysis!$H131,""))</f>
        <v/>
      </c>
      <c r="N131" s="29" t="str">
        <f>IF(Analysis!$I131="","",IF(Analysis!$I131="Loyal but shallow",Analysis!$H131,""))</f>
        <v/>
      </c>
      <c r="O131" s="29" t="str">
        <f>IF(Analysis!$I131="","",IF(Analysis!$I131="Project-driven",Analysis!$H131,""))</f>
        <v/>
      </c>
      <c r="P131" s="29" t="str">
        <f>IF(Analysis!$I131="","",IF(Analysis!$I131="Drifting",Analysis!$H131,""))</f>
        <v/>
      </c>
    </row>
    <row r="132" spans="1:16" x14ac:dyDescent="0.25">
      <c r="A132" s="29" t="str">
        <f>IF(Analysis!$I132="","",IF(Analysis!$I132="Embedded",Analysis!$D132,""))</f>
        <v/>
      </c>
      <c r="B132" s="29" t="str">
        <f>IF(Analysis!$I132="","",IF(Analysis!$I132="Loyal but shallow",Analysis!$D132,""))</f>
        <v/>
      </c>
      <c r="C132" s="29" t="str">
        <f>IF(Analysis!$I132="","",IF(Analysis!$I132="Project-driven",Analysis!$D132,""))</f>
        <v/>
      </c>
      <c r="D132" s="29" t="str">
        <f>IF(Analysis!$I132="","",IF(Analysis!$I132="Drifting",Analysis!$D132,""))</f>
        <v/>
      </c>
      <c r="E132" s="29" t="str">
        <f>IF(Analysis!$I132="","",IF(Analysis!$I132="Embedded",Analysis!$C132,""))</f>
        <v/>
      </c>
      <c r="F132" s="29" t="str">
        <f>IF(Analysis!$I132="","",IF(Analysis!$I132="Loyal but shallow",Analysis!$C132,""))</f>
        <v/>
      </c>
      <c r="G132" s="29" t="str">
        <f>IF(Analysis!$I132="","",IF(Analysis!$I132="Project-driven",Analysis!$C132,""))</f>
        <v/>
      </c>
      <c r="H132" s="29" t="str">
        <f>IF(Analysis!$I132="","",IF(Analysis!$I132="Drifting",Analysis!$C132,""))</f>
        <v/>
      </c>
      <c r="I132" s="29" t="str">
        <f>IF(Analysis!$I132="","",IF(Analysis!$I132="Embedded",Analysis!$F132,""))</f>
        <v/>
      </c>
      <c r="J132" s="29" t="str">
        <f>IF(Analysis!$I132="","",IF(Analysis!$I132="Loyal but shallow",Analysis!$F132,""))</f>
        <v/>
      </c>
      <c r="K132" s="29" t="str">
        <f>IF(Analysis!$I132="","",IF(Analysis!$I132="Project-driven",Analysis!$F132,""))</f>
        <v/>
      </c>
      <c r="L132" s="29" t="str">
        <f>IF(Analysis!$I132="","",IF(Analysis!$I132="Drifting",Analysis!$F132,""))</f>
        <v/>
      </c>
      <c r="M132" s="29" t="str">
        <f>IF(Analysis!$I132="","",IF(Analysis!$I132="Embedded",Analysis!$H132,""))</f>
        <v/>
      </c>
      <c r="N132" s="29" t="str">
        <f>IF(Analysis!$I132="","",IF(Analysis!$I132="Loyal but shallow",Analysis!$H132,""))</f>
        <v/>
      </c>
      <c r="O132" s="29" t="str">
        <f>IF(Analysis!$I132="","",IF(Analysis!$I132="Project-driven",Analysis!$H132,""))</f>
        <v/>
      </c>
      <c r="P132" s="29" t="str">
        <f>IF(Analysis!$I132="","",IF(Analysis!$I132="Drifting",Analysis!$H132,""))</f>
        <v/>
      </c>
    </row>
    <row r="133" spans="1:16" x14ac:dyDescent="0.25">
      <c r="A133" s="29" t="str">
        <f>IF(Analysis!$I133="","",IF(Analysis!$I133="Embedded",Analysis!$D133,""))</f>
        <v/>
      </c>
      <c r="B133" s="29" t="str">
        <f>IF(Analysis!$I133="","",IF(Analysis!$I133="Loyal but shallow",Analysis!$D133,""))</f>
        <v/>
      </c>
      <c r="C133" s="29" t="str">
        <f>IF(Analysis!$I133="","",IF(Analysis!$I133="Project-driven",Analysis!$D133,""))</f>
        <v/>
      </c>
      <c r="D133" s="29" t="str">
        <f>IF(Analysis!$I133="","",IF(Analysis!$I133="Drifting",Analysis!$D133,""))</f>
        <v/>
      </c>
      <c r="E133" s="29" t="str">
        <f>IF(Analysis!$I133="","",IF(Analysis!$I133="Embedded",Analysis!$C133,""))</f>
        <v/>
      </c>
      <c r="F133" s="29" t="str">
        <f>IF(Analysis!$I133="","",IF(Analysis!$I133="Loyal but shallow",Analysis!$C133,""))</f>
        <v/>
      </c>
      <c r="G133" s="29" t="str">
        <f>IF(Analysis!$I133="","",IF(Analysis!$I133="Project-driven",Analysis!$C133,""))</f>
        <v/>
      </c>
      <c r="H133" s="29" t="str">
        <f>IF(Analysis!$I133="","",IF(Analysis!$I133="Drifting",Analysis!$C133,""))</f>
        <v/>
      </c>
      <c r="I133" s="29" t="str">
        <f>IF(Analysis!$I133="","",IF(Analysis!$I133="Embedded",Analysis!$F133,""))</f>
        <v/>
      </c>
      <c r="J133" s="29" t="str">
        <f>IF(Analysis!$I133="","",IF(Analysis!$I133="Loyal but shallow",Analysis!$F133,""))</f>
        <v/>
      </c>
      <c r="K133" s="29" t="str">
        <f>IF(Analysis!$I133="","",IF(Analysis!$I133="Project-driven",Analysis!$F133,""))</f>
        <v/>
      </c>
      <c r="L133" s="29" t="str">
        <f>IF(Analysis!$I133="","",IF(Analysis!$I133="Drifting",Analysis!$F133,""))</f>
        <v/>
      </c>
      <c r="M133" s="29" t="str">
        <f>IF(Analysis!$I133="","",IF(Analysis!$I133="Embedded",Analysis!$H133,""))</f>
        <v/>
      </c>
      <c r="N133" s="29" t="str">
        <f>IF(Analysis!$I133="","",IF(Analysis!$I133="Loyal but shallow",Analysis!$H133,""))</f>
        <v/>
      </c>
      <c r="O133" s="29" t="str">
        <f>IF(Analysis!$I133="","",IF(Analysis!$I133="Project-driven",Analysis!$H133,""))</f>
        <v/>
      </c>
      <c r="P133" s="29" t="str">
        <f>IF(Analysis!$I133="","",IF(Analysis!$I133="Drifting",Analysis!$H133,""))</f>
        <v/>
      </c>
    </row>
    <row r="134" spans="1:16" x14ac:dyDescent="0.25">
      <c r="A134" s="29" t="str">
        <f>IF(Analysis!$I134="","",IF(Analysis!$I134="Embedded",Analysis!$D134,""))</f>
        <v/>
      </c>
      <c r="B134" s="29" t="str">
        <f>IF(Analysis!$I134="","",IF(Analysis!$I134="Loyal but shallow",Analysis!$D134,""))</f>
        <v/>
      </c>
      <c r="C134" s="29" t="str">
        <f>IF(Analysis!$I134="","",IF(Analysis!$I134="Project-driven",Analysis!$D134,""))</f>
        <v/>
      </c>
      <c r="D134" s="29" t="str">
        <f>IF(Analysis!$I134="","",IF(Analysis!$I134="Drifting",Analysis!$D134,""))</f>
        <v/>
      </c>
      <c r="E134" s="29" t="str">
        <f>IF(Analysis!$I134="","",IF(Analysis!$I134="Embedded",Analysis!$C134,""))</f>
        <v/>
      </c>
      <c r="F134" s="29" t="str">
        <f>IF(Analysis!$I134="","",IF(Analysis!$I134="Loyal but shallow",Analysis!$C134,""))</f>
        <v/>
      </c>
      <c r="G134" s="29" t="str">
        <f>IF(Analysis!$I134="","",IF(Analysis!$I134="Project-driven",Analysis!$C134,""))</f>
        <v/>
      </c>
      <c r="H134" s="29" t="str">
        <f>IF(Analysis!$I134="","",IF(Analysis!$I134="Drifting",Analysis!$C134,""))</f>
        <v/>
      </c>
      <c r="I134" s="29" t="str">
        <f>IF(Analysis!$I134="","",IF(Analysis!$I134="Embedded",Analysis!$F134,""))</f>
        <v/>
      </c>
      <c r="J134" s="29" t="str">
        <f>IF(Analysis!$I134="","",IF(Analysis!$I134="Loyal but shallow",Analysis!$F134,""))</f>
        <v/>
      </c>
      <c r="K134" s="29" t="str">
        <f>IF(Analysis!$I134="","",IF(Analysis!$I134="Project-driven",Analysis!$F134,""))</f>
        <v/>
      </c>
      <c r="L134" s="29" t="str">
        <f>IF(Analysis!$I134="","",IF(Analysis!$I134="Drifting",Analysis!$F134,""))</f>
        <v/>
      </c>
      <c r="M134" s="29" t="str">
        <f>IF(Analysis!$I134="","",IF(Analysis!$I134="Embedded",Analysis!$H134,""))</f>
        <v/>
      </c>
      <c r="N134" s="29" t="str">
        <f>IF(Analysis!$I134="","",IF(Analysis!$I134="Loyal but shallow",Analysis!$H134,""))</f>
        <v/>
      </c>
      <c r="O134" s="29" t="str">
        <f>IF(Analysis!$I134="","",IF(Analysis!$I134="Project-driven",Analysis!$H134,""))</f>
        <v/>
      </c>
      <c r="P134" s="29" t="str">
        <f>IF(Analysis!$I134="","",IF(Analysis!$I134="Drifting",Analysis!$H134,""))</f>
        <v/>
      </c>
    </row>
    <row r="135" spans="1:16" x14ac:dyDescent="0.25">
      <c r="A135" s="29" t="str">
        <f>IF(Analysis!$I135="","",IF(Analysis!$I135="Embedded",Analysis!$D135,""))</f>
        <v/>
      </c>
      <c r="B135" s="29" t="str">
        <f>IF(Analysis!$I135="","",IF(Analysis!$I135="Loyal but shallow",Analysis!$D135,""))</f>
        <v/>
      </c>
      <c r="C135" s="29" t="str">
        <f>IF(Analysis!$I135="","",IF(Analysis!$I135="Project-driven",Analysis!$D135,""))</f>
        <v/>
      </c>
      <c r="D135" s="29" t="str">
        <f>IF(Analysis!$I135="","",IF(Analysis!$I135="Drifting",Analysis!$D135,""))</f>
        <v/>
      </c>
      <c r="E135" s="29" t="str">
        <f>IF(Analysis!$I135="","",IF(Analysis!$I135="Embedded",Analysis!$C135,""))</f>
        <v/>
      </c>
      <c r="F135" s="29" t="str">
        <f>IF(Analysis!$I135="","",IF(Analysis!$I135="Loyal but shallow",Analysis!$C135,""))</f>
        <v/>
      </c>
      <c r="G135" s="29" t="str">
        <f>IF(Analysis!$I135="","",IF(Analysis!$I135="Project-driven",Analysis!$C135,""))</f>
        <v/>
      </c>
      <c r="H135" s="29" t="str">
        <f>IF(Analysis!$I135="","",IF(Analysis!$I135="Drifting",Analysis!$C135,""))</f>
        <v/>
      </c>
      <c r="I135" s="29" t="str">
        <f>IF(Analysis!$I135="","",IF(Analysis!$I135="Embedded",Analysis!$F135,""))</f>
        <v/>
      </c>
      <c r="J135" s="29" t="str">
        <f>IF(Analysis!$I135="","",IF(Analysis!$I135="Loyal but shallow",Analysis!$F135,""))</f>
        <v/>
      </c>
      <c r="K135" s="29" t="str">
        <f>IF(Analysis!$I135="","",IF(Analysis!$I135="Project-driven",Analysis!$F135,""))</f>
        <v/>
      </c>
      <c r="L135" s="29" t="str">
        <f>IF(Analysis!$I135="","",IF(Analysis!$I135="Drifting",Analysis!$F135,""))</f>
        <v/>
      </c>
      <c r="M135" s="29" t="str">
        <f>IF(Analysis!$I135="","",IF(Analysis!$I135="Embedded",Analysis!$H135,""))</f>
        <v/>
      </c>
      <c r="N135" s="29" t="str">
        <f>IF(Analysis!$I135="","",IF(Analysis!$I135="Loyal but shallow",Analysis!$H135,""))</f>
        <v/>
      </c>
      <c r="O135" s="29" t="str">
        <f>IF(Analysis!$I135="","",IF(Analysis!$I135="Project-driven",Analysis!$H135,""))</f>
        <v/>
      </c>
      <c r="P135" s="29" t="str">
        <f>IF(Analysis!$I135="","",IF(Analysis!$I135="Drifting",Analysis!$H135,""))</f>
        <v/>
      </c>
    </row>
    <row r="136" spans="1:16" x14ac:dyDescent="0.25">
      <c r="A136" s="29" t="str">
        <f>IF(Analysis!$I136="","",IF(Analysis!$I136="Embedded",Analysis!$D136,""))</f>
        <v/>
      </c>
      <c r="B136" s="29" t="str">
        <f>IF(Analysis!$I136="","",IF(Analysis!$I136="Loyal but shallow",Analysis!$D136,""))</f>
        <v/>
      </c>
      <c r="C136" s="29" t="str">
        <f>IF(Analysis!$I136="","",IF(Analysis!$I136="Project-driven",Analysis!$D136,""))</f>
        <v/>
      </c>
      <c r="D136" s="29" t="str">
        <f>IF(Analysis!$I136="","",IF(Analysis!$I136="Drifting",Analysis!$D136,""))</f>
        <v/>
      </c>
      <c r="E136" s="29" t="str">
        <f>IF(Analysis!$I136="","",IF(Analysis!$I136="Embedded",Analysis!$C136,""))</f>
        <v/>
      </c>
      <c r="F136" s="29" t="str">
        <f>IF(Analysis!$I136="","",IF(Analysis!$I136="Loyal but shallow",Analysis!$C136,""))</f>
        <v/>
      </c>
      <c r="G136" s="29" t="str">
        <f>IF(Analysis!$I136="","",IF(Analysis!$I136="Project-driven",Analysis!$C136,""))</f>
        <v/>
      </c>
      <c r="H136" s="29" t="str">
        <f>IF(Analysis!$I136="","",IF(Analysis!$I136="Drifting",Analysis!$C136,""))</f>
        <v/>
      </c>
      <c r="I136" s="29" t="str">
        <f>IF(Analysis!$I136="","",IF(Analysis!$I136="Embedded",Analysis!$F136,""))</f>
        <v/>
      </c>
      <c r="J136" s="29" t="str">
        <f>IF(Analysis!$I136="","",IF(Analysis!$I136="Loyal but shallow",Analysis!$F136,""))</f>
        <v/>
      </c>
      <c r="K136" s="29" t="str">
        <f>IF(Analysis!$I136="","",IF(Analysis!$I136="Project-driven",Analysis!$F136,""))</f>
        <v/>
      </c>
      <c r="L136" s="29" t="str">
        <f>IF(Analysis!$I136="","",IF(Analysis!$I136="Drifting",Analysis!$F136,""))</f>
        <v/>
      </c>
      <c r="M136" s="29" t="str">
        <f>IF(Analysis!$I136="","",IF(Analysis!$I136="Embedded",Analysis!$H136,""))</f>
        <v/>
      </c>
      <c r="N136" s="29" t="str">
        <f>IF(Analysis!$I136="","",IF(Analysis!$I136="Loyal but shallow",Analysis!$H136,""))</f>
        <v/>
      </c>
      <c r="O136" s="29" t="str">
        <f>IF(Analysis!$I136="","",IF(Analysis!$I136="Project-driven",Analysis!$H136,""))</f>
        <v/>
      </c>
      <c r="P136" s="29" t="str">
        <f>IF(Analysis!$I136="","",IF(Analysis!$I136="Drifting",Analysis!$H136,""))</f>
        <v/>
      </c>
    </row>
    <row r="137" spans="1:16" x14ac:dyDescent="0.25">
      <c r="A137" s="29" t="str">
        <f>IF(Analysis!$I137="","",IF(Analysis!$I137="Embedded",Analysis!$D137,""))</f>
        <v/>
      </c>
      <c r="B137" s="29" t="str">
        <f>IF(Analysis!$I137="","",IF(Analysis!$I137="Loyal but shallow",Analysis!$D137,""))</f>
        <v/>
      </c>
      <c r="C137" s="29" t="str">
        <f>IF(Analysis!$I137="","",IF(Analysis!$I137="Project-driven",Analysis!$D137,""))</f>
        <v/>
      </c>
      <c r="D137" s="29" t="str">
        <f>IF(Analysis!$I137="","",IF(Analysis!$I137="Drifting",Analysis!$D137,""))</f>
        <v/>
      </c>
      <c r="E137" s="29" t="str">
        <f>IF(Analysis!$I137="","",IF(Analysis!$I137="Embedded",Analysis!$C137,""))</f>
        <v/>
      </c>
      <c r="F137" s="29" t="str">
        <f>IF(Analysis!$I137="","",IF(Analysis!$I137="Loyal but shallow",Analysis!$C137,""))</f>
        <v/>
      </c>
      <c r="G137" s="29" t="str">
        <f>IF(Analysis!$I137="","",IF(Analysis!$I137="Project-driven",Analysis!$C137,""))</f>
        <v/>
      </c>
      <c r="H137" s="29" t="str">
        <f>IF(Analysis!$I137="","",IF(Analysis!$I137="Drifting",Analysis!$C137,""))</f>
        <v/>
      </c>
      <c r="I137" s="29" t="str">
        <f>IF(Analysis!$I137="","",IF(Analysis!$I137="Embedded",Analysis!$F137,""))</f>
        <v/>
      </c>
      <c r="J137" s="29" t="str">
        <f>IF(Analysis!$I137="","",IF(Analysis!$I137="Loyal but shallow",Analysis!$F137,""))</f>
        <v/>
      </c>
      <c r="K137" s="29" t="str">
        <f>IF(Analysis!$I137="","",IF(Analysis!$I137="Project-driven",Analysis!$F137,""))</f>
        <v/>
      </c>
      <c r="L137" s="29" t="str">
        <f>IF(Analysis!$I137="","",IF(Analysis!$I137="Drifting",Analysis!$F137,""))</f>
        <v/>
      </c>
      <c r="M137" s="29" t="str">
        <f>IF(Analysis!$I137="","",IF(Analysis!$I137="Embedded",Analysis!$H137,""))</f>
        <v/>
      </c>
      <c r="N137" s="29" t="str">
        <f>IF(Analysis!$I137="","",IF(Analysis!$I137="Loyal but shallow",Analysis!$H137,""))</f>
        <v/>
      </c>
      <c r="O137" s="29" t="str">
        <f>IF(Analysis!$I137="","",IF(Analysis!$I137="Project-driven",Analysis!$H137,""))</f>
        <v/>
      </c>
      <c r="P137" s="29" t="str">
        <f>IF(Analysis!$I137="","",IF(Analysis!$I137="Drifting",Analysis!$H137,""))</f>
        <v/>
      </c>
    </row>
    <row r="138" spans="1:16" x14ac:dyDescent="0.25">
      <c r="A138" s="29" t="str">
        <f>IF(Analysis!$I138="","",IF(Analysis!$I138="Embedded",Analysis!$D138,""))</f>
        <v/>
      </c>
      <c r="B138" s="29" t="str">
        <f>IF(Analysis!$I138="","",IF(Analysis!$I138="Loyal but shallow",Analysis!$D138,""))</f>
        <v/>
      </c>
      <c r="C138" s="29" t="str">
        <f>IF(Analysis!$I138="","",IF(Analysis!$I138="Project-driven",Analysis!$D138,""))</f>
        <v/>
      </c>
      <c r="D138" s="29" t="str">
        <f>IF(Analysis!$I138="","",IF(Analysis!$I138="Drifting",Analysis!$D138,""))</f>
        <v/>
      </c>
      <c r="E138" s="29" t="str">
        <f>IF(Analysis!$I138="","",IF(Analysis!$I138="Embedded",Analysis!$C138,""))</f>
        <v/>
      </c>
      <c r="F138" s="29" t="str">
        <f>IF(Analysis!$I138="","",IF(Analysis!$I138="Loyal but shallow",Analysis!$C138,""))</f>
        <v/>
      </c>
      <c r="G138" s="29" t="str">
        <f>IF(Analysis!$I138="","",IF(Analysis!$I138="Project-driven",Analysis!$C138,""))</f>
        <v/>
      </c>
      <c r="H138" s="29" t="str">
        <f>IF(Analysis!$I138="","",IF(Analysis!$I138="Drifting",Analysis!$C138,""))</f>
        <v/>
      </c>
      <c r="I138" s="29" t="str">
        <f>IF(Analysis!$I138="","",IF(Analysis!$I138="Embedded",Analysis!$F138,""))</f>
        <v/>
      </c>
      <c r="J138" s="29" t="str">
        <f>IF(Analysis!$I138="","",IF(Analysis!$I138="Loyal but shallow",Analysis!$F138,""))</f>
        <v/>
      </c>
      <c r="K138" s="29" t="str">
        <f>IF(Analysis!$I138="","",IF(Analysis!$I138="Project-driven",Analysis!$F138,""))</f>
        <v/>
      </c>
      <c r="L138" s="29" t="str">
        <f>IF(Analysis!$I138="","",IF(Analysis!$I138="Drifting",Analysis!$F138,""))</f>
        <v/>
      </c>
      <c r="M138" s="29" t="str">
        <f>IF(Analysis!$I138="","",IF(Analysis!$I138="Embedded",Analysis!$H138,""))</f>
        <v/>
      </c>
      <c r="N138" s="29" t="str">
        <f>IF(Analysis!$I138="","",IF(Analysis!$I138="Loyal but shallow",Analysis!$H138,""))</f>
        <v/>
      </c>
      <c r="O138" s="29" t="str">
        <f>IF(Analysis!$I138="","",IF(Analysis!$I138="Project-driven",Analysis!$H138,""))</f>
        <v/>
      </c>
      <c r="P138" s="29" t="str">
        <f>IF(Analysis!$I138="","",IF(Analysis!$I138="Drifting",Analysis!$H138,""))</f>
        <v/>
      </c>
    </row>
    <row r="139" spans="1:16" x14ac:dyDescent="0.25">
      <c r="A139" s="29" t="str">
        <f>IF(Analysis!$I139="","",IF(Analysis!$I139="Embedded",Analysis!$D139,""))</f>
        <v/>
      </c>
      <c r="B139" s="29" t="str">
        <f>IF(Analysis!$I139="","",IF(Analysis!$I139="Loyal but shallow",Analysis!$D139,""))</f>
        <v/>
      </c>
      <c r="C139" s="29" t="str">
        <f>IF(Analysis!$I139="","",IF(Analysis!$I139="Project-driven",Analysis!$D139,""))</f>
        <v/>
      </c>
      <c r="D139" s="29" t="str">
        <f>IF(Analysis!$I139="","",IF(Analysis!$I139="Drifting",Analysis!$D139,""))</f>
        <v/>
      </c>
      <c r="E139" s="29" t="str">
        <f>IF(Analysis!$I139="","",IF(Analysis!$I139="Embedded",Analysis!$C139,""))</f>
        <v/>
      </c>
      <c r="F139" s="29" t="str">
        <f>IF(Analysis!$I139="","",IF(Analysis!$I139="Loyal but shallow",Analysis!$C139,""))</f>
        <v/>
      </c>
      <c r="G139" s="29" t="str">
        <f>IF(Analysis!$I139="","",IF(Analysis!$I139="Project-driven",Analysis!$C139,""))</f>
        <v/>
      </c>
      <c r="H139" s="29" t="str">
        <f>IF(Analysis!$I139="","",IF(Analysis!$I139="Drifting",Analysis!$C139,""))</f>
        <v/>
      </c>
      <c r="I139" s="29" t="str">
        <f>IF(Analysis!$I139="","",IF(Analysis!$I139="Embedded",Analysis!$F139,""))</f>
        <v/>
      </c>
      <c r="J139" s="29" t="str">
        <f>IF(Analysis!$I139="","",IF(Analysis!$I139="Loyal but shallow",Analysis!$F139,""))</f>
        <v/>
      </c>
      <c r="K139" s="29" t="str">
        <f>IF(Analysis!$I139="","",IF(Analysis!$I139="Project-driven",Analysis!$F139,""))</f>
        <v/>
      </c>
      <c r="L139" s="29" t="str">
        <f>IF(Analysis!$I139="","",IF(Analysis!$I139="Drifting",Analysis!$F139,""))</f>
        <v/>
      </c>
      <c r="M139" s="29" t="str">
        <f>IF(Analysis!$I139="","",IF(Analysis!$I139="Embedded",Analysis!$H139,""))</f>
        <v/>
      </c>
      <c r="N139" s="29" t="str">
        <f>IF(Analysis!$I139="","",IF(Analysis!$I139="Loyal but shallow",Analysis!$H139,""))</f>
        <v/>
      </c>
      <c r="O139" s="29" t="str">
        <f>IF(Analysis!$I139="","",IF(Analysis!$I139="Project-driven",Analysis!$H139,""))</f>
        <v/>
      </c>
      <c r="P139" s="29" t="str">
        <f>IF(Analysis!$I139="","",IF(Analysis!$I139="Drifting",Analysis!$H139,""))</f>
        <v/>
      </c>
    </row>
    <row r="140" spans="1:16" x14ac:dyDescent="0.25">
      <c r="A140" s="29" t="str">
        <f>IF(Analysis!$I140="","",IF(Analysis!$I140="Embedded",Analysis!$D140,""))</f>
        <v/>
      </c>
      <c r="B140" s="29" t="str">
        <f>IF(Analysis!$I140="","",IF(Analysis!$I140="Loyal but shallow",Analysis!$D140,""))</f>
        <v/>
      </c>
      <c r="C140" s="29" t="str">
        <f>IF(Analysis!$I140="","",IF(Analysis!$I140="Project-driven",Analysis!$D140,""))</f>
        <v/>
      </c>
      <c r="D140" s="29" t="str">
        <f>IF(Analysis!$I140="","",IF(Analysis!$I140="Drifting",Analysis!$D140,""))</f>
        <v/>
      </c>
      <c r="E140" s="29" t="str">
        <f>IF(Analysis!$I140="","",IF(Analysis!$I140="Embedded",Analysis!$C140,""))</f>
        <v/>
      </c>
      <c r="F140" s="29" t="str">
        <f>IF(Analysis!$I140="","",IF(Analysis!$I140="Loyal but shallow",Analysis!$C140,""))</f>
        <v/>
      </c>
      <c r="G140" s="29" t="str">
        <f>IF(Analysis!$I140="","",IF(Analysis!$I140="Project-driven",Analysis!$C140,""))</f>
        <v/>
      </c>
      <c r="H140" s="29" t="str">
        <f>IF(Analysis!$I140="","",IF(Analysis!$I140="Drifting",Analysis!$C140,""))</f>
        <v/>
      </c>
      <c r="I140" s="29" t="str">
        <f>IF(Analysis!$I140="","",IF(Analysis!$I140="Embedded",Analysis!$F140,""))</f>
        <v/>
      </c>
      <c r="J140" s="29" t="str">
        <f>IF(Analysis!$I140="","",IF(Analysis!$I140="Loyal but shallow",Analysis!$F140,""))</f>
        <v/>
      </c>
      <c r="K140" s="29" t="str">
        <f>IF(Analysis!$I140="","",IF(Analysis!$I140="Project-driven",Analysis!$F140,""))</f>
        <v/>
      </c>
      <c r="L140" s="29" t="str">
        <f>IF(Analysis!$I140="","",IF(Analysis!$I140="Drifting",Analysis!$F140,""))</f>
        <v/>
      </c>
      <c r="M140" s="29" t="str">
        <f>IF(Analysis!$I140="","",IF(Analysis!$I140="Embedded",Analysis!$H140,""))</f>
        <v/>
      </c>
      <c r="N140" s="29" t="str">
        <f>IF(Analysis!$I140="","",IF(Analysis!$I140="Loyal but shallow",Analysis!$H140,""))</f>
        <v/>
      </c>
      <c r="O140" s="29" t="str">
        <f>IF(Analysis!$I140="","",IF(Analysis!$I140="Project-driven",Analysis!$H140,""))</f>
        <v/>
      </c>
      <c r="P140" s="29" t="str">
        <f>IF(Analysis!$I140="","",IF(Analysis!$I140="Drifting",Analysis!$H140,""))</f>
        <v/>
      </c>
    </row>
    <row r="141" spans="1:16" x14ac:dyDescent="0.25">
      <c r="A141" s="29" t="str">
        <f>IF(Analysis!$I141="","",IF(Analysis!$I141="Embedded",Analysis!$D141,""))</f>
        <v/>
      </c>
      <c r="B141" s="29" t="str">
        <f>IF(Analysis!$I141="","",IF(Analysis!$I141="Loyal but shallow",Analysis!$D141,""))</f>
        <v/>
      </c>
      <c r="C141" s="29" t="str">
        <f>IF(Analysis!$I141="","",IF(Analysis!$I141="Project-driven",Analysis!$D141,""))</f>
        <v/>
      </c>
      <c r="D141" s="29" t="str">
        <f>IF(Analysis!$I141="","",IF(Analysis!$I141="Drifting",Analysis!$D141,""))</f>
        <v/>
      </c>
      <c r="E141" s="29" t="str">
        <f>IF(Analysis!$I141="","",IF(Analysis!$I141="Embedded",Analysis!$C141,""))</f>
        <v/>
      </c>
      <c r="F141" s="29" t="str">
        <f>IF(Analysis!$I141="","",IF(Analysis!$I141="Loyal but shallow",Analysis!$C141,""))</f>
        <v/>
      </c>
      <c r="G141" s="29" t="str">
        <f>IF(Analysis!$I141="","",IF(Analysis!$I141="Project-driven",Analysis!$C141,""))</f>
        <v/>
      </c>
      <c r="H141" s="29" t="str">
        <f>IF(Analysis!$I141="","",IF(Analysis!$I141="Drifting",Analysis!$C141,""))</f>
        <v/>
      </c>
      <c r="I141" s="29" t="str">
        <f>IF(Analysis!$I141="","",IF(Analysis!$I141="Embedded",Analysis!$F141,""))</f>
        <v/>
      </c>
      <c r="J141" s="29" t="str">
        <f>IF(Analysis!$I141="","",IF(Analysis!$I141="Loyal but shallow",Analysis!$F141,""))</f>
        <v/>
      </c>
      <c r="K141" s="29" t="str">
        <f>IF(Analysis!$I141="","",IF(Analysis!$I141="Project-driven",Analysis!$F141,""))</f>
        <v/>
      </c>
      <c r="L141" s="29" t="str">
        <f>IF(Analysis!$I141="","",IF(Analysis!$I141="Drifting",Analysis!$F141,""))</f>
        <v/>
      </c>
      <c r="M141" s="29" t="str">
        <f>IF(Analysis!$I141="","",IF(Analysis!$I141="Embedded",Analysis!$H141,""))</f>
        <v/>
      </c>
      <c r="N141" s="29" t="str">
        <f>IF(Analysis!$I141="","",IF(Analysis!$I141="Loyal but shallow",Analysis!$H141,""))</f>
        <v/>
      </c>
      <c r="O141" s="29" t="str">
        <f>IF(Analysis!$I141="","",IF(Analysis!$I141="Project-driven",Analysis!$H141,""))</f>
        <v/>
      </c>
      <c r="P141" s="29" t="str">
        <f>IF(Analysis!$I141="","",IF(Analysis!$I141="Drifting",Analysis!$H141,""))</f>
        <v/>
      </c>
    </row>
    <row r="142" spans="1:16" x14ac:dyDescent="0.25">
      <c r="A142" s="29" t="str">
        <f>IF(Analysis!$I142="","",IF(Analysis!$I142="Embedded",Analysis!$D142,""))</f>
        <v/>
      </c>
      <c r="B142" s="29" t="str">
        <f>IF(Analysis!$I142="","",IF(Analysis!$I142="Loyal but shallow",Analysis!$D142,""))</f>
        <v/>
      </c>
      <c r="C142" s="29" t="str">
        <f>IF(Analysis!$I142="","",IF(Analysis!$I142="Project-driven",Analysis!$D142,""))</f>
        <v/>
      </c>
      <c r="D142" s="29" t="str">
        <f>IF(Analysis!$I142="","",IF(Analysis!$I142="Drifting",Analysis!$D142,""))</f>
        <v/>
      </c>
      <c r="E142" s="29" t="str">
        <f>IF(Analysis!$I142="","",IF(Analysis!$I142="Embedded",Analysis!$C142,""))</f>
        <v/>
      </c>
      <c r="F142" s="29" t="str">
        <f>IF(Analysis!$I142="","",IF(Analysis!$I142="Loyal but shallow",Analysis!$C142,""))</f>
        <v/>
      </c>
      <c r="G142" s="29" t="str">
        <f>IF(Analysis!$I142="","",IF(Analysis!$I142="Project-driven",Analysis!$C142,""))</f>
        <v/>
      </c>
      <c r="H142" s="29" t="str">
        <f>IF(Analysis!$I142="","",IF(Analysis!$I142="Drifting",Analysis!$C142,""))</f>
        <v/>
      </c>
      <c r="I142" s="29" t="str">
        <f>IF(Analysis!$I142="","",IF(Analysis!$I142="Embedded",Analysis!$F142,""))</f>
        <v/>
      </c>
      <c r="J142" s="29" t="str">
        <f>IF(Analysis!$I142="","",IF(Analysis!$I142="Loyal but shallow",Analysis!$F142,""))</f>
        <v/>
      </c>
      <c r="K142" s="29" t="str">
        <f>IF(Analysis!$I142="","",IF(Analysis!$I142="Project-driven",Analysis!$F142,""))</f>
        <v/>
      </c>
      <c r="L142" s="29" t="str">
        <f>IF(Analysis!$I142="","",IF(Analysis!$I142="Drifting",Analysis!$F142,""))</f>
        <v/>
      </c>
      <c r="M142" s="29" t="str">
        <f>IF(Analysis!$I142="","",IF(Analysis!$I142="Embedded",Analysis!$H142,""))</f>
        <v/>
      </c>
      <c r="N142" s="29" t="str">
        <f>IF(Analysis!$I142="","",IF(Analysis!$I142="Loyal but shallow",Analysis!$H142,""))</f>
        <v/>
      </c>
      <c r="O142" s="29" t="str">
        <f>IF(Analysis!$I142="","",IF(Analysis!$I142="Project-driven",Analysis!$H142,""))</f>
        <v/>
      </c>
      <c r="P142" s="29" t="str">
        <f>IF(Analysis!$I142="","",IF(Analysis!$I142="Drifting",Analysis!$H142,""))</f>
        <v/>
      </c>
    </row>
    <row r="143" spans="1:16" x14ac:dyDescent="0.25">
      <c r="A143" s="29" t="str">
        <f>IF(Analysis!$I143="","",IF(Analysis!$I143="Embedded",Analysis!$D143,""))</f>
        <v/>
      </c>
      <c r="B143" s="29" t="str">
        <f>IF(Analysis!$I143="","",IF(Analysis!$I143="Loyal but shallow",Analysis!$D143,""))</f>
        <v/>
      </c>
      <c r="C143" s="29" t="str">
        <f>IF(Analysis!$I143="","",IF(Analysis!$I143="Project-driven",Analysis!$D143,""))</f>
        <v/>
      </c>
      <c r="D143" s="29" t="str">
        <f>IF(Analysis!$I143="","",IF(Analysis!$I143="Drifting",Analysis!$D143,""))</f>
        <v/>
      </c>
      <c r="E143" s="29" t="str">
        <f>IF(Analysis!$I143="","",IF(Analysis!$I143="Embedded",Analysis!$C143,""))</f>
        <v/>
      </c>
      <c r="F143" s="29" t="str">
        <f>IF(Analysis!$I143="","",IF(Analysis!$I143="Loyal but shallow",Analysis!$C143,""))</f>
        <v/>
      </c>
      <c r="G143" s="29" t="str">
        <f>IF(Analysis!$I143="","",IF(Analysis!$I143="Project-driven",Analysis!$C143,""))</f>
        <v/>
      </c>
      <c r="H143" s="29" t="str">
        <f>IF(Analysis!$I143="","",IF(Analysis!$I143="Drifting",Analysis!$C143,""))</f>
        <v/>
      </c>
      <c r="I143" s="29" t="str">
        <f>IF(Analysis!$I143="","",IF(Analysis!$I143="Embedded",Analysis!$F143,""))</f>
        <v/>
      </c>
      <c r="J143" s="29" t="str">
        <f>IF(Analysis!$I143="","",IF(Analysis!$I143="Loyal but shallow",Analysis!$F143,""))</f>
        <v/>
      </c>
      <c r="K143" s="29" t="str">
        <f>IF(Analysis!$I143="","",IF(Analysis!$I143="Project-driven",Analysis!$F143,""))</f>
        <v/>
      </c>
      <c r="L143" s="29" t="str">
        <f>IF(Analysis!$I143="","",IF(Analysis!$I143="Drifting",Analysis!$F143,""))</f>
        <v/>
      </c>
      <c r="M143" s="29" t="str">
        <f>IF(Analysis!$I143="","",IF(Analysis!$I143="Embedded",Analysis!$H143,""))</f>
        <v/>
      </c>
      <c r="N143" s="29" t="str">
        <f>IF(Analysis!$I143="","",IF(Analysis!$I143="Loyal but shallow",Analysis!$H143,""))</f>
        <v/>
      </c>
      <c r="O143" s="29" t="str">
        <f>IF(Analysis!$I143="","",IF(Analysis!$I143="Project-driven",Analysis!$H143,""))</f>
        <v/>
      </c>
      <c r="P143" s="29" t="str">
        <f>IF(Analysis!$I143="","",IF(Analysis!$I143="Drifting",Analysis!$H143,""))</f>
        <v/>
      </c>
    </row>
    <row r="144" spans="1:16" x14ac:dyDescent="0.25">
      <c r="A144" s="29" t="str">
        <f>IF(Analysis!$I144="","",IF(Analysis!$I144="Embedded",Analysis!$D144,""))</f>
        <v/>
      </c>
      <c r="B144" s="29" t="str">
        <f>IF(Analysis!$I144="","",IF(Analysis!$I144="Loyal but shallow",Analysis!$D144,""))</f>
        <v/>
      </c>
      <c r="C144" s="29" t="str">
        <f>IF(Analysis!$I144="","",IF(Analysis!$I144="Project-driven",Analysis!$D144,""))</f>
        <v/>
      </c>
      <c r="D144" s="29" t="str">
        <f>IF(Analysis!$I144="","",IF(Analysis!$I144="Drifting",Analysis!$D144,""))</f>
        <v/>
      </c>
      <c r="E144" s="29" t="str">
        <f>IF(Analysis!$I144="","",IF(Analysis!$I144="Embedded",Analysis!$C144,""))</f>
        <v/>
      </c>
      <c r="F144" s="29" t="str">
        <f>IF(Analysis!$I144="","",IF(Analysis!$I144="Loyal but shallow",Analysis!$C144,""))</f>
        <v/>
      </c>
      <c r="G144" s="29" t="str">
        <f>IF(Analysis!$I144="","",IF(Analysis!$I144="Project-driven",Analysis!$C144,""))</f>
        <v/>
      </c>
      <c r="H144" s="29" t="str">
        <f>IF(Analysis!$I144="","",IF(Analysis!$I144="Drifting",Analysis!$C144,""))</f>
        <v/>
      </c>
      <c r="I144" s="29" t="str">
        <f>IF(Analysis!$I144="","",IF(Analysis!$I144="Embedded",Analysis!$F144,""))</f>
        <v/>
      </c>
      <c r="J144" s="29" t="str">
        <f>IF(Analysis!$I144="","",IF(Analysis!$I144="Loyal but shallow",Analysis!$F144,""))</f>
        <v/>
      </c>
      <c r="K144" s="29" t="str">
        <f>IF(Analysis!$I144="","",IF(Analysis!$I144="Project-driven",Analysis!$F144,""))</f>
        <v/>
      </c>
      <c r="L144" s="29" t="str">
        <f>IF(Analysis!$I144="","",IF(Analysis!$I144="Drifting",Analysis!$F144,""))</f>
        <v/>
      </c>
      <c r="M144" s="29" t="str">
        <f>IF(Analysis!$I144="","",IF(Analysis!$I144="Embedded",Analysis!$H144,""))</f>
        <v/>
      </c>
      <c r="N144" s="29" t="str">
        <f>IF(Analysis!$I144="","",IF(Analysis!$I144="Loyal but shallow",Analysis!$H144,""))</f>
        <v/>
      </c>
      <c r="O144" s="29" t="str">
        <f>IF(Analysis!$I144="","",IF(Analysis!$I144="Project-driven",Analysis!$H144,""))</f>
        <v/>
      </c>
      <c r="P144" s="29" t="str">
        <f>IF(Analysis!$I144="","",IF(Analysis!$I144="Drifting",Analysis!$H144,""))</f>
        <v/>
      </c>
    </row>
    <row r="145" spans="1:16" x14ac:dyDescent="0.25">
      <c r="A145" s="29" t="str">
        <f>IF(Analysis!$I145="","",IF(Analysis!$I145="Embedded",Analysis!$D145,""))</f>
        <v/>
      </c>
      <c r="B145" s="29" t="str">
        <f>IF(Analysis!$I145="","",IF(Analysis!$I145="Loyal but shallow",Analysis!$D145,""))</f>
        <v/>
      </c>
      <c r="C145" s="29" t="str">
        <f>IF(Analysis!$I145="","",IF(Analysis!$I145="Project-driven",Analysis!$D145,""))</f>
        <v/>
      </c>
      <c r="D145" s="29" t="str">
        <f>IF(Analysis!$I145="","",IF(Analysis!$I145="Drifting",Analysis!$D145,""))</f>
        <v/>
      </c>
      <c r="E145" s="29" t="str">
        <f>IF(Analysis!$I145="","",IF(Analysis!$I145="Embedded",Analysis!$C145,""))</f>
        <v/>
      </c>
      <c r="F145" s="29" t="str">
        <f>IF(Analysis!$I145="","",IF(Analysis!$I145="Loyal but shallow",Analysis!$C145,""))</f>
        <v/>
      </c>
      <c r="G145" s="29" t="str">
        <f>IF(Analysis!$I145="","",IF(Analysis!$I145="Project-driven",Analysis!$C145,""))</f>
        <v/>
      </c>
      <c r="H145" s="29" t="str">
        <f>IF(Analysis!$I145="","",IF(Analysis!$I145="Drifting",Analysis!$C145,""))</f>
        <v/>
      </c>
      <c r="I145" s="29" t="str">
        <f>IF(Analysis!$I145="","",IF(Analysis!$I145="Embedded",Analysis!$F145,""))</f>
        <v/>
      </c>
      <c r="J145" s="29" t="str">
        <f>IF(Analysis!$I145="","",IF(Analysis!$I145="Loyal but shallow",Analysis!$F145,""))</f>
        <v/>
      </c>
      <c r="K145" s="29" t="str">
        <f>IF(Analysis!$I145="","",IF(Analysis!$I145="Project-driven",Analysis!$F145,""))</f>
        <v/>
      </c>
      <c r="L145" s="29" t="str">
        <f>IF(Analysis!$I145="","",IF(Analysis!$I145="Drifting",Analysis!$F145,""))</f>
        <v/>
      </c>
      <c r="M145" s="29" t="str">
        <f>IF(Analysis!$I145="","",IF(Analysis!$I145="Embedded",Analysis!$H145,""))</f>
        <v/>
      </c>
      <c r="N145" s="29" t="str">
        <f>IF(Analysis!$I145="","",IF(Analysis!$I145="Loyal but shallow",Analysis!$H145,""))</f>
        <v/>
      </c>
      <c r="O145" s="29" t="str">
        <f>IF(Analysis!$I145="","",IF(Analysis!$I145="Project-driven",Analysis!$H145,""))</f>
        <v/>
      </c>
      <c r="P145" s="29" t="str">
        <f>IF(Analysis!$I145="","",IF(Analysis!$I145="Drifting",Analysis!$H145,""))</f>
        <v/>
      </c>
    </row>
    <row r="146" spans="1:16" x14ac:dyDescent="0.25">
      <c r="A146" s="29" t="str">
        <f>IF(Analysis!$I146="","",IF(Analysis!$I146="Embedded",Analysis!$D146,""))</f>
        <v/>
      </c>
      <c r="B146" s="29" t="str">
        <f>IF(Analysis!$I146="","",IF(Analysis!$I146="Loyal but shallow",Analysis!$D146,""))</f>
        <v/>
      </c>
      <c r="C146" s="29" t="str">
        <f>IF(Analysis!$I146="","",IF(Analysis!$I146="Project-driven",Analysis!$D146,""))</f>
        <v/>
      </c>
      <c r="D146" s="29" t="str">
        <f>IF(Analysis!$I146="","",IF(Analysis!$I146="Drifting",Analysis!$D146,""))</f>
        <v/>
      </c>
      <c r="E146" s="29" t="str">
        <f>IF(Analysis!$I146="","",IF(Analysis!$I146="Embedded",Analysis!$C146,""))</f>
        <v/>
      </c>
      <c r="F146" s="29" t="str">
        <f>IF(Analysis!$I146="","",IF(Analysis!$I146="Loyal but shallow",Analysis!$C146,""))</f>
        <v/>
      </c>
      <c r="G146" s="29" t="str">
        <f>IF(Analysis!$I146="","",IF(Analysis!$I146="Project-driven",Analysis!$C146,""))</f>
        <v/>
      </c>
      <c r="H146" s="29" t="str">
        <f>IF(Analysis!$I146="","",IF(Analysis!$I146="Drifting",Analysis!$C146,""))</f>
        <v/>
      </c>
      <c r="I146" s="29" t="str">
        <f>IF(Analysis!$I146="","",IF(Analysis!$I146="Embedded",Analysis!$F146,""))</f>
        <v/>
      </c>
      <c r="J146" s="29" t="str">
        <f>IF(Analysis!$I146="","",IF(Analysis!$I146="Loyal but shallow",Analysis!$F146,""))</f>
        <v/>
      </c>
      <c r="K146" s="29" t="str">
        <f>IF(Analysis!$I146="","",IF(Analysis!$I146="Project-driven",Analysis!$F146,""))</f>
        <v/>
      </c>
      <c r="L146" s="29" t="str">
        <f>IF(Analysis!$I146="","",IF(Analysis!$I146="Drifting",Analysis!$F146,""))</f>
        <v/>
      </c>
      <c r="M146" s="29" t="str">
        <f>IF(Analysis!$I146="","",IF(Analysis!$I146="Embedded",Analysis!$H146,""))</f>
        <v/>
      </c>
      <c r="N146" s="29" t="str">
        <f>IF(Analysis!$I146="","",IF(Analysis!$I146="Loyal but shallow",Analysis!$H146,""))</f>
        <v/>
      </c>
      <c r="O146" s="29" t="str">
        <f>IF(Analysis!$I146="","",IF(Analysis!$I146="Project-driven",Analysis!$H146,""))</f>
        <v/>
      </c>
      <c r="P146" s="29" t="str">
        <f>IF(Analysis!$I146="","",IF(Analysis!$I146="Drifting",Analysis!$H146,""))</f>
        <v/>
      </c>
    </row>
    <row r="147" spans="1:16" x14ac:dyDescent="0.25">
      <c r="A147" s="29" t="str">
        <f>IF(Analysis!$I147="","",IF(Analysis!$I147="Embedded",Analysis!$D147,""))</f>
        <v/>
      </c>
      <c r="B147" s="29" t="str">
        <f>IF(Analysis!$I147="","",IF(Analysis!$I147="Loyal but shallow",Analysis!$D147,""))</f>
        <v/>
      </c>
      <c r="C147" s="29" t="str">
        <f>IF(Analysis!$I147="","",IF(Analysis!$I147="Project-driven",Analysis!$D147,""))</f>
        <v/>
      </c>
      <c r="D147" s="29" t="str">
        <f>IF(Analysis!$I147="","",IF(Analysis!$I147="Drifting",Analysis!$D147,""))</f>
        <v/>
      </c>
      <c r="E147" s="29" t="str">
        <f>IF(Analysis!$I147="","",IF(Analysis!$I147="Embedded",Analysis!$C147,""))</f>
        <v/>
      </c>
      <c r="F147" s="29" t="str">
        <f>IF(Analysis!$I147="","",IF(Analysis!$I147="Loyal but shallow",Analysis!$C147,""))</f>
        <v/>
      </c>
      <c r="G147" s="29" t="str">
        <f>IF(Analysis!$I147="","",IF(Analysis!$I147="Project-driven",Analysis!$C147,""))</f>
        <v/>
      </c>
      <c r="H147" s="29" t="str">
        <f>IF(Analysis!$I147="","",IF(Analysis!$I147="Drifting",Analysis!$C147,""))</f>
        <v/>
      </c>
      <c r="I147" s="29" t="str">
        <f>IF(Analysis!$I147="","",IF(Analysis!$I147="Embedded",Analysis!$F147,""))</f>
        <v/>
      </c>
      <c r="J147" s="29" t="str">
        <f>IF(Analysis!$I147="","",IF(Analysis!$I147="Loyal but shallow",Analysis!$F147,""))</f>
        <v/>
      </c>
      <c r="K147" s="29" t="str">
        <f>IF(Analysis!$I147="","",IF(Analysis!$I147="Project-driven",Analysis!$F147,""))</f>
        <v/>
      </c>
      <c r="L147" s="29" t="str">
        <f>IF(Analysis!$I147="","",IF(Analysis!$I147="Drifting",Analysis!$F147,""))</f>
        <v/>
      </c>
      <c r="M147" s="29" t="str">
        <f>IF(Analysis!$I147="","",IF(Analysis!$I147="Embedded",Analysis!$H147,""))</f>
        <v/>
      </c>
      <c r="N147" s="29" t="str">
        <f>IF(Analysis!$I147="","",IF(Analysis!$I147="Loyal but shallow",Analysis!$H147,""))</f>
        <v/>
      </c>
      <c r="O147" s="29" t="str">
        <f>IF(Analysis!$I147="","",IF(Analysis!$I147="Project-driven",Analysis!$H147,""))</f>
        <v/>
      </c>
      <c r="P147" s="29" t="str">
        <f>IF(Analysis!$I147="","",IF(Analysis!$I147="Drifting",Analysis!$H147,""))</f>
        <v/>
      </c>
    </row>
    <row r="148" spans="1:16" x14ac:dyDescent="0.25">
      <c r="A148" s="29" t="str">
        <f>IF(Analysis!$I148="","",IF(Analysis!$I148="Embedded",Analysis!$D148,""))</f>
        <v/>
      </c>
      <c r="B148" s="29" t="str">
        <f>IF(Analysis!$I148="","",IF(Analysis!$I148="Loyal but shallow",Analysis!$D148,""))</f>
        <v/>
      </c>
      <c r="C148" s="29" t="str">
        <f>IF(Analysis!$I148="","",IF(Analysis!$I148="Project-driven",Analysis!$D148,""))</f>
        <v/>
      </c>
      <c r="D148" s="29" t="str">
        <f>IF(Analysis!$I148="","",IF(Analysis!$I148="Drifting",Analysis!$D148,""))</f>
        <v/>
      </c>
      <c r="E148" s="29" t="str">
        <f>IF(Analysis!$I148="","",IF(Analysis!$I148="Embedded",Analysis!$C148,""))</f>
        <v/>
      </c>
      <c r="F148" s="29" t="str">
        <f>IF(Analysis!$I148="","",IF(Analysis!$I148="Loyal but shallow",Analysis!$C148,""))</f>
        <v/>
      </c>
      <c r="G148" s="29" t="str">
        <f>IF(Analysis!$I148="","",IF(Analysis!$I148="Project-driven",Analysis!$C148,""))</f>
        <v/>
      </c>
      <c r="H148" s="29" t="str">
        <f>IF(Analysis!$I148="","",IF(Analysis!$I148="Drifting",Analysis!$C148,""))</f>
        <v/>
      </c>
      <c r="I148" s="29" t="str">
        <f>IF(Analysis!$I148="","",IF(Analysis!$I148="Embedded",Analysis!$F148,""))</f>
        <v/>
      </c>
      <c r="J148" s="29" t="str">
        <f>IF(Analysis!$I148="","",IF(Analysis!$I148="Loyal but shallow",Analysis!$F148,""))</f>
        <v/>
      </c>
      <c r="K148" s="29" t="str">
        <f>IF(Analysis!$I148="","",IF(Analysis!$I148="Project-driven",Analysis!$F148,""))</f>
        <v/>
      </c>
      <c r="L148" s="29" t="str">
        <f>IF(Analysis!$I148="","",IF(Analysis!$I148="Drifting",Analysis!$F148,""))</f>
        <v/>
      </c>
      <c r="M148" s="29" t="str">
        <f>IF(Analysis!$I148="","",IF(Analysis!$I148="Embedded",Analysis!$H148,""))</f>
        <v/>
      </c>
      <c r="N148" s="29" t="str">
        <f>IF(Analysis!$I148="","",IF(Analysis!$I148="Loyal but shallow",Analysis!$H148,""))</f>
        <v/>
      </c>
      <c r="O148" s="29" t="str">
        <f>IF(Analysis!$I148="","",IF(Analysis!$I148="Project-driven",Analysis!$H148,""))</f>
        <v/>
      </c>
      <c r="P148" s="29" t="str">
        <f>IF(Analysis!$I148="","",IF(Analysis!$I148="Drifting",Analysis!$H148,""))</f>
        <v/>
      </c>
    </row>
    <row r="149" spans="1:16" x14ac:dyDescent="0.25">
      <c r="A149" s="29" t="str">
        <f>IF(Analysis!$I149="","",IF(Analysis!$I149="Embedded",Analysis!$D149,""))</f>
        <v/>
      </c>
      <c r="B149" s="29" t="str">
        <f>IF(Analysis!$I149="","",IF(Analysis!$I149="Loyal but shallow",Analysis!$D149,""))</f>
        <v/>
      </c>
      <c r="C149" s="29" t="str">
        <f>IF(Analysis!$I149="","",IF(Analysis!$I149="Project-driven",Analysis!$D149,""))</f>
        <v/>
      </c>
      <c r="D149" s="29" t="str">
        <f>IF(Analysis!$I149="","",IF(Analysis!$I149="Drifting",Analysis!$D149,""))</f>
        <v/>
      </c>
      <c r="E149" s="29" t="str">
        <f>IF(Analysis!$I149="","",IF(Analysis!$I149="Embedded",Analysis!$C149,""))</f>
        <v/>
      </c>
      <c r="F149" s="29" t="str">
        <f>IF(Analysis!$I149="","",IF(Analysis!$I149="Loyal but shallow",Analysis!$C149,""))</f>
        <v/>
      </c>
      <c r="G149" s="29" t="str">
        <f>IF(Analysis!$I149="","",IF(Analysis!$I149="Project-driven",Analysis!$C149,""))</f>
        <v/>
      </c>
      <c r="H149" s="29" t="str">
        <f>IF(Analysis!$I149="","",IF(Analysis!$I149="Drifting",Analysis!$C149,""))</f>
        <v/>
      </c>
      <c r="I149" s="29" t="str">
        <f>IF(Analysis!$I149="","",IF(Analysis!$I149="Embedded",Analysis!$F149,""))</f>
        <v/>
      </c>
      <c r="J149" s="29" t="str">
        <f>IF(Analysis!$I149="","",IF(Analysis!$I149="Loyal but shallow",Analysis!$F149,""))</f>
        <v/>
      </c>
      <c r="K149" s="29" t="str">
        <f>IF(Analysis!$I149="","",IF(Analysis!$I149="Project-driven",Analysis!$F149,""))</f>
        <v/>
      </c>
      <c r="L149" s="29" t="str">
        <f>IF(Analysis!$I149="","",IF(Analysis!$I149="Drifting",Analysis!$F149,""))</f>
        <v/>
      </c>
      <c r="M149" s="29" t="str">
        <f>IF(Analysis!$I149="","",IF(Analysis!$I149="Embedded",Analysis!$H149,""))</f>
        <v/>
      </c>
      <c r="N149" s="29" t="str">
        <f>IF(Analysis!$I149="","",IF(Analysis!$I149="Loyal but shallow",Analysis!$H149,""))</f>
        <v/>
      </c>
      <c r="O149" s="29" t="str">
        <f>IF(Analysis!$I149="","",IF(Analysis!$I149="Project-driven",Analysis!$H149,""))</f>
        <v/>
      </c>
      <c r="P149" s="29" t="str">
        <f>IF(Analysis!$I149="","",IF(Analysis!$I149="Drifting",Analysis!$H149,""))</f>
        <v/>
      </c>
    </row>
    <row r="150" spans="1:16" x14ac:dyDescent="0.25">
      <c r="A150" s="29" t="str">
        <f>IF(Analysis!$I150="","",IF(Analysis!$I150="Embedded",Analysis!$D150,""))</f>
        <v/>
      </c>
      <c r="B150" s="29" t="str">
        <f>IF(Analysis!$I150="","",IF(Analysis!$I150="Loyal but shallow",Analysis!$D150,""))</f>
        <v/>
      </c>
      <c r="C150" s="29" t="str">
        <f>IF(Analysis!$I150="","",IF(Analysis!$I150="Project-driven",Analysis!$D150,""))</f>
        <v/>
      </c>
      <c r="D150" s="29" t="str">
        <f>IF(Analysis!$I150="","",IF(Analysis!$I150="Drifting",Analysis!$D150,""))</f>
        <v/>
      </c>
      <c r="E150" s="29" t="str">
        <f>IF(Analysis!$I150="","",IF(Analysis!$I150="Embedded",Analysis!$C150,""))</f>
        <v/>
      </c>
      <c r="F150" s="29" t="str">
        <f>IF(Analysis!$I150="","",IF(Analysis!$I150="Loyal but shallow",Analysis!$C150,""))</f>
        <v/>
      </c>
      <c r="G150" s="29" t="str">
        <f>IF(Analysis!$I150="","",IF(Analysis!$I150="Project-driven",Analysis!$C150,""))</f>
        <v/>
      </c>
      <c r="H150" s="29" t="str">
        <f>IF(Analysis!$I150="","",IF(Analysis!$I150="Drifting",Analysis!$C150,""))</f>
        <v/>
      </c>
      <c r="I150" s="29" t="str">
        <f>IF(Analysis!$I150="","",IF(Analysis!$I150="Embedded",Analysis!$F150,""))</f>
        <v/>
      </c>
      <c r="J150" s="29" t="str">
        <f>IF(Analysis!$I150="","",IF(Analysis!$I150="Loyal but shallow",Analysis!$F150,""))</f>
        <v/>
      </c>
      <c r="K150" s="29" t="str">
        <f>IF(Analysis!$I150="","",IF(Analysis!$I150="Project-driven",Analysis!$F150,""))</f>
        <v/>
      </c>
      <c r="L150" s="29" t="str">
        <f>IF(Analysis!$I150="","",IF(Analysis!$I150="Drifting",Analysis!$F150,""))</f>
        <v/>
      </c>
      <c r="M150" s="29" t="str">
        <f>IF(Analysis!$I150="","",IF(Analysis!$I150="Embedded",Analysis!$H150,""))</f>
        <v/>
      </c>
      <c r="N150" s="29" t="str">
        <f>IF(Analysis!$I150="","",IF(Analysis!$I150="Loyal but shallow",Analysis!$H150,""))</f>
        <v/>
      </c>
      <c r="O150" s="29" t="str">
        <f>IF(Analysis!$I150="","",IF(Analysis!$I150="Project-driven",Analysis!$H150,""))</f>
        <v/>
      </c>
      <c r="P150" s="29" t="str">
        <f>IF(Analysis!$I150="","",IF(Analysis!$I150="Drifting",Analysis!$H150,""))</f>
        <v/>
      </c>
    </row>
    <row r="151" spans="1:16" x14ac:dyDescent="0.25">
      <c r="A151" s="29" t="str">
        <f>IF(Analysis!$I151="","",IF(Analysis!$I151="Embedded",Analysis!$D151,""))</f>
        <v/>
      </c>
      <c r="B151" s="29" t="str">
        <f>IF(Analysis!$I151="","",IF(Analysis!$I151="Loyal but shallow",Analysis!$D151,""))</f>
        <v/>
      </c>
      <c r="C151" s="29" t="str">
        <f>IF(Analysis!$I151="","",IF(Analysis!$I151="Project-driven",Analysis!$D151,""))</f>
        <v/>
      </c>
      <c r="D151" s="29" t="str">
        <f>IF(Analysis!$I151="","",IF(Analysis!$I151="Drifting",Analysis!$D151,""))</f>
        <v/>
      </c>
      <c r="E151" s="29" t="str">
        <f>IF(Analysis!$I151="","",IF(Analysis!$I151="Embedded",Analysis!$C151,""))</f>
        <v/>
      </c>
      <c r="F151" s="29" t="str">
        <f>IF(Analysis!$I151="","",IF(Analysis!$I151="Loyal but shallow",Analysis!$C151,""))</f>
        <v/>
      </c>
      <c r="G151" s="29" t="str">
        <f>IF(Analysis!$I151="","",IF(Analysis!$I151="Project-driven",Analysis!$C151,""))</f>
        <v/>
      </c>
      <c r="H151" s="29" t="str">
        <f>IF(Analysis!$I151="","",IF(Analysis!$I151="Drifting",Analysis!$C151,""))</f>
        <v/>
      </c>
      <c r="I151" s="29" t="str">
        <f>IF(Analysis!$I151="","",IF(Analysis!$I151="Embedded",Analysis!$F151,""))</f>
        <v/>
      </c>
      <c r="J151" s="29" t="str">
        <f>IF(Analysis!$I151="","",IF(Analysis!$I151="Loyal but shallow",Analysis!$F151,""))</f>
        <v/>
      </c>
      <c r="K151" s="29" t="str">
        <f>IF(Analysis!$I151="","",IF(Analysis!$I151="Project-driven",Analysis!$F151,""))</f>
        <v/>
      </c>
      <c r="L151" s="29" t="str">
        <f>IF(Analysis!$I151="","",IF(Analysis!$I151="Drifting",Analysis!$F151,""))</f>
        <v/>
      </c>
      <c r="M151" s="29" t="str">
        <f>IF(Analysis!$I151="","",IF(Analysis!$I151="Embedded",Analysis!$H151,""))</f>
        <v/>
      </c>
      <c r="N151" s="29" t="str">
        <f>IF(Analysis!$I151="","",IF(Analysis!$I151="Loyal but shallow",Analysis!$H151,""))</f>
        <v/>
      </c>
      <c r="O151" s="29" t="str">
        <f>IF(Analysis!$I151="","",IF(Analysis!$I151="Project-driven",Analysis!$H151,""))</f>
        <v/>
      </c>
      <c r="P151" s="29" t="str">
        <f>IF(Analysis!$I151="","",IF(Analysis!$I151="Drifting",Analysis!$H151,""))</f>
        <v/>
      </c>
    </row>
    <row r="152" spans="1:16" x14ac:dyDescent="0.25">
      <c r="A152" s="29" t="str">
        <f>IF(Analysis!$I152="","",IF(Analysis!$I152="Embedded",Analysis!$D152,""))</f>
        <v/>
      </c>
      <c r="B152" s="29" t="str">
        <f>IF(Analysis!$I152="","",IF(Analysis!$I152="Loyal but shallow",Analysis!$D152,""))</f>
        <v/>
      </c>
      <c r="C152" s="29" t="str">
        <f>IF(Analysis!$I152="","",IF(Analysis!$I152="Project-driven",Analysis!$D152,""))</f>
        <v/>
      </c>
      <c r="D152" s="29" t="str">
        <f>IF(Analysis!$I152="","",IF(Analysis!$I152="Drifting",Analysis!$D152,""))</f>
        <v/>
      </c>
      <c r="E152" s="29" t="str">
        <f>IF(Analysis!$I152="","",IF(Analysis!$I152="Embedded",Analysis!$C152,""))</f>
        <v/>
      </c>
      <c r="F152" s="29" t="str">
        <f>IF(Analysis!$I152="","",IF(Analysis!$I152="Loyal but shallow",Analysis!$C152,""))</f>
        <v/>
      </c>
      <c r="G152" s="29" t="str">
        <f>IF(Analysis!$I152="","",IF(Analysis!$I152="Project-driven",Analysis!$C152,""))</f>
        <v/>
      </c>
      <c r="H152" s="29" t="str">
        <f>IF(Analysis!$I152="","",IF(Analysis!$I152="Drifting",Analysis!$C152,""))</f>
        <v/>
      </c>
      <c r="I152" s="29" t="str">
        <f>IF(Analysis!$I152="","",IF(Analysis!$I152="Embedded",Analysis!$F152,""))</f>
        <v/>
      </c>
      <c r="J152" s="29" t="str">
        <f>IF(Analysis!$I152="","",IF(Analysis!$I152="Loyal but shallow",Analysis!$F152,""))</f>
        <v/>
      </c>
      <c r="K152" s="29" t="str">
        <f>IF(Analysis!$I152="","",IF(Analysis!$I152="Project-driven",Analysis!$F152,""))</f>
        <v/>
      </c>
      <c r="L152" s="29" t="str">
        <f>IF(Analysis!$I152="","",IF(Analysis!$I152="Drifting",Analysis!$F152,""))</f>
        <v/>
      </c>
      <c r="M152" s="29" t="str">
        <f>IF(Analysis!$I152="","",IF(Analysis!$I152="Embedded",Analysis!$H152,""))</f>
        <v/>
      </c>
      <c r="N152" s="29" t="str">
        <f>IF(Analysis!$I152="","",IF(Analysis!$I152="Loyal but shallow",Analysis!$H152,""))</f>
        <v/>
      </c>
      <c r="O152" s="29" t="str">
        <f>IF(Analysis!$I152="","",IF(Analysis!$I152="Project-driven",Analysis!$H152,""))</f>
        <v/>
      </c>
      <c r="P152" s="29" t="str">
        <f>IF(Analysis!$I152="","",IF(Analysis!$I152="Drifting",Analysis!$H152,""))</f>
        <v/>
      </c>
    </row>
    <row r="153" spans="1:16" x14ac:dyDescent="0.25">
      <c r="A153" s="29" t="str">
        <f>IF(Analysis!$I153="","",IF(Analysis!$I153="Embedded",Analysis!$D153,""))</f>
        <v/>
      </c>
      <c r="B153" s="29" t="str">
        <f>IF(Analysis!$I153="","",IF(Analysis!$I153="Loyal but shallow",Analysis!$D153,""))</f>
        <v/>
      </c>
      <c r="C153" s="29" t="str">
        <f>IF(Analysis!$I153="","",IF(Analysis!$I153="Project-driven",Analysis!$D153,""))</f>
        <v/>
      </c>
      <c r="D153" s="29" t="str">
        <f>IF(Analysis!$I153="","",IF(Analysis!$I153="Drifting",Analysis!$D153,""))</f>
        <v/>
      </c>
      <c r="E153" s="29" t="str">
        <f>IF(Analysis!$I153="","",IF(Analysis!$I153="Embedded",Analysis!$C153,""))</f>
        <v/>
      </c>
      <c r="F153" s="29" t="str">
        <f>IF(Analysis!$I153="","",IF(Analysis!$I153="Loyal but shallow",Analysis!$C153,""))</f>
        <v/>
      </c>
      <c r="G153" s="29" t="str">
        <f>IF(Analysis!$I153="","",IF(Analysis!$I153="Project-driven",Analysis!$C153,""))</f>
        <v/>
      </c>
      <c r="H153" s="29" t="str">
        <f>IF(Analysis!$I153="","",IF(Analysis!$I153="Drifting",Analysis!$C153,""))</f>
        <v/>
      </c>
      <c r="I153" s="29" t="str">
        <f>IF(Analysis!$I153="","",IF(Analysis!$I153="Embedded",Analysis!$F153,""))</f>
        <v/>
      </c>
      <c r="J153" s="29" t="str">
        <f>IF(Analysis!$I153="","",IF(Analysis!$I153="Loyal but shallow",Analysis!$F153,""))</f>
        <v/>
      </c>
      <c r="K153" s="29" t="str">
        <f>IF(Analysis!$I153="","",IF(Analysis!$I153="Project-driven",Analysis!$F153,""))</f>
        <v/>
      </c>
      <c r="L153" s="29" t="str">
        <f>IF(Analysis!$I153="","",IF(Analysis!$I153="Drifting",Analysis!$F153,""))</f>
        <v/>
      </c>
      <c r="M153" s="29" t="str">
        <f>IF(Analysis!$I153="","",IF(Analysis!$I153="Embedded",Analysis!$H153,""))</f>
        <v/>
      </c>
      <c r="N153" s="29" t="str">
        <f>IF(Analysis!$I153="","",IF(Analysis!$I153="Loyal but shallow",Analysis!$H153,""))</f>
        <v/>
      </c>
      <c r="O153" s="29" t="str">
        <f>IF(Analysis!$I153="","",IF(Analysis!$I153="Project-driven",Analysis!$H153,""))</f>
        <v/>
      </c>
      <c r="P153" s="29" t="str">
        <f>IF(Analysis!$I153="","",IF(Analysis!$I153="Drifting",Analysis!$H153,""))</f>
        <v/>
      </c>
    </row>
    <row r="154" spans="1:16" x14ac:dyDescent="0.25">
      <c r="A154" s="29" t="str">
        <f>IF(Analysis!$I154="","",IF(Analysis!$I154="Embedded",Analysis!$D154,""))</f>
        <v/>
      </c>
      <c r="B154" s="29" t="str">
        <f>IF(Analysis!$I154="","",IF(Analysis!$I154="Loyal but shallow",Analysis!$D154,""))</f>
        <v/>
      </c>
      <c r="C154" s="29" t="str">
        <f>IF(Analysis!$I154="","",IF(Analysis!$I154="Project-driven",Analysis!$D154,""))</f>
        <v/>
      </c>
      <c r="D154" s="29" t="str">
        <f>IF(Analysis!$I154="","",IF(Analysis!$I154="Drifting",Analysis!$D154,""))</f>
        <v/>
      </c>
      <c r="E154" s="29" t="str">
        <f>IF(Analysis!$I154="","",IF(Analysis!$I154="Embedded",Analysis!$C154,""))</f>
        <v/>
      </c>
      <c r="F154" s="29" t="str">
        <f>IF(Analysis!$I154="","",IF(Analysis!$I154="Loyal but shallow",Analysis!$C154,""))</f>
        <v/>
      </c>
      <c r="G154" s="29" t="str">
        <f>IF(Analysis!$I154="","",IF(Analysis!$I154="Project-driven",Analysis!$C154,""))</f>
        <v/>
      </c>
      <c r="H154" s="29" t="str">
        <f>IF(Analysis!$I154="","",IF(Analysis!$I154="Drifting",Analysis!$C154,""))</f>
        <v/>
      </c>
      <c r="I154" s="29" t="str">
        <f>IF(Analysis!$I154="","",IF(Analysis!$I154="Embedded",Analysis!$F154,""))</f>
        <v/>
      </c>
      <c r="J154" s="29" t="str">
        <f>IF(Analysis!$I154="","",IF(Analysis!$I154="Loyal but shallow",Analysis!$F154,""))</f>
        <v/>
      </c>
      <c r="K154" s="29" t="str">
        <f>IF(Analysis!$I154="","",IF(Analysis!$I154="Project-driven",Analysis!$F154,""))</f>
        <v/>
      </c>
      <c r="L154" s="29" t="str">
        <f>IF(Analysis!$I154="","",IF(Analysis!$I154="Drifting",Analysis!$F154,""))</f>
        <v/>
      </c>
      <c r="M154" s="29" t="str">
        <f>IF(Analysis!$I154="","",IF(Analysis!$I154="Embedded",Analysis!$H154,""))</f>
        <v/>
      </c>
      <c r="N154" s="29" t="str">
        <f>IF(Analysis!$I154="","",IF(Analysis!$I154="Loyal but shallow",Analysis!$H154,""))</f>
        <v/>
      </c>
      <c r="O154" s="29" t="str">
        <f>IF(Analysis!$I154="","",IF(Analysis!$I154="Project-driven",Analysis!$H154,""))</f>
        <v/>
      </c>
      <c r="P154" s="29" t="str">
        <f>IF(Analysis!$I154="","",IF(Analysis!$I154="Drifting",Analysis!$H154,""))</f>
        <v/>
      </c>
    </row>
    <row r="155" spans="1:16" x14ac:dyDescent="0.25">
      <c r="A155" s="29" t="str">
        <f>IF(Analysis!$I155="","",IF(Analysis!$I155="Embedded",Analysis!$D155,""))</f>
        <v/>
      </c>
      <c r="B155" s="29" t="str">
        <f>IF(Analysis!$I155="","",IF(Analysis!$I155="Loyal but shallow",Analysis!$D155,""))</f>
        <v/>
      </c>
      <c r="C155" s="29" t="str">
        <f>IF(Analysis!$I155="","",IF(Analysis!$I155="Project-driven",Analysis!$D155,""))</f>
        <v/>
      </c>
      <c r="D155" s="29" t="str">
        <f>IF(Analysis!$I155="","",IF(Analysis!$I155="Drifting",Analysis!$D155,""))</f>
        <v/>
      </c>
      <c r="E155" s="29" t="str">
        <f>IF(Analysis!$I155="","",IF(Analysis!$I155="Embedded",Analysis!$C155,""))</f>
        <v/>
      </c>
      <c r="F155" s="29" t="str">
        <f>IF(Analysis!$I155="","",IF(Analysis!$I155="Loyal but shallow",Analysis!$C155,""))</f>
        <v/>
      </c>
      <c r="G155" s="29" t="str">
        <f>IF(Analysis!$I155="","",IF(Analysis!$I155="Project-driven",Analysis!$C155,""))</f>
        <v/>
      </c>
      <c r="H155" s="29" t="str">
        <f>IF(Analysis!$I155="","",IF(Analysis!$I155="Drifting",Analysis!$C155,""))</f>
        <v/>
      </c>
      <c r="I155" s="29" t="str">
        <f>IF(Analysis!$I155="","",IF(Analysis!$I155="Embedded",Analysis!$F155,""))</f>
        <v/>
      </c>
      <c r="J155" s="29" t="str">
        <f>IF(Analysis!$I155="","",IF(Analysis!$I155="Loyal but shallow",Analysis!$F155,""))</f>
        <v/>
      </c>
      <c r="K155" s="29" t="str">
        <f>IF(Analysis!$I155="","",IF(Analysis!$I155="Project-driven",Analysis!$F155,""))</f>
        <v/>
      </c>
      <c r="L155" s="29" t="str">
        <f>IF(Analysis!$I155="","",IF(Analysis!$I155="Drifting",Analysis!$F155,""))</f>
        <v/>
      </c>
      <c r="M155" s="29" t="str">
        <f>IF(Analysis!$I155="","",IF(Analysis!$I155="Embedded",Analysis!$H155,""))</f>
        <v/>
      </c>
      <c r="N155" s="29" t="str">
        <f>IF(Analysis!$I155="","",IF(Analysis!$I155="Loyal but shallow",Analysis!$H155,""))</f>
        <v/>
      </c>
      <c r="O155" s="29" t="str">
        <f>IF(Analysis!$I155="","",IF(Analysis!$I155="Project-driven",Analysis!$H155,""))</f>
        <v/>
      </c>
      <c r="P155" s="29" t="str">
        <f>IF(Analysis!$I155="","",IF(Analysis!$I155="Drifting",Analysis!$H155,""))</f>
        <v/>
      </c>
    </row>
    <row r="156" spans="1:16" x14ac:dyDescent="0.25">
      <c r="A156" s="29" t="str">
        <f>IF(Analysis!$I156="","",IF(Analysis!$I156="Embedded",Analysis!$D156,""))</f>
        <v/>
      </c>
      <c r="B156" s="29" t="str">
        <f>IF(Analysis!$I156="","",IF(Analysis!$I156="Loyal but shallow",Analysis!$D156,""))</f>
        <v/>
      </c>
      <c r="C156" s="29" t="str">
        <f>IF(Analysis!$I156="","",IF(Analysis!$I156="Project-driven",Analysis!$D156,""))</f>
        <v/>
      </c>
      <c r="D156" s="29" t="str">
        <f>IF(Analysis!$I156="","",IF(Analysis!$I156="Drifting",Analysis!$D156,""))</f>
        <v/>
      </c>
      <c r="E156" s="29" t="str">
        <f>IF(Analysis!$I156="","",IF(Analysis!$I156="Embedded",Analysis!$C156,""))</f>
        <v/>
      </c>
      <c r="F156" s="29" t="str">
        <f>IF(Analysis!$I156="","",IF(Analysis!$I156="Loyal but shallow",Analysis!$C156,""))</f>
        <v/>
      </c>
      <c r="G156" s="29" t="str">
        <f>IF(Analysis!$I156="","",IF(Analysis!$I156="Project-driven",Analysis!$C156,""))</f>
        <v/>
      </c>
      <c r="H156" s="29" t="str">
        <f>IF(Analysis!$I156="","",IF(Analysis!$I156="Drifting",Analysis!$C156,""))</f>
        <v/>
      </c>
      <c r="I156" s="29" t="str">
        <f>IF(Analysis!$I156="","",IF(Analysis!$I156="Embedded",Analysis!$F156,""))</f>
        <v/>
      </c>
      <c r="J156" s="29" t="str">
        <f>IF(Analysis!$I156="","",IF(Analysis!$I156="Loyal but shallow",Analysis!$F156,""))</f>
        <v/>
      </c>
      <c r="K156" s="29" t="str">
        <f>IF(Analysis!$I156="","",IF(Analysis!$I156="Project-driven",Analysis!$F156,""))</f>
        <v/>
      </c>
      <c r="L156" s="29" t="str">
        <f>IF(Analysis!$I156="","",IF(Analysis!$I156="Drifting",Analysis!$F156,""))</f>
        <v/>
      </c>
      <c r="M156" s="29" t="str">
        <f>IF(Analysis!$I156="","",IF(Analysis!$I156="Embedded",Analysis!$H156,""))</f>
        <v/>
      </c>
      <c r="N156" s="29" t="str">
        <f>IF(Analysis!$I156="","",IF(Analysis!$I156="Loyal but shallow",Analysis!$H156,""))</f>
        <v/>
      </c>
      <c r="O156" s="29" t="str">
        <f>IF(Analysis!$I156="","",IF(Analysis!$I156="Project-driven",Analysis!$H156,""))</f>
        <v/>
      </c>
      <c r="P156" s="29" t="str">
        <f>IF(Analysis!$I156="","",IF(Analysis!$I156="Drifting",Analysis!$H156,""))</f>
        <v/>
      </c>
    </row>
    <row r="157" spans="1:16" x14ac:dyDescent="0.25">
      <c r="A157" s="29" t="str">
        <f>IF(Analysis!$I157="","",IF(Analysis!$I157="Embedded",Analysis!$D157,""))</f>
        <v/>
      </c>
      <c r="B157" s="29" t="str">
        <f>IF(Analysis!$I157="","",IF(Analysis!$I157="Loyal but shallow",Analysis!$D157,""))</f>
        <v/>
      </c>
      <c r="C157" s="29" t="str">
        <f>IF(Analysis!$I157="","",IF(Analysis!$I157="Project-driven",Analysis!$D157,""))</f>
        <v/>
      </c>
      <c r="D157" s="29" t="str">
        <f>IF(Analysis!$I157="","",IF(Analysis!$I157="Drifting",Analysis!$D157,""))</f>
        <v/>
      </c>
      <c r="E157" s="29" t="str">
        <f>IF(Analysis!$I157="","",IF(Analysis!$I157="Embedded",Analysis!$C157,""))</f>
        <v/>
      </c>
      <c r="F157" s="29" t="str">
        <f>IF(Analysis!$I157="","",IF(Analysis!$I157="Loyal but shallow",Analysis!$C157,""))</f>
        <v/>
      </c>
      <c r="G157" s="29" t="str">
        <f>IF(Analysis!$I157="","",IF(Analysis!$I157="Project-driven",Analysis!$C157,""))</f>
        <v/>
      </c>
      <c r="H157" s="29" t="str">
        <f>IF(Analysis!$I157="","",IF(Analysis!$I157="Drifting",Analysis!$C157,""))</f>
        <v/>
      </c>
      <c r="I157" s="29" t="str">
        <f>IF(Analysis!$I157="","",IF(Analysis!$I157="Embedded",Analysis!$F157,""))</f>
        <v/>
      </c>
      <c r="J157" s="29" t="str">
        <f>IF(Analysis!$I157="","",IF(Analysis!$I157="Loyal but shallow",Analysis!$F157,""))</f>
        <v/>
      </c>
      <c r="K157" s="29" t="str">
        <f>IF(Analysis!$I157="","",IF(Analysis!$I157="Project-driven",Analysis!$F157,""))</f>
        <v/>
      </c>
      <c r="L157" s="29" t="str">
        <f>IF(Analysis!$I157="","",IF(Analysis!$I157="Drifting",Analysis!$F157,""))</f>
        <v/>
      </c>
      <c r="M157" s="29" t="str">
        <f>IF(Analysis!$I157="","",IF(Analysis!$I157="Embedded",Analysis!$H157,""))</f>
        <v/>
      </c>
      <c r="N157" s="29" t="str">
        <f>IF(Analysis!$I157="","",IF(Analysis!$I157="Loyal but shallow",Analysis!$H157,""))</f>
        <v/>
      </c>
      <c r="O157" s="29" t="str">
        <f>IF(Analysis!$I157="","",IF(Analysis!$I157="Project-driven",Analysis!$H157,""))</f>
        <v/>
      </c>
      <c r="P157" s="29" t="str">
        <f>IF(Analysis!$I157="","",IF(Analysis!$I157="Drifting",Analysis!$H157,""))</f>
        <v/>
      </c>
    </row>
    <row r="158" spans="1:16" x14ac:dyDescent="0.25">
      <c r="A158" s="29" t="str">
        <f>IF(Analysis!$I158="","",IF(Analysis!$I158="Embedded",Analysis!$D158,""))</f>
        <v/>
      </c>
      <c r="B158" s="29" t="str">
        <f>IF(Analysis!$I158="","",IF(Analysis!$I158="Loyal but shallow",Analysis!$D158,""))</f>
        <v/>
      </c>
      <c r="C158" s="29" t="str">
        <f>IF(Analysis!$I158="","",IF(Analysis!$I158="Project-driven",Analysis!$D158,""))</f>
        <v/>
      </c>
      <c r="D158" s="29" t="str">
        <f>IF(Analysis!$I158="","",IF(Analysis!$I158="Drifting",Analysis!$D158,""))</f>
        <v/>
      </c>
      <c r="E158" s="29" t="str">
        <f>IF(Analysis!$I158="","",IF(Analysis!$I158="Embedded",Analysis!$C158,""))</f>
        <v/>
      </c>
      <c r="F158" s="29" t="str">
        <f>IF(Analysis!$I158="","",IF(Analysis!$I158="Loyal but shallow",Analysis!$C158,""))</f>
        <v/>
      </c>
      <c r="G158" s="29" t="str">
        <f>IF(Analysis!$I158="","",IF(Analysis!$I158="Project-driven",Analysis!$C158,""))</f>
        <v/>
      </c>
      <c r="H158" s="29" t="str">
        <f>IF(Analysis!$I158="","",IF(Analysis!$I158="Drifting",Analysis!$C158,""))</f>
        <v/>
      </c>
      <c r="I158" s="29" t="str">
        <f>IF(Analysis!$I158="","",IF(Analysis!$I158="Embedded",Analysis!$F158,""))</f>
        <v/>
      </c>
      <c r="J158" s="29" t="str">
        <f>IF(Analysis!$I158="","",IF(Analysis!$I158="Loyal but shallow",Analysis!$F158,""))</f>
        <v/>
      </c>
      <c r="K158" s="29" t="str">
        <f>IF(Analysis!$I158="","",IF(Analysis!$I158="Project-driven",Analysis!$F158,""))</f>
        <v/>
      </c>
      <c r="L158" s="29" t="str">
        <f>IF(Analysis!$I158="","",IF(Analysis!$I158="Drifting",Analysis!$F158,""))</f>
        <v/>
      </c>
      <c r="M158" s="29" t="str">
        <f>IF(Analysis!$I158="","",IF(Analysis!$I158="Embedded",Analysis!$H158,""))</f>
        <v/>
      </c>
      <c r="N158" s="29" t="str">
        <f>IF(Analysis!$I158="","",IF(Analysis!$I158="Loyal but shallow",Analysis!$H158,""))</f>
        <v/>
      </c>
      <c r="O158" s="29" t="str">
        <f>IF(Analysis!$I158="","",IF(Analysis!$I158="Project-driven",Analysis!$H158,""))</f>
        <v/>
      </c>
      <c r="P158" s="29" t="str">
        <f>IF(Analysis!$I158="","",IF(Analysis!$I158="Drifting",Analysis!$H158,""))</f>
        <v/>
      </c>
    </row>
    <row r="159" spans="1:16" x14ac:dyDescent="0.25">
      <c r="A159" s="29" t="str">
        <f>IF(Analysis!$I159="","",IF(Analysis!$I159="Embedded",Analysis!$D159,""))</f>
        <v/>
      </c>
      <c r="B159" s="29" t="str">
        <f>IF(Analysis!$I159="","",IF(Analysis!$I159="Loyal but shallow",Analysis!$D159,""))</f>
        <v/>
      </c>
      <c r="C159" s="29" t="str">
        <f>IF(Analysis!$I159="","",IF(Analysis!$I159="Project-driven",Analysis!$D159,""))</f>
        <v/>
      </c>
      <c r="D159" s="29" t="str">
        <f>IF(Analysis!$I159="","",IF(Analysis!$I159="Drifting",Analysis!$D159,""))</f>
        <v/>
      </c>
      <c r="E159" s="29" t="str">
        <f>IF(Analysis!$I159="","",IF(Analysis!$I159="Embedded",Analysis!$C159,""))</f>
        <v/>
      </c>
      <c r="F159" s="29" t="str">
        <f>IF(Analysis!$I159="","",IF(Analysis!$I159="Loyal but shallow",Analysis!$C159,""))</f>
        <v/>
      </c>
      <c r="G159" s="29" t="str">
        <f>IF(Analysis!$I159="","",IF(Analysis!$I159="Project-driven",Analysis!$C159,""))</f>
        <v/>
      </c>
      <c r="H159" s="29" t="str">
        <f>IF(Analysis!$I159="","",IF(Analysis!$I159="Drifting",Analysis!$C159,""))</f>
        <v/>
      </c>
      <c r="I159" s="29" t="str">
        <f>IF(Analysis!$I159="","",IF(Analysis!$I159="Embedded",Analysis!$F159,""))</f>
        <v/>
      </c>
      <c r="J159" s="29" t="str">
        <f>IF(Analysis!$I159="","",IF(Analysis!$I159="Loyal but shallow",Analysis!$F159,""))</f>
        <v/>
      </c>
      <c r="K159" s="29" t="str">
        <f>IF(Analysis!$I159="","",IF(Analysis!$I159="Project-driven",Analysis!$F159,""))</f>
        <v/>
      </c>
      <c r="L159" s="29" t="str">
        <f>IF(Analysis!$I159="","",IF(Analysis!$I159="Drifting",Analysis!$F159,""))</f>
        <v/>
      </c>
      <c r="M159" s="29" t="str">
        <f>IF(Analysis!$I159="","",IF(Analysis!$I159="Embedded",Analysis!$H159,""))</f>
        <v/>
      </c>
      <c r="N159" s="29" t="str">
        <f>IF(Analysis!$I159="","",IF(Analysis!$I159="Loyal but shallow",Analysis!$H159,""))</f>
        <v/>
      </c>
      <c r="O159" s="29" t="str">
        <f>IF(Analysis!$I159="","",IF(Analysis!$I159="Project-driven",Analysis!$H159,""))</f>
        <v/>
      </c>
      <c r="P159" s="29" t="str">
        <f>IF(Analysis!$I159="","",IF(Analysis!$I159="Drifting",Analysis!$H159,""))</f>
        <v/>
      </c>
    </row>
    <row r="160" spans="1:16" x14ac:dyDescent="0.25">
      <c r="A160" s="29" t="str">
        <f>IF(Analysis!$I160="","",IF(Analysis!$I160="Embedded",Analysis!$D160,""))</f>
        <v/>
      </c>
      <c r="B160" s="29" t="str">
        <f>IF(Analysis!$I160="","",IF(Analysis!$I160="Loyal but shallow",Analysis!$D160,""))</f>
        <v/>
      </c>
      <c r="C160" s="29" t="str">
        <f>IF(Analysis!$I160="","",IF(Analysis!$I160="Project-driven",Analysis!$D160,""))</f>
        <v/>
      </c>
      <c r="D160" s="29" t="str">
        <f>IF(Analysis!$I160="","",IF(Analysis!$I160="Drifting",Analysis!$D160,""))</f>
        <v/>
      </c>
      <c r="E160" s="29" t="str">
        <f>IF(Analysis!$I160="","",IF(Analysis!$I160="Embedded",Analysis!$C160,""))</f>
        <v/>
      </c>
      <c r="F160" s="29" t="str">
        <f>IF(Analysis!$I160="","",IF(Analysis!$I160="Loyal but shallow",Analysis!$C160,""))</f>
        <v/>
      </c>
      <c r="G160" s="29" t="str">
        <f>IF(Analysis!$I160="","",IF(Analysis!$I160="Project-driven",Analysis!$C160,""))</f>
        <v/>
      </c>
      <c r="H160" s="29" t="str">
        <f>IF(Analysis!$I160="","",IF(Analysis!$I160="Drifting",Analysis!$C160,""))</f>
        <v/>
      </c>
      <c r="I160" s="29" t="str">
        <f>IF(Analysis!$I160="","",IF(Analysis!$I160="Embedded",Analysis!$F160,""))</f>
        <v/>
      </c>
      <c r="J160" s="29" t="str">
        <f>IF(Analysis!$I160="","",IF(Analysis!$I160="Loyal but shallow",Analysis!$F160,""))</f>
        <v/>
      </c>
      <c r="K160" s="29" t="str">
        <f>IF(Analysis!$I160="","",IF(Analysis!$I160="Project-driven",Analysis!$F160,""))</f>
        <v/>
      </c>
      <c r="L160" s="29" t="str">
        <f>IF(Analysis!$I160="","",IF(Analysis!$I160="Drifting",Analysis!$F160,""))</f>
        <v/>
      </c>
      <c r="M160" s="29" t="str">
        <f>IF(Analysis!$I160="","",IF(Analysis!$I160="Embedded",Analysis!$H160,""))</f>
        <v/>
      </c>
      <c r="N160" s="29" t="str">
        <f>IF(Analysis!$I160="","",IF(Analysis!$I160="Loyal but shallow",Analysis!$H160,""))</f>
        <v/>
      </c>
      <c r="O160" s="29" t="str">
        <f>IF(Analysis!$I160="","",IF(Analysis!$I160="Project-driven",Analysis!$H160,""))</f>
        <v/>
      </c>
      <c r="P160" s="29" t="str">
        <f>IF(Analysis!$I160="","",IF(Analysis!$I160="Drifting",Analysis!$H160,""))</f>
        <v/>
      </c>
    </row>
    <row r="161" spans="1:16" x14ac:dyDescent="0.25">
      <c r="A161" s="29" t="str">
        <f>IF(Analysis!$I161="","",IF(Analysis!$I161="Embedded",Analysis!$D161,""))</f>
        <v/>
      </c>
      <c r="B161" s="29" t="str">
        <f>IF(Analysis!$I161="","",IF(Analysis!$I161="Loyal but shallow",Analysis!$D161,""))</f>
        <v/>
      </c>
      <c r="C161" s="29" t="str">
        <f>IF(Analysis!$I161="","",IF(Analysis!$I161="Project-driven",Analysis!$D161,""))</f>
        <v/>
      </c>
      <c r="D161" s="29" t="str">
        <f>IF(Analysis!$I161="","",IF(Analysis!$I161="Drifting",Analysis!$D161,""))</f>
        <v/>
      </c>
      <c r="E161" s="29" t="str">
        <f>IF(Analysis!$I161="","",IF(Analysis!$I161="Embedded",Analysis!$C161,""))</f>
        <v/>
      </c>
      <c r="F161" s="29" t="str">
        <f>IF(Analysis!$I161="","",IF(Analysis!$I161="Loyal but shallow",Analysis!$C161,""))</f>
        <v/>
      </c>
      <c r="G161" s="29" t="str">
        <f>IF(Analysis!$I161="","",IF(Analysis!$I161="Project-driven",Analysis!$C161,""))</f>
        <v/>
      </c>
      <c r="H161" s="29" t="str">
        <f>IF(Analysis!$I161="","",IF(Analysis!$I161="Drifting",Analysis!$C161,""))</f>
        <v/>
      </c>
      <c r="I161" s="29" t="str">
        <f>IF(Analysis!$I161="","",IF(Analysis!$I161="Embedded",Analysis!$F161,""))</f>
        <v/>
      </c>
      <c r="J161" s="29" t="str">
        <f>IF(Analysis!$I161="","",IF(Analysis!$I161="Loyal but shallow",Analysis!$F161,""))</f>
        <v/>
      </c>
      <c r="K161" s="29" t="str">
        <f>IF(Analysis!$I161="","",IF(Analysis!$I161="Project-driven",Analysis!$F161,""))</f>
        <v/>
      </c>
      <c r="L161" s="29" t="str">
        <f>IF(Analysis!$I161="","",IF(Analysis!$I161="Drifting",Analysis!$F161,""))</f>
        <v/>
      </c>
      <c r="M161" s="29" t="str">
        <f>IF(Analysis!$I161="","",IF(Analysis!$I161="Embedded",Analysis!$H161,""))</f>
        <v/>
      </c>
      <c r="N161" s="29" t="str">
        <f>IF(Analysis!$I161="","",IF(Analysis!$I161="Loyal but shallow",Analysis!$H161,""))</f>
        <v/>
      </c>
      <c r="O161" s="29" t="str">
        <f>IF(Analysis!$I161="","",IF(Analysis!$I161="Project-driven",Analysis!$H161,""))</f>
        <v/>
      </c>
      <c r="P161" s="29" t="str">
        <f>IF(Analysis!$I161="","",IF(Analysis!$I161="Drifting",Analysis!$H161,""))</f>
        <v/>
      </c>
    </row>
    <row r="162" spans="1:16" x14ac:dyDescent="0.25">
      <c r="A162" s="29" t="str">
        <f>IF(Analysis!$I162="","",IF(Analysis!$I162="Embedded",Analysis!$D162,""))</f>
        <v/>
      </c>
      <c r="B162" s="29" t="str">
        <f>IF(Analysis!$I162="","",IF(Analysis!$I162="Loyal but shallow",Analysis!$D162,""))</f>
        <v/>
      </c>
      <c r="C162" s="29" t="str">
        <f>IF(Analysis!$I162="","",IF(Analysis!$I162="Project-driven",Analysis!$D162,""))</f>
        <v/>
      </c>
      <c r="D162" s="29" t="str">
        <f>IF(Analysis!$I162="","",IF(Analysis!$I162="Drifting",Analysis!$D162,""))</f>
        <v/>
      </c>
      <c r="E162" s="29" t="str">
        <f>IF(Analysis!$I162="","",IF(Analysis!$I162="Embedded",Analysis!$C162,""))</f>
        <v/>
      </c>
      <c r="F162" s="29" t="str">
        <f>IF(Analysis!$I162="","",IF(Analysis!$I162="Loyal but shallow",Analysis!$C162,""))</f>
        <v/>
      </c>
      <c r="G162" s="29" t="str">
        <f>IF(Analysis!$I162="","",IF(Analysis!$I162="Project-driven",Analysis!$C162,""))</f>
        <v/>
      </c>
      <c r="H162" s="29" t="str">
        <f>IF(Analysis!$I162="","",IF(Analysis!$I162="Drifting",Analysis!$C162,""))</f>
        <v/>
      </c>
      <c r="I162" s="29" t="str">
        <f>IF(Analysis!$I162="","",IF(Analysis!$I162="Embedded",Analysis!$F162,""))</f>
        <v/>
      </c>
      <c r="J162" s="29" t="str">
        <f>IF(Analysis!$I162="","",IF(Analysis!$I162="Loyal but shallow",Analysis!$F162,""))</f>
        <v/>
      </c>
      <c r="K162" s="29" t="str">
        <f>IF(Analysis!$I162="","",IF(Analysis!$I162="Project-driven",Analysis!$F162,""))</f>
        <v/>
      </c>
      <c r="L162" s="29" t="str">
        <f>IF(Analysis!$I162="","",IF(Analysis!$I162="Drifting",Analysis!$F162,""))</f>
        <v/>
      </c>
      <c r="M162" s="29" t="str">
        <f>IF(Analysis!$I162="","",IF(Analysis!$I162="Embedded",Analysis!$H162,""))</f>
        <v/>
      </c>
      <c r="N162" s="29" t="str">
        <f>IF(Analysis!$I162="","",IF(Analysis!$I162="Loyal but shallow",Analysis!$H162,""))</f>
        <v/>
      </c>
      <c r="O162" s="29" t="str">
        <f>IF(Analysis!$I162="","",IF(Analysis!$I162="Project-driven",Analysis!$H162,""))</f>
        <v/>
      </c>
      <c r="P162" s="29" t="str">
        <f>IF(Analysis!$I162="","",IF(Analysis!$I162="Drifting",Analysis!$H162,""))</f>
        <v/>
      </c>
    </row>
    <row r="163" spans="1:16" x14ac:dyDescent="0.25">
      <c r="A163" s="29" t="str">
        <f>IF(Analysis!$I163="","",IF(Analysis!$I163="Embedded",Analysis!$D163,""))</f>
        <v/>
      </c>
      <c r="B163" s="29" t="str">
        <f>IF(Analysis!$I163="","",IF(Analysis!$I163="Loyal but shallow",Analysis!$D163,""))</f>
        <v/>
      </c>
      <c r="C163" s="29" t="str">
        <f>IF(Analysis!$I163="","",IF(Analysis!$I163="Project-driven",Analysis!$D163,""))</f>
        <v/>
      </c>
      <c r="D163" s="29" t="str">
        <f>IF(Analysis!$I163="","",IF(Analysis!$I163="Drifting",Analysis!$D163,""))</f>
        <v/>
      </c>
      <c r="E163" s="29" t="str">
        <f>IF(Analysis!$I163="","",IF(Analysis!$I163="Embedded",Analysis!$C163,""))</f>
        <v/>
      </c>
      <c r="F163" s="29" t="str">
        <f>IF(Analysis!$I163="","",IF(Analysis!$I163="Loyal but shallow",Analysis!$C163,""))</f>
        <v/>
      </c>
      <c r="G163" s="29" t="str">
        <f>IF(Analysis!$I163="","",IF(Analysis!$I163="Project-driven",Analysis!$C163,""))</f>
        <v/>
      </c>
      <c r="H163" s="29" t="str">
        <f>IF(Analysis!$I163="","",IF(Analysis!$I163="Drifting",Analysis!$C163,""))</f>
        <v/>
      </c>
      <c r="I163" s="29" t="str">
        <f>IF(Analysis!$I163="","",IF(Analysis!$I163="Embedded",Analysis!$F163,""))</f>
        <v/>
      </c>
      <c r="J163" s="29" t="str">
        <f>IF(Analysis!$I163="","",IF(Analysis!$I163="Loyal but shallow",Analysis!$F163,""))</f>
        <v/>
      </c>
      <c r="K163" s="29" t="str">
        <f>IF(Analysis!$I163="","",IF(Analysis!$I163="Project-driven",Analysis!$F163,""))</f>
        <v/>
      </c>
      <c r="L163" s="29" t="str">
        <f>IF(Analysis!$I163="","",IF(Analysis!$I163="Drifting",Analysis!$F163,""))</f>
        <v/>
      </c>
      <c r="M163" s="29" t="str">
        <f>IF(Analysis!$I163="","",IF(Analysis!$I163="Embedded",Analysis!$H163,""))</f>
        <v/>
      </c>
      <c r="N163" s="29" t="str">
        <f>IF(Analysis!$I163="","",IF(Analysis!$I163="Loyal but shallow",Analysis!$H163,""))</f>
        <v/>
      </c>
      <c r="O163" s="29" t="str">
        <f>IF(Analysis!$I163="","",IF(Analysis!$I163="Project-driven",Analysis!$H163,""))</f>
        <v/>
      </c>
      <c r="P163" s="29" t="str">
        <f>IF(Analysis!$I163="","",IF(Analysis!$I163="Drifting",Analysis!$H163,""))</f>
        <v/>
      </c>
    </row>
    <row r="164" spans="1:16" x14ac:dyDescent="0.25">
      <c r="A164" s="29" t="str">
        <f>IF(Analysis!$I164="","",IF(Analysis!$I164="Embedded",Analysis!$D164,""))</f>
        <v/>
      </c>
      <c r="B164" s="29" t="str">
        <f>IF(Analysis!$I164="","",IF(Analysis!$I164="Loyal but shallow",Analysis!$D164,""))</f>
        <v/>
      </c>
      <c r="C164" s="29" t="str">
        <f>IF(Analysis!$I164="","",IF(Analysis!$I164="Project-driven",Analysis!$D164,""))</f>
        <v/>
      </c>
      <c r="D164" s="29" t="str">
        <f>IF(Analysis!$I164="","",IF(Analysis!$I164="Drifting",Analysis!$D164,""))</f>
        <v/>
      </c>
      <c r="E164" s="29" t="str">
        <f>IF(Analysis!$I164="","",IF(Analysis!$I164="Embedded",Analysis!$C164,""))</f>
        <v/>
      </c>
      <c r="F164" s="29" t="str">
        <f>IF(Analysis!$I164="","",IF(Analysis!$I164="Loyal but shallow",Analysis!$C164,""))</f>
        <v/>
      </c>
      <c r="G164" s="29" t="str">
        <f>IF(Analysis!$I164="","",IF(Analysis!$I164="Project-driven",Analysis!$C164,""))</f>
        <v/>
      </c>
      <c r="H164" s="29" t="str">
        <f>IF(Analysis!$I164="","",IF(Analysis!$I164="Drifting",Analysis!$C164,""))</f>
        <v/>
      </c>
      <c r="I164" s="29" t="str">
        <f>IF(Analysis!$I164="","",IF(Analysis!$I164="Embedded",Analysis!$F164,""))</f>
        <v/>
      </c>
      <c r="J164" s="29" t="str">
        <f>IF(Analysis!$I164="","",IF(Analysis!$I164="Loyal but shallow",Analysis!$F164,""))</f>
        <v/>
      </c>
      <c r="K164" s="29" t="str">
        <f>IF(Analysis!$I164="","",IF(Analysis!$I164="Project-driven",Analysis!$F164,""))</f>
        <v/>
      </c>
      <c r="L164" s="29" t="str">
        <f>IF(Analysis!$I164="","",IF(Analysis!$I164="Drifting",Analysis!$F164,""))</f>
        <v/>
      </c>
      <c r="M164" s="29" t="str">
        <f>IF(Analysis!$I164="","",IF(Analysis!$I164="Embedded",Analysis!$H164,""))</f>
        <v/>
      </c>
      <c r="N164" s="29" t="str">
        <f>IF(Analysis!$I164="","",IF(Analysis!$I164="Loyal but shallow",Analysis!$H164,""))</f>
        <v/>
      </c>
      <c r="O164" s="29" t="str">
        <f>IF(Analysis!$I164="","",IF(Analysis!$I164="Project-driven",Analysis!$H164,""))</f>
        <v/>
      </c>
      <c r="P164" s="29" t="str">
        <f>IF(Analysis!$I164="","",IF(Analysis!$I164="Drifting",Analysis!$H164,""))</f>
        <v/>
      </c>
    </row>
    <row r="165" spans="1:16" x14ac:dyDescent="0.25">
      <c r="A165" s="29" t="str">
        <f>IF(Analysis!$I165="","",IF(Analysis!$I165="Embedded",Analysis!$D165,""))</f>
        <v/>
      </c>
      <c r="B165" s="29" t="str">
        <f>IF(Analysis!$I165="","",IF(Analysis!$I165="Loyal but shallow",Analysis!$D165,""))</f>
        <v/>
      </c>
      <c r="C165" s="29" t="str">
        <f>IF(Analysis!$I165="","",IF(Analysis!$I165="Project-driven",Analysis!$D165,""))</f>
        <v/>
      </c>
      <c r="D165" s="29" t="str">
        <f>IF(Analysis!$I165="","",IF(Analysis!$I165="Drifting",Analysis!$D165,""))</f>
        <v/>
      </c>
      <c r="E165" s="29" t="str">
        <f>IF(Analysis!$I165="","",IF(Analysis!$I165="Embedded",Analysis!$C165,""))</f>
        <v/>
      </c>
      <c r="F165" s="29" t="str">
        <f>IF(Analysis!$I165="","",IF(Analysis!$I165="Loyal but shallow",Analysis!$C165,""))</f>
        <v/>
      </c>
      <c r="G165" s="29" t="str">
        <f>IF(Analysis!$I165="","",IF(Analysis!$I165="Project-driven",Analysis!$C165,""))</f>
        <v/>
      </c>
      <c r="H165" s="29" t="str">
        <f>IF(Analysis!$I165="","",IF(Analysis!$I165="Drifting",Analysis!$C165,""))</f>
        <v/>
      </c>
      <c r="I165" s="29" t="str">
        <f>IF(Analysis!$I165="","",IF(Analysis!$I165="Embedded",Analysis!$F165,""))</f>
        <v/>
      </c>
      <c r="J165" s="29" t="str">
        <f>IF(Analysis!$I165="","",IF(Analysis!$I165="Loyal but shallow",Analysis!$F165,""))</f>
        <v/>
      </c>
      <c r="K165" s="29" t="str">
        <f>IF(Analysis!$I165="","",IF(Analysis!$I165="Project-driven",Analysis!$F165,""))</f>
        <v/>
      </c>
      <c r="L165" s="29" t="str">
        <f>IF(Analysis!$I165="","",IF(Analysis!$I165="Drifting",Analysis!$F165,""))</f>
        <v/>
      </c>
      <c r="M165" s="29" t="str">
        <f>IF(Analysis!$I165="","",IF(Analysis!$I165="Embedded",Analysis!$H165,""))</f>
        <v/>
      </c>
      <c r="N165" s="29" t="str">
        <f>IF(Analysis!$I165="","",IF(Analysis!$I165="Loyal but shallow",Analysis!$H165,""))</f>
        <v/>
      </c>
      <c r="O165" s="29" t="str">
        <f>IF(Analysis!$I165="","",IF(Analysis!$I165="Project-driven",Analysis!$H165,""))</f>
        <v/>
      </c>
      <c r="P165" s="29" t="str">
        <f>IF(Analysis!$I165="","",IF(Analysis!$I165="Drifting",Analysis!$H165,""))</f>
        <v/>
      </c>
    </row>
    <row r="166" spans="1:16" x14ac:dyDescent="0.25">
      <c r="A166" s="29" t="str">
        <f>IF(Analysis!$I166="","",IF(Analysis!$I166="Embedded",Analysis!$D166,""))</f>
        <v/>
      </c>
      <c r="B166" s="29" t="str">
        <f>IF(Analysis!$I166="","",IF(Analysis!$I166="Loyal but shallow",Analysis!$D166,""))</f>
        <v/>
      </c>
      <c r="C166" s="29" t="str">
        <f>IF(Analysis!$I166="","",IF(Analysis!$I166="Project-driven",Analysis!$D166,""))</f>
        <v/>
      </c>
      <c r="D166" s="29" t="str">
        <f>IF(Analysis!$I166="","",IF(Analysis!$I166="Drifting",Analysis!$D166,""))</f>
        <v/>
      </c>
      <c r="E166" s="29" t="str">
        <f>IF(Analysis!$I166="","",IF(Analysis!$I166="Embedded",Analysis!$C166,""))</f>
        <v/>
      </c>
      <c r="F166" s="29" t="str">
        <f>IF(Analysis!$I166="","",IF(Analysis!$I166="Loyal but shallow",Analysis!$C166,""))</f>
        <v/>
      </c>
      <c r="G166" s="29" t="str">
        <f>IF(Analysis!$I166="","",IF(Analysis!$I166="Project-driven",Analysis!$C166,""))</f>
        <v/>
      </c>
      <c r="H166" s="29" t="str">
        <f>IF(Analysis!$I166="","",IF(Analysis!$I166="Drifting",Analysis!$C166,""))</f>
        <v/>
      </c>
      <c r="I166" s="29" t="str">
        <f>IF(Analysis!$I166="","",IF(Analysis!$I166="Embedded",Analysis!$F166,""))</f>
        <v/>
      </c>
      <c r="J166" s="29" t="str">
        <f>IF(Analysis!$I166="","",IF(Analysis!$I166="Loyal but shallow",Analysis!$F166,""))</f>
        <v/>
      </c>
      <c r="K166" s="29" t="str">
        <f>IF(Analysis!$I166="","",IF(Analysis!$I166="Project-driven",Analysis!$F166,""))</f>
        <v/>
      </c>
      <c r="L166" s="29" t="str">
        <f>IF(Analysis!$I166="","",IF(Analysis!$I166="Drifting",Analysis!$F166,""))</f>
        <v/>
      </c>
      <c r="M166" s="29" t="str">
        <f>IF(Analysis!$I166="","",IF(Analysis!$I166="Embedded",Analysis!$H166,""))</f>
        <v/>
      </c>
      <c r="N166" s="29" t="str">
        <f>IF(Analysis!$I166="","",IF(Analysis!$I166="Loyal but shallow",Analysis!$H166,""))</f>
        <v/>
      </c>
      <c r="O166" s="29" t="str">
        <f>IF(Analysis!$I166="","",IF(Analysis!$I166="Project-driven",Analysis!$H166,""))</f>
        <v/>
      </c>
      <c r="P166" s="29" t="str">
        <f>IF(Analysis!$I166="","",IF(Analysis!$I166="Drifting",Analysis!$H166,""))</f>
        <v/>
      </c>
    </row>
    <row r="167" spans="1:16" x14ac:dyDescent="0.25">
      <c r="A167" s="29" t="str">
        <f>IF(Analysis!$I167="","",IF(Analysis!$I167="Embedded",Analysis!$D167,""))</f>
        <v/>
      </c>
      <c r="B167" s="29" t="str">
        <f>IF(Analysis!$I167="","",IF(Analysis!$I167="Loyal but shallow",Analysis!$D167,""))</f>
        <v/>
      </c>
      <c r="C167" s="29" t="str">
        <f>IF(Analysis!$I167="","",IF(Analysis!$I167="Project-driven",Analysis!$D167,""))</f>
        <v/>
      </c>
      <c r="D167" s="29" t="str">
        <f>IF(Analysis!$I167="","",IF(Analysis!$I167="Drifting",Analysis!$D167,""))</f>
        <v/>
      </c>
      <c r="E167" s="29" t="str">
        <f>IF(Analysis!$I167="","",IF(Analysis!$I167="Embedded",Analysis!$C167,""))</f>
        <v/>
      </c>
      <c r="F167" s="29" t="str">
        <f>IF(Analysis!$I167="","",IF(Analysis!$I167="Loyal but shallow",Analysis!$C167,""))</f>
        <v/>
      </c>
      <c r="G167" s="29" t="str">
        <f>IF(Analysis!$I167="","",IF(Analysis!$I167="Project-driven",Analysis!$C167,""))</f>
        <v/>
      </c>
      <c r="H167" s="29" t="str">
        <f>IF(Analysis!$I167="","",IF(Analysis!$I167="Drifting",Analysis!$C167,""))</f>
        <v/>
      </c>
      <c r="I167" s="29" t="str">
        <f>IF(Analysis!$I167="","",IF(Analysis!$I167="Embedded",Analysis!$F167,""))</f>
        <v/>
      </c>
      <c r="J167" s="29" t="str">
        <f>IF(Analysis!$I167="","",IF(Analysis!$I167="Loyal but shallow",Analysis!$F167,""))</f>
        <v/>
      </c>
      <c r="K167" s="29" t="str">
        <f>IF(Analysis!$I167="","",IF(Analysis!$I167="Project-driven",Analysis!$F167,""))</f>
        <v/>
      </c>
      <c r="L167" s="29" t="str">
        <f>IF(Analysis!$I167="","",IF(Analysis!$I167="Drifting",Analysis!$F167,""))</f>
        <v/>
      </c>
      <c r="M167" s="29" t="str">
        <f>IF(Analysis!$I167="","",IF(Analysis!$I167="Embedded",Analysis!$H167,""))</f>
        <v/>
      </c>
      <c r="N167" s="29" t="str">
        <f>IF(Analysis!$I167="","",IF(Analysis!$I167="Loyal but shallow",Analysis!$H167,""))</f>
        <v/>
      </c>
      <c r="O167" s="29" t="str">
        <f>IF(Analysis!$I167="","",IF(Analysis!$I167="Project-driven",Analysis!$H167,""))</f>
        <v/>
      </c>
      <c r="P167" s="29" t="str">
        <f>IF(Analysis!$I167="","",IF(Analysis!$I167="Drifting",Analysis!$H167,""))</f>
        <v/>
      </c>
    </row>
    <row r="168" spans="1:16" x14ac:dyDescent="0.25">
      <c r="A168" s="29" t="str">
        <f>IF(Analysis!$I168="","",IF(Analysis!$I168="Embedded",Analysis!$D168,""))</f>
        <v/>
      </c>
      <c r="B168" s="29" t="str">
        <f>IF(Analysis!$I168="","",IF(Analysis!$I168="Loyal but shallow",Analysis!$D168,""))</f>
        <v/>
      </c>
      <c r="C168" s="29" t="str">
        <f>IF(Analysis!$I168="","",IF(Analysis!$I168="Project-driven",Analysis!$D168,""))</f>
        <v/>
      </c>
      <c r="D168" s="29" t="str">
        <f>IF(Analysis!$I168="","",IF(Analysis!$I168="Drifting",Analysis!$D168,""))</f>
        <v/>
      </c>
      <c r="E168" s="29" t="str">
        <f>IF(Analysis!$I168="","",IF(Analysis!$I168="Embedded",Analysis!$C168,""))</f>
        <v/>
      </c>
      <c r="F168" s="29" t="str">
        <f>IF(Analysis!$I168="","",IF(Analysis!$I168="Loyal but shallow",Analysis!$C168,""))</f>
        <v/>
      </c>
      <c r="G168" s="29" t="str">
        <f>IF(Analysis!$I168="","",IF(Analysis!$I168="Project-driven",Analysis!$C168,""))</f>
        <v/>
      </c>
      <c r="H168" s="29" t="str">
        <f>IF(Analysis!$I168="","",IF(Analysis!$I168="Drifting",Analysis!$C168,""))</f>
        <v/>
      </c>
      <c r="I168" s="29" t="str">
        <f>IF(Analysis!$I168="","",IF(Analysis!$I168="Embedded",Analysis!$F168,""))</f>
        <v/>
      </c>
      <c r="J168" s="29" t="str">
        <f>IF(Analysis!$I168="","",IF(Analysis!$I168="Loyal but shallow",Analysis!$F168,""))</f>
        <v/>
      </c>
      <c r="K168" s="29" t="str">
        <f>IF(Analysis!$I168="","",IF(Analysis!$I168="Project-driven",Analysis!$F168,""))</f>
        <v/>
      </c>
      <c r="L168" s="29" t="str">
        <f>IF(Analysis!$I168="","",IF(Analysis!$I168="Drifting",Analysis!$F168,""))</f>
        <v/>
      </c>
      <c r="M168" s="29" t="str">
        <f>IF(Analysis!$I168="","",IF(Analysis!$I168="Embedded",Analysis!$H168,""))</f>
        <v/>
      </c>
      <c r="N168" s="29" t="str">
        <f>IF(Analysis!$I168="","",IF(Analysis!$I168="Loyal but shallow",Analysis!$H168,""))</f>
        <v/>
      </c>
      <c r="O168" s="29" t="str">
        <f>IF(Analysis!$I168="","",IF(Analysis!$I168="Project-driven",Analysis!$H168,""))</f>
        <v/>
      </c>
      <c r="P168" s="29" t="str">
        <f>IF(Analysis!$I168="","",IF(Analysis!$I168="Drifting",Analysis!$H168,""))</f>
        <v/>
      </c>
    </row>
    <row r="169" spans="1:16" x14ac:dyDescent="0.25">
      <c r="A169" s="29" t="str">
        <f>IF(Analysis!$I169="","",IF(Analysis!$I169="Embedded",Analysis!$D169,""))</f>
        <v/>
      </c>
      <c r="B169" s="29" t="str">
        <f>IF(Analysis!$I169="","",IF(Analysis!$I169="Loyal but shallow",Analysis!$D169,""))</f>
        <v/>
      </c>
      <c r="C169" s="29" t="str">
        <f>IF(Analysis!$I169="","",IF(Analysis!$I169="Project-driven",Analysis!$D169,""))</f>
        <v/>
      </c>
      <c r="D169" s="29" t="str">
        <f>IF(Analysis!$I169="","",IF(Analysis!$I169="Drifting",Analysis!$D169,""))</f>
        <v/>
      </c>
      <c r="E169" s="29" t="str">
        <f>IF(Analysis!$I169="","",IF(Analysis!$I169="Embedded",Analysis!$C169,""))</f>
        <v/>
      </c>
      <c r="F169" s="29" t="str">
        <f>IF(Analysis!$I169="","",IF(Analysis!$I169="Loyal but shallow",Analysis!$C169,""))</f>
        <v/>
      </c>
      <c r="G169" s="29" t="str">
        <f>IF(Analysis!$I169="","",IF(Analysis!$I169="Project-driven",Analysis!$C169,""))</f>
        <v/>
      </c>
      <c r="H169" s="29" t="str">
        <f>IF(Analysis!$I169="","",IF(Analysis!$I169="Drifting",Analysis!$C169,""))</f>
        <v/>
      </c>
      <c r="I169" s="29" t="str">
        <f>IF(Analysis!$I169="","",IF(Analysis!$I169="Embedded",Analysis!$F169,""))</f>
        <v/>
      </c>
      <c r="J169" s="29" t="str">
        <f>IF(Analysis!$I169="","",IF(Analysis!$I169="Loyal but shallow",Analysis!$F169,""))</f>
        <v/>
      </c>
      <c r="K169" s="29" t="str">
        <f>IF(Analysis!$I169="","",IF(Analysis!$I169="Project-driven",Analysis!$F169,""))</f>
        <v/>
      </c>
      <c r="L169" s="29" t="str">
        <f>IF(Analysis!$I169="","",IF(Analysis!$I169="Drifting",Analysis!$F169,""))</f>
        <v/>
      </c>
      <c r="M169" s="29" t="str">
        <f>IF(Analysis!$I169="","",IF(Analysis!$I169="Embedded",Analysis!$H169,""))</f>
        <v/>
      </c>
      <c r="N169" s="29" t="str">
        <f>IF(Analysis!$I169="","",IF(Analysis!$I169="Loyal but shallow",Analysis!$H169,""))</f>
        <v/>
      </c>
      <c r="O169" s="29" t="str">
        <f>IF(Analysis!$I169="","",IF(Analysis!$I169="Project-driven",Analysis!$H169,""))</f>
        <v/>
      </c>
      <c r="P169" s="29" t="str">
        <f>IF(Analysis!$I169="","",IF(Analysis!$I169="Drifting",Analysis!$H169,""))</f>
        <v/>
      </c>
    </row>
    <row r="170" spans="1:16" x14ac:dyDescent="0.25">
      <c r="A170" s="29" t="str">
        <f>IF(Analysis!$I170="","",IF(Analysis!$I170="Embedded",Analysis!$D170,""))</f>
        <v/>
      </c>
      <c r="B170" s="29" t="str">
        <f>IF(Analysis!$I170="","",IF(Analysis!$I170="Loyal but shallow",Analysis!$D170,""))</f>
        <v/>
      </c>
      <c r="C170" s="29" t="str">
        <f>IF(Analysis!$I170="","",IF(Analysis!$I170="Project-driven",Analysis!$D170,""))</f>
        <v/>
      </c>
      <c r="D170" s="29" t="str">
        <f>IF(Analysis!$I170="","",IF(Analysis!$I170="Drifting",Analysis!$D170,""))</f>
        <v/>
      </c>
      <c r="E170" s="29" t="str">
        <f>IF(Analysis!$I170="","",IF(Analysis!$I170="Embedded",Analysis!$C170,""))</f>
        <v/>
      </c>
      <c r="F170" s="29" t="str">
        <f>IF(Analysis!$I170="","",IF(Analysis!$I170="Loyal but shallow",Analysis!$C170,""))</f>
        <v/>
      </c>
      <c r="G170" s="29" t="str">
        <f>IF(Analysis!$I170="","",IF(Analysis!$I170="Project-driven",Analysis!$C170,""))</f>
        <v/>
      </c>
      <c r="H170" s="29" t="str">
        <f>IF(Analysis!$I170="","",IF(Analysis!$I170="Drifting",Analysis!$C170,""))</f>
        <v/>
      </c>
      <c r="I170" s="29" t="str">
        <f>IF(Analysis!$I170="","",IF(Analysis!$I170="Embedded",Analysis!$F170,""))</f>
        <v/>
      </c>
      <c r="J170" s="29" t="str">
        <f>IF(Analysis!$I170="","",IF(Analysis!$I170="Loyal but shallow",Analysis!$F170,""))</f>
        <v/>
      </c>
      <c r="K170" s="29" t="str">
        <f>IF(Analysis!$I170="","",IF(Analysis!$I170="Project-driven",Analysis!$F170,""))</f>
        <v/>
      </c>
      <c r="L170" s="29" t="str">
        <f>IF(Analysis!$I170="","",IF(Analysis!$I170="Drifting",Analysis!$F170,""))</f>
        <v/>
      </c>
      <c r="M170" s="29" t="str">
        <f>IF(Analysis!$I170="","",IF(Analysis!$I170="Embedded",Analysis!$H170,""))</f>
        <v/>
      </c>
      <c r="N170" s="29" t="str">
        <f>IF(Analysis!$I170="","",IF(Analysis!$I170="Loyal but shallow",Analysis!$H170,""))</f>
        <v/>
      </c>
      <c r="O170" s="29" t="str">
        <f>IF(Analysis!$I170="","",IF(Analysis!$I170="Project-driven",Analysis!$H170,""))</f>
        <v/>
      </c>
      <c r="P170" s="29" t="str">
        <f>IF(Analysis!$I170="","",IF(Analysis!$I170="Drifting",Analysis!$H170,""))</f>
        <v/>
      </c>
    </row>
    <row r="171" spans="1:16" x14ac:dyDescent="0.25">
      <c r="A171" s="29" t="str">
        <f>IF(Analysis!$I171="","",IF(Analysis!$I171="Embedded",Analysis!$D171,""))</f>
        <v/>
      </c>
      <c r="B171" s="29" t="str">
        <f>IF(Analysis!$I171="","",IF(Analysis!$I171="Loyal but shallow",Analysis!$D171,""))</f>
        <v/>
      </c>
      <c r="C171" s="29" t="str">
        <f>IF(Analysis!$I171="","",IF(Analysis!$I171="Project-driven",Analysis!$D171,""))</f>
        <v/>
      </c>
      <c r="D171" s="29" t="str">
        <f>IF(Analysis!$I171="","",IF(Analysis!$I171="Drifting",Analysis!$D171,""))</f>
        <v/>
      </c>
      <c r="E171" s="29" t="str">
        <f>IF(Analysis!$I171="","",IF(Analysis!$I171="Embedded",Analysis!$C171,""))</f>
        <v/>
      </c>
      <c r="F171" s="29" t="str">
        <f>IF(Analysis!$I171="","",IF(Analysis!$I171="Loyal but shallow",Analysis!$C171,""))</f>
        <v/>
      </c>
      <c r="G171" s="29" t="str">
        <f>IF(Analysis!$I171="","",IF(Analysis!$I171="Project-driven",Analysis!$C171,""))</f>
        <v/>
      </c>
      <c r="H171" s="29" t="str">
        <f>IF(Analysis!$I171="","",IF(Analysis!$I171="Drifting",Analysis!$C171,""))</f>
        <v/>
      </c>
      <c r="I171" s="29" t="str">
        <f>IF(Analysis!$I171="","",IF(Analysis!$I171="Embedded",Analysis!$F171,""))</f>
        <v/>
      </c>
      <c r="J171" s="29" t="str">
        <f>IF(Analysis!$I171="","",IF(Analysis!$I171="Loyal but shallow",Analysis!$F171,""))</f>
        <v/>
      </c>
      <c r="K171" s="29" t="str">
        <f>IF(Analysis!$I171="","",IF(Analysis!$I171="Project-driven",Analysis!$F171,""))</f>
        <v/>
      </c>
      <c r="L171" s="29" t="str">
        <f>IF(Analysis!$I171="","",IF(Analysis!$I171="Drifting",Analysis!$F171,""))</f>
        <v/>
      </c>
      <c r="M171" s="29" t="str">
        <f>IF(Analysis!$I171="","",IF(Analysis!$I171="Embedded",Analysis!$H171,""))</f>
        <v/>
      </c>
      <c r="N171" s="29" t="str">
        <f>IF(Analysis!$I171="","",IF(Analysis!$I171="Loyal but shallow",Analysis!$H171,""))</f>
        <v/>
      </c>
      <c r="O171" s="29" t="str">
        <f>IF(Analysis!$I171="","",IF(Analysis!$I171="Project-driven",Analysis!$H171,""))</f>
        <v/>
      </c>
      <c r="P171" s="29" t="str">
        <f>IF(Analysis!$I171="","",IF(Analysis!$I171="Drifting",Analysis!$H171,""))</f>
        <v/>
      </c>
    </row>
    <row r="172" spans="1:16" x14ac:dyDescent="0.25">
      <c r="A172" s="29" t="str">
        <f>IF(Analysis!$I172="","",IF(Analysis!$I172="Embedded",Analysis!$D172,""))</f>
        <v/>
      </c>
      <c r="B172" s="29" t="str">
        <f>IF(Analysis!$I172="","",IF(Analysis!$I172="Loyal but shallow",Analysis!$D172,""))</f>
        <v/>
      </c>
      <c r="C172" s="29" t="str">
        <f>IF(Analysis!$I172="","",IF(Analysis!$I172="Project-driven",Analysis!$D172,""))</f>
        <v/>
      </c>
      <c r="D172" s="29" t="str">
        <f>IF(Analysis!$I172="","",IF(Analysis!$I172="Drifting",Analysis!$D172,""))</f>
        <v/>
      </c>
      <c r="E172" s="29" t="str">
        <f>IF(Analysis!$I172="","",IF(Analysis!$I172="Embedded",Analysis!$C172,""))</f>
        <v/>
      </c>
      <c r="F172" s="29" t="str">
        <f>IF(Analysis!$I172="","",IF(Analysis!$I172="Loyal but shallow",Analysis!$C172,""))</f>
        <v/>
      </c>
      <c r="G172" s="29" t="str">
        <f>IF(Analysis!$I172="","",IF(Analysis!$I172="Project-driven",Analysis!$C172,""))</f>
        <v/>
      </c>
      <c r="H172" s="29" t="str">
        <f>IF(Analysis!$I172="","",IF(Analysis!$I172="Drifting",Analysis!$C172,""))</f>
        <v/>
      </c>
      <c r="I172" s="29" t="str">
        <f>IF(Analysis!$I172="","",IF(Analysis!$I172="Embedded",Analysis!$F172,""))</f>
        <v/>
      </c>
      <c r="J172" s="29" t="str">
        <f>IF(Analysis!$I172="","",IF(Analysis!$I172="Loyal but shallow",Analysis!$F172,""))</f>
        <v/>
      </c>
      <c r="K172" s="29" t="str">
        <f>IF(Analysis!$I172="","",IF(Analysis!$I172="Project-driven",Analysis!$F172,""))</f>
        <v/>
      </c>
      <c r="L172" s="29" t="str">
        <f>IF(Analysis!$I172="","",IF(Analysis!$I172="Drifting",Analysis!$F172,""))</f>
        <v/>
      </c>
      <c r="M172" s="29" t="str">
        <f>IF(Analysis!$I172="","",IF(Analysis!$I172="Embedded",Analysis!$H172,""))</f>
        <v/>
      </c>
      <c r="N172" s="29" t="str">
        <f>IF(Analysis!$I172="","",IF(Analysis!$I172="Loyal but shallow",Analysis!$H172,""))</f>
        <v/>
      </c>
      <c r="O172" s="29" t="str">
        <f>IF(Analysis!$I172="","",IF(Analysis!$I172="Project-driven",Analysis!$H172,""))</f>
        <v/>
      </c>
      <c r="P172" s="29" t="str">
        <f>IF(Analysis!$I172="","",IF(Analysis!$I172="Drifting",Analysis!$H172,""))</f>
        <v/>
      </c>
    </row>
    <row r="173" spans="1:16" x14ac:dyDescent="0.25">
      <c r="A173" s="29" t="str">
        <f>IF(Analysis!$I173="","",IF(Analysis!$I173="Embedded",Analysis!$D173,""))</f>
        <v/>
      </c>
      <c r="B173" s="29" t="str">
        <f>IF(Analysis!$I173="","",IF(Analysis!$I173="Loyal but shallow",Analysis!$D173,""))</f>
        <v/>
      </c>
      <c r="C173" s="29" t="str">
        <f>IF(Analysis!$I173="","",IF(Analysis!$I173="Project-driven",Analysis!$D173,""))</f>
        <v/>
      </c>
      <c r="D173" s="29" t="str">
        <f>IF(Analysis!$I173="","",IF(Analysis!$I173="Drifting",Analysis!$D173,""))</f>
        <v/>
      </c>
      <c r="E173" s="29" t="str">
        <f>IF(Analysis!$I173="","",IF(Analysis!$I173="Embedded",Analysis!$C173,""))</f>
        <v/>
      </c>
      <c r="F173" s="29" t="str">
        <f>IF(Analysis!$I173="","",IF(Analysis!$I173="Loyal but shallow",Analysis!$C173,""))</f>
        <v/>
      </c>
      <c r="G173" s="29" t="str">
        <f>IF(Analysis!$I173="","",IF(Analysis!$I173="Project-driven",Analysis!$C173,""))</f>
        <v/>
      </c>
      <c r="H173" s="29" t="str">
        <f>IF(Analysis!$I173="","",IF(Analysis!$I173="Drifting",Analysis!$C173,""))</f>
        <v/>
      </c>
      <c r="I173" s="29" t="str">
        <f>IF(Analysis!$I173="","",IF(Analysis!$I173="Embedded",Analysis!$F173,""))</f>
        <v/>
      </c>
      <c r="J173" s="29" t="str">
        <f>IF(Analysis!$I173="","",IF(Analysis!$I173="Loyal but shallow",Analysis!$F173,""))</f>
        <v/>
      </c>
      <c r="K173" s="29" t="str">
        <f>IF(Analysis!$I173="","",IF(Analysis!$I173="Project-driven",Analysis!$F173,""))</f>
        <v/>
      </c>
      <c r="L173" s="29" t="str">
        <f>IF(Analysis!$I173="","",IF(Analysis!$I173="Drifting",Analysis!$F173,""))</f>
        <v/>
      </c>
      <c r="M173" s="29" t="str">
        <f>IF(Analysis!$I173="","",IF(Analysis!$I173="Embedded",Analysis!$H173,""))</f>
        <v/>
      </c>
      <c r="N173" s="29" t="str">
        <f>IF(Analysis!$I173="","",IF(Analysis!$I173="Loyal but shallow",Analysis!$H173,""))</f>
        <v/>
      </c>
      <c r="O173" s="29" t="str">
        <f>IF(Analysis!$I173="","",IF(Analysis!$I173="Project-driven",Analysis!$H173,""))</f>
        <v/>
      </c>
      <c r="P173" s="29" t="str">
        <f>IF(Analysis!$I173="","",IF(Analysis!$I173="Drifting",Analysis!$H173,""))</f>
        <v/>
      </c>
    </row>
    <row r="174" spans="1:16" x14ac:dyDescent="0.25">
      <c r="A174" s="29" t="str">
        <f>IF(Analysis!$I174="","",IF(Analysis!$I174="Embedded",Analysis!$D174,""))</f>
        <v/>
      </c>
      <c r="B174" s="29" t="str">
        <f>IF(Analysis!$I174="","",IF(Analysis!$I174="Loyal but shallow",Analysis!$D174,""))</f>
        <v/>
      </c>
      <c r="C174" s="29" t="str">
        <f>IF(Analysis!$I174="","",IF(Analysis!$I174="Project-driven",Analysis!$D174,""))</f>
        <v/>
      </c>
      <c r="D174" s="29" t="str">
        <f>IF(Analysis!$I174="","",IF(Analysis!$I174="Drifting",Analysis!$D174,""))</f>
        <v/>
      </c>
      <c r="E174" s="29" t="str">
        <f>IF(Analysis!$I174="","",IF(Analysis!$I174="Embedded",Analysis!$C174,""))</f>
        <v/>
      </c>
      <c r="F174" s="29" t="str">
        <f>IF(Analysis!$I174="","",IF(Analysis!$I174="Loyal but shallow",Analysis!$C174,""))</f>
        <v/>
      </c>
      <c r="G174" s="29" t="str">
        <f>IF(Analysis!$I174="","",IF(Analysis!$I174="Project-driven",Analysis!$C174,""))</f>
        <v/>
      </c>
      <c r="H174" s="29" t="str">
        <f>IF(Analysis!$I174="","",IF(Analysis!$I174="Drifting",Analysis!$C174,""))</f>
        <v/>
      </c>
      <c r="I174" s="29" t="str">
        <f>IF(Analysis!$I174="","",IF(Analysis!$I174="Embedded",Analysis!$F174,""))</f>
        <v/>
      </c>
      <c r="J174" s="29" t="str">
        <f>IF(Analysis!$I174="","",IF(Analysis!$I174="Loyal but shallow",Analysis!$F174,""))</f>
        <v/>
      </c>
      <c r="K174" s="29" t="str">
        <f>IF(Analysis!$I174="","",IF(Analysis!$I174="Project-driven",Analysis!$F174,""))</f>
        <v/>
      </c>
      <c r="L174" s="29" t="str">
        <f>IF(Analysis!$I174="","",IF(Analysis!$I174="Drifting",Analysis!$F174,""))</f>
        <v/>
      </c>
      <c r="M174" s="29" t="str">
        <f>IF(Analysis!$I174="","",IF(Analysis!$I174="Embedded",Analysis!$H174,""))</f>
        <v/>
      </c>
      <c r="N174" s="29" t="str">
        <f>IF(Analysis!$I174="","",IF(Analysis!$I174="Loyal but shallow",Analysis!$H174,""))</f>
        <v/>
      </c>
      <c r="O174" s="29" t="str">
        <f>IF(Analysis!$I174="","",IF(Analysis!$I174="Project-driven",Analysis!$H174,""))</f>
        <v/>
      </c>
      <c r="P174" s="29" t="str">
        <f>IF(Analysis!$I174="","",IF(Analysis!$I174="Drifting",Analysis!$H174,""))</f>
        <v/>
      </c>
    </row>
    <row r="175" spans="1:16" x14ac:dyDescent="0.25">
      <c r="A175" s="29" t="str">
        <f>IF(Analysis!$I175="","",IF(Analysis!$I175="Embedded",Analysis!$D175,""))</f>
        <v/>
      </c>
      <c r="B175" s="29" t="str">
        <f>IF(Analysis!$I175="","",IF(Analysis!$I175="Loyal but shallow",Analysis!$D175,""))</f>
        <v/>
      </c>
      <c r="C175" s="29" t="str">
        <f>IF(Analysis!$I175="","",IF(Analysis!$I175="Project-driven",Analysis!$D175,""))</f>
        <v/>
      </c>
      <c r="D175" s="29" t="str">
        <f>IF(Analysis!$I175="","",IF(Analysis!$I175="Drifting",Analysis!$D175,""))</f>
        <v/>
      </c>
      <c r="E175" s="29" t="str">
        <f>IF(Analysis!$I175="","",IF(Analysis!$I175="Embedded",Analysis!$C175,""))</f>
        <v/>
      </c>
      <c r="F175" s="29" t="str">
        <f>IF(Analysis!$I175="","",IF(Analysis!$I175="Loyal but shallow",Analysis!$C175,""))</f>
        <v/>
      </c>
      <c r="G175" s="29" t="str">
        <f>IF(Analysis!$I175="","",IF(Analysis!$I175="Project-driven",Analysis!$C175,""))</f>
        <v/>
      </c>
      <c r="H175" s="29" t="str">
        <f>IF(Analysis!$I175="","",IF(Analysis!$I175="Drifting",Analysis!$C175,""))</f>
        <v/>
      </c>
      <c r="I175" s="29" t="str">
        <f>IF(Analysis!$I175="","",IF(Analysis!$I175="Embedded",Analysis!$F175,""))</f>
        <v/>
      </c>
      <c r="J175" s="29" t="str">
        <f>IF(Analysis!$I175="","",IF(Analysis!$I175="Loyal but shallow",Analysis!$F175,""))</f>
        <v/>
      </c>
      <c r="K175" s="29" t="str">
        <f>IF(Analysis!$I175="","",IF(Analysis!$I175="Project-driven",Analysis!$F175,""))</f>
        <v/>
      </c>
      <c r="L175" s="29" t="str">
        <f>IF(Analysis!$I175="","",IF(Analysis!$I175="Drifting",Analysis!$F175,""))</f>
        <v/>
      </c>
      <c r="M175" s="29" t="str">
        <f>IF(Analysis!$I175="","",IF(Analysis!$I175="Embedded",Analysis!$H175,""))</f>
        <v/>
      </c>
      <c r="N175" s="29" t="str">
        <f>IF(Analysis!$I175="","",IF(Analysis!$I175="Loyal but shallow",Analysis!$H175,""))</f>
        <v/>
      </c>
      <c r="O175" s="29" t="str">
        <f>IF(Analysis!$I175="","",IF(Analysis!$I175="Project-driven",Analysis!$H175,""))</f>
        <v/>
      </c>
      <c r="P175" s="29" t="str">
        <f>IF(Analysis!$I175="","",IF(Analysis!$I175="Drifting",Analysis!$H175,""))</f>
        <v/>
      </c>
    </row>
    <row r="176" spans="1:16" x14ac:dyDescent="0.25">
      <c r="A176" s="29" t="str">
        <f>IF(Analysis!$I176="","",IF(Analysis!$I176="Embedded",Analysis!$D176,""))</f>
        <v/>
      </c>
      <c r="B176" s="29" t="str">
        <f>IF(Analysis!$I176="","",IF(Analysis!$I176="Loyal but shallow",Analysis!$D176,""))</f>
        <v/>
      </c>
      <c r="C176" s="29" t="str">
        <f>IF(Analysis!$I176="","",IF(Analysis!$I176="Project-driven",Analysis!$D176,""))</f>
        <v/>
      </c>
      <c r="D176" s="29" t="str">
        <f>IF(Analysis!$I176="","",IF(Analysis!$I176="Drifting",Analysis!$D176,""))</f>
        <v/>
      </c>
      <c r="E176" s="29" t="str">
        <f>IF(Analysis!$I176="","",IF(Analysis!$I176="Embedded",Analysis!$C176,""))</f>
        <v/>
      </c>
      <c r="F176" s="29" t="str">
        <f>IF(Analysis!$I176="","",IF(Analysis!$I176="Loyal but shallow",Analysis!$C176,""))</f>
        <v/>
      </c>
      <c r="G176" s="29" t="str">
        <f>IF(Analysis!$I176="","",IF(Analysis!$I176="Project-driven",Analysis!$C176,""))</f>
        <v/>
      </c>
      <c r="H176" s="29" t="str">
        <f>IF(Analysis!$I176="","",IF(Analysis!$I176="Drifting",Analysis!$C176,""))</f>
        <v/>
      </c>
      <c r="I176" s="29" t="str">
        <f>IF(Analysis!$I176="","",IF(Analysis!$I176="Embedded",Analysis!$F176,""))</f>
        <v/>
      </c>
      <c r="J176" s="29" t="str">
        <f>IF(Analysis!$I176="","",IF(Analysis!$I176="Loyal but shallow",Analysis!$F176,""))</f>
        <v/>
      </c>
      <c r="K176" s="29" t="str">
        <f>IF(Analysis!$I176="","",IF(Analysis!$I176="Project-driven",Analysis!$F176,""))</f>
        <v/>
      </c>
      <c r="L176" s="29" t="str">
        <f>IF(Analysis!$I176="","",IF(Analysis!$I176="Drifting",Analysis!$F176,""))</f>
        <v/>
      </c>
      <c r="M176" s="29" t="str">
        <f>IF(Analysis!$I176="","",IF(Analysis!$I176="Embedded",Analysis!$H176,""))</f>
        <v/>
      </c>
      <c r="N176" s="29" t="str">
        <f>IF(Analysis!$I176="","",IF(Analysis!$I176="Loyal but shallow",Analysis!$H176,""))</f>
        <v/>
      </c>
      <c r="O176" s="29" t="str">
        <f>IF(Analysis!$I176="","",IF(Analysis!$I176="Project-driven",Analysis!$H176,""))</f>
        <v/>
      </c>
      <c r="P176" s="29" t="str">
        <f>IF(Analysis!$I176="","",IF(Analysis!$I176="Drifting",Analysis!$H176,""))</f>
        <v/>
      </c>
    </row>
    <row r="177" spans="1:16" x14ac:dyDescent="0.25">
      <c r="A177" s="29" t="str">
        <f>IF(Analysis!$I177="","",IF(Analysis!$I177="Embedded",Analysis!$D177,""))</f>
        <v/>
      </c>
      <c r="B177" s="29" t="str">
        <f>IF(Analysis!$I177="","",IF(Analysis!$I177="Loyal but shallow",Analysis!$D177,""))</f>
        <v/>
      </c>
      <c r="C177" s="29" t="str">
        <f>IF(Analysis!$I177="","",IF(Analysis!$I177="Project-driven",Analysis!$D177,""))</f>
        <v/>
      </c>
      <c r="D177" s="29" t="str">
        <f>IF(Analysis!$I177="","",IF(Analysis!$I177="Drifting",Analysis!$D177,""))</f>
        <v/>
      </c>
      <c r="E177" s="29" t="str">
        <f>IF(Analysis!$I177="","",IF(Analysis!$I177="Embedded",Analysis!$C177,""))</f>
        <v/>
      </c>
      <c r="F177" s="29" t="str">
        <f>IF(Analysis!$I177="","",IF(Analysis!$I177="Loyal but shallow",Analysis!$C177,""))</f>
        <v/>
      </c>
      <c r="G177" s="29" t="str">
        <f>IF(Analysis!$I177="","",IF(Analysis!$I177="Project-driven",Analysis!$C177,""))</f>
        <v/>
      </c>
      <c r="H177" s="29" t="str">
        <f>IF(Analysis!$I177="","",IF(Analysis!$I177="Drifting",Analysis!$C177,""))</f>
        <v/>
      </c>
      <c r="I177" s="29" t="str">
        <f>IF(Analysis!$I177="","",IF(Analysis!$I177="Embedded",Analysis!$F177,""))</f>
        <v/>
      </c>
      <c r="J177" s="29" t="str">
        <f>IF(Analysis!$I177="","",IF(Analysis!$I177="Loyal but shallow",Analysis!$F177,""))</f>
        <v/>
      </c>
      <c r="K177" s="29" t="str">
        <f>IF(Analysis!$I177="","",IF(Analysis!$I177="Project-driven",Analysis!$F177,""))</f>
        <v/>
      </c>
      <c r="L177" s="29" t="str">
        <f>IF(Analysis!$I177="","",IF(Analysis!$I177="Drifting",Analysis!$F177,""))</f>
        <v/>
      </c>
      <c r="M177" s="29" t="str">
        <f>IF(Analysis!$I177="","",IF(Analysis!$I177="Embedded",Analysis!$H177,""))</f>
        <v/>
      </c>
      <c r="N177" s="29" t="str">
        <f>IF(Analysis!$I177="","",IF(Analysis!$I177="Loyal but shallow",Analysis!$H177,""))</f>
        <v/>
      </c>
      <c r="O177" s="29" t="str">
        <f>IF(Analysis!$I177="","",IF(Analysis!$I177="Project-driven",Analysis!$H177,""))</f>
        <v/>
      </c>
      <c r="P177" s="29" t="str">
        <f>IF(Analysis!$I177="","",IF(Analysis!$I177="Drifting",Analysis!$H177,""))</f>
        <v/>
      </c>
    </row>
    <row r="178" spans="1:16" x14ac:dyDescent="0.25">
      <c r="A178" s="29" t="str">
        <f>IF(Analysis!$I178="","",IF(Analysis!$I178="Embedded",Analysis!$D178,""))</f>
        <v/>
      </c>
      <c r="B178" s="29" t="str">
        <f>IF(Analysis!$I178="","",IF(Analysis!$I178="Loyal but shallow",Analysis!$D178,""))</f>
        <v/>
      </c>
      <c r="C178" s="29" t="str">
        <f>IF(Analysis!$I178="","",IF(Analysis!$I178="Project-driven",Analysis!$D178,""))</f>
        <v/>
      </c>
      <c r="D178" s="29" t="str">
        <f>IF(Analysis!$I178="","",IF(Analysis!$I178="Drifting",Analysis!$D178,""))</f>
        <v/>
      </c>
      <c r="E178" s="29" t="str">
        <f>IF(Analysis!$I178="","",IF(Analysis!$I178="Embedded",Analysis!$C178,""))</f>
        <v/>
      </c>
      <c r="F178" s="29" t="str">
        <f>IF(Analysis!$I178="","",IF(Analysis!$I178="Loyal but shallow",Analysis!$C178,""))</f>
        <v/>
      </c>
      <c r="G178" s="29" t="str">
        <f>IF(Analysis!$I178="","",IF(Analysis!$I178="Project-driven",Analysis!$C178,""))</f>
        <v/>
      </c>
      <c r="H178" s="29" t="str">
        <f>IF(Analysis!$I178="","",IF(Analysis!$I178="Drifting",Analysis!$C178,""))</f>
        <v/>
      </c>
      <c r="I178" s="29" t="str">
        <f>IF(Analysis!$I178="","",IF(Analysis!$I178="Embedded",Analysis!$F178,""))</f>
        <v/>
      </c>
      <c r="J178" s="29" t="str">
        <f>IF(Analysis!$I178="","",IF(Analysis!$I178="Loyal but shallow",Analysis!$F178,""))</f>
        <v/>
      </c>
      <c r="K178" s="29" t="str">
        <f>IF(Analysis!$I178="","",IF(Analysis!$I178="Project-driven",Analysis!$F178,""))</f>
        <v/>
      </c>
      <c r="L178" s="29" t="str">
        <f>IF(Analysis!$I178="","",IF(Analysis!$I178="Drifting",Analysis!$F178,""))</f>
        <v/>
      </c>
      <c r="M178" s="29" t="str">
        <f>IF(Analysis!$I178="","",IF(Analysis!$I178="Embedded",Analysis!$H178,""))</f>
        <v/>
      </c>
      <c r="N178" s="29" t="str">
        <f>IF(Analysis!$I178="","",IF(Analysis!$I178="Loyal but shallow",Analysis!$H178,""))</f>
        <v/>
      </c>
      <c r="O178" s="29" t="str">
        <f>IF(Analysis!$I178="","",IF(Analysis!$I178="Project-driven",Analysis!$H178,""))</f>
        <v/>
      </c>
      <c r="P178" s="29" t="str">
        <f>IF(Analysis!$I178="","",IF(Analysis!$I178="Drifting",Analysis!$H178,""))</f>
        <v/>
      </c>
    </row>
    <row r="179" spans="1:16" x14ac:dyDescent="0.25">
      <c r="A179" s="29" t="str">
        <f>IF(Analysis!$I179="","",IF(Analysis!$I179="Embedded",Analysis!$D179,""))</f>
        <v/>
      </c>
      <c r="B179" s="29" t="str">
        <f>IF(Analysis!$I179="","",IF(Analysis!$I179="Loyal but shallow",Analysis!$D179,""))</f>
        <v/>
      </c>
      <c r="C179" s="29" t="str">
        <f>IF(Analysis!$I179="","",IF(Analysis!$I179="Project-driven",Analysis!$D179,""))</f>
        <v/>
      </c>
      <c r="D179" s="29" t="str">
        <f>IF(Analysis!$I179="","",IF(Analysis!$I179="Drifting",Analysis!$D179,""))</f>
        <v/>
      </c>
      <c r="E179" s="29" t="str">
        <f>IF(Analysis!$I179="","",IF(Analysis!$I179="Embedded",Analysis!$C179,""))</f>
        <v/>
      </c>
      <c r="F179" s="29" t="str">
        <f>IF(Analysis!$I179="","",IF(Analysis!$I179="Loyal but shallow",Analysis!$C179,""))</f>
        <v/>
      </c>
      <c r="G179" s="29" t="str">
        <f>IF(Analysis!$I179="","",IF(Analysis!$I179="Project-driven",Analysis!$C179,""))</f>
        <v/>
      </c>
      <c r="H179" s="29" t="str">
        <f>IF(Analysis!$I179="","",IF(Analysis!$I179="Drifting",Analysis!$C179,""))</f>
        <v/>
      </c>
      <c r="I179" s="29" t="str">
        <f>IF(Analysis!$I179="","",IF(Analysis!$I179="Embedded",Analysis!$F179,""))</f>
        <v/>
      </c>
      <c r="J179" s="29" t="str">
        <f>IF(Analysis!$I179="","",IF(Analysis!$I179="Loyal but shallow",Analysis!$F179,""))</f>
        <v/>
      </c>
      <c r="K179" s="29" t="str">
        <f>IF(Analysis!$I179="","",IF(Analysis!$I179="Project-driven",Analysis!$F179,""))</f>
        <v/>
      </c>
      <c r="L179" s="29" t="str">
        <f>IF(Analysis!$I179="","",IF(Analysis!$I179="Drifting",Analysis!$F179,""))</f>
        <v/>
      </c>
      <c r="M179" s="29" t="str">
        <f>IF(Analysis!$I179="","",IF(Analysis!$I179="Embedded",Analysis!$H179,""))</f>
        <v/>
      </c>
      <c r="N179" s="29" t="str">
        <f>IF(Analysis!$I179="","",IF(Analysis!$I179="Loyal but shallow",Analysis!$H179,""))</f>
        <v/>
      </c>
      <c r="O179" s="29" t="str">
        <f>IF(Analysis!$I179="","",IF(Analysis!$I179="Project-driven",Analysis!$H179,""))</f>
        <v/>
      </c>
      <c r="P179" s="29" t="str">
        <f>IF(Analysis!$I179="","",IF(Analysis!$I179="Drifting",Analysis!$H179,""))</f>
        <v/>
      </c>
    </row>
    <row r="180" spans="1:16" x14ac:dyDescent="0.25">
      <c r="A180" s="29" t="str">
        <f>IF(Analysis!$I180="","",IF(Analysis!$I180="Embedded",Analysis!$D180,""))</f>
        <v/>
      </c>
      <c r="B180" s="29" t="str">
        <f>IF(Analysis!$I180="","",IF(Analysis!$I180="Loyal but shallow",Analysis!$D180,""))</f>
        <v/>
      </c>
      <c r="C180" s="29" t="str">
        <f>IF(Analysis!$I180="","",IF(Analysis!$I180="Project-driven",Analysis!$D180,""))</f>
        <v/>
      </c>
      <c r="D180" s="29" t="str">
        <f>IF(Analysis!$I180="","",IF(Analysis!$I180="Drifting",Analysis!$D180,""))</f>
        <v/>
      </c>
      <c r="E180" s="29" t="str">
        <f>IF(Analysis!$I180="","",IF(Analysis!$I180="Embedded",Analysis!$C180,""))</f>
        <v/>
      </c>
      <c r="F180" s="29" t="str">
        <f>IF(Analysis!$I180="","",IF(Analysis!$I180="Loyal but shallow",Analysis!$C180,""))</f>
        <v/>
      </c>
      <c r="G180" s="29" t="str">
        <f>IF(Analysis!$I180="","",IF(Analysis!$I180="Project-driven",Analysis!$C180,""))</f>
        <v/>
      </c>
      <c r="H180" s="29" t="str">
        <f>IF(Analysis!$I180="","",IF(Analysis!$I180="Drifting",Analysis!$C180,""))</f>
        <v/>
      </c>
      <c r="I180" s="29" t="str">
        <f>IF(Analysis!$I180="","",IF(Analysis!$I180="Embedded",Analysis!$F180,""))</f>
        <v/>
      </c>
      <c r="J180" s="29" t="str">
        <f>IF(Analysis!$I180="","",IF(Analysis!$I180="Loyal but shallow",Analysis!$F180,""))</f>
        <v/>
      </c>
      <c r="K180" s="29" t="str">
        <f>IF(Analysis!$I180="","",IF(Analysis!$I180="Project-driven",Analysis!$F180,""))</f>
        <v/>
      </c>
      <c r="L180" s="29" t="str">
        <f>IF(Analysis!$I180="","",IF(Analysis!$I180="Drifting",Analysis!$F180,""))</f>
        <v/>
      </c>
      <c r="M180" s="29" t="str">
        <f>IF(Analysis!$I180="","",IF(Analysis!$I180="Embedded",Analysis!$H180,""))</f>
        <v/>
      </c>
      <c r="N180" s="29" t="str">
        <f>IF(Analysis!$I180="","",IF(Analysis!$I180="Loyal but shallow",Analysis!$H180,""))</f>
        <v/>
      </c>
      <c r="O180" s="29" t="str">
        <f>IF(Analysis!$I180="","",IF(Analysis!$I180="Project-driven",Analysis!$H180,""))</f>
        <v/>
      </c>
      <c r="P180" s="29" t="str">
        <f>IF(Analysis!$I180="","",IF(Analysis!$I180="Drifting",Analysis!$H180,""))</f>
        <v/>
      </c>
    </row>
    <row r="181" spans="1:16" x14ac:dyDescent="0.25">
      <c r="A181" s="29" t="str">
        <f>IF(Analysis!$I181="","",IF(Analysis!$I181="Embedded",Analysis!$D181,""))</f>
        <v/>
      </c>
      <c r="B181" s="29" t="str">
        <f>IF(Analysis!$I181="","",IF(Analysis!$I181="Loyal but shallow",Analysis!$D181,""))</f>
        <v/>
      </c>
      <c r="C181" s="29" t="str">
        <f>IF(Analysis!$I181="","",IF(Analysis!$I181="Project-driven",Analysis!$D181,""))</f>
        <v/>
      </c>
      <c r="D181" s="29" t="str">
        <f>IF(Analysis!$I181="","",IF(Analysis!$I181="Drifting",Analysis!$D181,""))</f>
        <v/>
      </c>
      <c r="E181" s="29" t="str">
        <f>IF(Analysis!$I181="","",IF(Analysis!$I181="Embedded",Analysis!$C181,""))</f>
        <v/>
      </c>
      <c r="F181" s="29" t="str">
        <f>IF(Analysis!$I181="","",IF(Analysis!$I181="Loyal but shallow",Analysis!$C181,""))</f>
        <v/>
      </c>
      <c r="G181" s="29" t="str">
        <f>IF(Analysis!$I181="","",IF(Analysis!$I181="Project-driven",Analysis!$C181,""))</f>
        <v/>
      </c>
      <c r="H181" s="29" t="str">
        <f>IF(Analysis!$I181="","",IF(Analysis!$I181="Drifting",Analysis!$C181,""))</f>
        <v/>
      </c>
      <c r="I181" s="29" t="str">
        <f>IF(Analysis!$I181="","",IF(Analysis!$I181="Embedded",Analysis!$F181,""))</f>
        <v/>
      </c>
      <c r="J181" s="29" t="str">
        <f>IF(Analysis!$I181="","",IF(Analysis!$I181="Loyal but shallow",Analysis!$F181,""))</f>
        <v/>
      </c>
      <c r="K181" s="29" t="str">
        <f>IF(Analysis!$I181="","",IF(Analysis!$I181="Project-driven",Analysis!$F181,""))</f>
        <v/>
      </c>
      <c r="L181" s="29" t="str">
        <f>IF(Analysis!$I181="","",IF(Analysis!$I181="Drifting",Analysis!$F181,""))</f>
        <v/>
      </c>
      <c r="M181" s="29" t="str">
        <f>IF(Analysis!$I181="","",IF(Analysis!$I181="Embedded",Analysis!$H181,""))</f>
        <v/>
      </c>
      <c r="N181" s="29" t="str">
        <f>IF(Analysis!$I181="","",IF(Analysis!$I181="Loyal but shallow",Analysis!$H181,""))</f>
        <v/>
      </c>
      <c r="O181" s="29" t="str">
        <f>IF(Analysis!$I181="","",IF(Analysis!$I181="Project-driven",Analysis!$H181,""))</f>
        <v/>
      </c>
      <c r="P181" s="29" t="str">
        <f>IF(Analysis!$I181="","",IF(Analysis!$I181="Drifting",Analysis!$H181,""))</f>
        <v/>
      </c>
    </row>
    <row r="182" spans="1:16" x14ac:dyDescent="0.25">
      <c r="A182" s="29" t="str">
        <f>IF(Analysis!$I182="","",IF(Analysis!$I182="Embedded",Analysis!$D182,""))</f>
        <v/>
      </c>
      <c r="B182" s="29" t="str">
        <f>IF(Analysis!$I182="","",IF(Analysis!$I182="Loyal but shallow",Analysis!$D182,""))</f>
        <v/>
      </c>
      <c r="C182" s="29" t="str">
        <f>IF(Analysis!$I182="","",IF(Analysis!$I182="Project-driven",Analysis!$D182,""))</f>
        <v/>
      </c>
      <c r="D182" s="29" t="str">
        <f>IF(Analysis!$I182="","",IF(Analysis!$I182="Drifting",Analysis!$D182,""))</f>
        <v/>
      </c>
      <c r="E182" s="29" t="str">
        <f>IF(Analysis!$I182="","",IF(Analysis!$I182="Embedded",Analysis!$C182,""))</f>
        <v/>
      </c>
      <c r="F182" s="29" t="str">
        <f>IF(Analysis!$I182="","",IF(Analysis!$I182="Loyal but shallow",Analysis!$C182,""))</f>
        <v/>
      </c>
      <c r="G182" s="29" t="str">
        <f>IF(Analysis!$I182="","",IF(Analysis!$I182="Project-driven",Analysis!$C182,""))</f>
        <v/>
      </c>
      <c r="H182" s="29" t="str">
        <f>IF(Analysis!$I182="","",IF(Analysis!$I182="Drifting",Analysis!$C182,""))</f>
        <v/>
      </c>
      <c r="I182" s="29" t="str">
        <f>IF(Analysis!$I182="","",IF(Analysis!$I182="Embedded",Analysis!$F182,""))</f>
        <v/>
      </c>
      <c r="J182" s="29" t="str">
        <f>IF(Analysis!$I182="","",IF(Analysis!$I182="Loyal but shallow",Analysis!$F182,""))</f>
        <v/>
      </c>
      <c r="K182" s="29" t="str">
        <f>IF(Analysis!$I182="","",IF(Analysis!$I182="Project-driven",Analysis!$F182,""))</f>
        <v/>
      </c>
      <c r="L182" s="29" t="str">
        <f>IF(Analysis!$I182="","",IF(Analysis!$I182="Drifting",Analysis!$F182,""))</f>
        <v/>
      </c>
      <c r="M182" s="29" t="str">
        <f>IF(Analysis!$I182="","",IF(Analysis!$I182="Embedded",Analysis!$H182,""))</f>
        <v/>
      </c>
      <c r="N182" s="29" t="str">
        <f>IF(Analysis!$I182="","",IF(Analysis!$I182="Loyal but shallow",Analysis!$H182,""))</f>
        <v/>
      </c>
      <c r="O182" s="29" t="str">
        <f>IF(Analysis!$I182="","",IF(Analysis!$I182="Project-driven",Analysis!$H182,""))</f>
        <v/>
      </c>
      <c r="P182" s="29" t="str">
        <f>IF(Analysis!$I182="","",IF(Analysis!$I182="Drifting",Analysis!$H182,""))</f>
        <v/>
      </c>
    </row>
    <row r="183" spans="1:16" x14ac:dyDescent="0.25">
      <c r="A183" s="29" t="str">
        <f>IF(Analysis!$I183="","",IF(Analysis!$I183="Embedded",Analysis!$D183,""))</f>
        <v/>
      </c>
      <c r="B183" s="29" t="str">
        <f>IF(Analysis!$I183="","",IF(Analysis!$I183="Loyal but shallow",Analysis!$D183,""))</f>
        <v/>
      </c>
      <c r="C183" s="29" t="str">
        <f>IF(Analysis!$I183="","",IF(Analysis!$I183="Project-driven",Analysis!$D183,""))</f>
        <v/>
      </c>
      <c r="D183" s="29" t="str">
        <f>IF(Analysis!$I183="","",IF(Analysis!$I183="Drifting",Analysis!$D183,""))</f>
        <v/>
      </c>
      <c r="E183" s="29" t="str">
        <f>IF(Analysis!$I183="","",IF(Analysis!$I183="Embedded",Analysis!$C183,""))</f>
        <v/>
      </c>
      <c r="F183" s="29" t="str">
        <f>IF(Analysis!$I183="","",IF(Analysis!$I183="Loyal but shallow",Analysis!$C183,""))</f>
        <v/>
      </c>
      <c r="G183" s="29" t="str">
        <f>IF(Analysis!$I183="","",IF(Analysis!$I183="Project-driven",Analysis!$C183,""))</f>
        <v/>
      </c>
      <c r="H183" s="29" t="str">
        <f>IF(Analysis!$I183="","",IF(Analysis!$I183="Drifting",Analysis!$C183,""))</f>
        <v/>
      </c>
      <c r="I183" s="29" t="str">
        <f>IF(Analysis!$I183="","",IF(Analysis!$I183="Embedded",Analysis!$F183,""))</f>
        <v/>
      </c>
      <c r="J183" s="29" t="str">
        <f>IF(Analysis!$I183="","",IF(Analysis!$I183="Loyal but shallow",Analysis!$F183,""))</f>
        <v/>
      </c>
      <c r="K183" s="29" t="str">
        <f>IF(Analysis!$I183="","",IF(Analysis!$I183="Project-driven",Analysis!$F183,""))</f>
        <v/>
      </c>
      <c r="L183" s="29" t="str">
        <f>IF(Analysis!$I183="","",IF(Analysis!$I183="Drifting",Analysis!$F183,""))</f>
        <v/>
      </c>
      <c r="M183" s="29" t="str">
        <f>IF(Analysis!$I183="","",IF(Analysis!$I183="Embedded",Analysis!$H183,""))</f>
        <v/>
      </c>
      <c r="N183" s="29" t="str">
        <f>IF(Analysis!$I183="","",IF(Analysis!$I183="Loyal but shallow",Analysis!$H183,""))</f>
        <v/>
      </c>
      <c r="O183" s="29" t="str">
        <f>IF(Analysis!$I183="","",IF(Analysis!$I183="Project-driven",Analysis!$H183,""))</f>
        <v/>
      </c>
      <c r="P183" s="29" t="str">
        <f>IF(Analysis!$I183="","",IF(Analysis!$I183="Drifting",Analysis!$H183,""))</f>
        <v/>
      </c>
    </row>
    <row r="184" spans="1:16" x14ac:dyDescent="0.25">
      <c r="A184" s="29" t="str">
        <f>IF(Analysis!$I184="","",IF(Analysis!$I184="Embedded",Analysis!$D184,""))</f>
        <v/>
      </c>
      <c r="B184" s="29" t="str">
        <f>IF(Analysis!$I184="","",IF(Analysis!$I184="Loyal but shallow",Analysis!$D184,""))</f>
        <v/>
      </c>
      <c r="C184" s="29" t="str">
        <f>IF(Analysis!$I184="","",IF(Analysis!$I184="Project-driven",Analysis!$D184,""))</f>
        <v/>
      </c>
      <c r="D184" s="29" t="str">
        <f>IF(Analysis!$I184="","",IF(Analysis!$I184="Drifting",Analysis!$D184,""))</f>
        <v/>
      </c>
      <c r="E184" s="29" t="str">
        <f>IF(Analysis!$I184="","",IF(Analysis!$I184="Embedded",Analysis!$C184,""))</f>
        <v/>
      </c>
      <c r="F184" s="29" t="str">
        <f>IF(Analysis!$I184="","",IF(Analysis!$I184="Loyal but shallow",Analysis!$C184,""))</f>
        <v/>
      </c>
      <c r="G184" s="29" t="str">
        <f>IF(Analysis!$I184="","",IF(Analysis!$I184="Project-driven",Analysis!$C184,""))</f>
        <v/>
      </c>
      <c r="H184" s="29" t="str">
        <f>IF(Analysis!$I184="","",IF(Analysis!$I184="Drifting",Analysis!$C184,""))</f>
        <v/>
      </c>
      <c r="I184" s="29" t="str">
        <f>IF(Analysis!$I184="","",IF(Analysis!$I184="Embedded",Analysis!$F184,""))</f>
        <v/>
      </c>
      <c r="J184" s="29" t="str">
        <f>IF(Analysis!$I184="","",IF(Analysis!$I184="Loyal but shallow",Analysis!$F184,""))</f>
        <v/>
      </c>
      <c r="K184" s="29" t="str">
        <f>IF(Analysis!$I184="","",IF(Analysis!$I184="Project-driven",Analysis!$F184,""))</f>
        <v/>
      </c>
      <c r="L184" s="29" t="str">
        <f>IF(Analysis!$I184="","",IF(Analysis!$I184="Drifting",Analysis!$F184,""))</f>
        <v/>
      </c>
      <c r="M184" s="29" t="str">
        <f>IF(Analysis!$I184="","",IF(Analysis!$I184="Embedded",Analysis!$H184,""))</f>
        <v/>
      </c>
      <c r="N184" s="29" t="str">
        <f>IF(Analysis!$I184="","",IF(Analysis!$I184="Loyal but shallow",Analysis!$H184,""))</f>
        <v/>
      </c>
      <c r="O184" s="29" t="str">
        <f>IF(Analysis!$I184="","",IF(Analysis!$I184="Project-driven",Analysis!$H184,""))</f>
        <v/>
      </c>
      <c r="P184" s="29" t="str">
        <f>IF(Analysis!$I184="","",IF(Analysis!$I184="Drifting",Analysis!$H184,""))</f>
        <v/>
      </c>
    </row>
    <row r="185" spans="1:16" x14ac:dyDescent="0.25">
      <c r="A185" s="29" t="str">
        <f>IF(Analysis!$I185="","",IF(Analysis!$I185="Embedded",Analysis!$D185,""))</f>
        <v/>
      </c>
      <c r="B185" s="29" t="str">
        <f>IF(Analysis!$I185="","",IF(Analysis!$I185="Loyal but shallow",Analysis!$D185,""))</f>
        <v/>
      </c>
      <c r="C185" s="29" t="str">
        <f>IF(Analysis!$I185="","",IF(Analysis!$I185="Project-driven",Analysis!$D185,""))</f>
        <v/>
      </c>
      <c r="D185" s="29" t="str">
        <f>IF(Analysis!$I185="","",IF(Analysis!$I185="Drifting",Analysis!$D185,""))</f>
        <v/>
      </c>
      <c r="E185" s="29" t="str">
        <f>IF(Analysis!$I185="","",IF(Analysis!$I185="Embedded",Analysis!$C185,""))</f>
        <v/>
      </c>
      <c r="F185" s="29" t="str">
        <f>IF(Analysis!$I185="","",IF(Analysis!$I185="Loyal but shallow",Analysis!$C185,""))</f>
        <v/>
      </c>
      <c r="G185" s="29" t="str">
        <f>IF(Analysis!$I185="","",IF(Analysis!$I185="Project-driven",Analysis!$C185,""))</f>
        <v/>
      </c>
      <c r="H185" s="29" t="str">
        <f>IF(Analysis!$I185="","",IF(Analysis!$I185="Drifting",Analysis!$C185,""))</f>
        <v/>
      </c>
      <c r="I185" s="29" t="str">
        <f>IF(Analysis!$I185="","",IF(Analysis!$I185="Embedded",Analysis!$F185,""))</f>
        <v/>
      </c>
      <c r="J185" s="29" t="str">
        <f>IF(Analysis!$I185="","",IF(Analysis!$I185="Loyal but shallow",Analysis!$F185,""))</f>
        <v/>
      </c>
      <c r="K185" s="29" t="str">
        <f>IF(Analysis!$I185="","",IF(Analysis!$I185="Project-driven",Analysis!$F185,""))</f>
        <v/>
      </c>
      <c r="L185" s="29" t="str">
        <f>IF(Analysis!$I185="","",IF(Analysis!$I185="Drifting",Analysis!$F185,""))</f>
        <v/>
      </c>
      <c r="M185" s="29" t="str">
        <f>IF(Analysis!$I185="","",IF(Analysis!$I185="Embedded",Analysis!$H185,""))</f>
        <v/>
      </c>
      <c r="N185" s="29" t="str">
        <f>IF(Analysis!$I185="","",IF(Analysis!$I185="Loyal but shallow",Analysis!$H185,""))</f>
        <v/>
      </c>
      <c r="O185" s="29" t="str">
        <f>IF(Analysis!$I185="","",IF(Analysis!$I185="Project-driven",Analysis!$H185,""))</f>
        <v/>
      </c>
      <c r="P185" s="29" t="str">
        <f>IF(Analysis!$I185="","",IF(Analysis!$I185="Drifting",Analysis!$H185,""))</f>
        <v/>
      </c>
    </row>
    <row r="186" spans="1:16" x14ac:dyDescent="0.25">
      <c r="A186" s="29" t="str">
        <f>IF(Analysis!$I186="","",IF(Analysis!$I186="Embedded",Analysis!$D186,""))</f>
        <v/>
      </c>
      <c r="B186" s="29" t="str">
        <f>IF(Analysis!$I186="","",IF(Analysis!$I186="Loyal but shallow",Analysis!$D186,""))</f>
        <v/>
      </c>
      <c r="C186" s="29" t="str">
        <f>IF(Analysis!$I186="","",IF(Analysis!$I186="Project-driven",Analysis!$D186,""))</f>
        <v/>
      </c>
      <c r="D186" s="29" t="str">
        <f>IF(Analysis!$I186="","",IF(Analysis!$I186="Drifting",Analysis!$D186,""))</f>
        <v/>
      </c>
      <c r="E186" s="29" t="str">
        <f>IF(Analysis!$I186="","",IF(Analysis!$I186="Embedded",Analysis!$C186,""))</f>
        <v/>
      </c>
      <c r="F186" s="29" t="str">
        <f>IF(Analysis!$I186="","",IF(Analysis!$I186="Loyal but shallow",Analysis!$C186,""))</f>
        <v/>
      </c>
      <c r="G186" s="29" t="str">
        <f>IF(Analysis!$I186="","",IF(Analysis!$I186="Project-driven",Analysis!$C186,""))</f>
        <v/>
      </c>
      <c r="H186" s="29" t="str">
        <f>IF(Analysis!$I186="","",IF(Analysis!$I186="Drifting",Analysis!$C186,""))</f>
        <v/>
      </c>
      <c r="I186" s="29" t="str">
        <f>IF(Analysis!$I186="","",IF(Analysis!$I186="Embedded",Analysis!$F186,""))</f>
        <v/>
      </c>
      <c r="J186" s="29" t="str">
        <f>IF(Analysis!$I186="","",IF(Analysis!$I186="Loyal but shallow",Analysis!$F186,""))</f>
        <v/>
      </c>
      <c r="K186" s="29" t="str">
        <f>IF(Analysis!$I186="","",IF(Analysis!$I186="Project-driven",Analysis!$F186,""))</f>
        <v/>
      </c>
      <c r="L186" s="29" t="str">
        <f>IF(Analysis!$I186="","",IF(Analysis!$I186="Drifting",Analysis!$F186,""))</f>
        <v/>
      </c>
      <c r="M186" s="29" t="str">
        <f>IF(Analysis!$I186="","",IF(Analysis!$I186="Embedded",Analysis!$H186,""))</f>
        <v/>
      </c>
      <c r="N186" s="29" t="str">
        <f>IF(Analysis!$I186="","",IF(Analysis!$I186="Loyal but shallow",Analysis!$H186,""))</f>
        <v/>
      </c>
      <c r="O186" s="29" t="str">
        <f>IF(Analysis!$I186="","",IF(Analysis!$I186="Project-driven",Analysis!$H186,""))</f>
        <v/>
      </c>
      <c r="P186" s="29" t="str">
        <f>IF(Analysis!$I186="","",IF(Analysis!$I186="Drifting",Analysis!$H186,""))</f>
        <v/>
      </c>
    </row>
    <row r="187" spans="1:16" x14ac:dyDescent="0.25">
      <c r="A187" s="29" t="str">
        <f>IF(Analysis!$I187="","",IF(Analysis!$I187="Embedded",Analysis!$D187,""))</f>
        <v/>
      </c>
      <c r="B187" s="29" t="str">
        <f>IF(Analysis!$I187="","",IF(Analysis!$I187="Loyal but shallow",Analysis!$D187,""))</f>
        <v/>
      </c>
      <c r="C187" s="29" t="str">
        <f>IF(Analysis!$I187="","",IF(Analysis!$I187="Project-driven",Analysis!$D187,""))</f>
        <v/>
      </c>
      <c r="D187" s="29" t="str">
        <f>IF(Analysis!$I187="","",IF(Analysis!$I187="Drifting",Analysis!$D187,""))</f>
        <v/>
      </c>
      <c r="E187" s="29" t="str">
        <f>IF(Analysis!$I187="","",IF(Analysis!$I187="Embedded",Analysis!$C187,""))</f>
        <v/>
      </c>
      <c r="F187" s="29" t="str">
        <f>IF(Analysis!$I187="","",IF(Analysis!$I187="Loyal but shallow",Analysis!$C187,""))</f>
        <v/>
      </c>
      <c r="G187" s="29" t="str">
        <f>IF(Analysis!$I187="","",IF(Analysis!$I187="Project-driven",Analysis!$C187,""))</f>
        <v/>
      </c>
      <c r="H187" s="29" t="str">
        <f>IF(Analysis!$I187="","",IF(Analysis!$I187="Drifting",Analysis!$C187,""))</f>
        <v/>
      </c>
      <c r="I187" s="29" t="str">
        <f>IF(Analysis!$I187="","",IF(Analysis!$I187="Embedded",Analysis!$F187,""))</f>
        <v/>
      </c>
      <c r="J187" s="29" t="str">
        <f>IF(Analysis!$I187="","",IF(Analysis!$I187="Loyal but shallow",Analysis!$F187,""))</f>
        <v/>
      </c>
      <c r="K187" s="29" t="str">
        <f>IF(Analysis!$I187="","",IF(Analysis!$I187="Project-driven",Analysis!$F187,""))</f>
        <v/>
      </c>
      <c r="L187" s="29" t="str">
        <f>IF(Analysis!$I187="","",IF(Analysis!$I187="Drifting",Analysis!$F187,""))</f>
        <v/>
      </c>
      <c r="M187" s="29" t="str">
        <f>IF(Analysis!$I187="","",IF(Analysis!$I187="Embedded",Analysis!$H187,""))</f>
        <v/>
      </c>
      <c r="N187" s="29" t="str">
        <f>IF(Analysis!$I187="","",IF(Analysis!$I187="Loyal but shallow",Analysis!$H187,""))</f>
        <v/>
      </c>
      <c r="O187" s="29" t="str">
        <f>IF(Analysis!$I187="","",IF(Analysis!$I187="Project-driven",Analysis!$H187,""))</f>
        <v/>
      </c>
      <c r="P187" s="29" t="str">
        <f>IF(Analysis!$I187="","",IF(Analysis!$I187="Drifting",Analysis!$H187,""))</f>
        <v/>
      </c>
    </row>
    <row r="188" spans="1:16" x14ac:dyDescent="0.25">
      <c r="A188" s="29" t="str">
        <f>IF(Analysis!$I188="","",IF(Analysis!$I188="Embedded",Analysis!$D188,""))</f>
        <v/>
      </c>
      <c r="B188" s="29" t="str">
        <f>IF(Analysis!$I188="","",IF(Analysis!$I188="Loyal but shallow",Analysis!$D188,""))</f>
        <v/>
      </c>
      <c r="C188" s="29" t="str">
        <f>IF(Analysis!$I188="","",IF(Analysis!$I188="Project-driven",Analysis!$D188,""))</f>
        <v/>
      </c>
      <c r="D188" s="29" t="str">
        <f>IF(Analysis!$I188="","",IF(Analysis!$I188="Drifting",Analysis!$D188,""))</f>
        <v/>
      </c>
      <c r="E188" s="29" t="str">
        <f>IF(Analysis!$I188="","",IF(Analysis!$I188="Embedded",Analysis!$C188,""))</f>
        <v/>
      </c>
      <c r="F188" s="29" t="str">
        <f>IF(Analysis!$I188="","",IF(Analysis!$I188="Loyal but shallow",Analysis!$C188,""))</f>
        <v/>
      </c>
      <c r="G188" s="29" t="str">
        <f>IF(Analysis!$I188="","",IF(Analysis!$I188="Project-driven",Analysis!$C188,""))</f>
        <v/>
      </c>
      <c r="H188" s="29" t="str">
        <f>IF(Analysis!$I188="","",IF(Analysis!$I188="Drifting",Analysis!$C188,""))</f>
        <v/>
      </c>
      <c r="I188" s="29" t="str">
        <f>IF(Analysis!$I188="","",IF(Analysis!$I188="Embedded",Analysis!$F188,""))</f>
        <v/>
      </c>
      <c r="J188" s="29" t="str">
        <f>IF(Analysis!$I188="","",IF(Analysis!$I188="Loyal but shallow",Analysis!$F188,""))</f>
        <v/>
      </c>
      <c r="K188" s="29" t="str">
        <f>IF(Analysis!$I188="","",IF(Analysis!$I188="Project-driven",Analysis!$F188,""))</f>
        <v/>
      </c>
      <c r="L188" s="29" t="str">
        <f>IF(Analysis!$I188="","",IF(Analysis!$I188="Drifting",Analysis!$F188,""))</f>
        <v/>
      </c>
      <c r="M188" s="29" t="str">
        <f>IF(Analysis!$I188="","",IF(Analysis!$I188="Embedded",Analysis!$H188,""))</f>
        <v/>
      </c>
      <c r="N188" s="29" t="str">
        <f>IF(Analysis!$I188="","",IF(Analysis!$I188="Loyal but shallow",Analysis!$H188,""))</f>
        <v/>
      </c>
      <c r="O188" s="29" t="str">
        <f>IF(Analysis!$I188="","",IF(Analysis!$I188="Project-driven",Analysis!$H188,""))</f>
        <v/>
      </c>
      <c r="P188" s="29" t="str">
        <f>IF(Analysis!$I188="","",IF(Analysis!$I188="Drifting",Analysis!$H188,""))</f>
        <v/>
      </c>
    </row>
    <row r="189" spans="1:16" x14ac:dyDescent="0.25">
      <c r="A189" s="29" t="str">
        <f>IF(Analysis!$I189="","",IF(Analysis!$I189="Embedded",Analysis!$D189,""))</f>
        <v/>
      </c>
      <c r="B189" s="29" t="str">
        <f>IF(Analysis!$I189="","",IF(Analysis!$I189="Loyal but shallow",Analysis!$D189,""))</f>
        <v/>
      </c>
      <c r="C189" s="29" t="str">
        <f>IF(Analysis!$I189="","",IF(Analysis!$I189="Project-driven",Analysis!$D189,""))</f>
        <v/>
      </c>
      <c r="D189" s="29" t="str">
        <f>IF(Analysis!$I189="","",IF(Analysis!$I189="Drifting",Analysis!$D189,""))</f>
        <v/>
      </c>
      <c r="E189" s="29" t="str">
        <f>IF(Analysis!$I189="","",IF(Analysis!$I189="Embedded",Analysis!$C189,""))</f>
        <v/>
      </c>
      <c r="F189" s="29" t="str">
        <f>IF(Analysis!$I189="","",IF(Analysis!$I189="Loyal but shallow",Analysis!$C189,""))</f>
        <v/>
      </c>
      <c r="G189" s="29" t="str">
        <f>IF(Analysis!$I189="","",IF(Analysis!$I189="Project-driven",Analysis!$C189,""))</f>
        <v/>
      </c>
      <c r="H189" s="29" t="str">
        <f>IF(Analysis!$I189="","",IF(Analysis!$I189="Drifting",Analysis!$C189,""))</f>
        <v/>
      </c>
      <c r="I189" s="29" t="str">
        <f>IF(Analysis!$I189="","",IF(Analysis!$I189="Embedded",Analysis!$F189,""))</f>
        <v/>
      </c>
      <c r="J189" s="29" t="str">
        <f>IF(Analysis!$I189="","",IF(Analysis!$I189="Loyal but shallow",Analysis!$F189,""))</f>
        <v/>
      </c>
      <c r="K189" s="29" t="str">
        <f>IF(Analysis!$I189="","",IF(Analysis!$I189="Project-driven",Analysis!$F189,""))</f>
        <v/>
      </c>
      <c r="L189" s="29" t="str">
        <f>IF(Analysis!$I189="","",IF(Analysis!$I189="Drifting",Analysis!$F189,""))</f>
        <v/>
      </c>
      <c r="M189" s="29" t="str">
        <f>IF(Analysis!$I189="","",IF(Analysis!$I189="Embedded",Analysis!$H189,""))</f>
        <v/>
      </c>
      <c r="N189" s="29" t="str">
        <f>IF(Analysis!$I189="","",IF(Analysis!$I189="Loyal but shallow",Analysis!$H189,""))</f>
        <v/>
      </c>
      <c r="O189" s="29" t="str">
        <f>IF(Analysis!$I189="","",IF(Analysis!$I189="Project-driven",Analysis!$H189,""))</f>
        <v/>
      </c>
      <c r="P189" s="29" t="str">
        <f>IF(Analysis!$I189="","",IF(Analysis!$I189="Drifting",Analysis!$H189,""))</f>
        <v/>
      </c>
    </row>
    <row r="190" spans="1:16" x14ac:dyDescent="0.25">
      <c r="A190" s="29" t="str">
        <f>IF(Analysis!$I190="","",IF(Analysis!$I190="Embedded",Analysis!$D190,""))</f>
        <v/>
      </c>
      <c r="B190" s="29" t="str">
        <f>IF(Analysis!$I190="","",IF(Analysis!$I190="Loyal but shallow",Analysis!$D190,""))</f>
        <v/>
      </c>
      <c r="C190" s="29" t="str">
        <f>IF(Analysis!$I190="","",IF(Analysis!$I190="Project-driven",Analysis!$D190,""))</f>
        <v/>
      </c>
      <c r="D190" s="29" t="str">
        <f>IF(Analysis!$I190="","",IF(Analysis!$I190="Drifting",Analysis!$D190,""))</f>
        <v/>
      </c>
      <c r="E190" s="29" t="str">
        <f>IF(Analysis!$I190="","",IF(Analysis!$I190="Embedded",Analysis!$C190,""))</f>
        <v/>
      </c>
      <c r="F190" s="29" t="str">
        <f>IF(Analysis!$I190="","",IF(Analysis!$I190="Loyal but shallow",Analysis!$C190,""))</f>
        <v/>
      </c>
      <c r="G190" s="29" t="str">
        <f>IF(Analysis!$I190="","",IF(Analysis!$I190="Project-driven",Analysis!$C190,""))</f>
        <v/>
      </c>
      <c r="H190" s="29" t="str">
        <f>IF(Analysis!$I190="","",IF(Analysis!$I190="Drifting",Analysis!$C190,""))</f>
        <v/>
      </c>
      <c r="I190" s="29" t="str">
        <f>IF(Analysis!$I190="","",IF(Analysis!$I190="Embedded",Analysis!$F190,""))</f>
        <v/>
      </c>
      <c r="J190" s="29" t="str">
        <f>IF(Analysis!$I190="","",IF(Analysis!$I190="Loyal but shallow",Analysis!$F190,""))</f>
        <v/>
      </c>
      <c r="K190" s="29" t="str">
        <f>IF(Analysis!$I190="","",IF(Analysis!$I190="Project-driven",Analysis!$F190,""))</f>
        <v/>
      </c>
      <c r="L190" s="29" t="str">
        <f>IF(Analysis!$I190="","",IF(Analysis!$I190="Drifting",Analysis!$F190,""))</f>
        <v/>
      </c>
      <c r="M190" s="29" t="str">
        <f>IF(Analysis!$I190="","",IF(Analysis!$I190="Embedded",Analysis!$H190,""))</f>
        <v/>
      </c>
      <c r="N190" s="29" t="str">
        <f>IF(Analysis!$I190="","",IF(Analysis!$I190="Loyal but shallow",Analysis!$H190,""))</f>
        <v/>
      </c>
      <c r="O190" s="29" t="str">
        <f>IF(Analysis!$I190="","",IF(Analysis!$I190="Project-driven",Analysis!$H190,""))</f>
        <v/>
      </c>
      <c r="P190" s="29" t="str">
        <f>IF(Analysis!$I190="","",IF(Analysis!$I190="Drifting",Analysis!$H190,""))</f>
        <v/>
      </c>
    </row>
    <row r="191" spans="1:16" x14ac:dyDescent="0.25">
      <c r="A191" s="29" t="str">
        <f>IF(Analysis!$I191="","",IF(Analysis!$I191="Embedded",Analysis!$D191,""))</f>
        <v/>
      </c>
      <c r="B191" s="29" t="str">
        <f>IF(Analysis!$I191="","",IF(Analysis!$I191="Loyal but shallow",Analysis!$D191,""))</f>
        <v/>
      </c>
      <c r="C191" s="29" t="str">
        <f>IF(Analysis!$I191="","",IF(Analysis!$I191="Project-driven",Analysis!$D191,""))</f>
        <v/>
      </c>
      <c r="D191" s="29" t="str">
        <f>IF(Analysis!$I191="","",IF(Analysis!$I191="Drifting",Analysis!$D191,""))</f>
        <v/>
      </c>
      <c r="E191" s="29" t="str">
        <f>IF(Analysis!$I191="","",IF(Analysis!$I191="Embedded",Analysis!$C191,""))</f>
        <v/>
      </c>
      <c r="F191" s="29" t="str">
        <f>IF(Analysis!$I191="","",IF(Analysis!$I191="Loyal but shallow",Analysis!$C191,""))</f>
        <v/>
      </c>
      <c r="G191" s="29" t="str">
        <f>IF(Analysis!$I191="","",IF(Analysis!$I191="Project-driven",Analysis!$C191,""))</f>
        <v/>
      </c>
      <c r="H191" s="29" t="str">
        <f>IF(Analysis!$I191="","",IF(Analysis!$I191="Drifting",Analysis!$C191,""))</f>
        <v/>
      </c>
      <c r="I191" s="29" t="str">
        <f>IF(Analysis!$I191="","",IF(Analysis!$I191="Embedded",Analysis!$F191,""))</f>
        <v/>
      </c>
      <c r="J191" s="29" t="str">
        <f>IF(Analysis!$I191="","",IF(Analysis!$I191="Loyal but shallow",Analysis!$F191,""))</f>
        <v/>
      </c>
      <c r="K191" s="29" t="str">
        <f>IF(Analysis!$I191="","",IF(Analysis!$I191="Project-driven",Analysis!$F191,""))</f>
        <v/>
      </c>
      <c r="L191" s="29" t="str">
        <f>IF(Analysis!$I191="","",IF(Analysis!$I191="Drifting",Analysis!$F191,""))</f>
        <v/>
      </c>
      <c r="M191" s="29" t="str">
        <f>IF(Analysis!$I191="","",IF(Analysis!$I191="Embedded",Analysis!$H191,""))</f>
        <v/>
      </c>
      <c r="N191" s="29" t="str">
        <f>IF(Analysis!$I191="","",IF(Analysis!$I191="Loyal but shallow",Analysis!$H191,""))</f>
        <v/>
      </c>
      <c r="O191" s="29" t="str">
        <f>IF(Analysis!$I191="","",IF(Analysis!$I191="Project-driven",Analysis!$H191,""))</f>
        <v/>
      </c>
      <c r="P191" s="29" t="str">
        <f>IF(Analysis!$I191="","",IF(Analysis!$I191="Drifting",Analysis!$H191,""))</f>
        <v/>
      </c>
    </row>
    <row r="192" spans="1:16" x14ac:dyDescent="0.25">
      <c r="A192" s="29" t="str">
        <f>IF(Analysis!$I192="","",IF(Analysis!$I192="Embedded",Analysis!$D192,""))</f>
        <v/>
      </c>
      <c r="B192" s="29" t="str">
        <f>IF(Analysis!$I192="","",IF(Analysis!$I192="Loyal but shallow",Analysis!$D192,""))</f>
        <v/>
      </c>
      <c r="C192" s="29" t="str">
        <f>IF(Analysis!$I192="","",IF(Analysis!$I192="Project-driven",Analysis!$D192,""))</f>
        <v/>
      </c>
      <c r="D192" s="29" t="str">
        <f>IF(Analysis!$I192="","",IF(Analysis!$I192="Drifting",Analysis!$D192,""))</f>
        <v/>
      </c>
      <c r="E192" s="29" t="str">
        <f>IF(Analysis!$I192="","",IF(Analysis!$I192="Embedded",Analysis!$C192,""))</f>
        <v/>
      </c>
      <c r="F192" s="29" t="str">
        <f>IF(Analysis!$I192="","",IF(Analysis!$I192="Loyal but shallow",Analysis!$C192,""))</f>
        <v/>
      </c>
      <c r="G192" s="29" t="str">
        <f>IF(Analysis!$I192="","",IF(Analysis!$I192="Project-driven",Analysis!$C192,""))</f>
        <v/>
      </c>
      <c r="H192" s="29" t="str">
        <f>IF(Analysis!$I192="","",IF(Analysis!$I192="Drifting",Analysis!$C192,""))</f>
        <v/>
      </c>
      <c r="I192" s="29" t="str">
        <f>IF(Analysis!$I192="","",IF(Analysis!$I192="Embedded",Analysis!$F192,""))</f>
        <v/>
      </c>
      <c r="J192" s="29" t="str">
        <f>IF(Analysis!$I192="","",IF(Analysis!$I192="Loyal but shallow",Analysis!$F192,""))</f>
        <v/>
      </c>
      <c r="K192" s="29" t="str">
        <f>IF(Analysis!$I192="","",IF(Analysis!$I192="Project-driven",Analysis!$F192,""))</f>
        <v/>
      </c>
      <c r="L192" s="29" t="str">
        <f>IF(Analysis!$I192="","",IF(Analysis!$I192="Drifting",Analysis!$F192,""))</f>
        <v/>
      </c>
      <c r="M192" s="29" t="str">
        <f>IF(Analysis!$I192="","",IF(Analysis!$I192="Embedded",Analysis!$H192,""))</f>
        <v/>
      </c>
      <c r="N192" s="29" t="str">
        <f>IF(Analysis!$I192="","",IF(Analysis!$I192="Loyal but shallow",Analysis!$H192,""))</f>
        <v/>
      </c>
      <c r="O192" s="29" t="str">
        <f>IF(Analysis!$I192="","",IF(Analysis!$I192="Project-driven",Analysis!$H192,""))</f>
        <v/>
      </c>
      <c r="P192" s="29" t="str">
        <f>IF(Analysis!$I192="","",IF(Analysis!$I192="Drifting",Analysis!$H192,""))</f>
        <v/>
      </c>
    </row>
    <row r="193" spans="1:16" x14ac:dyDescent="0.25">
      <c r="A193" s="29" t="str">
        <f>IF(Analysis!$I193="","",IF(Analysis!$I193="Embedded",Analysis!$D193,""))</f>
        <v/>
      </c>
      <c r="B193" s="29" t="str">
        <f>IF(Analysis!$I193="","",IF(Analysis!$I193="Loyal but shallow",Analysis!$D193,""))</f>
        <v/>
      </c>
      <c r="C193" s="29" t="str">
        <f>IF(Analysis!$I193="","",IF(Analysis!$I193="Project-driven",Analysis!$D193,""))</f>
        <v/>
      </c>
      <c r="D193" s="29" t="str">
        <f>IF(Analysis!$I193="","",IF(Analysis!$I193="Drifting",Analysis!$D193,""))</f>
        <v/>
      </c>
      <c r="E193" s="29" t="str">
        <f>IF(Analysis!$I193="","",IF(Analysis!$I193="Embedded",Analysis!$C193,""))</f>
        <v/>
      </c>
      <c r="F193" s="29" t="str">
        <f>IF(Analysis!$I193="","",IF(Analysis!$I193="Loyal but shallow",Analysis!$C193,""))</f>
        <v/>
      </c>
      <c r="G193" s="29" t="str">
        <f>IF(Analysis!$I193="","",IF(Analysis!$I193="Project-driven",Analysis!$C193,""))</f>
        <v/>
      </c>
      <c r="H193" s="29" t="str">
        <f>IF(Analysis!$I193="","",IF(Analysis!$I193="Drifting",Analysis!$C193,""))</f>
        <v/>
      </c>
      <c r="I193" s="29" t="str">
        <f>IF(Analysis!$I193="","",IF(Analysis!$I193="Embedded",Analysis!$F193,""))</f>
        <v/>
      </c>
      <c r="J193" s="29" t="str">
        <f>IF(Analysis!$I193="","",IF(Analysis!$I193="Loyal but shallow",Analysis!$F193,""))</f>
        <v/>
      </c>
      <c r="K193" s="29" t="str">
        <f>IF(Analysis!$I193="","",IF(Analysis!$I193="Project-driven",Analysis!$F193,""))</f>
        <v/>
      </c>
      <c r="L193" s="29" t="str">
        <f>IF(Analysis!$I193="","",IF(Analysis!$I193="Drifting",Analysis!$F193,""))</f>
        <v/>
      </c>
      <c r="M193" s="29" t="str">
        <f>IF(Analysis!$I193="","",IF(Analysis!$I193="Embedded",Analysis!$H193,""))</f>
        <v/>
      </c>
      <c r="N193" s="29" t="str">
        <f>IF(Analysis!$I193="","",IF(Analysis!$I193="Loyal but shallow",Analysis!$H193,""))</f>
        <v/>
      </c>
      <c r="O193" s="29" t="str">
        <f>IF(Analysis!$I193="","",IF(Analysis!$I193="Project-driven",Analysis!$H193,""))</f>
        <v/>
      </c>
      <c r="P193" s="29" t="str">
        <f>IF(Analysis!$I193="","",IF(Analysis!$I193="Drifting",Analysis!$H193,""))</f>
        <v/>
      </c>
    </row>
    <row r="194" spans="1:16" x14ac:dyDescent="0.25">
      <c r="A194" s="29" t="str">
        <f>IF(Analysis!$I194="","",IF(Analysis!$I194="Embedded",Analysis!$D194,""))</f>
        <v/>
      </c>
      <c r="B194" s="29" t="str">
        <f>IF(Analysis!$I194="","",IF(Analysis!$I194="Loyal but shallow",Analysis!$D194,""))</f>
        <v/>
      </c>
      <c r="C194" s="29" t="str">
        <f>IF(Analysis!$I194="","",IF(Analysis!$I194="Project-driven",Analysis!$D194,""))</f>
        <v/>
      </c>
      <c r="D194" s="29" t="str">
        <f>IF(Analysis!$I194="","",IF(Analysis!$I194="Drifting",Analysis!$D194,""))</f>
        <v/>
      </c>
      <c r="E194" s="29" t="str">
        <f>IF(Analysis!$I194="","",IF(Analysis!$I194="Embedded",Analysis!$C194,""))</f>
        <v/>
      </c>
      <c r="F194" s="29" t="str">
        <f>IF(Analysis!$I194="","",IF(Analysis!$I194="Loyal but shallow",Analysis!$C194,""))</f>
        <v/>
      </c>
      <c r="G194" s="29" t="str">
        <f>IF(Analysis!$I194="","",IF(Analysis!$I194="Project-driven",Analysis!$C194,""))</f>
        <v/>
      </c>
      <c r="H194" s="29" t="str">
        <f>IF(Analysis!$I194="","",IF(Analysis!$I194="Drifting",Analysis!$C194,""))</f>
        <v/>
      </c>
      <c r="I194" s="29" t="str">
        <f>IF(Analysis!$I194="","",IF(Analysis!$I194="Embedded",Analysis!$F194,""))</f>
        <v/>
      </c>
      <c r="J194" s="29" t="str">
        <f>IF(Analysis!$I194="","",IF(Analysis!$I194="Loyal but shallow",Analysis!$F194,""))</f>
        <v/>
      </c>
      <c r="K194" s="29" t="str">
        <f>IF(Analysis!$I194="","",IF(Analysis!$I194="Project-driven",Analysis!$F194,""))</f>
        <v/>
      </c>
      <c r="L194" s="29" t="str">
        <f>IF(Analysis!$I194="","",IF(Analysis!$I194="Drifting",Analysis!$F194,""))</f>
        <v/>
      </c>
      <c r="M194" s="29" t="str">
        <f>IF(Analysis!$I194="","",IF(Analysis!$I194="Embedded",Analysis!$H194,""))</f>
        <v/>
      </c>
      <c r="N194" s="29" t="str">
        <f>IF(Analysis!$I194="","",IF(Analysis!$I194="Loyal but shallow",Analysis!$H194,""))</f>
        <v/>
      </c>
      <c r="O194" s="29" t="str">
        <f>IF(Analysis!$I194="","",IF(Analysis!$I194="Project-driven",Analysis!$H194,""))</f>
        <v/>
      </c>
      <c r="P194" s="29" t="str">
        <f>IF(Analysis!$I194="","",IF(Analysis!$I194="Drifting",Analysis!$H194,""))</f>
        <v/>
      </c>
    </row>
    <row r="195" spans="1:16" x14ac:dyDescent="0.25">
      <c r="A195" s="29" t="str">
        <f>IF(Analysis!$I195="","",IF(Analysis!$I195="Embedded",Analysis!$D195,""))</f>
        <v/>
      </c>
      <c r="B195" s="29" t="str">
        <f>IF(Analysis!$I195="","",IF(Analysis!$I195="Loyal but shallow",Analysis!$D195,""))</f>
        <v/>
      </c>
      <c r="C195" s="29" t="str">
        <f>IF(Analysis!$I195="","",IF(Analysis!$I195="Project-driven",Analysis!$D195,""))</f>
        <v/>
      </c>
      <c r="D195" s="29" t="str">
        <f>IF(Analysis!$I195="","",IF(Analysis!$I195="Drifting",Analysis!$D195,""))</f>
        <v/>
      </c>
      <c r="E195" s="29" t="str">
        <f>IF(Analysis!$I195="","",IF(Analysis!$I195="Embedded",Analysis!$C195,""))</f>
        <v/>
      </c>
      <c r="F195" s="29" t="str">
        <f>IF(Analysis!$I195="","",IF(Analysis!$I195="Loyal but shallow",Analysis!$C195,""))</f>
        <v/>
      </c>
      <c r="G195" s="29" t="str">
        <f>IF(Analysis!$I195="","",IF(Analysis!$I195="Project-driven",Analysis!$C195,""))</f>
        <v/>
      </c>
      <c r="H195" s="29" t="str">
        <f>IF(Analysis!$I195="","",IF(Analysis!$I195="Drifting",Analysis!$C195,""))</f>
        <v/>
      </c>
      <c r="I195" s="29" t="str">
        <f>IF(Analysis!$I195="","",IF(Analysis!$I195="Embedded",Analysis!$F195,""))</f>
        <v/>
      </c>
      <c r="J195" s="29" t="str">
        <f>IF(Analysis!$I195="","",IF(Analysis!$I195="Loyal but shallow",Analysis!$F195,""))</f>
        <v/>
      </c>
      <c r="K195" s="29" t="str">
        <f>IF(Analysis!$I195="","",IF(Analysis!$I195="Project-driven",Analysis!$F195,""))</f>
        <v/>
      </c>
      <c r="L195" s="29" t="str">
        <f>IF(Analysis!$I195="","",IF(Analysis!$I195="Drifting",Analysis!$F195,""))</f>
        <v/>
      </c>
      <c r="M195" s="29" t="str">
        <f>IF(Analysis!$I195="","",IF(Analysis!$I195="Embedded",Analysis!$H195,""))</f>
        <v/>
      </c>
      <c r="N195" s="29" t="str">
        <f>IF(Analysis!$I195="","",IF(Analysis!$I195="Loyal but shallow",Analysis!$H195,""))</f>
        <v/>
      </c>
      <c r="O195" s="29" t="str">
        <f>IF(Analysis!$I195="","",IF(Analysis!$I195="Project-driven",Analysis!$H195,""))</f>
        <v/>
      </c>
      <c r="P195" s="29" t="str">
        <f>IF(Analysis!$I195="","",IF(Analysis!$I195="Drifting",Analysis!$H195,""))</f>
        <v/>
      </c>
    </row>
    <row r="196" spans="1:16" x14ac:dyDescent="0.25">
      <c r="A196" s="29" t="str">
        <f>IF(Analysis!$I196="","",IF(Analysis!$I196="Embedded",Analysis!$D196,""))</f>
        <v/>
      </c>
      <c r="B196" s="29" t="str">
        <f>IF(Analysis!$I196="","",IF(Analysis!$I196="Loyal but shallow",Analysis!$D196,""))</f>
        <v/>
      </c>
      <c r="C196" s="29" t="str">
        <f>IF(Analysis!$I196="","",IF(Analysis!$I196="Project-driven",Analysis!$D196,""))</f>
        <v/>
      </c>
      <c r="D196" s="29" t="str">
        <f>IF(Analysis!$I196="","",IF(Analysis!$I196="Drifting",Analysis!$D196,""))</f>
        <v/>
      </c>
      <c r="E196" s="29" t="str">
        <f>IF(Analysis!$I196="","",IF(Analysis!$I196="Embedded",Analysis!$C196,""))</f>
        <v/>
      </c>
      <c r="F196" s="29" t="str">
        <f>IF(Analysis!$I196="","",IF(Analysis!$I196="Loyal but shallow",Analysis!$C196,""))</f>
        <v/>
      </c>
      <c r="G196" s="29" t="str">
        <f>IF(Analysis!$I196="","",IF(Analysis!$I196="Project-driven",Analysis!$C196,""))</f>
        <v/>
      </c>
      <c r="H196" s="29" t="str">
        <f>IF(Analysis!$I196="","",IF(Analysis!$I196="Drifting",Analysis!$C196,""))</f>
        <v/>
      </c>
      <c r="I196" s="29" t="str">
        <f>IF(Analysis!$I196="","",IF(Analysis!$I196="Embedded",Analysis!$F196,""))</f>
        <v/>
      </c>
      <c r="J196" s="29" t="str">
        <f>IF(Analysis!$I196="","",IF(Analysis!$I196="Loyal but shallow",Analysis!$F196,""))</f>
        <v/>
      </c>
      <c r="K196" s="29" t="str">
        <f>IF(Analysis!$I196="","",IF(Analysis!$I196="Project-driven",Analysis!$F196,""))</f>
        <v/>
      </c>
      <c r="L196" s="29" t="str">
        <f>IF(Analysis!$I196="","",IF(Analysis!$I196="Drifting",Analysis!$F196,""))</f>
        <v/>
      </c>
      <c r="M196" s="29" t="str">
        <f>IF(Analysis!$I196="","",IF(Analysis!$I196="Embedded",Analysis!$H196,""))</f>
        <v/>
      </c>
      <c r="N196" s="29" t="str">
        <f>IF(Analysis!$I196="","",IF(Analysis!$I196="Loyal but shallow",Analysis!$H196,""))</f>
        <v/>
      </c>
      <c r="O196" s="29" t="str">
        <f>IF(Analysis!$I196="","",IF(Analysis!$I196="Project-driven",Analysis!$H196,""))</f>
        <v/>
      </c>
      <c r="P196" s="29" t="str">
        <f>IF(Analysis!$I196="","",IF(Analysis!$I196="Drifting",Analysis!$H196,""))</f>
        <v/>
      </c>
    </row>
    <row r="197" spans="1:16" x14ac:dyDescent="0.25">
      <c r="A197" s="29" t="str">
        <f>IF(Analysis!$I197="","",IF(Analysis!$I197="Embedded",Analysis!$D197,""))</f>
        <v/>
      </c>
      <c r="B197" s="29" t="str">
        <f>IF(Analysis!$I197="","",IF(Analysis!$I197="Loyal but shallow",Analysis!$D197,""))</f>
        <v/>
      </c>
      <c r="C197" s="29" t="str">
        <f>IF(Analysis!$I197="","",IF(Analysis!$I197="Project-driven",Analysis!$D197,""))</f>
        <v/>
      </c>
      <c r="D197" s="29" t="str">
        <f>IF(Analysis!$I197="","",IF(Analysis!$I197="Drifting",Analysis!$D197,""))</f>
        <v/>
      </c>
      <c r="E197" s="29" t="str">
        <f>IF(Analysis!$I197="","",IF(Analysis!$I197="Embedded",Analysis!$C197,""))</f>
        <v/>
      </c>
      <c r="F197" s="29" t="str">
        <f>IF(Analysis!$I197="","",IF(Analysis!$I197="Loyal but shallow",Analysis!$C197,""))</f>
        <v/>
      </c>
      <c r="G197" s="29" t="str">
        <f>IF(Analysis!$I197="","",IF(Analysis!$I197="Project-driven",Analysis!$C197,""))</f>
        <v/>
      </c>
      <c r="H197" s="29" t="str">
        <f>IF(Analysis!$I197="","",IF(Analysis!$I197="Drifting",Analysis!$C197,""))</f>
        <v/>
      </c>
      <c r="I197" s="29" t="str">
        <f>IF(Analysis!$I197="","",IF(Analysis!$I197="Embedded",Analysis!$F197,""))</f>
        <v/>
      </c>
      <c r="J197" s="29" t="str">
        <f>IF(Analysis!$I197="","",IF(Analysis!$I197="Loyal but shallow",Analysis!$F197,""))</f>
        <v/>
      </c>
      <c r="K197" s="29" t="str">
        <f>IF(Analysis!$I197="","",IF(Analysis!$I197="Project-driven",Analysis!$F197,""))</f>
        <v/>
      </c>
      <c r="L197" s="29" t="str">
        <f>IF(Analysis!$I197="","",IF(Analysis!$I197="Drifting",Analysis!$F197,""))</f>
        <v/>
      </c>
      <c r="M197" s="29" t="str">
        <f>IF(Analysis!$I197="","",IF(Analysis!$I197="Embedded",Analysis!$H197,""))</f>
        <v/>
      </c>
      <c r="N197" s="29" t="str">
        <f>IF(Analysis!$I197="","",IF(Analysis!$I197="Loyal but shallow",Analysis!$H197,""))</f>
        <v/>
      </c>
      <c r="O197" s="29" t="str">
        <f>IF(Analysis!$I197="","",IF(Analysis!$I197="Project-driven",Analysis!$H197,""))</f>
        <v/>
      </c>
      <c r="P197" s="29" t="str">
        <f>IF(Analysis!$I197="","",IF(Analysis!$I197="Drifting",Analysis!$H197,""))</f>
        <v/>
      </c>
    </row>
    <row r="198" spans="1:16" x14ac:dyDescent="0.25">
      <c r="A198" s="29" t="str">
        <f>IF(Analysis!$I198="","",IF(Analysis!$I198="Embedded",Analysis!$D198,""))</f>
        <v/>
      </c>
      <c r="B198" s="29" t="str">
        <f>IF(Analysis!$I198="","",IF(Analysis!$I198="Loyal but shallow",Analysis!$D198,""))</f>
        <v/>
      </c>
      <c r="C198" s="29" t="str">
        <f>IF(Analysis!$I198="","",IF(Analysis!$I198="Project-driven",Analysis!$D198,""))</f>
        <v/>
      </c>
      <c r="D198" s="29" t="str">
        <f>IF(Analysis!$I198="","",IF(Analysis!$I198="Drifting",Analysis!$D198,""))</f>
        <v/>
      </c>
      <c r="E198" s="29" t="str">
        <f>IF(Analysis!$I198="","",IF(Analysis!$I198="Embedded",Analysis!$C198,""))</f>
        <v/>
      </c>
      <c r="F198" s="29" t="str">
        <f>IF(Analysis!$I198="","",IF(Analysis!$I198="Loyal but shallow",Analysis!$C198,""))</f>
        <v/>
      </c>
      <c r="G198" s="29" t="str">
        <f>IF(Analysis!$I198="","",IF(Analysis!$I198="Project-driven",Analysis!$C198,""))</f>
        <v/>
      </c>
      <c r="H198" s="29" t="str">
        <f>IF(Analysis!$I198="","",IF(Analysis!$I198="Drifting",Analysis!$C198,""))</f>
        <v/>
      </c>
      <c r="I198" s="29" t="str">
        <f>IF(Analysis!$I198="","",IF(Analysis!$I198="Embedded",Analysis!$F198,""))</f>
        <v/>
      </c>
      <c r="J198" s="29" t="str">
        <f>IF(Analysis!$I198="","",IF(Analysis!$I198="Loyal but shallow",Analysis!$F198,""))</f>
        <v/>
      </c>
      <c r="K198" s="29" t="str">
        <f>IF(Analysis!$I198="","",IF(Analysis!$I198="Project-driven",Analysis!$F198,""))</f>
        <v/>
      </c>
      <c r="L198" s="29" t="str">
        <f>IF(Analysis!$I198="","",IF(Analysis!$I198="Drifting",Analysis!$F198,""))</f>
        <v/>
      </c>
      <c r="M198" s="29" t="str">
        <f>IF(Analysis!$I198="","",IF(Analysis!$I198="Embedded",Analysis!$H198,""))</f>
        <v/>
      </c>
      <c r="N198" s="29" t="str">
        <f>IF(Analysis!$I198="","",IF(Analysis!$I198="Loyal but shallow",Analysis!$H198,""))</f>
        <v/>
      </c>
      <c r="O198" s="29" t="str">
        <f>IF(Analysis!$I198="","",IF(Analysis!$I198="Project-driven",Analysis!$H198,""))</f>
        <v/>
      </c>
      <c r="P198" s="29" t="str">
        <f>IF(Analysis!$I198="","",IF(Analysis!$I198="Drifting",Analysis!$H198,""))</f>
        <v/>
      </c>
    </row>
    <row r="199" spans="1:16" x14ac:dyDescent="0.25">
      <c r="A199" s="29" t="str">
        <f>IF(Analysis!$I199="","",IF(Analysis!$I199="Embedded",Analysis!$D199,""))</f>
        <v/>
      </c>
      <c r="B199" s="29" t="str">
        <f>IF(Analysis!$I199="","",IF(Analysis!$I199="Loyal but shallow",Analysis!$D199,""))</f>
        <v/>
      </c>
      <c r="C199" s="29" t="str">
        <f>IF(Analysis!$I199="","",IF(Analysis!$I199="Project-driven",Analysis!$D199,""))</f>
        <v/>
      </c>
      <c r="D199" s="29" t="str">
        <f>IF(Analysis!$I199="","",IF(Analysis!$I199="Drifting",Analysis!$D199,""))</f>
        <v/>
      </c>
      <c r="E199" s="29" t="str">
        <f>IF(Analysis!$I199="","",IF(Analysis!$I199="Embedded",Analysis!$C199,""))</f>
        <v/>
      </c>
      <c r="F199" s="29" t="str">
        <f>IF(Analysis!$I199="","",IF(Analysis!$I199="Loyal but shallow",Analysis!$C199,""))</f>
        <v/>
      </c>
      <c r="G199" s="29" t="str">
        <f>IF(Analysis!$I199="","",IF(Analysis!$I199="Project-driven",Analysis!$C199,""))</f>
        <v/>
      </c>
      <c r="H199" s="29" t="str">
        <f>IF(Analysis!$I199="","",IF(Analysis!$I199="Drifting",Analysis!$C199,""))</f>
        <v/>
      </c>
      <c r="I199" s="29" t="str">
        <f>IF(Analysis!$I199="","",IF(Analysis!$I199="Embedded",Analysis!$F199,""))</f>
        <v/>
      </c>
      <c r="J199" s="29" t="str">
        <f>IF(Analysis!$I199="","",IF(Analysis!$I199="Loyal but shallow",Analysis!$F199,""))</f>
        <v/>
      </c>
      <c r="K199" s="29" t="str">
        <f>IF(Analysis!$I199="","",IF(Analysis!$I199="Project-driven",Analysis!$F199,""))</f>
        <v/>
      </c>
      <c r="L199" s="29" t="str">
        <f>IF(Analysis!$I199="","",IF(Analysis!$I199="Drifting",Analysis!$F199,""))</f>
        <v/>
      </c>
      <c r="M199" s="29" t="str">
        <f>IF(Analysis!$I199="","",IF(Analysis!$I199="Embedded",Analysis!$H199,""))</f>
        <v/>
      </c>
      <c r="N199" s="29" t="str">
        <f>IF(Analysis!$I199="","",IF(Analysis!$I199="Loyal but shallow",Analysis!$H199,""))</f>
        <v/>
      </c>
      <c r="O199" s="29" t="str">
        <f>IF(Analysis!$I199="","",IF(Analysis!$I199="Project-driven",Analysis!$H199,""))</f>
        <v/>
      </c>
      <c r="P199" s="29" t="str">
        <f>IF(Analysis!$I199="","",IF(Analysis!$I199="Drifting",Analysis!$H199,""))</f>
        <v/>
      </c>
    </row>
    <row r="200" spans="1:16" x14ac:dyDescent="0.25">
      <c r="A200" s="29" t="str">
        <f>IF(Analysis!$I200="","",IF(Analysis!$I200="Embedded",Analysis!$D200,""))</f>
        <v/>
      </c>
      <c r="B200" s="29" t="str">
        <f>IF(Analysis!$I200="","",IF(Analysis!$I200="Loyal but shallow",Analysis!$D200,""))</f>
        <v/>
      </c>
      <c r="C200" s="29" t="str">
        <f>IF(Analysis!$I200="","",IF(Analysis!$I200="Project-driven",Analysis!$D200,""))</f>
        <v/>
      </c>
      <c r="D200" s="29" t="str">
        <f>IF(Analysis!$I200="","",IF(Analysis!$I200="Drifting",Analysis!$D200,""))</f>
        <v/>
      </c>
      <c r="E200" s="29" t="str">
        <f>IF(Analysis!$I200="","",IF(Analysis!$I200="Embedded",Analysis!$C200,""))</f>
        <v/>
      </c>
      <c r="F200" s="29" t="str">
        <f>IF(Analysis!$I200="","",IF(Analysis!$I200="Loyal but shallow",Analysis!$C200,""))</f>
        <v/>
      </c>
      <c r="G200" s="29" t="str">
        <f>IF(Analysis!$I200="","",IF(Analysis!$I200="Project-driven",Analysis!$C200,""))</f>
        <v/>
      </c>
      <c r="H200" s="29" t="str">
        <f>IF(Analysis!$I200="","",IF(Analysis!$I200="Drifting",Analysis!$C200,""))</f>
        <v/>
      </c>
      <c r="I200" s="29" t="str">
        <f>IF(Analysis!$I200="","",IF(Analysis!$I200="Embedded",Analysis!$F200,""))</f>
        <v/>
      </c>
      <c r="J200" s="29" t="str">
        <f>IF(Analysis!$I200="","",IF(Analysis!$I200="Loyal but shallow",Analysis!$F200,""))</f>
        <v/>
      </c>
      <c r="K200" s="29" t="str">
        <f>IF(Analysis!$I200="","",IF(Analysis!$I200="Project-driven",Analysis!$F200,""))</f>
        <v/>
      </c>
      <c r="L200" s="29" t="str">
        <f>IF(Analysis!$I200="","",IF(Analysis!$I200="Drifting",Analysis!$F200,""))</f>
        <v/>
      </c>
      <c r="M200" s="29" t="str">
        <f>IF(Analysis!$I200="","",IF(Analysis!$I200="Embedded",Analysis!$H200,""))</f>
        <v/>
      </c>
      <c r="N200" s="29" t="str">
        <f>IF(Analysis!$I200="","",IF(Analysis!$I200="Loyal but shallow",Analysis!$H200,""))</f>
        <v/>
      </c>
      <c r="O200" s="29" t="str">
        <f>IF(Analysis!$I200="","",IF(Analysis!$I200="Project-driven",Analysis!$H200,""))</f>
        <v/>
      </c>
      <c r="P200" s="29" t="str">
        <f>IF(Analysis!$I200="","",IF(Analysis!$I200="Drifting",Analysis!$H200,""))</f>
        <v/>
      </c>
    </row>
    <row r="201" spans="1:16" x14ac:dyDescent="0.25">
      <c r="A201" s="29" t="str">
        <f>IF(Analysis!$I201="","",IF(Analysis!$I201="Embedded",Analysis!$D201,""))</f>
        <v/>
      </c>
      <c r="B201" s="29" t="str">
        <f>IF(Analysis!$I201="","",IF(Analysis!$I201="Loyal but shallow",Analysis!$D201,""))</f>
        <v/>
      </c>
      <c r="C201" s="29" t="str">
        <f>IF(Analysis!$I201="","",IF(Analysis!$I201="Project-driven",Analysis!$D201,""))</f>
        <v/>
      </c>
      <c r="D201" s="29" t="str">
        <f>IF(Analysis!$I201="","",IF(Analysis!$I201="Drifting",Analysis!$D201,""))</f>
        <v/>
      </c>
      <c r="E201" s="29" t="str">
        <f>IF(Analysis!$I201="","",IF(Analysis!$I201="Embedded",Analysis!$C201,""))</f>
        <v/>
      </c>
      <c r="F201" s="29" t="str">
        <f>IF(Analysis!$I201="","",IF(Analysis!$I201="Loyal but shallow",Analysis!$C201,""))</f>
        <v/>
      </c>
      <c r="G201" s="29" t="str">
        <f>IF(Analysis!$I201="","",IF(Analysis!$I201="Project-driven",Analysis!$C201,""))</f>
        <v/>
      </c>
      <c r="H201" s="29" t="str">
        <f>IF(Analysis!$I201="","",IF(Analysis!$I201="Drifting",Analysis!$C201,""))</f>
        <v/>
      </c>
      <c r="I201" s="29" t="str">
        <f>IF(Analysis!$I201="","",IF(Analysis!$I201="Embedded",Analysis!$F201,""))</f>
        <v/>
      </c>
      <c r="J201" s="29" t="str">
        <f>IF(Analysis!$I201="","",IF(Analysis!$I201="Loyal but shallow",Analysis!$F201,""))</f>
        <v/>
      </c>
      <c r="K201" s="29" t="str">
        <f>IF(Analysis!$I201="","",IF(Analysis!$I201="Project-driven",Analysis!$F201,""))</f>
        <v/>
      </c>
      <c r="L201" s="29" t="str">
        <f>IF(Analysis!$I201="","",IF(Analysis!$I201="Drifting",Analysis!$F201,""))</f>
        <v/>
      </c>
      <c r="M201" s="29" t="str">
        <f>IF(Analysis!$I201="","",IF(Analysis!$I201="Embedded",Analysis!$H201,""))</f>
        <v/>
      </c>
      <c r="N201" s="29" t="str">
        <f>IF(Analysis!$I201="","",IF(Analysis!$I201="Loyal but shallow",Analysis!$H201,""))</f>
        <v/>
      </c>
      <c r="O201" s="29" t="str">
        <f>IF(Analysis!$I201="","",IF(Analysis!$I201="Project-driven",Analysis!$H201,""))</f>
        <v/>
      </c>
      <c r="P201" s="29" t="str">
        <f>IF(Analysis!$I201="","",IF(Analysis!$I201="Drifting",Analysis!$H201,""))</f>
        <v/>
      </c>
    </row>
    <row r="202" spans="1:16" x14ac:dyDescent="0.25">
      <c r="A202" s="29" t="str">
        <f>IF(Analysis!$I202="","",IF(Analysis!$I202="Embedded",Analysis!$D202,""))</f>
        <v/>
      </c>
      <c r="B202" s="29" t="str">
        <f>IF(Analysis!$I202="","",IF(Analysis!$I202="Loyal but shallow",Analysis!$D202,""))</f>
        <v/>
      </c>
      <c r="C202" s="29" t="str">
        <f>IF(Analysis!$I202="","",IF(Analysis!$I202="Project-driven",Analysis!$D202,""))</f>
        <v/>
      </c>
      <c r="D202" s="29" t="str">
        <f>IF(Analysis!$I202="","",IF(Analysis!$I202="Drifting",Analysis!$D202,""))</f>
        <v/>
      </c>
      <c r="E202" s="29" t="str">
        <f>IF(Analysis!$I202="","",IF(Analysis!$I202="Embedded",Analysis!$C202,""))</f>
        <v/>
      </c>
      <c r="F202" s="29" t="str">
        <f>IF(Analysis!$I202="","",IF(Analysis!$I202="Loyal but shallow",Analysis!$C202,""))</f>
        <v/>
      </c>
      <c r="G202" s="29" t="str">
        <f>IF(Analysis!$I202="","",IF(Analysis!$I202="Project-driven",Analysis!$C202,""))</f>
        <v/>
      </c>
      <c r="H202" s="29" t="str">
        <f>IF(Analysis!$I202="","",IF(Analysis!$I202="Drifting",Analysis!$C202,""))</f>
        <v/>
      </c>
      <c r="I202" s="29" t="str">
        <f>IF(Analysis!$I202="","",IF(Analysis!$I202="Embedded",Analysis!$F202,""))</f>
        <v/>
      </c>
      <c r="J202" s="29" t="str">
        <f>IF(Analysis!$I202="","",IF(Analysis!$I202="Loyal but shallow",Analysis!$F202,""))</f>
        <v/>
      </c>
      <c r="K202" s="29" t="str">
        <f>IF(Analysis!$I202="","",IF(Analysis!$I202="Project-driven",Analysis!$F202,""))</f>
        <v/>
      </c>
      <c r="L202" s="29" t="str">
        <f>IF(Analysis!$I202="","",IF(Analysis!$I202="Drifting",Analysis!$F202,""))</f>
        <v/>
      </c>
      <c r="M202" s="29" t="str">
        <f>IF(Analysis!$I202="","",IF(Analysis!$I202="Embedded",Analysis!$H202,""))</f>
        <v/>
      </c>
      <c r="N202" s="29" t="str">
        <f>IF(Analysis!$I202="","",IF(Analysis!$I202="Loyal but shallow",Analysis!$H202,""))</f>
        <v/>
      </c>
      <c r="O202" s="29" t="str">
        <f>IF(Analysis!$I202="","",IF(Analysis!$I202="Project-driven",Analysis!$H202,""))</f>
        <v/>
      </c>
      <c r="P202" s="29" t="str">
        <f>IF(Analysis!$I202="","",IF(Analysis!$I202="Drifting",Analysis!$H202,""))</f>
        <v/>
      </c>
    </row>
    <row r="203" spans="1:16" x14ac:dyDescent="0.25">
      <c r="A203" s="29" t="str">
        <f>IF(Analysis!$I203="","",IF(Analysis!$I203="Embedded",Analysis!$D203,""))</f>
        <v/>
      </c>
      <c r="B203" s="29" t="str">
        <f>IF(Analysis!$I203="","",IF(Analysis!$I203="Loyal but shallow",Analysis!$D203,""))</f>
        <v/>
      </c>
      <c r="C203" s="29" t="str">
        <f>IF(Analysis!$I203="","",IF(Analysis!$I203="Project-driven",Analysis!$D203,""))</f>
        <v/>
      </c>
      <c r="D203" s="29" t="str">
        <f>IF(Analysis!$I203="","",IF(Analysis!$I203="Drifting",Analysis!$D203,""))</f>
        <v/>
      </c>
      <c r="E203" s="29" t="str">
        <f>IF(Analysis!$I203="","",IF(Analysis!$I203="Embedded",Analysis!$C203,""))</f>
        <v/>
      </c>
      <c r="F203" s="29" t="str">
        <f>IF(Analysis!$I203="","",IF(Analysis!$I203="Loyal but shallow",Analysis!$C203,""))</f>
        <v/>
      </c>
      <c r="G203" s="29" t="str">
        <f>IF(Analysis!$I203="","",IF(Analysis!$I203="Project-driven",Analysis!$C203,""))</f>
        <v/>
      </c>
      <c r="H203" s="29" t="str">
        <f>IF(Analysis!$I203="","",IF(Analysis!$I203="Drifting",Analysis!$C203,""))</f>
        <v/>
      </c>
      <c r="I203" s="29" t="str">
        <f>IF(Analysis!$I203="","",IF(Analysis!$I203="Embedded",Analysis!$F203,""))</f>
        <v/>
      </c>
      <c r="J203" s="29" t="str">
        <f>IF(Analysis!$I203="","",IF(Analysis!$I203="Loyal but shallow",Analysis!$F203,""))</f>
        <v/>
      </c>
      <c r="K203" s="29" t="str">
        <f>IF(Analysis!$I203="","",IF(Analysis!$I203="Project-driven",Analysis!$F203,""))</f>
        <v/>
      </c>
      <c r="L203" s="29" t="str">
        <f>IF(Analysis!$I203="","",IF(Analysis!$I203="Drifting",Analysis!$F203,""))</f>
        <v/>
      </c>
      <c r="M203" s="29" t="str">
        <f>IF(Analysis!$I203="","",IF(Analysis!$I203="Embedded",Analysis!$H203,""))</f>
        <v/>
      </c>
      <c r="N203" s="29" t="str">
        <f>IF(Analysis!$I203="","",IF(Analysis!$I203="Loyal but shallow",Analysis!$H203,""))</f>
        <v/>
      </c>
      <c r="O203" s="29" t="str">
        <f>IF(Analysis!$I203="","",IF(Analysis!$I203="Project-driven",Analysis!$H203,""))</f>
        <v/>
      </c>
      <c r="P203" s="29" t="str">
        <f>IF(Analysis!$I203="","",IF(Analysis!$I203="Drifting",Analysis!$H203,""))</f>
        <v/>
      </c>
    </row>
    <row r="204" spans="1:16" x14ac:dyDescent="0.25">
      <c r="A204" s="29" t="str">
        <f>IF(Analysis!$I204="","",IF(Analysis!$I204="Embedded",Analysis!$D204,""))</f>
        <v/>
      </c>
      <c r="B204" s="29" t="str">
        <f>IF(Analysis!$I204="","",IF(Analysis!$I204="Loyal but shallow",Analysis!$D204,""))</f>
        <v/>
      </c>
      <c r="C204" s="29" t="str">
        <f>IF(Analysis!$I204="","",IF(Analysis!$I204="Project-driven",Analysis!$D204,""))</f>
        <v/>
      </c>
      <c r="D204" s="29" t="str">
        <f>IF(Analysis!$I204="","",IF(Analysis!$I204="Drifting",Analysis!$D204,""))</f>
        <v/>
      </c>
      <c r="E204" s="29" t="str">
        <f>IF(Analysis!$I204="","",IF(Analysis!$I204="Embedded",Analysis!$C204,""))</f>
        <v/>
      </c>
      <c r="F204" s="29" t="str">
        <f>IF(Analysis!$I204="","",IF(Analysis!$I204="Loyal but shallow",Analysis!$C204,""))</f>
        <v/>
      </c>
      <c r="G204" s="29" t="str">
        <f>IF(Analysis!$I204="","",IF(Analysis!$I204="Project-driven",Analysis!$C204,""))</f>
        <v/>
      </c>
      <c r="H204" s="29" t="str">
        <f>IF(Analysis!$I204="","",IF(Analysis!$I204="Drifting",Analysis!$C204,""))</f>
        <v/>
      </c>
      <c r="I204" s="29" t="str">
        <f>IF(Analysis!$I204="","",IF(Analysis!$I204="Embedded",Analysis!$F204,""))</f>
        <v/>
      </c>
      <c r="J204" s="29" t="str">
        <f>IF(Analysis!$I204="","",IF(Analysis!$I204="Loyal but shallow",Analysis!$F204,""))</f>
        <v/>
      </c>
      <c r="K204" s="29" t="str">
        <f>IF(Analysis!$I204="","",IF(Analysis!$I204="Project-driven",Analysis!$F204,""))</f>
        <v/>
      </c>
      <c r="L204" s="29" t="str">
        <f>IF(Analysis!$I204="","",IF(Analysis!$I204="Drifting",Analysis!$F204,""))</f>
        <v/>
      </c>
      <c r="M204" s="29" t="str">
        <f>IF(Analysis!$I204="","",IF(Analysis!$I204="Embedded",Analysis!$H204,""))</f>
        <v/>
      </c>
      <c r="N204" s="29" t="str">
        <f>IF(Analysis!$I204="","",IF(Analysis!$I204="Loyal but shallow",Analysis!$H204,""))</f>
        <v/>
      </c>
      <c r="O204" s="29" t="str">
        <f>IF(Analysis!$I204="","",IF(Analysis!$I204="Project-driven",Analysis!$H204,""))</f>
        <v/>
      </c>
      <c r="P204" s="29" t="str">
        <f>IF(Analysis!$I204="","",IF(Analysis!$I204="Drifting",Analysis!$H204,""))</f>
        <v/>
      </c>
    </row>
    <row r="205" spans="1:16" x14ac:dyDescent="0.25">
      <c r="A205" s="29" t="str">
        <f>IF(Analysis!$I205="","",IF(Analysis!$I205="Embedded",Analysis!$D205,""))</f>
        <v/>
      </c>
      <c r="B205" s="29" t="str">
        <f>IF(Analysis!$I205="","",IF(Analysis!$I205="Loyal but shallow",Analysis!$D205,""))</f>
        <v/>
      </c>
      <c r="C205" s="29" t="str">
        <f>IF(Analysis!$I205="","",IF(Analysis!$I205="Project-driven",Analysis!$D205,""))</f>
        <v/>
      </c>
      <c r="D205" s="29" t="str">
        <f>IF(Analysis!$I205="","",IF(Analysis!$I205="Drifting",Analysis!$D205,""))</f>
        <v/>
      </c>
      <c r="E205" s="29" t="str">
        <f>IF(Analysis!$I205="","",IF(Analysis!$I205="Embedded",Analysis!$C205,""))</f>
        <v/>
      </c>
      <c r="F205" s="29" t="str">
        <f>IF(Analysis!$I205="","",IF(Analysis!$I205="Loyal but shallow",Analysis!$C205,""))</f>
        <v/>
      </c>
      <c r="G205" s="29" t="str">
        <f>IF(Analysis!$I205="","",IF(Analysis!$I205="Project-driven",Analysis!$C205,""))</f>
        <v/>
      </c>
      <c r="H205" s="29" t="str">
        <f>IF(Analysis!$I205="","",IF(Analysis!$I205="Drifting",Analysis!$C205,""))</f>
        <v/>
      </c>
      <c r="I205" s="29" t="str">
        <f>IF(Analysis!$I205="","",IF(Analysis!$I205="Embedded",Analysis!$F205,""))</f>
        <v/>
      </c>
      <c r="J205" s="29" t="str">
        <f>IF(Analysis!$I205="","",IF(Analysis!$I205="Loyal but shallow",Analysis!$F205,""))</f>
        <v/>
      </c>
      <c r="K205" s="29" t="str">
        <f>IF(Analysis!$I205="","",IF(Analysis!$I205="Project-driven",Analysis!$F205,""))</f>
        <v/>
      </c>
      <c r="L205" s="29" t="str">
        <f>IF(Analysis!$I205="","",IF(Analysis!$I205="Drifting",Analysis!$F205,""))</f>
        <v/>
      </c>
      <c r="M205" s="29" t="str">
        <f>IF(Analysis!$I205="","",IF(Analysis!$I205="Embedded",Analysis!$H205,""))</f>
        <v/>
      </c>
      <c r="N205" s="29" t="str">
        <f>IF(Analysis!$I205="","",IF(Analysis!$I205="Loyal but shallow",Analysis!$H205,""))</f>
        <v/>
      </c>
      <c r="O205" s="29" t="str">
        <f>IF(Analysis!$I205="","",IF(Analysis!$I205="Project-driven",Analysis!$H205,""))</f>
        <v/>
      </c>
      <c r="P205" s="29" t="str">
        <f>IF(Analysis!$I205="","",IF(Analysis!$I205="Drifting",Analysis!$H205,""))</f>
        <v/>
      </c>
    </row>
    <row r="206" spans="1:16" x14ac:dyDescent="0.25">
      <c r="A206" s="29" t="str">
        <f>IF(Analysis!$I206="","",IF(Analysis!$I206="Embedded",Analysis!$D206,""))</f>
        <v/>
      </c>
      <c r="B206" s="29" t="str">
        <f>IF(Analysis!$I206="","",IF(Analysis!$I206="Loyal but shallow",Analysis!$D206,""))</f>
        <v/>
      </c>
      <c r="C206" s="29" t="str">
        <f>IF(Analysis!$I206="","",IF(Analysis!$I206="Project-driven",Analysis!$D206,""))</f>
        <v/>
      </c>
      <c r="D206" s="29" t="str">
        <f>IF(Analysis!$I206="","",IF(Analysis!$I206="Drifting",Analysis!$D206,""))</f>
        <v/>
      </c>
      <c r="E206" s="29" t="str">
        <f>IF(Analysis!$I206="","",IF(Analysis!$I206="Embedded",Analysis!$C206,""))</f>
        <v/>
      </c>
      <c r="F206" s="29" t="str">
        <f>IF(Analysis!$I206="","",IF(Analysis!$I206="Loyal but shallow",Analysis!$C206,""))</f>
        <v/>
      </c>
      <c r="G206" s="29" t="str">
        <f>IF(Analysis!$I206="","",IF(Analysis!$I206="Project-driven",Analysis!$C206,""))</f>
        <v/>
      </c>
      <c r="H206" s="29" t="str">
        <f>IF(Analysis!$I206="","",IF(Analysis!$I206="Drifting",Analysis!$C206,""))</f>
        <v/>
      </c>
      <c r="I206" s="29" t="str">
        <f>IF(Analysis!$I206="","",IF(Analysis!$I206="Embedded",Analysis!$F206,""))</f>
        <v/>
      </c>
      <c r="J206" s="29" t="str">
        <f>IF(Analysis!$I206="","",IF(Analysis!$I206="Loyal but shallow",Analysis!$F206,""))</f>
        <v/>
      </c>
      <c r="K206" s="29" t="str">
        <f>IF(Analysis!$I206="","",IF(Analysis!$I206="Project-driven",Analysis!$F206,""))</f>
        <v/>
      </c>
      <c r="L206" s="29" t="str">
        <f>IF(Analysis!$I206="","",IF(Analysis!$I206="Drifting",Analysis!$F206,""))</f>
        <v/>
      </c>
      <c r="M206" s="29" t="str">
        <f>IF(Analysis!$I206="","",IF(Analysis!$I206="Embedded",Analysis!$H206,""))</f>
        <v/>
      </c>
      <c r="N206" s="29" t="str">
        <f>IF(Analysis!$I206="","",IF(Analysis!$I206="Loyal but shallow",Analysis!$H206,""))</f>
        <v/>
      </c>
      <c r="O206" s="29" t="str">
        <f>IF(Analysis!$I206="","",IF(Analysis!$I206="Project-driven",Analysis!$H206,""))</f>
        <v/>
      </c>
      <c r="P206" s="29" t="str">
        <f>IF(Analysis!$I206="","",IF(Analysis!$I206="Drifting",Analysis!$H206,""))</f>
        <v/>
      </c>
    </row>
    <row r="207" spans="1:16" x14ac:dyDescent="0.25">
      <c r="A207" s="29" t="str">
        <f>IF(Analysis!$I207="","",IF(Analysis!$I207="Embedded",Analysis!$D207,""))</f>
        <v/>
      </c>
      <c r="B207" s="29" t="str">
        <f>IF(Analysis!$I207="","",IF(Analysis!$I207="Loyal but shallow",Analysis!$D207,""))</f>
        <v/>
      </c>
      <c r="C207" s="29" t="str">
        <f>IF(Analysis!$I207="","",IF(Analysis!$I207="Project-driven",Analysis!$D207,""))</f>
        <v/>
      </c>
      <c r="D207" s="29" t="str">
        <f>IF(Analysis!$I207="","",IF(Analysis!$I207="Drifting",Analysis!$D207,""))</f>
        <v/>
      </c>
      <c r="E207" s="29" t="str">
        <f>IF(Analysis!$I207="","",IF(Analysis!$I207="Embedded",Analysis!$C207,""))</f>
        <v/>
      </c>
      <c r="F207" s="29" t="str">
        <f>IF(Analysis!$I207="","",IF(Analysis!$I207="Loyal but shallow",Analysis!$C207,""))</f>
        <v/>
      </c>
      <c r="G207" s="29" t="str">
        <f>IF(Analysis!$I207="","",IF(Analysis!$I207="Project-driven",Analysis!$C207,""))</f>
        <v/>
      </c>
      <c r="H207" s="29" t="str">
        <f>IF(Analysis!$I207="","",IF(Analysis!$I207="Drifting",Analysis!$C207,""))</f>
        <v/>
      </c>
      <c r="I207" s="29" t="str">
        <f>IF(Analysis!$I207="","",IF(Analysis!$I207="Embedded",Analysis!$F207,""))</f>
        <v/>
      </c>
      <c r="J207" s="29" t="str">
        <f>IF(Analysis!$I207="","",IF(Analysis!$I207="Loyal but shallow",Analysis!$F207,""))</f>
        <v/>
      </c>
      <c r="K207" s="29" t="str">
        <f>IF(Analysis!$I207="","",IF(Analysis!$I207="Project-driven",Analysis!$F207,""))</f>
        <v/>
      </c>
      <c r="L207" s="29" t="str">
        <f>IF(Analysis!$I207="","",IF(Analysis!$I207="Drifting",Analysis!$F207,""))</f>
        <v/>
      </c>
      <c r="M207" s="29" t="str">
        <f>IF(Analysis!$I207="","",IF(Analysis!$I207="Embedded",Analysis!$H207,""))</f>
        <v/>
      </c>
      <c r="N207" s="29" t="str">
        <f>IF(Analysis!$I207="","",IF(Analysis!$I207="Loyal but shallow",Analysis!$H207,""))</f>
        <v/>
      </c>
      <c r="O207" s="29" t="str">
        <f>IF(Analysis!$I207="","",IF(Analysis!$I207="Project-driven",Analysis!$H207,""))</f>
        <v/>
      </c>
      <c r="P207" s="29" t="str">
        <f>IF(Analysis!$I207="","",IF(Analysis!$I207="Drifting",Analysis!$H207,""))</f>
        <v/>
      </c>
    </row>
    <row r="208" spans="1:16" x14ac:dyDescent="0.25">
      <c r="A208" s="29" t="str">
        <f>IF(Analysis!$I208="","",IF(Analysis!$I208="Embedded",Analysis!$D208,""))</f>
        <v/>
      </c>
      <c r="B208" s="29" t="str">
        <f>IF(Analysis!$I208="","",IF(Analysis!$I208="Loyal but shallow",Analysis!$D208,""))</f>
        <v/>
      </c>
      <c r="C208" s="29" t="str">
        <f>IF(Analysis!$I208="","",IF(Analysis!$I208="Project-driven",Analysis!$D208,""))</f>
        <v/>
      </c>
      <c r="D208" s="29" t="str">
        <f>IF(Analysis!$I208="","",IF(Analysis!$I208="Drifting",Analysis!$D208,""))</f>
        <v/>
      </c>
      <c r="E208" s="29" t="str">
        <f>IF(Analysis!$I208="","",IF(Analysis!$I208="Embedded",Analysis!$C208,""))</f>
        <v/>
      </c>
      <c r="F208" s="29" t="str">
        <f>IF(Analysis!$I208="","",IF(Analysis!$I208="Loyal but shallow",Analysis!$C208,""))</f>
        <v/>
      </c>
      <c r="G208" s="29" t="str">
        <f>IF(Analysis!$I208="","",IF(Analysis!$I208="Project-driven",Analysis!$C208,""))</f>
        <v/>
      </c>
      <c r="H208" s="29" t="str">
        <f>IF(Analysis!$I208="","",IF(Analysis!$I208="Drifting",Analysis!$C208,""))</f>
        <v/>
      </c>
      <c r="I208" s="29" t="str">
        <f>IF(Analysis!$I208="","",IF(Analysis!$I208="Embedded",Analysis!$F208,""))</f>
        <v/>
      </c>
      <c r="J208" s="29" t="str">
        <f>IF(Analysis!$I208="","",IF(Analysis!$I208="Loyal but shallow",Analysis!$F208,""))</f>
        <v/>
      </c>
      <c r="K208" s="29" t="str">
        <f>IF(Analysis!$I208="","",IF(Analysis!$I208="Project-driven",Analysis!$F208,""))</f>
        <v/>
      </c>
      <c r="L208" s="29" t="str">
        <f>IF(Analysis!$I208="","",IF(Analysis!$I208="Drifting",Analysis!$F208,""))</f>
        <v/>
      </c>
      <c r="M208" s="29" t="str">
        <f>IF(Analysis!$I208="","",IF(Analysis!$I208="Embedded",Analysis!$H208,""))</f>
        <v/>
      </c>
      <c r="N208" s="29" t="str">
        <f>IF(Analysis!$I208="","",IF(Analysis!$I208="Loyal but shallow",Analysis!$H208,""))</f>
        <v/>
      </c>
      <c r="O208" s="29" t="str">
        <f>IF(Analysis!$I208="","",IF(Analysis!$I208="Project-driven",Analysis!$H208,""))</f>
        <v/>
      </c>
      <c r="P208" s="29" t="str">
        <f>IF(Analysis!$I208="","",IF(Analysis!$I208="Drifting",Analysis!$H208,""))</f>
        <v/>
      </c>
    </row>
    <row r="209" spans="1:16" x14ac:dyDescent="0.25">
      <c r="A209" s="29" t="str">
        <f>IF(Analysis!$I209="","",IF(Analysis!$I209="Embedded",Analysis!$D209,""))</f>
        <v/>
      </c>
      <c r="B209" s="29" t="str">
        <f>IF(Analysis!$I209="","",IF(Analysis!$I209="Loyal but shallow",Analysis!$D209,""))</f>
        <v/>
      </c>
      <c r="C209" s="29" t="str">
        <f>IF(Analysis!$I209="","",IF(Analysis!$I209="Project-driven",Analysis!$D209,""))</f>
        <v/>
      </c>
      <c r="D209" s="29" t="str">
        <f>IF(Analysis!$I209="","",IF(Analysis!$I209="Drifting",Analysis!$D209,""))</f>
        <v/>
      </c>
      <c r="E209" s="29" t="str">
        <f>IF(Analysis!$I209="","",IF(Analysis!$I209="Embedded",Analysis!$C209,""))</f>
        <v/>
      </c>
      <c r="F209" s="29" t="str">
        <f>IF(Analysis!$I209="","",IF(Analysis!$I209="Loyal but shallow",Analysis!$C209,""))</f>
        <v/>
      </c>
      <c r="G209" s="29" t="str">
        <f>IF(Analysis!$I209="","",IF(Analysis!$I209="Project-driven",Analysis!$C209,""))</f>
        <v/>
      </c>
      <c r="H209" s="29" t="str">
        <f>IF(Analysis!$I209="","",IF(Analysis!$I209="Drifting",Analysis!$C209,""))</f>
        <v/>
      </c>
      <c r="I209" s="29" t="str">
        <f>IF(Analysis!$I209="","",IF(Analysis!$I209="Embedded",Analysis!$F209,""))</f>
        <v/>
      </c>
      <c r="J209" s="29" t="str">
        <f>IF(Analysis!$I209="","",IF(Analysis!$I209="Loyal but shallow",Analysis!$F209,""))</f>
        <v/>
      </c>
      <c r="K209" s="29" t="str">
        <f>IF(Analysis!$I209="","",IF(Analysis!$I209="Project-driven",Analysis!$F209,""))</f>
        <v/>
      </c>
      <c r="L209" s="29" t="str">
        <f>IF(Analysis!$I209="","",IF(Analysis!$I209="Drifting",Analysis!$F209,""))</f>
        <v/>
      </c>
      <c r="M209" s="29" t="str">
        <f>IF(Analysis!$I209="","",IF(Analysis!$I209="Embedded",Analysis!$H209,""))</f>
        <v/>
      </c>
      <c r="N209" s="29" t="str">
        <f>IF(Analysis!$I209="","",IF(Analysis!$I209="Loyal but shallow",Analysis!$H209,""))</f>
        <v/>
      </c>
      <c r="O209" s="29" t="str">
        <f>IF(Analysis!$I209="","",IF(Analysis!$I209="Project-driven",Analysis!$H209,""))</f>
        <v/>
      </c>
      <c r="P209" s="29" t="str">
        <f>IF(Analysis!$I209="","",IF(Analysis!$I209="Drifting",Analysis!$H209,""))</f>
        <v/>
      </c>
    </row>
    <row r="210" spans="1:16" x14ac:dyDescent="0.25">
      <c r="A210" s="29" t="str">
        <f>IF(Analysis!$I210="","",IF(Analysis!$I210="Embedded",Analysis!$D210,""))</f>
        <v/>
      </c>
      <c r="B210" s="29" t="str">
        <f>IF(Analysis!$I210="","",IF(Analysis!$I210="Loyal but shallow",Analysis!$D210,""))</f>
        <v/>
      </c>
      <c r="C210" s="29" t="str">
        <f>IF(Analysis!$I210="","",IF(Analysis!$I210="Project-driven",Analysis!$D210,""))</f>
        <v/>
      </c>
      <c r="D210" s="29" t="str">
        <f>IF(Analysis!$I210="","",IF(Analysis!$I210="Drifting",Analysis!$D210,""))</f>
        <v/>
      </c>
      <c r="E210" s="29" t="str">
        <f>IF(Analysis!$I210="","",IF(Analysis!$I210="Embedded",Analysis!$C210,""))</f>
        <v/>
      </c>
      <c r="F210" s="29" t="str">
        <f>IF(Analysis!$I210="","",IF(Analysis!$I210="Loyal but shallow",Analysis!$C210,""))</f>
        <v/>
      </c>
      <c r="G210" s="29" t="str">
        <f>IF(Analysis!$I210="","",IF(Analysis!$I210="Project-driven",Analysis!$C210,""))</f>
        <v/>
      </c>
      <c r="H210" s="29" t="str">
        <f>IF(Analysis!$I210="","",IF(Analysis!$I210="Drifting",Analysis!$C210,""))</f>
        <v/>
      </c>
      <c r="I210" s="29" t="str">
        <f>IF(Analysis!$I210="","",IF(Analysis!$I210="Embedded",Analysis!$F210,""))</f>
        <v/>
      </c>
      <c r="J210" s="29" t="str">
        <f>IF(Analysis!$I210="","",IF(Analysis!$I210="Loyal but shallow",Analysis!$F210,""))</f>
        <v/>
      </c>
      <c r="K210" s="29" t="str">
        <f>IF(Analysis!$I210="","",IF(Analysis!$I210="Project-driven",Analysis!$F210,""))</f>
        <v/>
      </c>
      <c r="L210" s="29" t="str">
        <f>IF(Analysis!$I210="","",IF(Analysis!$I210="Drifting",Analysis!$F210,""))</f>
        <v/>
      </c>
      <c r="M210" s="29" t="str">
        <f>IF(Analysis!$I210="","",IF(Analysis!$I210="Embedded",Analysis!$H210,""))</f>
        <v/>
      </c>
      <c r="N210" s="29" t="str">
        <f>IF(Analysis!$I210="","",IF(Analysis!$I210="Loyal but shallow",Analysis!$H210,""))</f>
        <v/>
      </c>
      <c r="O210" s="29" t="str">
        <f>IF(Analysis!$I210="","",IF(Analysis!$I210="Project-driven",Analysis!$H210,""))</f>
        <v/>
      </c>
      <c r="P210" s="29" t="str">
        <f>IF(Analysis!$I210="","",IF(Analysis!$I210="Drifting",Analysis!$H210,""))</f>
        <v/>
      </c>
    </row>
    <row r="211" spans="1:16" x14ac:dyDescent="0.25">
      <c r="A211" s="29" t="str">
        <f>IF(Analysis!$I211="","",IF(Analysis!$I211="Embedded",Analysis!$D211,""))</f>
        <v/>
      </c>
      <c r="B211" s="29" t="str">
        <f>IF(Analysis!$I211="","",IF(Analysis!$I211="Loyal but shallow",Analysis!$D211,""))</f>
        <v/>
      </c>
      <c r="C211" s="29" t="str">
        <f>IF(Analysis!$I211="","",IF(Analysis!$I211="Project-driven",Analysis!$D211,""))</f>
        <v/>
      </c>
      <c r="D211" s="29" t="str">
        <f>IF(Analysis!$I211="","",IF(Analysis!$I211="Drifting",Analysis!$D211,""))</f>
        <v/>
      </c>
      <c r="E211" s="29" t="str">
        <f>IF(Analysis!$I211="","",IF(Analysis!$I211="Embedded",Analysis!$C211,""))</f>
        <v/>
      </c>
      <c r="F211" s="29" t="str">
        <f>IF(Analysis!$I211="","",IF(Analysis!$I211="Loyal but shallow",Analysis!$C211,""))</f>
        <v/>
      </c>
      <c r="G211" s="29" t="str">
        <f>IF(Analysis!$I211="","",IF(Analysis!$I211="Project-driven",Analysis!$C211,""))</f>
        <v/>
      </c>
      <c r="H211" s="29" t="str">
        <f>IF(Analysis!$I211="","",IF(Analysis!$I211="Drifting",Analysis!$C211,""))</f>
        <v/>
      </c>
      <c r="I211" s="29" t="str">
        <f>IF(Analysis!$I211="","",IF(Analysis!$I211="Embedded",Analysis!$F211,""))</f>
        <v/>
      </c>
      <c r="J211" s="29" t="str">
        <f>IF(Analysis!$I211="","",IF(Analysis!$I211="Loyal but shallow",Analysis!$F211,""))</f>
        <v/>
      </c>
      <c r="K211" s="29" t="str">
        <f>IF(Analysis!$I211="","",IF(Analysis!$I211="Project-driven",Analysis!$F211,""))</f>
        <v/>
      </c>
      <c r="L211" s="29" t="str">
        <f>IF(Analysis!$I211="","",IF(Analysis!$I211="Drifting",Analysis!$F211,""))</f>
        <v/>
      </c>
      <c r="M211" s="29" t="str">
        <f>IF(Analysis!$I211="","",IF(Analysis!$I211="Embedded",Analysis!$H211,""))</f>
        <v/>
      </c>
      <c r="N211" s="29" t="str">
        <f>IF(Analysis!$I211="","",IF(Analysis!$I211="Loyal but shallow",Analysis!$H211,""))</f>
        <v/>
      </c>
      <c r="O211" s="29" t="str">
        <f>IF(Analysis!$I211="","",IF(Analysis!$I211="Project-driven",Analysis!$H211,""))</f>
        <v/>
      </c>
      <c r="P211" s="29" t="str">
        <f>IF(Analysis!$I211="","",IF(Analysis!$I211="Drifting",Analysis!$H211,""))</f>
        <v/>
      </c>
    </row>
    <row r="212" spans="1:16" x14ac:dyDescent="0.25">
      <c r="A212" s="29" t="str">
        <f>IF(Analysis!$I212="","",IF(Analysis!$I212="Embedded",Analysis!$D212,""))</f>
        <v/>
      </c>
      <c r="B212" s="29" t="str">
        <f>IF(Analysis!$I212="","",IF(Analysis!$I212="Loyal but shallow",Analysis!$D212,""))</f>
        <v/>
      </c>
      <c r="C212" s="29" t="str">
        <f>IF(Analysis!$I212="","",IF(Analysis!$I212="Project-driven",Analysis!$D212,""))</f>
        <v/>
      </c>
      <c r="D212" s="29" t="str">
        <f>IF(Analysis!$I212="","",IF(Analysis!$I212="Drifting",Analysis!$D212,""))</f>
        <v/>
      </c>
      <c r="E212" s="29" t="str">
        <f>IF(Analysis!$I212="","",IF(Analysis!$I212="Embedded",Analysis!$C212,""))</f>
        <v/>
      </c>
      <c r="F212" s="29" t="str">
        <f>IF(Analysis!$I212="","",IF(Analysis!$I212="Loyal but shallow",Analysis!$C212,""))</f>
        <v/>
      </c>
      <c r="G212" s="29" t="str">
        <f>IF(Analysis!$I212="","",IF(Analysis!$I212="Project-driven",Analysis!$C212,""))</f>
        <v/>
      </c>
      <c r="H212" s="29" t="str">
        <f>IF(Analysis!$I212="","",IF(Analysis!$I212="Drifting",Analysis!$C212,""))</f>
        <v/>
      </c>
      <c r="I212" s="29" t="str">
        <f>IF(Analysis!$I212="","",IF(Analysis!$I212="Embedded",Analysis!$F212,""))</f>
        <v/>
      </c>
      <c r="J212" s="29" t="str">
        <f>IF(Analysis!$I212="","",IF(Analysis!$I212="Loyal but shallow",Analysis!$F212,""))</f>
        <v/>
      </c>
      <c r="K212" s="29" t="str">
        <f>IF(Analysis!$I212="","",IF(Analysis!$I212="Project-driven",Analysis!$F212,""))</f>
        <v/>
      </c>
      <c r="L212" s="29" t="str">
        <f>IF(Analysis!$I212="","",IF(Analysis!$I212="Drifting",Analysis!$F212,""))</f>
        <v/>
      </c>
      <c r="M212" s="29" t="str">
        <f>IF(Analysis!$I212="","",IF(Analysis!$I212="Embedded",Analysis!$H212,""))</f>
        <v/>
      </c>
      <c r="N212" s="29" t="str">
        <f>IF(Analysis!$I212="","",IF(Analysis!$I212="Loyal but shallow",Analysis!$H212,""))</f>
        <v/>
      </c>
      <c r="O212" s="29" t="str">
        <f>IF(Analysis!$I212="","",IF(Analysis!$I212="Project-driven",Analysis!$H212,""))</f>
        <v/>
      </c>
      <c r="P212" s="29" t="str">
        <f>IF(Analysis!$I212="","",IF(Analysis!$I212="Drifting",Analysis!$H212,""))</f>
        <v/>
      </c>
    </row>
    <row r="213" spans="1:16" x14ac:dyDescent="0.25">
      <c r="A213" s="29" t="str">
        <f>IF(Analysis!$I213="","",IF(Analysis!$I213="Embedded",Analysis!$D213,""))</f>
        <v/>
      </c>
      <c r="B213" s="29" t="str">
        <f>IF(Analysis!$I213="","",IF(Analysis!$I213="Loyal but shallow",Analysis!$D213,""))</f>
        <v/>
      </c>
      <c r="C213" s="29" t="str">
        <f>IF(Analysis!$I213="","",IF(Analysis!$I213="Project-driven",Analysis!$D213,""))</f>
        <v/>
      </c>
      <c r="D213" s="29" t="str">
        <f>IF(Analysis!$I213="","",IF(Analysis!$I213="Drifting",Analysis!$D213,""))</f>
        <v/>
      </c>
      <c r="E213" s="29" t="str">
        <f>IF(Analysis!$I213="","",IF(Analysis!$I213="Embedded",Analysis!$C213,""))</f>
        <v/>
      </c>
      <c r="F213" s="29" t="str">
        <f>IF(Analysis!$I213="","",IF(Analysis!$I213="Loyal but shallow",Analysis!$C213,""))</f>
        <v/>
      </c>
      <c r="G213" s="29" t="str">
        <f>IF(Analysis!$I213="","",IF(Analysis!$I213="Project-driven",Analysis!$C213,""))</f>
        <v/>
      </c>
      <c r="H213" s="29" t="str">
        <f>IF(Analysis!$I213="","",IF(Analysis!$I213="Drifting",Analysis!$C213,""))</f>
        <v/>
      </c>
      <c r="I213" s="29" t="str">
        <f>IF(Analysis!$I213="","",IF(Analysis!$I213="Embedded",Analysis!$F213,""))</f>
        <v/>
      </c>
      <c r="J213" s="29" t="str">
        <f>IF(Analysis!$I213="","",IF(Analysis!$I213="Loyal but shallow",Analysis!$F213,""))</f>
        <v/>
      </c>
      <c r="K213" s="29" t="str">
        <f>IF(Analysis!$I213="","",IF(Analysis!$I213="Project-driven",Analysis!$F213,""))</f>
        <v/>
      </c>
      <c r="L213" s="29" t="str">
        <f>IF(Analysis!$I213="","",IF(Analysis!$I213="Drifting",Analysis!$F213,""))</f>
        <v/>
      </c>
      <c r="M213" s="29" t="str">
        <f>IF(Analysis!$I213="","",IF(Analysis!$I213="Embedded",Analysis!$H213,""))</f>
        <v/>
      </c>
      <c r="N213" s="29" t="str">
        <f>IF(Analysis!$I213="","",IF(Analysis!$I213="Loyal but shallow",Analysis!$H213,""))</f>
        <v/>
      </c>
      <c r="O213" s="29" t="str">
        <f>IF(Analysis!$I213="","",IF(Analysis!$I213="Project-driven",Analysis!$H213,""))</f>
        <v/>
      </c>
      <c r="P213" s="29" t="str">
        <f>IF(Analysis!$I213="","",IF(Analysis!$I213="Drifting",Analysis!$H213,""))</f>
        <v/>
      </c>
    </row>
    <row r="214" spans="1:16" x14ac:dyDescent="0.25">
      <c r="A214" s="29" t="str">
        <f>IF(Analysis!$I214="","",IF(Analysis!$I214="Embedded",Analysis!$D214,""))</f>
        <v/>
      </c>
      <c r="B214" s="29" t="str">
        <f>IF(Analysis!$I214="","",IF(Analysis!$I214="Loyal but shallow",Analysis!$D214,""))</f>
        <v/>
      </c>
      <c r="C214" s="29" t="str">
        <f>IF(Analysis!$I214="","",IF(Analysis!$I214="Project-driven",Analysis!$D214,""))</f>
        <v/>
      </c>
      <c r="D214" s="29" t="str">
        <f>IF(Analysis!$I214="","",IF(Analysis!$I214="Drifting",Analysis!$D214,""))</f>
        <v/>
      </c>
      <c r="E214" s="29" t="str">
        <f>IF(Analysis!$I214="","",IF(Analysis!$I214="Embedded",Analysis!$C214,""))</f>
        <v/>
      </c>
      <c r="F214" s="29" t="str">
        <f>IF(Analysis!$I214="","",IF(Analysis!$I214="Loyal but shallow",Analysis!$C214,""))</f>
        <v/>
      </c>
      <c r="G214" s="29" t="str">
        <f>IF(Analysis!$I214="","",IF(Analysis!$I214="Project-driven",Analysis!$C214,""))</f>
        <v/>
      </c>
      <c r="H214" s="29" t="str">
        <f>IF(Analysis!$I214="","",IF(Analysis!$I214="Drifting",Analysis!$C214,""))</f>
        <v/>
      </c>
      <c r="I214" s="29" t="str">
        <f>IF(Analysis!$I214="","",IF(Analysis!$I214="Embedded",Analysis!$F214,""))</f>
        <v/>
      </c>
      <c r="J214" s="29" t="str">
        <f>IF(Analysis!$I214="","",IF(Analysis!$I214="Loyal but shallow",Analysis!$F214,""))</f>
        <v/>
      </c>
      <c r="K214" s="29" t="str">
        <f>IF(Analysis!$I214="","",IF(Analysis!$I214="Project-driven",Analysis!$F214,""))</f>
        <v/>
      </c>
      <c r="L214" s="29" t="str">
        <f>IF(Analysis!$I214="","",IF(Analysis!$I214="Drifting",Analysis!$F214,""))</f>
        <v/>
      </c>
      <c r="M214" s="29" t="str">
        <f>IF(Analysis!$I214="","",IF(Analysis!$I214="Embedded",Analysis!$H214,""))</f>
        <v/>
      </c>
      <c r="N214" s="29" t="str">
        <f>IF(Analysis!$I214="","",IF(Analysis!$I214="Loyal but shallow",Analysis!$H214,""))</f>
        <v/>
      </c>
      <c r="O214" s="29" t="str">
        <f>IF(Analysis!$I214="","",IF(Analysis!$I214="Project-driven",Analysis!$H214,""))</f>
        <v/>
      </c>
      <c r="P214" s="29" t="str">
        <f>IF(Analysis!$I214="","",IF(Analysis!$I214="Drifting",Analysis!$H214,""))</f>
        <v/>
      </c>
    </row>
    <row r="215" spans="1:16" x14ac:dyDescent="0.25">
      <c r="A215" s="29" t="str">
        <f>IF(Analysis!$I215="","",IF(Analysis!$I215="Embedded",Analysis!$D215,""))</f>
        <v/>
      </c>
      <c r="B215" s="29" t="str">
        <f>IF(Analysis!$I215="","",IF(Analysis!$I215="Loyal but shallow",Analysis!$D215,""))</f>
        <v/>
      </c>
      <c r="C215" s="29" t="str">
        <f>IF(Analysis!$I215="","",IF(Analysis!$I215="Project-driven",Analysis!$D215,""))</f>
        <v/>
      </c>
      <c r="D215" s="29" t="str">
        <f>IF(Analysis!$I215="","",IF(Analysis!$I215="Drifting",Analysis!$D215,""))</f>
        <v/>
      </c>
      <c r="E215" s="29" t="str">
        <f>IF(Analysis!$I215="","",IF(Analysis!$I215="Embedded",Analysis!$C215,""))</f>
        <v/>
      </c>
      <c r="F215" s="29" t="str">
        <f>IF(Analysis!$I215="","",IF(Analysis!$I215="Loyal but shallow",Analysis!$C215,""))</f>
        <v/>
      </c>
      <c r="G215" s="29" t="str">
        <f>IF(Analysis!$I215="","",IF(Analysis!$I215="Project-driven",Analysis!$C215,""))</f>
        <v/>
      </c>
      <c r="H215" s="29" t="str">
        <f>IF(Analysis!$I215="","",IF(Analysis!$I215="Drifting",Analysis!$C215,""))</f>
        <v/>
      </c>
      <c r="I215" s="29" t="str">
        <f>IF(Analysis!$I215="","",IF(Analysis!$I215="Embedded",Analysis!$F215,""))</f>
        <v/>
      </c>
      <c r="J215" s="29" t="str">
        <f>IF(Analysis!$I215="","",IF(Analysis!$I215="Loyal but shallow",Analysis!$F215,""))</f>
        <v/>
      </c>
      <c r="K215" s="29" t="str">
        <f>IF(Analysis!$I215="","",IF(Analysis!$I215="Project-driven",Analysis!$F215,""))</f>
        <v/>
      </c>
      <c r="L215" s="29" t="str">
        <f>IF(Analysis!$I215="","",IF(Analysis!$I215="Drifting",Analysis!$F215,""))</f>
        <v/>
      </c>
      <c r="M215" s="29" t="str">
        <f>IF(Analysis!$I215="","",IF(Analysis!$I215="Embedded",Analysis!$H215,""))</f>
        <v/>
      </c>
      <c r="N215" s="29" t="str">
        <f>IF(Analysis!$I215="","",IF(Analysis!$I215="Loyal but shallow",Analysis!$H215,""))</f>
        <v/>
      </c>
      <c r="O215" s="29" t="str">
        <f>IF(Analysis!$I215="","",IF(Analysis!$I215="Project-driven",Analysis!$H215,""))</f>
        <v/>
      </c>
      <c r="P215" s="29" t="str">
        <f>IF(Analysis!$I215="","",IF(Analysis!$I215="Drifting",Analysis!$H215,""))</f>
        <v/>
      </c>
    </row>
    <row r="216" spans="1:16" x14ac:dyDescent="0.25">
      <c r="A216" s="29" t="str">
        <f>IF(Analysis!$I216="","",IF(Analysis!$I216="Embedded",Analysis!$D216,""))</f>
        <v/>
      </c>
      <c r="B216" s="29" t="str">
        <f>IF(Analysis!$I216="","",IF(Analysis!$I216="Loyal but shallow",Analysis!$D216,""))</f>
        <v/>
      </c>
      <c r="C216" s="29" t="str">
        <f>IF(Analysis!$I216="","",IF(Analysis!$I216="Project-driven",Analysis!$D216,""))</f>
        <v/>
      </c>
      <c r="D216" s="29" t="str">
        <f>IF(Analysis!$I216="","",IF(Analysis!$I216="Drifting",Analysis!$D216,""))</f>
        <v/>
      </c>
      <c r="E216" s="29" t="str">
        <f>IF(Analysis!$I216="","",IF(Analysis!$I216="Embedded",Analysis!$C216,""))</f>
        <v/>
      </c>
      <c r="F216" s="29" t="str">
        <f>IF(Analysis!$I216="","",IF(Analysis!$I216="Loyal but shallow",Analysis!$C216,""))</f>
        <v/>
      </c>
      <c r="G216" s="29" t="str">
        <f>IF(Analysis!$I216="","",IF(Analysis!$I216="Project-driven",Analysis!$C216,""))</f>
        <v/>
      </c>
      <c r="H216" s="29" t="str">
        <f>IF(Analysis!$I216="","",IF(Analysis!$I216="Drifting",Analysis!$C216,""))</f>
        <v/>
      </c>
      <c r="I216" s="29" t="str">
        <f>IF(Analysis!$I216="","",IF(Analysis!$I216="Embedded",Analysis!$F216,""))</f>
        <v/>
      </c>
      <c r="J216" s="29" t="str">
        <f>IF(Analysis!$I216="","",IF(Analysis!$I216="Loyal but shallow",Analysis!$F216,""))</f>
        <v/>
      </c>
      <c r="K216" s="29" t="str">
        <f>IF(Analysis!$I216="","",IF(Analysis!$I216="Project-driven",Analysis!$F216,""))</f>
        <v/>
      </c>
      <c r="L216" s="29" t="str">
        <f>IF(Analysis!$I216="","",IF(Analysis!$I216="Drifting",Analysis!$F216,""))</f>
        <v/>
      </c>
      <c r="M216" s="29" t="str">
        <f>IF(Analysis!$I216="","",IF(Analysis!$I216="Embedded",Analysis!$H216,""))</f>
        <v/>
      </c>
      <c r="N216" s="29" t="str">
        <f>IF(Analysis!$I216="","",IF(Analysis!$I216="Loyal but shallow",Analysis!$H216,""))</f>
        <v/>
      </c>
      <c r="O216" s="29" t="str">
        <f>IF(Analysis!$I216="","",IF(Analysis!$I216="Project-driven",Analysis!$H216,""))</f>
        <v/>
      </c>
      <c r="P216" s="29" t="str">
        <f>IF(Analysis!$I216="","",IF(Analysis!$I216="Drifting",Analysis!$H216,""))</f>
        <v/>
      </c>
    </row>
    <row r="217" spans="1:16" x14ac:dyDescent="0.25">
      <c r="A217" s="29" t="str">
        <f>IF(Analysis!$I217="","",IF(Analysis!$I217="Embedded",Analysis!$D217,""))</f>
        <v/>
      </c>
      <c r="B217" s="29" t="str">
        <f>IF(Analysis!$I217="","",IF(Analysis!$I217="Loyal but shallow",Analysis!$D217,""))</f>
        <v/>
      </c>
      <c r="C217" s="29" t="str">
        <f>IF(Analysis!$I217="","",IF(Analysis!$I217="Project-driven",Analysis!$D217,""))</f>
        <v/>
      </c>
      <c r="D217" s="29" t="str">
        <f>IF(Analysis!$I217="","",IF(Analysis!$I217="Drifting",Analysis!$D217,""))</f>
        <v/>
      </c>
      <c r="E217" s="29" t="str">
        <f>IF(Analysis!$I217="","",IF(Analysis!$I217="Embedded",Analysis!$C217,""))</f>
        <v/>
      </c>
      <c r="F217" s="29" t="str">
        <f>IF(Analysis!$I217="","",IF(Analysis!$I217="Loyal but shallow",Analysis!$C217,""))</f>
        <v/>
      </c>
      <c r="G217" s="29" t="str">
        <f>IF(Analysis!$I217="","",IF(Analysis!$I217="Project-driven",Analysis!$C217,""))</f>
        <v/>
      </c>
      <c r="H217" s="29" t="str">
        <f>IF(Analysis!$I217="","",IF(Analysis!$I217="Drifting",Analysis!$C217,""))</f>
        <v/>
      </c>
      <c r="I217" s="29" t="str">
        <f>IF(Analysis!$I217="","",IF(Analysis!$I217="Embedded",Analysis!$F217,""))</f>
        <v/>
      </c>
      <c r="J217" s="29" t="str">
        <f>IF(Analysis!$I217="","",IF(Analysis!$I217="Loyal but shallow",Analysis!$F217,""))</f>
        <v/>
      </c>
      <c r="K217" s="29" t="str">
        <f>IF(Analysis!$I217="","",IF(Analysis!$I217="Project-driven",Analysis!$F217,""))</f>
        <v/>
      </c>
      <c r="L217" s="29" t="str">
        <f>IF(Analysis!$I217="","",IF(Analysis!$I217="Drifting",Analysis!$F217,""))</f>
        <v/>
      </c>
      <c r="M217" s="29" t="str">
        <f>IF(Analysis!$I217="","",IF(Analysis!$I217="Embedded",Analysis!$H217,""))</f>
        <v/>
      </c>
      <c r="N217" s="29" t="str">
        <f>IF(Analysis!$I217="","",IF(Analysis!$I217="Loyal but shallow",Analysis!$H217,""))</f>
        <v/>
      </c>
      <c r="O217" s="29" t="str">
        <f>IF(Analysis!$I217="","",IF(Analysis!$I217="Project-driven",Analysis!$H217,""))</f>
        <v/>
      </c>
      <c r="P217" s="29" t="str">
        <f>IF(Analysis!$I217="","",IF(Analysis!$I217="Drifting",Analysis!$H217,""))</f>
        <v/>
      </c>
    </row>
    <row r="218" spans="1:16" x14ac:dyDescent="0.25">
      <c r="A218" s="29" t="str">
        <f>IF(Analysis!$I218="","",IF(Analysis!$I218="Embedded",Analysis!$D218,""))</f>
        <v/>
      </c>
      <c r="B218" s="29" t="str">
        <f>IF(Analysis!$I218="","",IF(Analysis!$I218="Loyal but shallow",Analysis!$D218,""))</f>
        <v/>
      </c>
      <c r="C218" s="29" t="str">
        <f>IF(Analysis!$I218="","",IF(Analysis!$I218="Project-driven",Analysis!$D218,""))</f>
        <v/>
      </c>
      <c r="D218" s="29" t="str">
        <f>IF(Analysis!$I218="","",IF(Analysis!$I218="Drifting",Analysis!$D218,""))</f>
        <v/>
      </c>
      <c r="E218" s="29" t="str">
        <f>IF(Analysis!$I218="","",IF(Analysis!$I218="Embedded",Analysis!$C218,""))</f>
        <v/>
      </c>
      <c r="F218" s="29" t="str">
        <f>IF(Analysis!$I218="","",IF(Analysis!$I218="Loyal but shallow",Analysis!$C218,""))</f>
        <v/>
      </c>
      <c r="G218" s="29" t="str">
        <f>IF(Analysis!$I218="","",IF(Analysis!$I218="Project-driven",Analysis!$C218,""))</f>
        <v/>
      </c>
      <c r="H218" s="29" t="str">
        <f>IF(Analysis!$I218="","",IF(Analysis!$I218="Drifting",Analysis!$C218,""))</f>
        <v/>
      </c>
      <c r="I218" s="29" t="str">
        <f>IF(Analysis!$I218="","",IF(Analysis!$I218="Embedded",Analysis!$F218,""))</f>
        <v/>
      </c>
      <c r="J218" s="29" t="str">
        <f>IF(Analysis!$I218="","",IF(Analysis!$I218="Loyal but shallow",Analysis!$F218,""))</f>
        <v/>
      </c>
      <c r="K218" s="29" t="str">
        <f>IF(Analysis!$I218="","",IF(Analysis!$I218="Project-driven",Analysis!$F218,""))</f>
        <v/>
      </c>
      <c r="L218" s="29" t="str">
        <f>IF(Analysis!$I218="","",IF(Analysis!$I218="Drifting",Analysis!$F218,""))</f>
        <v/>
      </c>
      <c r="M218" s="29" t="str">
        <f>IF(Analysis!$I218="","",IF(Analysis!$I218="Embedded",Analysis!$H218,""))</f>
        <v/>
      </c>
      <c r="N218" s="29" t="str">
        <f>IF(Analysis!$I218="","",IF(Analysis!$I218="Loyal but shallow",Analysis!$H218,""))</f>
        <v/>
      </c>
      <c r="O218" s="29" t="str">
        <f>IF(Analysis!$I218="","",IF(Analysis!$I218="Project-driven",Analysis!$H218,""))</f>
        <v/>
      </c>
      <c r="P218" s="29" t="str">
        <f>IF(Analysis!$I218="","",IF(Analysis!$I218="Drifting",Analysis!$H218,""))</f>
        <v/>
      </c>
    </row>
    <row r="219" spans="1:16" x14ac:dyDescent="0.25">
      <c r="A219" s="29" t="str">
        <f>IF(Analysis!$I219="","",IF(Analysis!$I219="Embedded",Analysis!$D219,""))</f>
        <v/>
      </c>
      <c r="B219" s="29" t="str">
        <f>IF(Analysis!$I219="","",IF(Analysis!$I219="Loyal but shallow",Analysis!$D219,""))</f>
        <v/>
      </c>
      <c r="C219" s="29" t="str">
        <f>IF(Analysis!$I219="","",IF(Analysis!$I219="Project-driven",Analysis!$D219,""))</f>
        <v/>
      </c>
      <c r="D219" s="29" t="str">
        <f>IF(Analysis!$I219="","",IF(Analysis!$I219="Drifting",Analysis!$D219,""))</f>
        <v/>
      </c>
      <c r="E219" s="29" t="str">
        <f>IF(Analysis!$I219="","",IF(Analysis!$I219="Embedded",Analysis!$C219,""))</f>
        <v/>
      </c>
      <c r="F219" s="29" t="str">
        <f>IF(Analysis!$I219="","",IF(Analysis!$I219="Loyal but shallow",Analysis!$C219,""))</f>
        <v/>
      </c>
      <c r="G219" s="29" t="str">
        <f>IF(Analysis!$I219="","",IF(Analysis!$I219="Project-driven",Analysis!$C219,""))</f>
        <v/>
      </c>
      <c r="H219" s="29" t="str">
        <f>IF(Analysis!$I219="","",IF(Analysis!$I219="Drifting",Analysis!$C219,""))</f>
        <v/>
      </c>
      <c r="I219" s="29" t="str">
        <f>IF(Analysis!$I219="","",IF(Analysis!$I219="Embedded",Analysis!$F219,""))</f>
        <v/>
      </c>
      <c r="J219" s="29" t="str">
        <f>IF(Analysis!$I219="","",IF(Analysis!$I219="Loyal but shallow",Analysis!$F219,""))</f>
        <v/>
      </c>
      <c r="K219" s="29" t="str">
        <f>IF(Analysis!$I219="","",IF(Analysis!$I219="Project-driven",Analysis!$F219,""))</f>
        <v/>
      </c>
      <c r="L219" s="29" t="str">
        <f>IF(Analysis!$I219="","",IF(Analysis!$I219="Drifting",Analysis!$F219,""))</f>
        <v/>
      </c>
      <c r="M219" s="29" t="str">
        <f>IF(Analysis!$I219="","",IF(Analysis!$I219="Embedded",Analysis!$H219,""))</f>
        <v/>
      </c>
      <c r="N219" s="29" t="str">
        <f>IF(Analysis!$I219="","",IF(Analysis!$I219="Loyal but shallow",Analysis!$H219,""))</f>
        <v/>
      </c>
      <c r="O219" s="29" t="str">
        <f>IF(Analysis!$I219="","",IF(Analysis!$I219="Project-driven",Analysis!$H219,""))</f>
        <v/>
      </c>
      <c r="P219" s="29" t="str">
        <f>IF(Analysis!$I219="","",IF(Analysis!$I219="Drifting",Analysis!$H219,""))</f>
        <v/>
      </c>
    </row>
    <row r="220" spans="1:16" x14ac:dyDescent="0.25">
      <c r="A220" s="29" t="str">
        <f>IF(Analysis!$I220="","",IF(Analysis!$I220="Embedded",Analysis!$D220,""))</f>
        <v/>
      </c>
      <c r="B220" s="29" t="str">
        <f>IF(Analysis!$I220="","",IF(Analysis!$I220="Loyal but shallow",Analysis!$D220,""))</f>
        <v/>
      </c>
      <c r="C220" s="29" t="str">
        <f>IF(Analysis!$I220="","",IF(Analysis!$I220="Project-driven",Analysis!$D220,""))</f>
        <v/>
      </c>
      <c r="D220" s="29" t="str">
        <f>IF(Analysis!$I220="","",IF(Analysis!$I220="Drifting",Analysis!$D220,""))</f>
        <v/>
      </c>
      <c r="E220" s="29" t="str">
        <f>IF(Analysis!$I220="","",IF(Analysis!$I220="Embedded",Analysis!$C220,""))</f>
        <v/>
      </c>
      <c r="F220" s="29" t="str">
        <f>IF(Analysis!$I220="","",IF(Analysis!$I220="Loyal but shallow",Analysis!$C220,""))</f>
        <v/>
      </c>
      <c r="G220" s="29" t="str">
        <f>IF(Analysis!$I220="","",IF(Analysis!$I220="Project-driven",Analysis!$C220,""))</f>
        <v/>
      </c>
      <c r="H220" s="29" t="str">
        <f>IF(Analysis!$I220="","",IF(Analysis!$I220="Drifting",Analysis!$C220,""))</f>
        <v/>
      </c>
      <c r="I220" s="29" t="str">
        <f>IF(Analysis!$I220="","",IF(Analysis!$I220="Embedded",Analysis!$F220,""))</f>
        <v/>
      </c>
      <c r="J220" s="29" t="str">
        <f>IF(Analysis!$I220="","",IF(Analysis!$I220="Loyal but shallow",Analysis!$F220,""))</f>
        <v/>
      </c>
      <c r="K220" s="29" t="str">
        <f>IF(Analysis!$I220="","",IF(Analysis!$I220="Project-driven",Analysis!$F220,""))</f>
        <v/>
      </c>
      <c r="L220" s="29" t="str">
        <f>IF(Analysis!$I220="","",IF(Analysis!$I220="Drifting",Analysis!$F220,""))</f>
        <v/>
      </c>
      <c r="M220" s="29" t="str">
        <f>IF(Analysis!$I220="","",IF(Analysis!$I220="Embedded",Analysis!$H220,""))</f>
        <v/>
      </c>
      <c r="N220" s="29" t="str">
        <f>IF(Analysis!$I220="","",IF(Analysis!$I220="Loyal but shallow",Analysis!$H220,""))</f>
        <v/>
      </c>
      <c r="O220" s="29" t="str">
        <f>IF(Analysis!$I220="","",IF(Analysis!$I220="Project-driven",Analysis!$H220,""))</f>
        <v/>
      </c>
      <c r="P220" s="29" t="str">
        <f>IF(Analysis!$I220="","",IF(Analysis!$I220="Drifting",Analysis!$H220,""))</f>
        <v/>
      </c>
    </row>
    <row r="221" spans="1:16" x14ac:dyDescent="0.25">
      <c r="A221" s="29" t="str">
        <f>IF(Analysis!$I221="","",IF(Analysis!$I221="Embedded",Analysis!$D221,""))</f>
        <v/>
      </c>
      <c r="B221" s="29" t="str">
        <f>IF(Analysis!$I221="","",IF(Analysis!$I221="Loyal but shallow",Analysis!$D221,""))</f>
        <v/>
      </c>
      <c r="C221" s="29" t="str">
        <f>IF(Analysis!$I221="","",IF(Analysis!$I221="Project-driven",Analysis!$D221,""))</f>
        <v/>
      </c>
      <c r="D221" s="29" t="str">
        <f>IF(Analysis!$I221="","",IF(Analysis!$I221="Drifting",Analysis!$D221,""))</f>
        <v/>
      </c>
      <c r="E221" s="29" t="str">
        <f>IF(Analysis!$I221="","",IF(Analysis!$I221="Embedded",Analysis!$C221,""))</f>
        <v/>
      </c>
      <c r="F221" s="29" t="str">
        <f>IF(Analysis!$I221="","",IF(Analysis!$I221="Loyal but shallow",Analysis!$C221,""))</f>
        <v/>
      </c>
      <c r="G221" s="29" t="str">
        <f>IF(Analysis!$I221="","",IF(Analysis!$I221="Project-driven",Analysis!$C221,""))</f>
        <v/>
      </c>
      <c r="H221" s="29" t="str">
        <f>IF(Analysis!$I221="","",IF(Analysis!$I221="Drifting",Analysis!$C221,""))</f>
        <v/>
      </c>
      <c r="I221" s="29" t="str">
        <f>IF(Analysis!$I221="","",IF(Analysis!$I221="Embedded",Analysis!$F221,""))</f>
        <v/>
      </c>
      <c r="J221" s="29" t="str">
        <f>IF(Analysis!$I221="","",IF(Analysis!$I221="Loyal but shallow",Analysis!$F221,""))</f>
        <v/>
      </c>
      <c r="K221" s="29" t="str">
        <f>IF(Analysis!$I221="","",IF(Analysis!$I221="Project-driven",Analysis!$F221,""))</f>
        <v/>
      </c>
      <c r="L221" s="29" t="str">
        <f>IF(Analysis!$I221="","",IF(Analysis!$I221="Drifting",Analysis!$F221,""))</f>
        <v/>
      </c>
      <c r="M221" s="29" t="str">
        <f>IF(Analysis!$I221="","",IF(Analysis!$I221="Embedded",Analysis!$H221,""))</f>
        <v/>
      </c>
      <c r="N221" s="29" t="str">
        <f>IF(Analysis!$I221="","",IF(Analysis!$I221="Loyal but shallow",Analysis!$H221,""))</f>
        <v/>
      </c>
      <c r="O221" s="29" t="str">
        <f>IF(Analysis!$I221="","",IF(Analysis!$I221="Project-driven",Analysis!$H221,""))</f>
        <v/>
      </c>
      <c r="P221" s="29" t="str">
        <f>IF(Analysis!$I221="","",IF(Analysis!$I221="Drifting",Analysis!$H221,""))</f>
        <v/>
      </c>
    </row>
    <row r="222" spans="1:16" x14ac:dyDescent="0.25">
      <c r="A222" s="29" t="str">
        <f>IF(Analysis!$I222="","",IF(Analysis!$I222="Embedded",Analysis!$D222,""))</f>
        <v/>
      </c>
      <c r="B222" s="29" t="str">
        <f>IF(Analysis!$I222="","",IF(Analysis!$I222="Loyal but shallow",Analysis!$D222,""))</f>
        <v/>
      </c>
      <c r="C222" s="29" t="str">
        <f>IF(Analysis!$I222="","",IF(Analysis!$I222="Project-driven",Analysis!$D222,""))</f>
        <v/>
      </c>
      <c r="D222" s="29" t="str">
        <f>IF(Analysis!$I222="","",IF(Analysis!$I222="Drifting",Analysis!$D222,""))</f>
        <v/>
      </c>
      <c r="E222" s="29" t="str">
        <f>IF(Analysis!$I222="","",IF(Analysis!$I222="Embedded",Analysis!$C222,""))</f>
        <v/>
      </c>
      <c r="F222" s="29" t="str">
        <f>IF(Analysis!$I222="","",IF(Analysis!$I222="Loyal but shallow",Analysis!$C222,""))</f>
        <v/>
      </c>
      <c r="G222" s="29" t="str">
        <f>IF(Analysis!$I222="","",IF(Analysis!$I222="Project-driven",Analysis!$C222,""))</f>
        <v/>
      </c>
      <c r="H222" s="29" t="str">
        <f>IF(Analysis!$I222="","",IF(Analysis!$I222="Drifting",Analysis!$C222,""))</f>
        <v/>
      </c>
      <c r="I222" s="29" t="str">
        <f>IF(Analysis!$I222="","",IF(Analysis!$I222="Embedded",Analysis!$F222,""))</f>
        <v/>
      </c>
      <c r="J222" s="29" t="str">
        <f>IF(Analysis!$I222="","",IF(Analysis!$I222="Loyal but shallow",Analysis!$F222,""))</f>
        <v/>
      </c>
      <c r="K222" s="29" t="str">
        <f>IF(Analysis!$I222="","",IF(Analysis!$I222="Project-driven",Analysis!$F222,""))</f>
        <v/>
      </c>
      <c r="L222" s="29" t="str">
        <f>IF(Analysis!$I222="","",IF(Analysis!$I222="Drifting",Analysis!$F222,""))</f>
        <v/>
      </c>
      <c r="M222" s="29" t="str">
        <f>IF(Analysis!$I222="","",IF(Analysis!$I222="Embedded",Analysis!$H222,""))</f>
        <v/>
      </c>
      <c r="N222" s="29" t="str">
        <f>IF(Analysis!$I222="","",IF(Analysis!$I222="Loyal but shallow",Analysis!$H222,""))</f>
        <v/>
      </c>
      <c r="O222" s="29" t="str">
        <f>IF(Analysis!$I222="","",IF(Analysis!$I222="Project-driven",Analysis!$H222,""))</f>
        <v/>
      </c>
      <c r="P222" s="29" t="str">
        <f>IF(Analysis!$I222="","",IF(Analysis!$I222="Drifting",Analysis!$H222,""))</f>
        <v/>
      </c>
    </row>
    <row r="223" spans="1:16" x14ac:dyDescent="0.25">
      <c r="A223" s="29" t="str">
        <f>IF(Analysis!$I223="","",IF(Analysis!$I223="Embedded",Analysis!$D223,""))</f>
        <v/>
      </c>
      <c r="B223" s="29" t="str">
        <f>IF(Analysis!$I223="","",IF(Analysis!$I223="Loyal but shallow",Analysis!$D223,""))</f>
        <v/>
      </c>
      <c r="C223" s="29" t="str">
        <f>IF(Analysis!$I223="","",IF(Analysis!$I223="Project-driven",Analysis!$D223,""))</f>
        <v/>
      </c>
      <c r="D223" s="29" t="str">
        <f>IF(Analysis!$I223="","",IF(Analysis!$I223="Drifting",Analysis!$D223,""))</f>
        <v/>
      </c>
      <c r="E223" s="29" t="str">
        <f>IF(Analysis!$I223="","",IF(Analysis!$I223="Embedded",Analysis!$C223,""))</f>
        <v/>
      </c>
      <c r="F223" s="29" t="str">
        <f>IF(Analysis!$I223="","",IF(Analysis!$I223="Loyal but shallow",Analysis!$C223,""))</f>
        <v/>
      </c>
      <c r="G223" s="29" t="str">
        <f>IF(Analysis!$I223="","",IF(Analysis!$I223="Project-driven",Analysis!$C223,""))</f>
        <v/>
      </c>
      <c r="H223" s="29" t="str">
        <f>IF(Analysis!$I223="","",IF(Analysis!$I223="Drifting",Analysis!$C223,""))</f>
        <v/>
      </c>
      <c r="I223" s="29" t="str">
        <f>IF(Analysis!$I223="","",IF(Analysis!$I223="Embedded",Analysis!$F223,""))</f>
        <v/>
      </c>
      <c r="J223" s="29" t="str">
        <f>IF(Analysis!$I223="","",IF(Analysis!$I223="Loyal but shallow",Analysis!$F223,""))</f>
        <v/>
      </c>
      <c r="K223" s="29" t="str">
        <f>IF(Analysis!$I223="","",IF(Analysis!$I223="Project-driven",Analysis!$F223,""))</f>
        <v/>
      </c>
      <c r="L223" s="29" t="str">
        <f>IF(Analysis!$I223="","",IF(Analysis!$I223="Drifting",Analysis!$F223,""))</f>
        <v/>
      </c>
      <c r="M223" s="29" t="str">
        <f>IF(Analysis!$I223="","",IF(Analysis!$I223="Embedded",Analysis!$H223,""))</f>
        <v/>
      </c>
      <c r="N223" s="29" t="str">
        <f>IF(Analysis!$I223="","",IF(Analysis!$I223="Loyal but shallow",Analysis!$H223,""))</f>
        <v/>
      </c>
      <c r="O223" s="29" t="str">
        <f>IF(Analysis!$I223="","",IF(Analysis!$I223="Project-driven",Analysis!$H223,""))</f>
        <v/>
      </c>
      <c r="P223" s="29" t="str">
        <f>IF(Analysis!$I223="","",IF(Analysis!$I223="Drifting",Analysis!$H223,""))</f>
        <v/>
      </c>
    </row>
    <row r="224" spans="1:16" x14ac:dyDescent="0.25">
      <c r="A224" s="29" t="str">
        <f>IF(Analysis!$I224="","",IF(Analysis!$I224="Embedded",Analysis!$D224,""))</f>
        <v/>
      </c>
      <c r="B224" s="29" t="str">
        <f>IF(Analysis!$I224="","",IF(Analysis!$I224="Loyal but shallow",Analysis!$D224,""))</f>
        <v/>
      </c>
      <c r="C224" s="29" t="str">
        <f>IF(Analysis!$I224="","",IF(Analysis!$I224="Project-driven",Analysis!$D224,""))</f>
        <v/>
      </c>
      <c r="D224" s="29" t="str">
        <f>IF(Analysis!$I224="","",IF(Analysis!$I224="Drifting",Analysis!$D224,""))</f>
        <v/>
      </c>
      <c r="E224" s="29" t="str">
        <f>IF(Analysis!$I224="","",IF(Analysis!$I224="Embedded",Analysis!$C224,""))</f>
        <v/>
      </c>
      <c r="F224" s="29" t="str">
        <f>IF(Analysis!$I224="","",IF(Analysis!$I224="Loyal but shallow",Analysis!$C224,""))</f>
        <v/>
      </c>
      <c r="G224" s="29" t="str">
        <f>IF(Analysis!$I224="","",IF(Analysis!$I224="Project-driven",Analysis!$C224,""))</f>
        <v/>
      </c>
      <c r="H224" s="29" t="str">
        <f>IF(Analysis!$I224="","",IF(Analysis!$I224="Drifting",Analysis!$C224,""))</f>
        <v/>
      </c>
      <c r="I224" s="29" t="str">
        <f>IF(Analysis!$I224="","",IF(Analysis!$I224="Embedded",Analysis!$F224,""))</f>
        <v/>
      </c>
      <c r="J224" s="29" t="str">
        <f>IF(Analysis!$I224="","",IF(Analysis!$I224="Loyal but shallow",Analysis!$F224,""))</f>
        <v/>
      </c>
      <c r="K224" s="29" t="str">
        <f>IF(Analysis!$I224="","",IF(Analysis!$I224="Project-driven",Analysis!$F224,""))</f>
        <v/>
      </c>
      <c r="L224" s="29" t="str">
        <f>IF(Analysis!$I224="","",IF(Analysis!$I224="Drifting",Analysis!$F224,""))</f>
        <v/>
      </c>
      <c r="M224" s="29" t="str">
        <f>IF(Analysis!$I224="","",IF(Analysis!$I224="Embedded",Analysis!$H224,""))</f>
        <v/>
      </c>
      <c r="N224" s="29" t="str">
        <f>IF(Analysis!$I224="","",IF(Analysis!$I224="Loyal but shallow",Analysis!$H224,""))</f>
        <v/>
      </c>
      <c r="O224" s="29" t="str">
        <f>IF(Analysis!$I224="","",IF(Analysis!$I224="Project-driven",Analysis!$H224,""))</f>
        <v/>
      </c>
      <c r="P224" s="29" t="str">
        <f>IF(Analysis!$I224="","",IF(Analysis!$I224="Drifting",Analysis!$H224,""))</f>
        <v/>
      </c>
    </row>
    <row r="225" spans="1:16" x14ac:dyDescent="0.25">
      <c r="A225" s="29" t="str">
        <f>IF(Analysis!$I225="","",IF(Analysis!$I225="Embedded",Analysis!$D225,""))</f>
        <v/>
      </c>
      <c r="B225" s="29" t="str">
        <f>IF(Analysis!$I225="","",IF(Analysis!$I225="Loyal but shallow",Analysis!$D225,""))</f>
        <v/>
      </c>
      <c r="C225" s="29" t="str">
        <f>IF(Analysis!$I225="","",IF(Analysis!$I225="Project-driven",Analysis!$D225,""))</f>
        <v/>
      </c>
      <c r="D225" s="29" t="str">
        <f>IF(Analysis!$I225="","",IF(Analysis!$I225="Drifting",Analysis!$D225,""))</f>
        <v/>
      </c>
      <c r="E225" s="29" t="str">
        <f>IF(Analysis!$I225="","",IF(Analysis!$I225="Embedded",Analysis!$C225,""))</f>
        <v/>
      </c>
      <c r="F225" s="29" t="str">
        <f>IF(Analysis!$I225="","",IF(Analysis!$I225="Loyal but shallow",Analysis!$C225,""))</f>
        <v/>
      </c>
      <c r="G225" s="29" t="str">
        <f>IF(Analysis!$I225="","",IF(Analysis!$I225="Project-driven",Analysis!$C225,""))</f>
        <v/>
      </c>
      <c r="H225" s="29" t="str">
        <f>IF(Analysis!$I225="","",IF(Analysis!$I225="Drifting",Analysis!$C225,""))</f>
        <v/>
      </c>
      <c r="I225" s="29" t="str">
        <f>IF(Analysis!$I225="","",IF(Analysis!$I225="Embedded",Analysis!$F225,""))</f>
        <v/>
      </c>
      <c r="J225" s="29" t="str">
        <f>IF(Analysis!$I225="","",IF(Analysis!$I225="Loyal but shallow",Analysis!$F225,""))</f>
        <v/>
      </c>
      <c r="K225" s="29" t="str">
        <f>IF(Analysis!$I225="","",IF(Analysis!$I225="Project-driven",Analysis!$F225,""))</f>
        <v/>
      </c>
      <c r="L225" s="29" t="str">
        <f>IF(Analysis!$I225="","",IF(Analysis!$I225="Drifting",Analysis!$F225,""))</f>
        <v/>
      </c>
      <c r="M225" s="29" t="str">
        <f>IF(Analysis!$I225="","",IF(Analysis!$I225="Embedded",Analysis!$H225,""))</f>
        <v/>
      </c>
      <c r="N225" s="29" t="str">
        <f>IF(Analysis!$I225="","",IF(Analysis!$I225="Loyal but shallow",Analysis!$H225,""))</f>
        <v/>
      </c>
      <c r="O225" s="29" t="str">
        <f>IF(Analysis!$I225="","",IF(Analysis!$I225="Project-driven",Analysis!$H225,""))</f>
        <v/>
      </c>
      <c r="P225" s="29" t="str">
        <f>IF(Analysis!$I225="","",IF(Analysis!$I225="Drifting",Analysis!$H225,""))</f>
        <v/>
      </c>
    </row>
    <row r="226" spans="1:16" x14ac:dyDescent="0.25">
      <c r="A226" s="29" t="str">
        <f>IF(Analysis!$I226="","",IF(Analysis!$I226="Embedded",Analysis!$D226,""))</f>
        <v/>
      </c>
      <c r="B226" s="29" t="str">
        <f>IF(Analysis!$I226="","",IF(Analysis!$I226="Loyal but shallow",Analysis!$D226,""))</f>
        <v/>
      </c>
      <c r="C226" s="29" t="str">
        <f>IF(Analysis!$I226="","",IF(Analysis!$I226="Project-driven",Analysis!$D226,""))</f>
        <v/>
      </c>
      <c r="D226" s="29" t="str">
        <f>IF(Analysis!$I226="","",IF(Analysis!$I226="Drifting",Analysis!$D226,""))</f>
        <v/>
      </c>
      <c r="E226" s="29" t="str">
        <f>IF(Analysis!$I226="","",IF(Analysis!$I226="Embedded",Analysis!$C226,""))</f>
        <v/>
      </c>
      <c r="F226" s="29" t="str">
        <f>IF(Analysis!$I226="","",IF(Analysis!$I226="Loyal but shallow",Analysis!$C226,""))</f>
        <v/>
      </c>
      <c r="G226" s="29" t="str">
        <f>IF(Analysis!$I226="","",IF(Analysis!$I226="Project-driven",Analysis!$C226,""))</f>
        <v/>
      </c>
      <c r="H226" s="29" t="str">
        <f>IF(Analysis!$I226="","",IF(Analysis!$I226="Drifting",Analysis!$C226,""))</f>
        <v/>
      </c>
      <c r="I226" s="29" t="str">
        <f>IF(Analysis!$I226="","",IF(Analysis!$I226="Embedded",Analysis!$F226,""))</f>
        <v/>
      </c>
      <c r="J226" s="29" t="str">
        <f>IF(Analysis!$I226="","",IF(Analysis!$I226="Loyal but shallow",Analysis!$F226,""))</f>
        <v/>
      </c>
      <c r="K226" s="29" t="str">
        <f>IF(Analysis!$I226="","",IF(Analysis!$I226="Project-driven",Analysis!$F226,""))</f>
        <v/>
      </c>
      <c r="L226" s="29" t="str">
        <f>IF(Analysis!$I226="","",IF(Analysis!$I226="Drifting",Analysis!$F226,""))</f>
        <v/>
      </c>
      <c r="M226" s="29" t="str">
        <f>IF(Analysis!$I226="","",IF(Analysis!$I226="Embedded",Analysis!$H226,""))</f>
        <v/>
      </c>
      <c r="N226" s="29" t="str">
        <f>IF(Analysis!$I226="","",IF(Analysis!$I226="Loyal but shallow",Analysis!$H226,""))</f>
        <v/>
      </c>
      <c r="O226" s="29" t="str">
        <f>IF(Analysis!$I226="","",IF(Analysis!$I226="Project-driven",Analysis!$H226,""))</f>
        <v/>
      </c>
      <c r="P226" s="29" t="str">
        <f>IF(Analysis!$I226="","",IF(Analysis!$I226="Drifting",Analysis!$H226,""))</f>
        <v/>
      </c>
    </row>
    <row r="227" spans="1:16" x14ac:dyDescent="0.25">
      <c r="A227" s="29" t="str">
        <f>IF(Analysis!$I227="","",IF(Analysis!$I227="Embedded",Analysis!$D227,""))</f>
        <v/>
      </c>
      <c r="B227" s="29" t="str">
        <f>IF(Analysis!$I227="","",IF(Analysis!$I227="Loyal but shallow",Analysis!$D227,""))</f>
        <v/>
      </c>
      <c r="C227" s="29" t="str">
        <f>IF(Analysis!$I227="","",IF(Analysis!$I227="Project-driven",Analysis!$D227,""))</f>
        <v/>
      </c>
      <c r="D227" s="29" t="str">
        <f>IF(Analysis!$I227="","",IF(Analysis!$I227="Drifting",Analysis!$D227,""))</f>
        <v/>
      </c>
      <c r="E227" s="29" t="str">
        <f>IF(Analysis!$I227="","",IF(Analysis!$I227="Embedded",Analysis!$C227,""))</f>
        <v/>
      </c>
      <c r="F227" s="29" t="str">
        <f>IF(Analysis!$I227="","",IF(Analysis!$I227="Loyal but shallow",Analysis!$C227,""))</f>
        <v/>
      </c>
      <c r="G227" s="29" t="str">
        <f>IF(Analysis!$I227="","",IF(Analysis!$I227="Project-driven",Analysis!$C227,""))</f>
        <v/>
      </c>
      <c r="H227" s="29" t="str">
        <f>IF(Analysis!$I227="","",IF(Analysis!$I227="Drifting",Analysis!$C227,""))</f>
        <v/>
      </c>
      <c r="I227" s="29" t="str">
        <f>IF(Analysis!$I227="","",IF(Analysis!$I227="Embedded",Analysis!$F227,""))</f>
        <v/>
      </c>
      <c r="J227" s="29" t="str">
        <f>IF(Analysis!$I227="","",IF(Analysis!$I227="Loyal but shallow",Analysis!$F227,""))</f>
        <v/>
      </c>
      <c r="K227" s="29" t="str">
        <f>IF(Analysis!$I227="","",IF(Analysis!$I227="Project-driven",Analysis!$F227,""))</f>
        <v/>
      </c>
      <c r="L227" s="29" t="str">
        <f>IF(Analysis!$I227="","",IF(Analysis!$I227="Drifting",Analysis!$F227,""))</f>
        <v/>
      </c>
      <c r="M227" s="29" t="str">
        <f>IF(Analysis!$I227="","",IF(Analysis!$I227="Embedded",Analysis!$H227,""))</f>
        <v/>
      </c>
      <c r="N227" s="29" t="str">
        <f>IF(Analysis!$I227="","",IF(Analysis!$I227="Loyal but shallow",Analysis!$H227,""))</f>
        <v/>
      </c>
      <c r="O227" s="29" t="str">
        <f>IF(Analysis!$I227="","",IF(Analysis!$I227="Project-driven",Analysis!$H227,""))</f>
        <v/>
      </c>
      <c r="P227" s="29" t="str">
        <f>IF(Analysis!$I227="","",IF(Analysis!$I227="Drifting",Analysis!$H227,""))</f>
        <v/>
      </c>
    </row>
    <row r="228" spans="1:16" x14ac:dyDescent="0.25">
      <c r="A228" s="29" t="str">
        <f>IF(Analysis!$I228="","",IF(Analysis!$I228="Embedded",Analysis!$D228,""))</f>
        <v/>
      </c>
      <c r="B228" s="29" t="str">
        <f>IF(Analysis!$I228="","",IF(Analysis!$I228="Loyal but shallow",Analysis!$D228,""))</f>
        <v/>
      </c>
      <c r="C228" s="29" t="str">
        <f>IF(Analysis!$I228="","",IF(Analysis!$I228="Project-driven",Analysis!$D228,""))</f>
        <v/>
      </c>
      <c r="D228" s="29" t="str">
        <f>IF(Analysis!$I228="","",IF(Analysis!$I228="Drifting",Analysis!$D228,""))</f>
        <v/>
      </c>
      <c r="E228" s="29" t="str">
        <f>IF(Analysis!$I228="","",IF(Analysis!$I228="Embedded",Analysis!$C228,""))</f>
        <v/>
      </c>
      <c r="F228" s="29" t="str">
        <f>IF(Analysis!$I228="","",IF(Analysis!$I228="Loyal but shallow",Analysis!$C228,""))</f>
        <v/>
      </c>
      <c r="G228" s="29" t="str">
        <f>IF(Analysis!$I228="","",IF(Analysis!$I228="Project-driven",Analysis!$C228,""))</f>
        <v/>
      </c>
      <c r="H228" s="29" t="str">
        <f>IF(Analysis!$I228="","",IF(Analysis!$I228="Drifting",Analysis!$C228,""))</f>
        <v/>
      </c>
      <c r="I228" s="29" t="str">
        <f>IF(Analysis!$I228="","",IF(Analysis!$I228="Embedded",Analysis!$F228,""))</f>
        <v/>
      </c>
      <c r="J228" s="29" t="str">
        <f>IF(Analysis!$I228="","",IF(Analysis!$I228="Loyal but shallow",Analysis!$F228,""))</f>
        <v/>
      </c>
      <c r="K228" s="29" t="str">
        <f>IF(Analysis!$I228="","",IF(Analysis!$I228="Project-driven",Analysis!$F228,""))</f>
        <v/>
      </c>
      <c r="L228" s="29" t="str">
        <f>IF(Analysis!$I228="","",IF(Analysis!$I228="Drifting",Analysis!$F228,""))</f>
        <v/>
      </c>
      <c r="M228" s="29" t="str">
        <f>IF(Analysis!$I228="","",IF(Analysis!$I228="Embedded",Analysis!$H228,""))</f>
        <v/>
      </c>
      <c r="N228" s="29" t="str">
        <f>IF(Analysis!$I228="","",IF(Analysis!$I228="Loyal but shallow",Analysis!$H228,""))</f>
        <v/>
      </c>
      <c r="O228" s="29" t="str">
        <f>IF(Analysis!$I228="","",IF(Analysis!$I228="Project-driven",Analysis!$H228,""))</f>
        <v/>
      </c>
      <c r="P228" s="29" t="str">
        <f>IF(Analysis!$I228="","",IF(Analysis!$I228="Drifting",Analysis!$H228,""))</f>
        <v/>
      </c>
    </row>
    <row r="229" spans="1:16" x14ac:dyDescent="0.25">
      <c r="A229" s="29" t="str">
        <f>IF(Analysis!$I229="","",IF(Analysis!$I229="Embedded",Analysis!$D229,""))</f>
        <v/>
      </c>
      <c r="B229" s="29" t="str">
        <f>IF(Analysis!$I229="","",IF(Analysis!$I229="Loyal but shallow",Analysis!$D229,""))</f>
        <v/>
      </c>
      <c r="C229" s="29" t="str">
        <f>IF(Analysis!$I229="","",IF(Analysis!$I229="Project-driven",Analysis!$D229,""))</f>
        <v/>
      </c>
      <c r="D229" s="29" t="str">
        <f>IF(Analysis!$I229="","",IF(Analysis!$I229="Drifting",Analysis!$D229,""))</f>
        <v/>
      </c>
      <c r="E229" s="29" t="str">
        <f>IF(Analysis!$I229="","",IF(Analysis!$I229="Embedded",Analysis!$C229,""))</f>
        <v/>
      </c>
      <c r="F229" s="29" t="str">
        <f>IF(Analysis!$I229="","",IF(Analysis!$I229="Loyal but shallow",Analysis!$C229,""))</f>
        <v/>
      </c>
      <c r="G229" s="29" t="str">
        <f>IF(Analysis!$I229="","",IF(Analysis!$I229="Project-driven",Analysis!$C229,""))</f>
        <v/>
      </c>
      <c r="H229" s="29" t="str">
        <f>IF(Analysis!$I229="","",IF(Analysis!$I229="Drifting",Analysis!$C229,""))</f>
        <v/>
      </c>
      <c r="I229" s="29" t="str">
        <f>IF(Analysis!$I229="","",IF(Analysis!$I229="Embedded",Analysis!$F229,""))</f>
        <v/>
      </c>
      <c r="J229" s="29" t="str">
        <f>IF(Analysis!$I229="","",IF(Analysis!$I229="Loyal but shallow",Analysis!$F229,""))</f>
        <v/>
      </c>
      <c r="K229" s="29" t="str">
        <f>IF(Analysis!$I229="","",IF(Analysis!$I229="Project-driven",Analysis!$F229,""))</f>
        <v/>
      </c>
      <c r="L229" s="29" t="str">
        <f>IF(Analysis!$I229="","",IF(Analysis!$I229="Drifting",Analysis!$F229,""))</f>
        <v/>
      </c>
      <c r="M229" s="29" t="str">
        <f>IF(Analysis!$I229="","",IF(Analysis!$I229="Embedded",Analysis!$H229,""))</f>
        <v/>
      </c>
      <c r="N229" s="29" t="str">
        <f>IF(Analysis!$I229="","",IF(Analysis!$I229="Loyal but shallow",Analysis!$H229,""))</f>
        <v/>
      </c>
      <c r="O229" s="29" t="str">
        <f>IF(Analysis!$I229="","",IF(Analysis!$I229="Project-driven",Analysis!$H229,""))</f>
        <v/>
      </c>
      <c r="P229" s="29" t="str">
        <f>IF(Analysis!$I229="","",IF(Analysis!$I229="Drifting",Analysis!$H229,""))</f>
        <v/>
      </c>
    </row>
    <row r="230" spans="1:16" x14ac:dyDescent="0.25">
      <c r="A230" s="29" t="str">
        <f>IF(Analysis!$I230="","",IF(Analysis!$I230="Embedded",Analysis!$D230,""))</f>
        <v/>
      </c>
      <c r="B230" s="29" t="str">
        <f>IF(Analysis!$I230="","",IF(Analysis!$I230="Loyal but shallow",Analysis!$D230,""))</f>
        <v/>
      </c>
      <c r="C230" s="29" t="str">
        <f>IF(Analysis!$I230="","",IF(Analysis!$I230="Project-driven",Analysis!$D230,""))</f>
        <v/>
      </c>
      <c r="D230" s="29" t="str">
        <f>IF(Analysis!$I230="","",IF(Analysis!$I230="Drifting",Analysis!$D230,""))</f>
        <v/>
      </c>
      <c r="E230" s="29" t="str">
        <f>IF(Analysis!$I230="","",IF(Analysis!$I230="Embedded",Analysis!$C230,""))</f>
        <v/>
      </c>
      <c r="F230" s="29" t="str">
        <f>IF(Analysis!$I230="","",IF(Analysis!$I230="Loyal but shallow",Analysis!$C230,""))</f>
        <v/>
      </c>
      <c r="G230" s="29" t="str">
        <f>IF(Analysis!$I230="","",IF(Analysis!$I230="Project-driven",Analysis!$C230,""))</f>
        <v/>
      </c>
      <c r="H230" s="29" t="str">
        <f>IF(Analysis!$I230="","",IF(Analysis!$I230="Drifting",Analysis!$C230,""))</f>
        <v/>
      </c>
      <c r="I230" s="29" t="str">
        <f>IF(Analysis!$I230="","",IF(Analysis!$I230="Embedded",Analysis!$F230,""))</f>
        <v/>
      </c>
      <c r="J230" s="29" t="str">
        <f>IF(Analysis!$I230="","",IF(Analysis!$I230="Loyal but shallow",Analysis!$F230,""))</f>
        <v/>
      </c>
      <c r="K230" s="29" t="str">
        <f>IF(Analysis!$I230="","",IF(Analysis!$I230="Project-driven",Analysis!$F230,""))</f>
        <v/>
      </c>
      <c r="L230" s="29" t="str">
        <f>IF(Analysis!$I230="","",IF(Analysis!$I230="Drifting",Analysis!$F230,""))</f>
        <v/>
      </c>
      <c r="M230" s="29" t="str">
        <f>IF(Analysis!$I230="","",IF(Analysis!$I230="Embedded",Analysis!$H230,""))</f>
        <v/>
      </c>
      <c r="N230" s="29" t="str">
        <f>IF(Analysis!$I230="","",IF(Analysis!$I230="Loyal but shallow",Analysis!$H230,""))</f>
        <v/>
      </c>
      <c r="O230" s="29" t="str">
        <f>IF(Analysis!$I230="","",IF(Analysis!$I230="Project-driven",Analysis!$H230,""))</f>
        <v/>
      </c>
      <c r="P230" s="29" t="str">
        <f>IF(Analysis!$I230="","",IF(Analysis!$I230="Drifting",Analysis!$H230,""))</f>
        <v/>
      </c>
    </row>
    <row r="231" spans="1:16" x14ac:dyDescent="0.25">
      <c r="A231" s="29" t="str">
        <f>IF(Analysis!$I231="","",IF(Analysis!$I231="Embedded",Analysis!$D231,""))</f>
        <v/>
      </c>
      <c r="B231" s="29" t="str">
        <f>IF(Analysis!$I231="","",IF(Analysis!$I231="Loyal but shallow",Analysis!$D231,""))</f>
        <v/>
      </c>
      <c r="C231" s="29" t="str">
        <f>IF(Analysis!$I231="","",IF(Analysis!$I231="Project-driven",Analysis!$D231,""))</f>
        <v/>
      </c>
      <c r="D231" s="29" t="str">
        <f>IF(Analysis!$I231="","",IF(Analysis!$I231="Drifting",Analysis!$D231,""))</f>
        <v/>
      </c>
      <c r="E231" s="29" t="str">
        <f>IF(Analysis!$I231="","",IF(Analysis!$I231="Embedded",Analysis!$C231,""))</f>
        <v/>
      </c>
      <c r="F231" s="29" t="str">
        <f>IF(Analysis!$I231="","",IF(Analysis!$I231="Loyal but shallow",Analysis!$C231,""))</f>
        <v/>
      </c>
      <c r="G231" s="29" t="str">
        <f>IF(Analysis!$I231="","",IF(Analysis!$I231="Project-driven",Analysis!$C231,""))</f>
        <v/>
      </c>
      <c r="H231" s="29" t="str">
        <f>IF(Analysis!$I231="","",IF(Analysis!$I231="Drifting",Analysis!$C231,""))</f>
        <v/>
      </c>
      <c r="I231" s="29" t="str">
        <f>IF(Analysis!$I231="","",IF(Analysis!$I231="Embedded",Analysis!$F231,""))</f>
        <v/>
      </c>
      <c r="J231" s="29" t="str">
        <f>IF(Analysis!$I231="","",IF(Analysis!$I231="Loyal but shallow",Analysis!$F231,""))</f>
        <v/>
      </c>
      <c r="K231" s="29" t="str">
        <f>IF(Analysis!$I231="","",IF(Analysis!$I231="Project-driven",Analysis!$F231,""))</f>
        <v/>
      </c>
      <c r="L231" s="29" t="str">
        <f>IF(Analysis!$I231="","",IF(Analysis!$I231="Drifting",Analysis!$F231,""))</f>
        <v/>
      </c>
      <c r="M231" s="29" t="str">
        <f>IF(Analysis!$I231="","",IF(Analysis!$I231="Embedded",Analysis!$H231,""))</f>
        <v/>
      </c>
      <c r="N231" s="29" t="str">
        <f>IF(Analysis!$I231="","",IF(Analysis!$I231="Loyal but shallow",Analysis!$H231,""))</f>
        <v/>
      </c>
      <c r="O231" s="29" t="str">
        <f>IF(Analysis!$I231="","",IF(Analysis!$I231="Project-driven",Analysis!$H231,""))</f>
        <v/>
      </c>
      <c r="P231" s="29" t="str">
        <f>IF(Analysis!$I231="","",IF(Analysis!$I231="Drifting",Analysis!$H231,""))</f>
        <v/>
      </c>
    </row>
    <row r="232" spans="1:16" x14ac:dyDescent="0.25">
      <c r="A232" s="29" t="str">
        <f>IF(Analysis!$I232="","",IF(Analysis!$I232="Embedded",Analysis!$D232,""))</f>
        <v/>
      </c>
      <c r="B232" s="29" t="str">
        <f>IF(Analysis!$I232="","",IF(Analysis!$I232="Loyal but shallow",Analysis!$D232,""))</f>
        <v/>
      </c>
      <c r="C232" s="29" t="str">
        <f>IF(Analysis!$I232="","",IF(Analysis!$I232="Project-driven",Analysis!$D232,""))</f>
        <v/>
      </c>
      <c r="D232" s="29" t="str">
        <f>IF(Analysis!$I232="","",IF(Analysis!$I232="Drifting",Analysis!$D232,""))</f>
        <v/>
      </c>
      <c r="E232" s="29" t="str">
        <f>IF(Analysis!$I232="","",IF(Analysis!$I232="Embedded",Analysis!$C232,""))</f>
        <v/>
      </c>
      <c r="F232" s="29" t="str">
        <f>IF(Analysis!$I232="","",IF(Analysis!$I232="Loyal but shallow",Analysis!$C232,""))</f>
        <v/>
      </c>
      <c r="G232" s="29" t="str">
        <f>IF(Analysis!$I232="","",IF(Analysis!$I232="Project-driven",Analysis!$C232,""))</f>
        <v/>
      </c>
      <c r="H232" s="29" t="str">
        <f>IF(Analysis!$I232="","",IF(Analysis!$I232="Drifting",Analysis!$C232,""))</f>
        <v/>
      </c>
      <c r="I232" s="29" t="str">
        <f>IF(Analysis!$I232="","",IF(Analysis!$I232="Embedded",Analysis!$F232,""))</f>
        <v/>
      </c>
      <c r="J232" s="29" t="str">
        <f>IF(Analysis!$I232="","",IF(Analysis!$I232="Loyal but shallow",Analysis!$F232,""))</f>
        <v/>
      </c>
      <c r="K232" s="29" t="str">
        <f>IF(Analysis!$I232="","",IF(Analysis!$I232="Project-driven",Analysis!$F232,""))</f>
        <v/>
      </c>
      <c r="L232" s="29" t="str">
        <f>IF(Analysis!$I232="","",IF(Analysis!$I232="Drifting",Analysis!$F232,""))</f>
        <v/>
      </c>
      <c r="M232" s="29" t="str">
        <f>IF(Analysis!$I232="","",IF(Analysis!$I232="Embedded",Analysis!$H232,""))</f>
        <v/>
      </c>
      <c r="N232" s="29" t="str">
        <f>IF(Analysis!$I232="","",IF(Analysis!$I232="Loyal but shallow",Analysis!$H232,""))</f>
        <v/>
      </c>
      <c r="O232" s="29" t="str">
        <f>IF(Analysis!$I232="","",IF(Analysis!$I232="Project-driven",Analysis!$H232,""))</f>
        <v/>
      </c>
      <c r="P232" s="29" t="str">
        <f>IF(Analysis!$I232="","",IF(Analysis!$I232="Drifting",Analysis!$H232,""))</f>
        <v/>
      </c>
    </row>
    <row r="233" spans="1:16" x14ac:dyDescent="0.25">
      <c r="A233" s="29" t="str">
        <f>IF(Analysis!$I233="","",IF(Analysis!$I233="Embedded",Analysis!$D233,""))</f>
        <v/>
      </c>
      <c r="B233" s="29" t="str">
        <f>IF(Analysis!$I233="","",IF(Analysis!$I233="Loyal but shallow",Analysis!$D233,""))</f>
        <v/>
      </c>
      <c r="C233" s="29" t="str">
        <f>IF(Analysis!$I233="","",IF(Analysis!$I233="Project-driven",Analysis!$D233,""))</f>
        <v/>
      </c>
      <c r="D233" s="29" t="str">
        <f>IF(Analysis!$I233="","",IF(Analysis!$I233="Drifting",Analysis!$D233,""))</f>
        <v/>
      </c>
      <c r="E233" s="29" t="str">
        <f>IF(Analysis!$I233="","",IF(Analysis!$I233="Embedded",Analysis!$C233,""))</f>
        <v/>
      </c>
      <c r="F233" s="29" t="str">
        <f>IF(Analysis!$I233="","",IF(Analysis!$I233="Loyal but shallow",Analysis!$C233,""))</f>
        <v/>
      </c>
      <c r="G233" s="29" t="str">
        <f>IF(Analysis!$I233="","",IF(Analysis!$I233="Project-driven",Analysis!$C233,""))</f>
        <v/>
      </c>
      <c r="H233" s="29" t="str">
        <f>IF(Analysis!$I233="","",IF(Analysis!$I233="Drifting",Analysis!$C233,""))</f>
        <v/>
      </c>
      <c r="I233" s="29" t="str">
        <f>IF(Analysis!$I233="","",IF(Analysis!$I233="Embedded",Analysis!$F233,""))</f>
        <v/>
      </c>
      <c r="J233" s="29" t="str">
        <f>IF(Analysis!$I233="","",IF(Analysis!$I233="Loyal but shallow",Analysis!$F233,""))</f>
        <v/>
      </c>
      <c r="K233" s="29" t="str">
        <f>IF(Analysis!$I233="","",IF(Analysis!$I233="Project-driven",Analysis!$F233,""))</f>
        <v/>
      </c>
      <c r="L233" s="29" t="str">
        <f>IF(Analysis!$I233="","",IF(Analysis!$I233="Drifting",Analysis!$F233,""))</f>
        <v/>
      </c>
      <c r="M233" s="29" t="str">
        <f>IF(Analysis!$I233="","",IF(Analysis!$I233="Embedded",Analysis!$H233,""))</f>
        <v/>
      </c>
      <c r="N233" s="29" t="str">
        <f>IF(Analysis!$I233="","",IF(Analysis!$I233="Loyal but shallow",Analysis!$H233,""))</f>
        <v/>
      </c>
      <c r="O233" s="29" t="str">
        <f>IF(Analysis!$I233="","",IF(Analysis!$I233="Project-driven",Analysis!$H233,""))</f>
        <v/>
      </c>
      <c r="P233" s="29" t="str">
        <f>IF(Analysis!$I233="","",IF(Analysis!$I233="Drifting",Analysis!$H233,""))</f>
        <v/>
      </c>
    </row>
    <row r="234" spans="1:16" x14ac:dyDescent="0.25">
      <c r="A234" s="29" t="str">
        <f>IF(Analysis!$I234="","",IF(Analysis!$I234="Embedded",Analysis!$D234,""))</f>
        <v/>
      </c>
      <c r="B234" s="29" t="str">
        <f>IF(Analysis!$I234="","",IF(Analysis!$I234="Loyal but shallow",Analysis!$D234,""))</f>
        <v/>
      </c>
      <c r="C234" s="29" t="str">
        <f>IF(Analysis!$I234="","",IF(Analysis!$I234="Project-driven",Analysis!$D234,""))</f>
        <v/>
      </c>
      <c r="D234" s="29" t="str">
        <f>IF(Analysis!$I234="","",IF(Analysis!$I234="Drifting",Analysis!$D234,""))</f>
        <v/>
      </c>
      <c r="E234" s="29" t="str">
        <f>IF(Analysis!$I234="","",IF(Analysis!$I234="Embedded",Analysis!$C234,""))</f>
        <v/>
      </c>
      <c r="F234" s="29" t="str">
        <f>IF(Analysis!$I234="","",IF(Analysis!$I234="Loyal but shallow",Analysis!$C234,""))</f>
        <v/>
      </c>
      <c r="G234" s="29" t="str">
        <f>IF(Analysis!$I234="","",IF(Analysis!$I234="Project-driven",Analysis!$C234,""))</f>
        <v/>
      </c>
      <c r="H234" s="29" t="str">
        <f>IF(Analysis!$I234="","",IF(Analysis!$I234="Drifting",Analysis!$C234,""))</f>
        <v/>
      </c>
      <c r="I234" s="29" t="str">
        <f>IF(Analysis!$I234="","",IF(Analysis!$I234="Embedded",Analysis!$F234,""))</f>
        <v/>
      </c>
      <c r="J234" s="29" t="str">
        <f>IF(Analysis!$I234="","",IF(Analysis!$I234="Loyal but shallow",Analysis!$F234,""))</f>
        <v/>
      </c>
      <c r="K234" s="29" t="str">
        <f>IF(Analysis!$I234="","",IF(Analysis!$I234="Project-driven",Analysis!$F234,""))</f>
        <v/>
      </c>
      <c r="L234" s="29" t="str">
        <f>IF(Analysis!$I234="","",IF(Analysis!$I234="Drifting",Analysis!$F234,""))</f>
        <v/>
      </c>
      <c r="M234" s="29" t="str">
        <f>IF(Analysis!$I234="","",IF(Analysis!$I234="Embedded",Analysis!$H234,""))</f>
        <v/>
      </c>
      <c r="N234" s="29" t="str">
        <f>IF(Analysis!$I234="","",IF(Analysis!$I234="Loyal but shallow",Analysis!$H234,""))</f>
        <v/>
      </c>
      <c r="O234" s="29" t="str">
        <f>IF(Analysis!$I234="","",IF(Analysis!$I234="Project-driven",Analysis!$H234,""))</f>
        <v/>
      </c>
      <c r="P234" s="29" t="str">
        <f>IF(Analysis!$I234="","",IF(Analysis!$I234="Drifting",Analysis!$H234,""))</f>
        <v/>
      </c>
    </row>
    <row r="235" spans="1:16" x14ac:dyDescent="0.25">
      <c r="A235" s="29" t="str">
        <f>IF(Analysis!$I235="","",IF(Analysis!$I235="Embedded",Analysis!$D235,""))</f>
        <v/>
      </c>
      <c r="B235" s="29" t="str">
        <f>IF(Analysis!$I235="","",IF(Analysis!$I235="Loyal but shallow",Analysis!$D235,""))</f>
        <v/>
      </c>
      <c r="C235" s="29" t="str">
        <f>IF(Analysis!$I235="","",IF(Analysis!$I235="Project-driven",Analysis!$D235,""))</f>
        <v/>
      </c>
      <c r="D235" s="29" t="str">
        <f>IF(Analysis!$I235="","",IF(Analysis!$I235="Drifting",Analysis!$D235,""))</f>
        <v/>
      </c>
      <c r="E235" s="29" t="str">
        <f>IF(Analysis!$I235="","",IF(Analysis!$I235="Embedded",Analysis!$C235,""))</f>
        <v/>
      </c>
      <c r="F235" s="29" t="str">
        <f>IF(Analysis!$I235="","",IF(Analysis!$I235="Loyal but shallow",Analysis!$C235,""))</f>
        <v/>
      </c>
      <c r="G235" s="29" t="str">
        <f>IF(Analysis!$I235="","",IF(Analysis!$I235="Project-driven",Analysis!$C235,""))</f>
        <v/>
      </c>
      <c r="H235" s="29" t="str">
        <f>IF(Analysis!$I235="","",IF(Analysis!$I235="Drifting",Analysis!$C235,""))</f>
        <v/>
      </c>
      <c r="I235" s="29" t="str">
        <f>IF(Analysis!$I235="","",IF(Analysis!$I235="Embedded",Analysis!$F235,""))</f>
        <v/>
      </c>
      <c r="J235" s="29" t="str">
        <f>IF(Analysis!$I235="","",IF(Analysis!$I235="Loyal but shallow",Analysis!$F235,""))</f>
        <v/>
      </c>
      <c r="K235" s="29" t="str">
        <f>IF(Analysis!$I235="","",IF(Analysis!$I235="Project-driven",Analysis!$F235,""))</f>
        <v/>
      </c>
      <c r="L235" s="29" t="str">
        <f>IF(Analysis!$I235="","",IF(Analysis!$I235="Drifting",Analysis!$F235,""))</f>
        <v/>
      </c>
      <c r="M235" s="29" t="str">
        <f>IF(Analysis!$I235="","",IF(Analysis!$I235="Embedded",Analysis!$H235,""))</f>
        <v/>
      </c>
      <c r="N235" s="29" t="str">
        <f>IF(Analysis!$I235="","",IF(Analysis!$I235="Loyal but shallow",Analysis!$H235,""))</f>
        <v/>
      </c>
      <c r="O235" s="29" t="str">
        <f>IF(Analysis!$I235="","",IF(Analysis!$I235="Project-driven",Analysis!$H235,""))</f>
        <v/>
      </c>
      <c r="P235" s="29" t="str">
        <f>IF(Analysis!$I235="","",IF(Analysis!$I235="Drifting",Analysis!$H235,""))</f>
        <v/>
      </c>
    </row>
    <row r="236" spans="1:16" x14ac:dyDescent="0.25">
      <c r="A236" s="29" t="str">
        <f>IF(Analysis!$I236="","",IF(Analysis!$I236="Embedded",Analysis!$D236,""))</f>
        <v/>
      </c>
      <c r="B236" s="29" t="str">
        <f>IF(Analysis!$I236="","",IF(Analysis!$I236="Loyal but shallow",Analysis!$D236,""))</f>
        <v/>
      </c>
      <c r="C236" s="29" t="str">
        <f>IF(Analysis!$I236="","",IF(Analysis!$I236="Project-driven",Analysis!$D236,""))</f>
        <v/>
      </c>
      <c r="D236" s="29" t="str">
        <f>IF(Analysis!$I236="","",IF(Analysis!$I236="Drifting",Analysis!$D236,""))</f>
        <v/>
      </c>
      <c r="E236" s="29" t="str">
        <f>IF(Analysis!$I236="","",IF(Analysis!$I236="Embedded",Analysis!$C236,""))</f>
        <v/>
      </c>
      <c r="F236" s="29" t="str">
        <f>IF(Analysis!$I236="","",IF(Analysis!$I236="Loyal but shallow",Analysis!$C236,""))</f>
        <v/>
      </c>
      <c r="G236" s="29" t="str">
        <f>IF(Analysis!$I236="","",IF(Analysis!$I236="Project-driven",Analysis!$C236,""))</f>
        <v/>
      </c>
      <c r="H236" s="29" t="str">
        <f>IF(Analysis!$I236="","",IF(Analysis!$I236="Drifting",Analysis!$C236,""))</f>
        <v/>
      </c>
      <c r="I236" s="29" t="str">
        <f>IF(Analysis!$I236="","",IF(Analysis!$I236="Embedded",Analysis!$F236,""))</f>
        <v/>
      </c>
      <c r="J236" s="29" t="str">
        <f>IF(Analysis!$I236="","",IF(Analysis!$I236="Loyal but shallow",Analysis!$F236,""))</f>
        <v/>
      </c>
      <c r="K236" s="29" t="str">
        <f>IF(Analysis!$I236="","",IF(Analysis!$I236="Project-driven",Analysis!$F236,""))</f>
        <v/>
      </c>
      <c r="L236" s="29" t="str">
        <f>IF(Analysis!$I236="","",IF(Analysis!$I236="Drifting",Analysis!$F236,""))</f>
        <v/>
      </c>
      <c r="M236" s="29" t="str">
        <f>IF(Analysis!$I236="","",IF(Analysis!$I236="Embedded",Analysis!$H236,""))</f>
        <v/>
      </c>
      <c r="N236" s="29" t="str">
        <f>IF(Analysis!$I236="","",IF(Analysis!$I236="Loyal but shallow",Analysis!$H236,""))</f>
        <v/>
      </c>
      <c r="O236" s="29" t="str">
        <f>IF(Analysis!$I236="","",IF(Analysis!$I236="Project-driven",Analysis!$H236,""))</f>
        <v/>
      </c>
      <c r="P236" s="29" t="str">
        <f>IF(Analysis!$I236="","",IF(Analysis!$I236="Drifting",Analysis!$H236,""))</f>
        <v/>
      </c>
    </row>
    <row r="237" spans="1:16" x14ac:dyDescent="0.25">
      <c r="A237" s="29" t="str">
        <f>IF(Analysis!$I237="","",IF(Analysis!$I237="Embedded",Analysis!$D237,""))</f>
        <v/>
      </c>
      <c r="B237" s="29" t="str">
        <f>IF(Analysis!$I237="","",IF(Analysis!$I237="Loyal but shallow",Analysis!$D237,""))</f>
        <v/>
      </c>
      <c r="C237" s="29" t="str">
        <f>IF(Analysis!$I237="","",IF(Analysis!$I237="Project-driven",Analysis!$D237,""))</f>
        <v/>
      </c>
      <c r="D237" s="29" t="str">
        <f>IF(Analysis!$I237="","",IF(Analysis!$I237="Drifting",Analysis!$D237,""))</f>
        <v/>
      </c>
      <c r="E237" s="29" t="str">
        <f>IF(Analysis!$I237="","",IF(Analysis!$I237="Embedded",Analysis!$C237,""))</f>
        <v/>
      </c>
      <c r="F237" s="29" t="str">
        <f>IF(Analysis!$I237="","",IF(Analysis!$I237="Loyal but shallow",Analysis!$C237,""))</f>
        <v/>
      </c>
      <c r="G237" s="29" t="str">
        <f>IF(Analysis!$I237="","",IF(Analysis!$I237="Project-driven",Analysis!$C237,""))</f>
        <v/>
      </c>
      <c r="H237" s="29" t="str">
        <f>IF(Analysis!$I237="","",IF(Analysis!$I237="Drifting",Analysis!$C237,""))</f>
        <v/>
      </c>
      <c r="I237" s="29" t="str">
        <f>IF(Analysis!$I237="","",IF(Analysis!$I237="Embedded",Analysis!$F237,""))</f>
        <v/>
      </c>
      <c r="J237" s="29" t="str">
        <f>IF(Analysis!$I237="","",IF(Analysis!$I237="Loyal but shallow",Analysis!$F237,""))</f>
        <v/>
      </c>
      <c r="K237" s="29" t="str">
        <f>IF(Analysis!$I237="","",IF(Analysis!$I237="Project-driven",Analysis!$F237,""))</f>
        <v/>
      </c>
      <c r="L237" s="29" t="str">
        <f>IF(Analysis!$I237="","",IF(Analysis!$I237="Drifting",Analysis!$F237,""))</f>
        <v/>
      </c>
      <c r="M237" s="29" t="str">
        <f>IF(Analysis!$I237="","",IF(Analysis!$I237="Embedded",Analysis!$H237,""))</f>
        <v/>
      </c>
      <c r="N237" s="29" t="str">
        <f>IF(Analysis!$I237="","",IF(Analysis!$I237="Loyal but shallow",Analysis!$H237,""))</f>
        <v/>
      </c>
      <c r="O237" s="29" t="str">
        <f>IF(Analysis!$I237="","",IF(Analysis!$I237="Project-driven",Analysis!$H237,""))</f>
        <v/>
      </c>
      <c r="P237" s="29" t="str">
        <f>IF(Analysis!$I237="","",IF(Analysis!$I237="Drifting",Analysis!$H237,""))</f>
        <v/>
      </c>
    </row>
    <row r="238" spans="1:16" x14ac:dyDescent="0.25">
      <c r="A238" s="29" t="str">
        <f>IF(Analysis!$I238="","",IF(Analysis!$I238="Embedded",Analysis!$D238,""))</f>
        <v/>
      </c>
      <c r="B238" s="29" t="str">
        <f>IF(Analysis!$I238="","",IF(Analysis!$I238="Loyal but shallow",Analysis!$D238,""))</f>
        <v/>
      </c>
      <c r="C238" s="29" t="str">
        <f>IF(Analysis!$I238="","",IF(Analysis!$I238="Project-driven",Analysis!$D238,""))</f>
        <v/>
      </c>
      <c r="D238" s="29" t="str">
        <f>IF(Analysis!$I238="","",IF(Analysis!$I238="Drifting",Analysis!$D238,""))</f>
        <v/>
      </c>
      <c r="E238" s="29" t="str">
        <f>IF(Analysis!$I238="","",IF(Analysis!$I238="Embedded",Analysis!$C238,""))</f>
        <v/>
      </c>
      <c r="F238" s="29" t="str">
        <f>IF(Analysis!$I238="","",IF(Analysis!$I238="Loyal but shallow",Analysis!$C238,""))</f>
        <v/>
      </c>
      <c r="G238" s="29" t="str">
        <f>IF(Analysis!$I238="","",IF(Analysis!$I238="Project-driven",Analysis!$C238,""))</f>
        <v/>
      </c>
      <c r="H238" s="29" t="str">
        <f>IF(Analysis!$I238="","",IF(Analysis!$I238="Drifting",Analysis!$C238,""))</f>
        <v/>
      </c>
      <c r="I238" s="29" t="str">
        <f>IF(Analysis!$I238="","",IF(Analysis!$I238="Embedded",Analysis!$F238,""))</f>
        <v/>
      </c>
      <c r="J238" s="29" t="str">
        <f>IF(Analysis!$I238="","",IF(Analysis!$I238="Loyal but shallow",Analysis!$F238,""))</f>
        <v/>
      </c>
      <c r="K238" s="29" t="str">
        <f>IF(Analysis!$I238="","",IF(Analysis!$I238="Project-driven",Analysis!$F238,""))</f>
        <v/>
      </c>
      <c r="L238" s="29" t="str">
        <f>IF(Analysis!$I238="","",IF(Analysis!$I238="Drifting",Analysis!$F238,""))</f>
        <v/>
      </c>
      <c r="M238" s="29" t="str">
        <f>IF(Analysis!$I238="","",IF(Analysis!$I238="Embedded",Analysis!$H238,""))</f>
        <v/>
      </c>
      <c r="N238" s="29" t="str">
        <f>IF(Analysis!$I238="","",IF(Analysis!$I238="Loyal but shallow",Analysis!$H238,""))</f>
        <v/>
      </c>
      <c r="O238" s="29" t="str">
        <f>IF(Analysis!$I238="","",IF(Analysis!$I238="Project-driven",Analysis!$H238,""))</f>
        <v/>
      </c>
      <c r="P238" s="29" t="str">
        <f>IF(Analysis!$I238="","",IF(Analysis!$I238="Drifting",Analysis!$H238,""))</f>
        <v/>
      </c>
    </row>
    <row r="239" spans="1:16" x14ac:dyDescent="0.25">
      <c r="A239" s="29" t="str">
        <f>IF(Analysis!$I239="","",IF(Analysis!$I239="Embedded",Analysis!$D239,""))</f>
        <v/>
      </c>
      <c r="B239" s="29" t="str">
        <f>IF(Analysis!$I239="","",IF(Analysis!$I239="Loyal but shallow",Analysis!$D239,""))</f>
        <v/>
      </c>
      <c r="C239" s="29" t="str">
        <f>IF(Analysis!$I239="","",IF(Analysis!$I239="Project-driven",Analysis!$D239,""))</f>
        <v/>
      </c>
      <c r="D239" s="29" t="str">
        <f>IF(Analysis!$I239="","",IF(Analysis!$I239="Drifting",Analysis!$D239,""))</f>
        <v/>
      </c>
      <c r="E239" s="29" t="str">
        <f>IF(Analysis!$I239="","",IF(Analysis!$I239="Embedded",Analysis!$C239,""))</f>
        <v/>
      </c>
      <c r="F239" s="29" t="str">
        <f>IF(Analysis!$I239="","",IF(Analysis!$I239="Loyal but shallow",Analysis!$C239,""))</f>
        <v/>
      </c>
      <c r="G239" s="29" t="str">
        <f>IF(Analysis!$I239="","",IF(Analysis!$I239="Project-driven",Analysis!$C239,""))</f>
        <v/>
      </c>
      <c r="H239" s="29" t="str">
        <f>IF(Analysis!$I239="","",IF(Analysis!$I239="Drifting",Analysis!$C239,""))</f>
        <v/>
      </c>
      <c r="I239" s="29" t="str">
        <f>IF(Analysis!$I239="","",IF(Analysis!$I239="Embedded",Analysis!$F239,""))</f>
        <v/>
      </c>
      <c r="J239" s="29" t="str">
        <f>IF(Analysis!$I239="","",IF(Analysis!$I239="Loyal but shallow",Analysis!$F239,""))</f>
        <v/>
      </c>
      <c r="K239" s="29" t="str">
        <f>IF(Analysis!$I239="","",IF(Analysis!$I239="Project-driven",Analysis!$F239,""))</f>
        <v/>
      </c>
      <c r="L239" s="29" t="str">
        <f>IF(Analysis!$I239="","",IF(Analysis!$I239="Drifting",Analysis!$F239,""))</f>
        <v/>
      </c>
      <c r="M239" s="29" t="str">
        <f>IF(Analysis!$I239="","",IF(Analysis!$I239="Embedded",Analysis!$H239,""))</f>
        <v/>
      </c>
      <c r="N239" s="29" t="str">
        <f>IF(Analysis!$I239="","",IF(Analysis!$I239="Loyal but shallow",Analysis!$H239,""))</f>
        <v/>
      </c>
      <c r="O239" s="29" t="str">
        <f>IF(Analysis!$I239="","",IF(Analysis!$I239="Project-driven",Analysis!$H239,""))</f>
        <v/>
      </c>
      <c r="P239" s="29" t="str">
        <f>IF(Analysis!$I239="","",IF(Analysis!$I239="Drifting",Analysis!$H239,""))</f>
        <v/>
      </c>
    </row>
    <row r="240" spans="1:16" x14ac:dyDescent="0.25">
      <c r="A240" s="29" t="str">
        <f>IF(Analysis!$I240="","",IF(Analysis!$I240="Embedded",Analysis!$D240,""))</f>
        <v/>
      </c>
      <c r="B240" s="29" t="str">
        <f>IF(Analysis!$I240="","",IF(Analysis!$I240="Loyal but shallow",Analysis!$D240,""))</f>
        <v/>
      </c>
      <c r="C240" s="29" t="str">
        <f>IF(Analysis!$I240="","",IF(Analysis!$I240="Project-driven",Analysis!$D240,""))</f>
        <v/>
      </c>
      <c r="D240" s="29" t="str">
        <f>IF(Analysis!$I240="","",IF(Analysis!$I240="Drifting",Analysis!$D240,""))</f>
        <v/>
      </c>
      <c r="E240" s="29" t="str">
        <f>IF(Analysis!$I240="","",IF(Analysis!$I240="Embedded",Analysis!$C240,""))</f>
        <v/>
      </c>
      <c r="F240" s="29" t="str">
        <f>IF(Analysis!$I240="","",IF(Analysis!$I240="Loyal but shallow",Analysis!$C240,""))</f>
        <v/>
      </c>
      <c r="G240" s="29" t="str">
        <f>IF(Analysis!$I240="","",IF(Analysis!$I240="Project-driven",Analysis!$C240,""))</f>
        <v/>
      </c>
      <c r="H240" s="29" t="str">
        <f>IF(Analysis!$I240="","",IF(Analysis!$I240="Drifting",Analysis!$C240,""))</f>
        <v/>
      </c>
      <c r="I240" s="29" t="str">
        <f>IF(Analysis!$I240="","",IF(Analysis!$I240="Embedded",Analysis!$F240,""))</f>
        <v/>
      </c>
      <c r="J240" s="29" t="str">
        <f>IF(Analysis!$I240="","",IF(Analysis!$I240="Loyal but shallow",Analysis!$F240,""))</f>
        <v/>
      </c>
      <c r="K240" s="29" t="str">
        <f>IF(Analysis!$I240="","",IF(Analysis!$I240="Project-driven",Analysis!$F240,""))</f>
        <v/>
      </c>
      <c r="L240" s="29" t="str">
        <f>IF(Analysis!$I240="","",IF(Analysis!$I240="Drifting",Analysis!$F240,""))</f>
        <v/>
      </c>
      <c r="M240" s="29" t="str">
        <f>IF(Analysis!$I240="","",IF(Analysis!$I240="Embedded",Analysis!$H240,""))</f>
        <v/>
      </c>
      <c r="N240" s="29" t="str">
        <f>IF(Analysis!$I240="","",IF(Analysis!$I240="Loyal but shallow",Analysis!$H240,""))</f>
        <v/>
      </c>
      <c r="O240" s="29" t="str">
        <f>IF(Analysis!$I240="","",IF(Analysis!$I240="Project-driven",Analysis!$H240,""))</f>
        <v/>
      </c>
      <c r="P240" s="29" t="str">
        <f>IF(Analysis!$I240="","",IF(Analysis!$I240="Drifting",Analysis!$H240,""))</f>
        <v/>
      </c>
    </row>
    <row r="241" spans="1:16" x14ac:dyDescent="0.25">
      <c r="A241" s="29" t="str">
        <f>IF(Analysis!$I241="","",IF(Analysis!$I241="Embedded",Analysis!$D241,""))</f>
        <v/>
      </c>
      <c r="B241" s="29" t="str">
        <f>IF(Analysis!$I241="","",IF(Analysis!$I241="Loyal but shallow",Analysis!$D241,""))</f>
        <v/>
      </c>
      <c r="C241" s="29" t="str">
        <f>IF(Analysis!$I241="","",IF(Analysis!$I241="Project-driven",Analysis!$D241,""))</f>
        <v/>
      </c>
      <c r="D241" s="29" t="str">
        <f>IF(Analysis!$I241="","",IF(Analysis!$I241="Drifting",Analysis!$D241,""))</f>
        <v/>
      </c>
      <c r="E241" s="29" t="str">
        <f>IF(Analysis!$I241="","",IF(Analysis!$I241="Embedded",Analysis!$C241,""))</f>
        <v/>
      </c>
      <c r="F241" s="29" t="str">
        <f>IF(Analysis!$I241="","",IF(Analysis!$I241="Loyal but shallow",Analysis!$C241,""))</f>
        <v/>
      </c>
      <c r="G241" s="29" t="str">
        <f>IF(Analysis!$I241="","",IF(Analysis!$I241="Project-driven",Analysis!$C241,""))</f>
        <v/>
      </c>
      <c r="H241" s="29" t="str">
        <f>IF(Analysis!$I241="","",IF(Analysis!$I241="Drifting",Analysis!$C241,""))</f>
        <v/>
      </c>
      <c r="I241" s="29" t="str">
        <f>IF(Analysis!$I241="","",IF(Analysis!$I241="Embedded",Analysis!$F241,""))</f>
        <v/>
      </c>
      <c r="J241" s="29" t="str">
        <f>IF(Analysis!$I241="","",IF(Analysis!$I241="Loyal but shallow",Analysis!$F241,""))</f>
        <v/>
      </c>
      <c r="K241" s="29" t="str">
        <f>IF(Analysis!$I241="","",IF(Analysis!$I241="Project-driven",Analysis!$F241,""))</f>
        <v/>
      </c>
      <c r="L241" s="29" t="str">
        <f>IF(Analysis!$I241="","",IF(Analysis!$I241="Drifting",Analysis!$F241,""))</f>
        <v/>
      </c>
      <c r="M241" s="29" t="str">
        <f>IF(Analysis!$I241="","",IF(Analysis!$I241="Embedded",Analysis!$H241,""))</f>
        <v/>
      </c>
      <c r="N241" s="29" t="str">
        <f>IF(Analysis!$I241="","",IF(Analysis!$I241="Loyal but shallow",Analysis!$H241,""))</f>
        <v/>
      </c>
      <c r="O241" s="29" t="str">
        <f>IF(Analysis!$I241="","",IF(Analysis!$I241="Project-driven",Analysis!$H241,""))</f>
        <v/>
      </c>
      <c r="P241" s="29" t="str">
        <f>IF(Analysis!$I241="","",IF(Analysis!$I241="Drifting",Analysis!$H241,""))</f>
        <v/>
      </c>
    </row>
    <row r="242" spans="1:16" x14ac:dyDescent="0.25">
      <c r="A242" s="29" t="str">
        <f>IF(Analysis!$I242="","",IF(Analysis!$I242="Embedded",Analysis!$D242,""))</f>
        <v/>
      </c>
      <c r="B242" s="29" t="str">
        <f>IF(Analysis!$I242="","",IF(Analysis!$I242="Loyal but shallow",Analysis!$D242,""))</f>
        <v/>
      </c>
      <c r="C242" s="29" t="str">
        <f>IF(Analysis!$I242="","",IF(Analysis!$I242="Project-driven",Analysis!$D242,""))</f>
        <v/>
      </c>
      <c r="D242" s="29" t="str">
        <f>IF(Analysis!$I242="","",IF(Analysis!$I242="Drifting",Analysis!$D242,""))</f>
        <v/>
      </c>
      <c r="E242" s="29" t="str">
        <f>IF(Analysis!$I242="","",IF(Analysis!$I242="Embedded",Analysis!$C242,""))</f>
        <v/>
      </c>
      <c r="F242" s="29" t="str">
        <f>IF(Analysis!$I242="","",IF(Analysis!$I242="Loyal but shallow",Analysis!$C242,""))</f>
        <v/>
      </c>
      <c r="G242" s="29" t="str">
        <f>IF(Analysis!$I242="","",IF(Analysis!$I242="Project-driven",Analysis!$C242,""))</f>
        <v/>
      </c>
      <c r="H242" s="29" t="str">
        <f>IF(Analysis!$I242="","",IF(Analysis!$I242="Drifting",Analysis!$C242,""))</f>
        <v/>
      </c>
      <c r="I242" s="29" t="str">
        <f>IF(Analysis!$I242="","",IF(Analysis!$I242="Embedded",Analysis!$F242,""))</f>
        <v/>
      </c>
      <c r="J242" s="29" t="str">
        <f>IF(Analysis!$I242="","",IF(Analysis!$I242="Loyal but shallow",Analysis!$F242,""))</f>
        <v/>
      </c>
      <c r="K242" s="29" t="str">
        <f>IF(Analysis!$I242="","",IF(Analysis!$I242="Project-driven",Analysis!$F242,""))</f>
        <v/>
      </c>
      <c r="L242" s="29" t="str">
        <f>IF(Analysis!$I242="","",IF(Analysis!$I242="Drifting",Analysis!$F242,""))</f>
        <v/>
      </c>
      <c r="M242" s="29" t="str">
        <f>IF(Analysis!$I242="","",IF(Analysis!$I242="Embedded",Analysis!$H242,""))</f>
        <v/>
      </c>
      <c r="N242" s="29" t="str">
        <f>IF(Analysis!$I242="","",IF(Analysis!$I242="Loyal but shallow",Analysis!$H242,""))</f>
        <v/>
      </c>
      <c r="O242" s="29" t="str">
        <f>IF(Analysis!$I242="","",IF(Analysis!$I242="Project-driven",Analysis!$H242,""))</f>
        <v/>
      </c>
      <c r="P242" s="29" t="str">
        <f>IF(Analysis!$I242="","",IF(Analysis!$I242="Drifting",Analysis!$H242,""))</f>
        <v/>
      </c>
    </row>
    <row r="243" spans="1:16" x14ac:dyDescent="0.25">
      <c r="A243" s="29" t="str">
        <f>IF(Analysis!$I243="","",IF(Analysis!$I243="Embedded",Analysis!$D243,""))</f>
        <v/>
      </c>
      <c r="B243" s="29" t="str">
        <f>IF(Analysis!$I243="","",IF(Analysis!$I243="Loyal but shallow",Analysis!$D243,""))</f>
        <v/>
      </c>
      <c r="C243" s="29" t="str">
        <f>IF(Analysis!$I243="","",IF(Analysis!$I243="Project-driven",Analysis!$D243,""))</f>
        <v/>
      </c>
      <c r="D243" s="29" t="str">
        <f>IF(Analysis!$I243="","",IF(Analysis!$I243="Drifting",Analysis!$D243,""))</f>
        <v/>
      </c>
      <c r="E243" s="29" t="str">
        <f>IF(Analysis!$I243="","",IF(Analysis!$I243="Embedded",Analysis!$C243,""))</f>
        <v/>
      </c>
      <c r="F243" s="29" t="str">
        <f>IF(Analysis!$I243="","",IF(Analysis!$I243="Loyal but shallow",Analysis!$C243,""))</f>
        <v/>
      </c>
      <c r="G243" s="29" t="str">
        <f>IF(Analysis!$I243="","",IF(Analysis!$I243="Project-driven",Analysis!$C243,""))</f>
        <v/>
      </c>
      <c r="H243" s="29" t="str">
        <f>IF(Analysis!$I243="","",IF(Analysis!$I243="Drifting",Analysis!$C243,""))</f>
        <v/>
      </c>
      <c r="I243" s="29" t="str">
        <f>IF(Analysis!$I243="","",IF(Analysis!$I243="Embedded",Analysis!$F243,""))</f>
        <v/>
      </c>
      <c r="J243" s="29" t="str">
        <f>IF(Analysis!$I243="","",IF(Analysis!$I243="Loyal but shallow",Analysis!$F243,""))</f>
        <v/>
      </c>
      <c r="K243" s="29" t="str">
        <f>IF(Analysis!$I243="","",IF(Analysis!$I243="Project-driven",Analysis!$F243,""))</f>
        <v/>
      </c>
      <c r="L243" s="29" t="str">
        <f>IF(Analysis!$I243="","",IF(Analysis!$I243="Drifting",Analysis!$F243,""))</f>
        <v/>
      </c>
      <c r="M243" s="29" t="str">
        <f>IF(Analysis!$I243="","",IF(Analysis!$I243="Embedded",Analysis!$H243,""))</f>
        <v/>
      </c>
      <c r="N243" s="29" t="str">
        <f>IF(Analysis!$I243="","",IF(Analysis!$I243="Loyal but shallow",Analysis!$H243,""))</f>
        <v/>
      </c>
      <c r="O243" s="29" t="str">
        <f>IF(Analysis!$I243="","",IF(Analysis!$I243="Project-driven",Analysis!$H243,""))</f>
        <v/>
      </c>
      <c r="P243" s="29" t="str">
        <f>IF(Analysis!$I243="","",IF(Analysis!$I243="Drifting",Analysis!$H243,""))</f>
        <v/>
      </c>
    </row>
    <row r="244" spans="1:16" x14ac:dyDescent="0.25">
      <c r="A244" s="29" t="str">
        <f>IF(Analysis!$I244="","",IF(Analysis!$I244="Embedded",Analysis!$D244,""))</f>
        <v/>
      </c>
      <c r="B244" s="29" t="str">
        <f>IF(Analysis!$I244="","",IF(Analysis!$I244="Loyal but shallow",Analysis!$D244,""))</f>
        <v/>
      </c>
      <c r="C244" s="29" t="str">
        <f>IF(Analysis!$I244="","",IF(Analysis!$I244="Project-driven",Analysis!$D244,""))</f>
        <v/>
      </c>
      <c r="D244" s="29" t="str">
        <f>IF(Analysis!$I244="","",IF(Analysis!$I244="Drifting",Analysis!$D244,""))</f>
        <v/>
      </c>
      <c r="E244" s="29" t="str">
        <f>IF(Analysis!$I244="","",IF(Analysis!$I244="Embedded",Analysis!$C244,""))</f>
        <v/>
      </c>
      <c r="F244" s="29" t="str">
        <f>IF(Analysis!$I244="","",IF(Analysis!$I244="Loyal but shallow",Analysis!$C244,""))</f>
        <v/>
      </c>
      <c r="G244" s="29" t="str">
        <f>IF(Analysis!$I244="","",IF(Analysis!$I244="Project-driven",Analysis!$C244,""))</f>
        <v/>
      </c>
      <c r="H244" s="29" t="str">
        <f>IF(Analysis!$I244="","",IF(Analysis!$I244="Drifting",Analysis!$C244,""))</f>
        <v/>
      </c>
      <c r="I244" s="29" t="str">
        <f>IF(Analysis!$I244="","",IF(Analysis!$I244="Embedded",Analysis!$F244,""))</f>
        <v/>
      </c>
      <c r="J244" s="29" t="str">
        <f>IF(Analysis!$I244="","",IF(Analysis!$I244="Loyal but shallow",Analysis!$F244,""))</f>
        <v/>
      </c>
      <c r="K244" s="29" t="str">
        <f>IF(Analysis!$I244="","",IF(Analysis!$I244="Project-driven",Analysis!$F244,""))</f>
        <v/>
      </c>
      <c r="L244" s="29" t="str">
        <f>IF(Analysis!$I244="","",IF(Analysis!$I244="Drifting",Analysis!$F244,""))</f>
        <v/>
      </c>
      <c r="M244" s="29" t="str">
        <f>IF(Analysis!$I244="","",IF(Analysis!$I244="Embedded",Analysis!$H244,""))</f>
        <v/>
      </c>
      <c r="N244" s="29" t="str">
        <f>IF(Analysis!$I244="","",IF(Analysis!$I244="Loyal but shallow",Analysis!$H244,""))</f>
        <v/>
      </c>
      <c r="O244" s="29" t="str">
        <f>IF(Analysis!$I244="","",IF(Analysis!$I244="Project-driven",Analysis!$H244,""))</f>
        <v/>
      </c>
      <c r="P244" s="29" t="str">
        <f>IF(Analysis!$I244="","",IF(Analysis!$I244="Drifting",Analysis!$H244,""))</f>
        <v/>
      </c>
    </row>
    <row r="245" spans="1:16" x14ac:dyDescent="0.25">
      <c r="A245" s="29" t="str">
        <f>IF(Analysis!$I245="","",IF(Analysis!$I245="Embedded",Analysis!$D245,""))</f>
        <v/>
      </c>
      <c r="B245" s="29" t="str">
        <f>IF(Analysis!$I245="","",IF(Analysis!$I245="Loyal but shallow",Analysis!$D245,""))</f>
        <v/>
      </c>
      <c r="C245" s="29" t="str">
        <f>IF(Analysis!$I245="","",IF(Analysis!$I245="Project-driven",Analysis!$D245,""))</f>
        <v/>
      </c>
      <c r="D245" s="29" t="str">
        <f>IF(Analysis!$I245="","",IF(Analysis!$I245="Drifting",Analysis!$D245,""))</f>
        <v/>
      </c>
      <c r="E245" s="29" t="str">
        <f>IF(Analysis!$I245="","",IF(Analysis!$I245="Embedded",Analysis!$C245,""))</f>
        <v/>
      </c>
      <c r="F245" s="29" t="str">
        <f>IF(Analysis!$I245="","",IF(Analysis!$I245="Loyal but shallow",Analysis!$C245,""))</f>
        <v/>
      </c>
      <c r="G245" s="29" t="str">
        <f>IF(Analysis!$I245="","",IF(Analysis!$I245="Project-driven",Analysis!$C245,""))</f>
        <v/>
      </c>
      <c r="H245" s="29" t="str">
        <f>IF(Analysis!$I245="","",IF(Analysis!$I245="Drifting",Analysis!$C245,""))</f>
        <v/>
      </c>
      <c r="I245" s="29" t="str">
        <f>IF(Analysis!$I245="","",IF(Analysis!$I245="Embedded",Analysis!$F245,""))</f>
        <v/>
      </c>
      <c r="J245" s="29" t="str">
        <f>IF(Analysis!$I245="","",IF(Analysis!$I245="Loyal but shallow",Analysis!$F245,""))</f>
        <v/>
      </c>
      <c r="K245" s="29" t="str">
        <f>IF(Analysis!$I245="","",IF(Analysis!$I245="Project-driven",Analysis!$F245,""))</f>
        <v/>
      </c>
      <c r="L245" s="29" t="str">
        <f>IF(Analysis!$I245="","",IF(Analysis!$I245="Drifting",Analysis!$F245,""))</f>
        <v/>
      </c>
      <c r="M245" s="29" t="str">
        <f>IF(Analysis!$I245="","",IF(Analysis!$I245="Embedded",Analysis!$H245,""))</f>
        <v/>
      </c>
      <c r="N245" s="29" t="str">
        <f>IF(Analysis!$I245="","",IF(Analysis!$I245="Loyal but shallow",Analysis!$H245,""))</f>
        <v/>
      </c>
      <c r="O245" s="29" t="str">
        <f>IF(Analysis!$I245="","",IF(Analysis!$I245="Project-driven",Analysis!$H245,""))</f>
        <v/>
      </c>
      <c r="P245" s="29" t="str">
        <f>IF(Analysis!$I245="","",IF(Analysis!$I245="Drifting",Analysis!$H245,""))</f>
        <v/>
      </c>
    </row>
    <row r="246" spans="1:16" x14ac:dyDescent="0.25">
      <c r="A246" s="29" t="str">
        <f>IF(Analysis!$I246="","",IF(Analysis!$I246="Embedded",Analysis!$D246,""))</f>
        <v/>
      </c>
      <c r="B246" s="29" t="str">
        <f>IF(Analysis!$I246="","",IF(Analysis!$I246="Loyal but shallow",Analysis!$D246,""))</f>
        <v/>
      </c>
      <c r="C246" s="29" t="str">
        <f>IF(Analysis!$I246="","",IF(Analysis!$I246="Project-driven",Analysis!$D246,""))</f>
        <v/>
      </c>
      <c r="D246" s="29" t="str">
        <f>IF(Analysis!$I246="","",IF(Analysis!$I246="Drifting",Analysis!$D246,""))</f>
        <v/>
      </c>
      <c r="E246" s="29" t="str">
        <f>IF(Analysis!$I246="","",IF(Analysis!$I246="Embedded",Analysis!$C246,""))</f>
        <v/>
      </c>
      <c r="F246" s="29" t="str">
        <f>IF(Analysis!$I246="","",IF(Analysis!$I246="Loyal but shallow",Analysis!$C246,""))</f>
        <v/>
      </c>
      <c r="G246" s="29" t="str">
        <f>IF(Analysis!$I246="","",IF(Analysis!$I246="Project-driven",Analysis!$C246,""))</f>
        <v/>
      </c>
      <c r="H246" s="29" t="str">
        <f>IF(Analysis!$I246="","",IF(Analysis!$I246="Drifting",Analysis!$C246,""))</f>
        <v/>
      </c>
      <c r="I246" s="29" t="str">
        <f>IF(Analysis!$I246="","",IF(Analysis!$I246="Embedded",Analysis!$F246,""))</f>
        <v/>
      </c>
      <c r="J246" s="29" t="str">
        <f>IF(Analysis!$I246="","",IF(Analysis!$I246="Loyal but shallow",Analysis!$F246,""))</f>
        <v/>
      </c>
      <c r="K246" s="29" t="str">
        <f>IF(Analysis!$I246="","",IF(Analysis!$I246="Project-driven",Analysis!$F246,""))</f>
        <v/>
      </c>
      <c r="L246" s="29" t="str">
        <f>IF(Analysis!$I246="","",IF(Analysis!$I246="Drifting",Analysis!$F246,""))</f>
        <v/>
      </c>
      <c r="M246" s="29" t="str">
        <f>IF(Analysis!$I246="","",IF(Analysis!$I246="Embedded",Analysis!$H246,""))</f>
        <v/>
      </c>
      <c r="N246" s="29" t="str">
        <f>IF(Analysis!$I246="","",IF(Analysis!$I246="Loyal but shallow",Analysis!$H246,""))</f>
        <v/>
      </c>
      <c r="O246" s="29" t="str">
        <f>IF(Analysis!$I246="","",IF(Analysis!$I246="Project-driven",Analysis!$H246,""))</f>
        <v/>
      </c>
      <c r="P246" s="29" t="str">
        <f>IF(Analysis!$I246="","",IF(Analysis!$I246="Drifting",Analysis!$H246,""))</f>
        <v/>
      </c>
    </row>
    <row r="247" spans="1:16" x14ac:dyDescent="0.25">
      <c r="A247" s="29" t="str">
        <f>IF(Analysis!$I247="","",IF(Analysis!$I247="Embedded",Analysis!$D247,""))</f>
        <v/>
      </c>
      <c r="B247" s="29" t="str">
        <f>IF(Analysis!$I247="","",IF(Analysis!$I247="Loyal but shallow",Analysis!$D247,""))</f>
        <v/>
      </c>
      <c r="C247" s="29" t="str">
        <f>IF(Analysis!$I247="","",IF(Analysis!$I247="Project-driven",Analysis!$D247,""))</f>
        <v/>
      </c>
      <c r="D247" s="29" t="str">
        <f>IF(Analysis!$I247="","",IF(Analysis!$I247="Drifting",Analysis!$D247,""))</f>
        <v/>
      </c>
      <c r="E247" s="29" t="str">
        <f>IF(Analysis!$I247="","",IF(Analysis!$I247="Embedded",Analysis!$C247,""))</f>
        <v/>
      </c>
      <c r="F247" s="29" t="str">
        <f>IF(Analysis!$I247="","",IF(Analysis!$I247="Loyal but shallow",Analysis!$C247,""))</f>
        <v/>
      </c>
      <c r="G247" s="29" t="str">
        <f>IF(Analysis!$I247="","",IF(Analysis!$I247="Project-driven",Analysis!$C247,""))</f>
        <v/>
      </c>
      <c r="H247" s="29" t="str">
        <f>IF(Analysis!$I247="","",IF(Analysis!$I247="Drifting",Analysis!$C247,""))</f>
        <v/>
      </c>
      <c r="I247" s="29" t="str">
        <f>IF(Analysis!$I247="","",IF(Analysis!$I247="Embedded",Analysis!$F247,""))</f>
        <v/>
      </c>
      <c r="J247" s="29" t="str">
        <f>IF(Analysis!$I247="","",IF(Analysis!$I247="Loyal but shallow",Analysis!$F247,""))</f>
        <v/>
      </c>
      <c r="K247" s="29" t="str">
        <f>IF(Analysis!$I247="","",IF(Analysis!$I247="Project-driven",Analysis!$F247,""))</f>
        <v/>
      </c>
      <c r="L247" s="29" t="str">
        <f>IF(Analysis!$I247="","",IF(Analysis!$I247="Drifting",Analysis!$F247,""))</f>
        <v/>
      </c>
      <c r="M247" s="29" t="str">
        <f>IF(Analysis!$I247="","",IF(Analysis!$I247="Embedded",Analysis!$H247,""))</f>
        <v/>
      </c>
      <c r="N247" s="29" t="str">
        <f>IF(Analysis!$I247="","",IF(Analysis!$I247="Loyal but shallow",Analysis!$H247,""))</f>
        <v/>
      </c>
      <c r="O247" s="29" t="str">
        <f>IF(Analysis!$I247="","",IF(Analysis!$I247="Project-driven",Analysis!$H247,""))</f>
        <v/>
      </c>
      <c r="P247" s="29" t="str">
        <f>IF(Analysis!$I247="","",IF(Analysis!$I247="Drifting",Analysis!$H247,""))</f>
        <v/>
      </c>
    </row>
    <row r="248" spans="1:16" x14ac:dyDescent="0.25">
      <c r="A248" s="29" t="str">
        <f>IF(Analysis!$I248="","",IF(Analysis!$I248="Embedded",Analysis!$D248,""))</f>
        <v/>
      </c>
      <c r="B248" s="29" t="str">
        <f>IF(Analysis!$I248="","",IF(Analysis!$I248="Loyal but shallow",Analysis!$D248,""))</f>
        <v/>
      </c>
      <c r="C248" s="29" t="str">
        <f>IF(Analysis!$I248="","",IF(Analysis!$I248="Project-driven",Analysis!$D248,""))</f>
        <v/>
      </c>
      <c r="D248" s="29" t="str">
        <f>IF(Analysis!$I248="","",IF(Analysis!$I248="Drifting",Analysis!$D248,""))</f>
        <v/>
      </c>
      <c r="E248" s="29" t="str">
        <f>IF(Analysis!$I248="","",IF(Analysis!$I248="Embedded",Analysis!$C248,""))</f>
        <v/>
      </c>
      <c r="F248" s="29" t="str">
        <f>IF(Analysis!$I248="","",IF(Analysis!$I248="Loyal but shallow",Analysis!$C248,""))</f>
        <v/>
      </c>
      <c r="G248" s="29" t="str">
        <f>IF(Analysis!$I248="","",IF(Analysis!$I248="Project-driven",Analysis!$C248,""))</f>
        <v/>
      </c>
      <c r="H248" s="29" t="str">
        <f>IF(Analysis!$I248="","",IF(Analysis!$I248="Drifting",Analysis!$C248,""))</f>
        <v/>
      </c>
      <c r="I248" s="29" t="str">
        <f>IF(Analysis!$I248="","",IF(Analysis!$I248="Embedded",Analysis!$F248,""))</f>
        <v/>
      </c>
      <c r="J248" s="29" t="str">
        <f>IF(Analysis!$I248="","",IF(Analysis!$I248="Loyal but shallow",Analysis!$F248,""))</f>
        <v/>
      </c>
      <c r="K248" s="29" t="str">
        <f>IF(Analysis!$I248="","",IF(Analysis!$I248="Project-driven",Analysis!$F248,""))</f>
        <v/>
      </c>
      <c r="L248" s="29" t="str">
        <f>IF(Analysis!$I248="","",IF(Analysis!$I248="Drifting",Analysis!$F248,""))</f>
        <v/>
      </c>
      <c r="M248" s="29" t="str">
        <f>IF(Analysis!$I248="","",IF(Analysis!$I248="Embedded",Analysis!$H248,""))</f>
        <v/>
      </c>
      <c r="N248" s="29" t="str">
        <f>IF(Analysis!$I248="","",IF(Analysis!$I248="Loyal but shallow",Analysis!$H248,""))</f>
        <v/>
      </c>
      <c r="O248" s="29" t="str">
        <f>IF(Analysis!$I248="","",IF(Analysis!$I248="Project-driven",Analysis!$H248,""))</f>
        <v/>
      </c>
      <c r="P248" s="29" t="str">
        <f>IF(Analysis!$I248="","",IF(Analysis!$I248="Drifting",Analysis!$H248,""))</f>
        <v/>
      </c>
    </row>
    <row r="249" spans="1:16" x14ac:dyDescent="0.25">
      <c r="A249" s="29" t="str">
        <f>IF(Analysis!$I249="","",IF(Analysis!$I249="Embedded",Analysis!$D249,""))</f>
        <v/>
      </c>
      <c r="B249" s="29" t="str">
        <f>IF(Analysis!$I249="","",IF(Analysis!$I249="Loyal but shallow",Analysis!$D249,""))</f>
        <v/>
      </c>
      <c r="C249" s="29" t="str">
        <f>IF(Analysis!$I249="","",IF(Analysis!$I249="Project-driven",Analysis!$D249,""))</f>
        <v/>
      </c>
      <c r="D249" s="29" t="str">
        <f>IF(Analysis!$I249="","",IF(Analysis!$I249="Drifting",Analysis!$D249,""))</f>
        <v/>
      </c>
      <c r="E249" s="29" t="str">
        <f>IF(Analysis!$I249="","",IF(Analysis!$I249="Embedded",Analysis!$C249,""))</f>
        <v/>
      </c>
      <c r="F249" s="29" t="str">
        <f>IF(Analysis!$I249="","",IF(Analysis!$I249="Loyal but shallow",Analysis!$C249,""))</f>
        <v/>
      </c>
      <c r="G249" s="29" t="str">
        <f>IF(Analysis!$I249="","",IF(Analysis!$I249="Project-driven",Analysis!$C249,""))</f>
        <v/>
      </c>
      <c r="H249" s="29" t="str">
        <f>IF(Analysis!$I249="","",IF(Analysis!$I249="Drifting",Analysis!$C249,""))</f>
        <v/>
      </c>
      <c r="I249" s="29" t="str">
        <f>IF(Analysis!$I249="","",IF(Analysis!$I249="Embedded",Analysis!$F249,""))</f>
        <v/>
      </c>
      <c r="J249" s="29" t="str">
        <f>IF(Analysis!$I249="","",IF(Analysis!$I249="Loyal but shallow",Analysis!$F249,""))</f>
        <v/>
      </c>
      <c r="K249" s="29" t="str">
        <f>IF(Analysis!$I249="","",IF(Analysis!$I249="Project-driven",Analysis!$F249,""))</f>
        <v/>
      </c>
      <c r="L249" s="29" t="str">
        <f>IF(Analysis!$I249="","",IF(Analysis!$I249="Drifting",Analysis!$F249,""))</f>
        <v/>
      </c>
      <c r="M249" s="29" t="str">
        <f>IF(Analysis!$I249="","",IF(Analysis!$I249="Embedded",Analysis!$H249,""))</f>
        <v/>
      </c>
      <c r="N249" s="29" t="str">
        <f>IF(Analysis!$I249="","",IF(Analysis!$I249="Loyal but shallow",Analysis!$H249,""))</f>
        <v/>
      </c>
      <c r="O249" s="29" t="str">
        <f>IF(Analysis!$I249="","",IF(Analysis!$I249="Project-driven",Analysis!$H249,""))</f>
        <v/>
      </c>
      <c r="P249" s="29" t="str">
        <f>IF(Analysis!$I249="","",IF(Analysis!$I249="Drifting",Analysis!$H249,""))</f>
        <v/>
      </c>
    </row>
    <row r="250" spans="1:16" x14ac:dyDescent="0.25">
      <c r="A250" s="29" t="str">
        <f>IF(Analysis!$I250="","",IF(Analysis!$I250="Embedded",Analysis!$D250,""))</f>
        <v/>
      </c>
      <c r="B250" s="29" t="str">
        <f>IF(Analysis!$I250="","",IF(Analysis!$I250="Loyal but shallow",Analysis!$D250,""))</f>
        <v/>
      </c>
      <c r="C250" s="29" t="str">
        <f>IF(Analysis!$I250="","",IF(Analysis!$I250="Project-driven",Analysis!$D250,""))</f>
        <v/>
      </c>
      <c r="D250" s="29" t="str">
        <f>IF(Analysis!$I250="","",IF(Analysis!$I250="Drifting",Analysis!$D250,""))</f>
        <v/>
      </c>
      <c r="E250" s="29" t="str">
        <f>IF(Analysis!$I250="","",IF(Analysis!$I250="Embedded",Analysis!$C250,""))</f>
        <v/>
      </c>
      <c r="F250" s="29" t="str">
        <f>IF(Analysis!$I250="","",IF(Analysis!$I250="Loyal but shallow",Analysis!$C250,""))</f>
        <v/>
      </c>
      <c r="G250" s="29" t="str">
        <f>IF(Analysis!$I250="","",IF(Analysis!$I250="Project-driven",Analysis!$C250,""))</f>
        <v/>
      </c>
      <c r="H250" s="29" t="str">
        <f>IF(Analysis!$I250="","",IF(Analysis!$I250="Drifting",Analysis!$C250,""))</f>
        <v/>
      </c>
      <c r="I250" s="29" t="str">
        <f>IF(Analysis!$I250="","",IF(Analysis!$I250="Embedded",Analysis!$F250,""))</f>
        <v/>
      </c>
      <c r="J250" s="29" t="str">
        <f>IF(Analysis!$I250="","",IF(Analysis!$I250="Loyal but shallow",Analysis!$F250,""))</f>
        <v/>
      </c>
      <c r="K250" s="29" t="str">
        <f>IF(Analysis!$I250="","",IF(Analysis!$I250="Project-driven",Analysis!$F250,""))</f>
        <v/>
      </c>
      <c r="L250" s="29" t="str">
        <f>IF(Analysis!$I250="","",IF(Analysis!$I250="Drifting",Analysis!$F250,""))</f>
        <v/>
      </c>
      <c r="M250" s="29" t="str">
        <f>IF(Analysis!$I250="","",IF(Analysis!$I250="Embedded",Analysis!$H250,""))</f>
        <v/>
      </c>
      <c r="N250" s="29" t="str">
        <f>IF(Analysis!$I250="","",IF(Analysis!$I250="Loyal but shallow",Analysis!$H250,""))</f>
        <v/>
      </c>
      <c r="O250" s="29" t="str">
        <f>IF(Analysis!$I250="","",IF(Analysis!$I250="Project-driven",Analysis!$H250,""))</f>
        <v/>
      </c>
      <c r="P250" s="29" t="str">
        <f>IF(Analysis!$I250="","",IF(Analysis!$I250="Drifting",Analysis!$H250,""))</f>
        <v/>
      </c>
    </row>
    <row r="251" spans="1:16" x14ac:dyDescent="0.25">
      <c r="A251" s="29" t="str">
        <f>IF(Analysis!$I251="","",IF(Analysis!$I251="Embedded",Analysis!$D251,""))</f>
        <v/>
      </c>
      <c r="B251" s="29" t="str">
        <f>IF(Analysis!$I251="","",IF(Analysis!$I251="Loyal but shallow",Analysis!$D251,""))</f>
        <v/>
      </c>
      <c r="C251" s="29" t="str">
        <f>IF(Analysis!$I251="","",IF(Analysis!$I251="Project-driven",Analysis!$D251,""))</f>
        <v/>
      </c>
      <c r="D251" s="29" t="str">
        <f>IF(Analysis!$I251="","",IF(Analysis!$I251="Drifting",Analysis!$D251,""))</f>
        <v/>
      </c>
      <c r="E251" s="29" t="str">
        <f>IF(Analysis!$I251="","",IF(Analysis!$I251="Embedded",Analysis!$C251,""))</f>
        <v/>
      </c>
      <c r="F251" s="29" t="str">
        <f>IF(Analysis!$I251="","",IF(Analysis!$I251="Loyal but shallow",Analysis!$C251,""))</f>
        <v/>
      </c>
      <c r="G251" s="29" t="str">
        <f>IF(Analysis!$I251="","",IF(Analysis!$I251="Project-driven",Analysis!$C251,""))</f>
        <v/>
      </c>
      <c r="H251" s="29" t="str">
        <f>IF(Analysis!$I251="","",IF(Analysis!$I251="Drifting",Analysis!$C251,""))</f>
        <v/>
      </c>
      <c r="I251" s="29" t="str">
        <f>IF(Analysis!$I251="","",IF(Analysis!$I251="Embedded",Analysis!$F251,""))</f>
        <v/>
      </c>
      <c r="J251" s="29" t="str">
        <f>IF(Analysis!$I251="","",IF(Analysis!$I251="Loyal but shallow",Analysis!$F251,""))</f>
        <v/>
      </c>
      <c r="K251" s="29" t="str">
        <f>IF(Analysis!$I251="","",IF(Analysis!$I251="Project-driven",Analysis!$F251,""))</f>
        <v/>
      </c>
      <c r="L251" s="29" t="str">
        <f>IF(Analysis!$I251="","",IF(Analysis!$I251="Drifting",Analysis!$F251,""))</f>
        <v/>
      </c>
      <c r="M251" s="29" t="str">
        <f>IF(Analysis!$I251="","",IF(Analysis!$I251="Embedded",Analysis!$H251,""))</f>
        <v/>
      </c>
      <c r="N251" s="29" t="str">
        <f>IF(Analysis!$I251="","",IF(Analysis!$I251="Loyal but shallow",Analysis!$H251,""))</f>
        <v/>
      </c>
      <c r="O251" s="29" t="str">
        <f>IF(Analysis!$I251="","",IF(Analysis!$I251="Project-driven",Analysis!$H251,""))</f>
        <v/>
      </c>
      <c r="P251" s="29" t="str">
        <f>IF(Analysis!$I251="","",IF(Analysis!$I251="Drifting",Analysis!$H251,""))</f>
        <v/>
      </c>
    </row>
    <row r="252" spans="1:16" x14ac:dyDescent="0.25">
      <c r="A252" s="29" t="str">
        <f>IF(Analysis!$I252="","",IF(Analysis!$I252="Embedded",Analysis!$D252,""))</f>
        <v/>
      </c>
      <c r="B252" s="29" t="str">
        <f>IF(Analysis!$I252="","",IF(Analysis!$I252="Loyal but shallow",Analysis!$D252,""))</f>
        <v/>
      </c>
      <c r="C252" s="29" t="str">
        <f>IF(Analysis!$I252="","",IF(Analysis!$I252="Project-driven",Analysis!$D252,""))</f>
        <v/>
      </c>
      <c r="D252" s="29" t="str">
        <f>IF(Analysis!$I252="","",IF(Analysis!$I252="Drifting",Analysis!$D252,""))</f>
        <v/>
      </c>
      <c r="E252" s="29" t="str">
        <f>IF(Analysis!$I252="","",IF(Analysis!$I252="Embedded",Analysis!$C252,""))</f>
        <v/>
      </c>
      <c r="F252" s="29" t="str">
        <f>IF(Analysis!$I252="","",IF(Analysis!$I252="Loyal but shallow",Analysis!$C252,""))</f>
        <v/>
      </c>
      <c r="G252" s="29" t="str">
        <f>IF(Analysis!$I252="","",IF(Analysis!$I252="Project-driven",Analysis!$C252,""))</f>
        <v/>
      </c>
      <c r="H252" s="29" t="str">
        <f>IF(Analysis!$I252="","",IF(Analysis!$I252="Drifting",Analysis!$C252,""))</f>
        <v/>
      </c>
      <c r="I252" s="29" t="str">
        <f>IF(Analysis!$I252="","",IF(Analysis!$I252="Embedded",Analysis!$F252,""))</f>
        <v/>
      </c>
      <c r="J252" s="29" t="str">
        <f>IF(Analysis!$I252="","",IF(Analysis!$I252="Loyal but shallow",Analysis!$F252,""))</f>
        <v/>
      </c>
      <c r="K252" s="29" t="str">
        <f>IF(Analysis!$I252="","",IF(Analysis!$I252="Project-driven",Analysis!$F252,""))</f>
        <v/>
      </c>
      <c r="L252" s="29" t="str">
        <f>IF(Analysis!$I252="","",IF(Analysis!$I252="Drifting",Analysis!$F252,""))</f>
        <v/>
      </c>
      <c r="M252" s="29" t="str">
        <f>IF(Analysis!$I252="","",IF(Analysis!$I252="Embedded",Analysis!$H252,""))</f>
        <v/>
      </c>
      <c r="N252" s="29" t="str">
        <f>IF(Analysis!$I252="","",IF(Analysis!$I252="Loyal but shallow",Analysis!$H252,""))</f>
        <v/>
      </c>
      <c r="O252" s="29" t="str">
        <f>IF(Analysis!$I252="","",IF(Analysis!$I252="Project-driven",Analysis!$H252,""))</f>
        <v/>
      </c>
      <c r="P252" s="29" t="str">
        <f>IF(Analysis!$I252="","",IF(Analysis!$I252="Drifting",Analysis!$H252,""))</f>
        <v/>
      </c>
    </row>
    <row r="253" spans="1:16" x14ac:dyDescent="0.25">
      <c r="A253" s="29" t="str">
        <f>IF(Analysis!$I253="","",IF(Analysis!$I253="Embedded",Analysis!$D253,""))</f>
        <v/>
      </c>
      <c r="B253" s="29" t="str">
        <f>IF(Analysis!$I253="","",IF(Analysis!$I253="Loyal but shallow",Analysis!$D253,""))</f>
        <v/>
      </c>
      <c r="C253" s="29" t="str">
        <f>IF(Analysis!$I253="","",IF(Analysis!$I253="Project-driven",Analysis!$D253,""))</f>
        <v/>
      </c>
      <c r="D253" s="29" t="str">
        <f>IF(Analysis!$I253="","",IF(Analysis!$I253="Drifting",Analysis!$D253,""))</f>
        <v/>
      </c>
      <c r="E253" s="29" t="str">
        <f>IF(Analysis!$I253="","",IF(Analysis!$I253="Embedded",Analysis!$C253,""))</f>
        <v/>
      </c>
      <c r="F253" s="29" t="str">
        <f>IF(Analysis!$I253="","",IF(Analysis!$I253="Loyal but shallow",Analysis!$C253,""))</f>
        <v/>
      </c>
      <c r="G253" s="29" t="str">
        <f>IF(Analysis!$I253="","",IF(Analysis!$I253="Project-driven",Analysis!$C253,""))</f>
        <v/>
      </c>
      <c r="H253" s="29" t="str">
        <f>IF(Analysis!$I253="","",IF(Analysis!$I253="Drifting",Analysis!$C253,""))</f>
        <v/>
      </c>
      <c r="I253" s="29" t="str">
        <f>IF(Analysis!$I253="","",IF(Analysis!$I253="Embedded",Analysis!$F253,""))</f>
        <v/>
      </c>
      <c r="J253" s="29" t="str">
        <f>IF(Analysis!$I253="","",IF(Analysis!$I253="Loyal but shallow",Analysis!$F253,""))</f>
        <v/>
      </c>
      <c r="K253" s="29" t="str">
        <f>IF(Analysis!$I253="","",IF(Analysis!$I253="Project-driven",Analysis!$F253,""))</f>
        <v/>
      </c>
      <c r="L253" s="29" t="str">
        <f>IF(Analysis!$I253="","",IF(Analysis!$I253="Drifting",Analysis!$F253,""))</f>
        <v/>
      </c>
      <c r="M253" s="29" t="str">
        <f>IF(Analysis!$I253="","",IF(Analysis!$I253="Embedded",Analysis!$H253,""))</f>
        <v/>
      </c>
      <c r="N253" s="29" t="str">
        <f>IF(Analysis!$I253="","",IF(Analysis!$I253="Loyal but shallow",Analysis!$H253,""))</f>
        <v/>
      </c>
      <c r="O253" s="29" t="str">
        <f>IF(Analysis!$I253="","",IF(Analysis!$I253="Project-driven",Analysis!$H253,""))</f>
        <v/>
      </c>
      <c r="P253" s="29" t="str">
        <f>IF(Analysis!$I253="","",IF(Analysis!$I253="Drifting",Analysis!$H253,""))</f>
        <v/>
      </c>
    </row>
    <row r="254" spans="1:16" x14ac:dyDescent="0.25">
      <c r="A254" s="29" t="str">
        <f>IF(Analysis!$I254="","",IF(Analysis!$I254="Embedded",Analysis!$D254,""))</f>
        <v/>
      </c>
      <c r="B254" s="29" t="str">
        <f>IF(Analysis!$I254="","",IF(Analysis!$I254="Loyal but shallow",Analysis!$D254,""))</f>
        <v/>
      </c>
      <c r="C254" s="29" t="str">
        <f>IF(Analysis!$I254="","",IF(Analysis!$I254="Project-driven",Analysis!$D254,""))</f>
        <v/>
      </c>
      <c r="D254" s="29" t="str">
        <f>IF(Analysis!$I254="","",IF(Analysis!$I254="Drifting",Analysis!$D254,""))</f>
        <v/>
      </c>
      <c r="E254" s="29" t="str">
        <f>IF(Analysis!$I254="","",IF(Analysis!$I254="Embedded",Analysis!$C254,""))</f>
        <v/>
      </c>
      <c r="F254" s="29" t="str">
        <f>IF(Analysis!$I254="","",IF(Analysis!$I254="Loyal but shallow",Analysis!$C254,""))</f>
        <v/>
      </c>
      <c r="G254" s="29" t="str">
        <f>IF(Analysis!$I254="","",IF(Analysis!$I254="Project-driven",Analysis!$C254,""))</f>
        <v/>
      </c>
      <c r="H254" s="29" t="str">
        <f>IF(Analysis!$I254="","",IF(Analysis!$I254="Drifting",Analysis!$C254,""))</f>
        <v/>
      </c>
      <c r="I254" s="29" t="str">
        <f>IF(Analysis!$I254="","",IF(Analysis!$I254="Embedded",Analysis!$F254,""))</f>
        <v/>
      </c>
      <c r="J254" s="29" t="str">
        <f>IF(Analysis!$I254="","",IF(Analysis!$I254="Loyal but shallow",Analysis!$F254,""))</f>
        <v/>
      </c>
      <c r="K254" s="29" t="str">
        <f>IF(Analysis!$I254="","",IF(Analysis!$I254="Project-driven",Analysis!$F254,""))</f>
        <v/>
      </c>
      <c r="L254" s="29" t="str">
        <f>IF(Analysis!$I254="","",IF(Analysis!$I254="Drifting",Analysis!$F254,""))</f>
        <v/>
      </c>
      <c r="M254" s="29" t="str">
        <f>IF(Analysis!$I254="","",IF(Analysis!$I254="Embedded",Analysis!$H254,""))</f>
        <v/>
      </c>
      <c r="N254" s="29" t="str">
        <f>IF(Analysis!$I254="","",IF(Analysis!$I254="Loyal but shallow",Analysis!$H254,""))</f>
        <v/>
      </c>
      <c r="O254" s="29" t="str">
        <f>IF(Analysis!$I254="","",IF(Analysis!$I254="Project-driven",Analysis!$H254,""))</f>
        <v/>
      </c>
      <c r="P254" s="29" t="str">
        <f>IF(Analysis!$I254="","",IF(Analysis!$I254="Drifting",Analysis!$H254,""))</f>
        <v/>
      </c>
    </row>
    <row r="255" spans="1:16" x14ac:dyDescent="0.25">
      <c r="A255" s="29" t="str">
        <f>IF(Analysis!$I255="","",IF(Analysis!$I255="Embedded",Analysis!$D255,""))</f>
        <v/>
      </c>
      <c r="B255" s="29" t="str">
        <f>IF(Analysis!$I255="","",IF(Analysis!$I255="Loyal but shallow",Analysis!$D255,""))</f>
        <v/>
      </c>
      <c r="C255" s="29" t="str">
        <f>IF(Analysis!$I255="","",IF(Analysis!$I255="Project-driven",Analysis!$D255,""))</f>
        <v/>
      </c>
      <c r="D255" s="29" t="str">
        <f>IF(Analysis!$I255="","",IF(Analysis!$I255="Drifting",Analysis!$D255,""))</f>
        <v/>
      </c>
      <c r="E255" s="29" t="str">
        <f>IF(Analysis!$I255="","",IF(Analysis!$I255="Embedded",Analysis!$C255,""))</f>
        <v/>
      </c>
      <c r="F255" s="29" t="str">
        <f>IF(Analysis!$I255="","",IF(Analysis!$I255="Loyal but shallow",Analysis!$C255,""))</f>
        <v/>
      </c>
      <c r="G255" s="29" t="str">
        <f>IF(Analysis!$I255="","",IF(Analysis!$I255="Project-driven",Analysis!$C255,""))</f>
        <v/>
      </c>
      <c r="H255" s="29" t="str">
        <f>IF(Analysis!$I255="","",IF(Analysis!$I255="Drifting",Analysis!$C255,""))</f>
        <v/>
      </c>
      <c r="I255" s="29" t="str">
        <f>IF(Analysis!$I255="","",IF(Analysis!$I255="Embedded",Analysis!$F255,""))</f>
        <v/>
      </c>
      <c r="J255" s="29" t="str">
        <f>IF(Analysis!$I255="","",IF(Analysis!$I255="Loyal but shallow",Analysis!$F255,""))</f>
        <v/>
      </c>
      <c r="K255" s="29" t="str">
        <f>IF(Analysis!$I255="","",IF(Analysis!$I255="Project-driven",Analysis!$F255,""))</f>
        <v/>
      </c>
      <c r="L255" s="29" t="str">
        <f>IF(Analysis!$I255="","",IF(Analysis!$I255="Drifting",Analysis!$F255,""))</f>
        <v/>
      </c>
      <c r="M255" s="29" t="str">
        <f>IF(Analysis!$I255="","",IF(Analysis!$I255="Embedded",Analysis!$H255,""))</f>
        <v/>
      </c>
      <c r="N255" s="29" t="str">
        <f>IF(Analysis!$I255="","",IF(Analysis!$I255="Loyal but shallow",Analysis!$H255,""))</f>
        <v/>
      </c>
      <c r="O255" s="29" t="str">
        <f>IF(Analysis!$I255="","",IF(Analysis!$I255="Project-driven",Analysis!$H255,""))</f>
        <v/>
      </c>
      <c r="P255" s="29" t="str">
        <f>IF(Analysis!$I255="","",IF(Analysis!$I255="Drifting",Analysis!$H255,""))</f>
        <v/>
      </c>
    </row>
    <row r="256" spans="1:16" x14ac:dyDescent="0.25">
      <c r="A256" s="29" t="str">
        <f>IF(Analysis!$I256="","",IF(Analysis!$I256="Embedded",Analysis!$D256,""))</f>
        <v/>
      </c>
      <c r="B256" s="29" t="str">
        <f>IF(Analysis!$I256="","",IF(Analysis!$I256="Loyal but shallow",Analysis!$D256,""))</f>
        <v/>
      </c>
      <c r="C256" s="29" t="str">
        <f>IF(Analysis!$I256="","",IF(Analysis!$I256="Project-driven",Analysis!$D256,""))</f>
        <v/>
      </c>
      <c r="D256" s="29" t="str">
        <f>IF(Analysis!$I256="","",IF(Analysis!$I256="Drifting",Analysis!$D256,""))</f>
        <v/>
      </c>
      <c r="E256" s="29" t="str">
        <f>IF(Analysis!$I256="","",IF(Analysis!$I256="Embedded",Analysis!$C256,""))</f>
        <v/>
      </c>
      <c r="F256" s="29" t="str">
        <f>IF(Analysis!$I256="","",IF(Analysis!$I256="Loyal but shallow",Analysis!$C256,""))</f>
        <v/>
      </c>
      <c r="G256" s="29" t="str">
        <f>IF(Analysis!$I256="","",IF(Analysis!$I256="Project-driven",Analysis!$C256,""))</f>
        <v/>
      </c>
      <c r="H256" s="29" t="str">
        <f>IF(Analysis!$I256="","",IF(Analysis!$I256="Drifting",Analysis!$C256,""))</f>
        <v/>
      </c>
      <c r="I256" s="29" t="str">
        <f>IF(Analysis!$I256="","",IF(Analysis!$I256="Embedded",Analysis!$F256,""))</f>
        <v/>
      </c>
      <c r="J256" s="29" t="str">
        <f>IF(Analysis!$I256="","",IF(Analysis!$I256="Loyal but shallow",Analysis!$F256,""))</f>
        <v/>
      </c>
      <c r="K256" s="29" t="str">
        <f>IF(Analysis!$I256="","",IF(Analysis!$I256="Project-driven",Analysis!$F256,""))</f>
        <v/>
      </c>
      <c r="L256" s="29" t="str">
        <f>IF(Analysis!$I256="","",IF(Analysis!$I256="Drifting",Analysis!$F256,""))</f>
        <v/>
      </c>
      <c r="M256" s="29" t="str">
        <f>IF(Analysis!$I256="","",IF(Analysis!$I256="Embedded",Analysis!$H256,""))</f>
        <v/>
      </c>
      <c r="N256" s="29" t="str">
        <f>IF(Analysis!$I256="","",IF(Analysis!$I256="Loyal but shallow",Analysis!$H256,""))</f>
        <v/>
      </c>
      <c r="O256" s="29" t="str">
        <f>IF(Analysis!$I256="","",IF(Analysis!$I256="Project-driven",Analysis!$H256,""))</f>
        <v/>
      </c>
      <c r="P256" s="29" t="str">
        <f>IF(Analysis!$I256="","",IF(Analysis!$I256="Drifting",Analysis!$H256,""))</f>
        <v/>
      </c>
    </row>
    <row r="257" spans="1:16" x14ac:dyDescent="0.25">
      <c r="A257" s="29" t="str">
        <f>IF(Analysis!$I257="","",IF(Analysis!$I257="Embedded",Analysis!$D257,""))</f>
        <v/>
      </c>
      <c r="B257" s="29" t="str">
        <f>IF(Analysis!$I257="","",IF(Analysis!$I257="Loyal but shallow",Analysis!$D257,""))</f>
        <v/>
      </c>
      <c r="C257" s="29" t="str">
        <f>IF(Analysis!$I257="","",IF(Analysis!$I257="Project-driven",Analysis!$D257,""))</f>
        <v/>
      </c>
      <c r="D257" s="29" t="str">
        <f>IF(Analysis!$I257="","",IF(Analysis!$I257="Drifting",Analysis!$D257,""))</f>
        <v/>
      </c>
      <c r="E257" s="29" t="str">
        <f>IF(Analysis!$I257="","",IF(Analysis!$I257="Embedded",Analysis!$C257,""))</f>
        <v/>
      </c>
      <c r="F257" s="29" t="str">
        <f>IF(Analysis!$I257="","",IF(Analysis!$I257="Loyal but shallow",Analysis!$C257,""))</f>
        <v/>
      </c>
      <c r="G257" s="29" t="str">
        <f>IF(Analysis!$I257="","",IF(Analysis!$I257="Project-driven",Analysis!$C257,""))</f>
        <v/>
      </c>
      <c r="H257" s="29" t="str">
        <f>IF(Analysis!$I257="","",IF(Analysis!$I257="Drifting",Analysis!$C257,""))</f>
        <v/>
      </c>
      <c r="I257" s="29" t="str">
        <f>IF(Analysis!$I257="","",IF(Analysis!$I257="Embedded",Analysis!$F257,""))</f>
        <v/>
      </c>
      <c r="J257" s="29" t="str">
        <f>IF(Analysis!$I257="","",IF(Analysis!$I257="Loyal but shallow",Analysis!$F257,""))</f>
        <v/>
      </c>
      <c r="K257" s="29" t="str">
        <f>IF(Analysis!$I257="","",IF(Analysis!$I257="Project-driven",Analysis!$F257,""))</f>
        <v/>
      </c>
      <c r="L257" s="29" t="str">
        <f>IF(Analysis!$I257="","",IF(Analysis!$I257="Drifting",Analysis!$F257,""))</f>
        <v/>
      </c>
      <c r="M257" s="29" t="str">
        <f>IF(Analysis!$I257="","",IF(Analysis!$I257="Embedded",Analysis!$H257,""))</f>
        <v/>
      </c>
      <c r="N257" s="29" t="str">
        <f>IF(Analysis!$I257="","",IF(Analysis!$I257="Loyal but shallow",Analysis!$H257,""))</f>
        <v/>
      </c>
      <c r="O257" s="29" t="str">
        <f>IF(Analysis!$I257="","",IF(Analysis!$I257="Project-driven",Analysis!$H257,""))</f>
        <v/>
      </c>
      <c r="P257" s="29" t="str">
        <f>IF(Analysis!$I257="","",IF(Analysis!$I257="Drifting",Analysis!$H257,""))</f>
        <v/>
      </c>
    </row>
    <row r="258" spans="1:16" x14ac:dyDescent="0.25">
      <c r="A258" s="29" t="str">
        <f>IF(Analysis!$I258="","",IF(Analysis!$I258="Embedded",Analysis!$D258,""))</f>
        <v/>
      </c>
      <c r="B258" s="29" t="str">
        <f>IF(Analysis!$I258="","",IF(Analysis!$I258="Loyal but shallow",Analysis!$D258,""))</f>
        <v/>
      </c>
      <c r="C258" s="29" t="str">
        <f>IF(Analysis!$I258="","",IF(Analysis!$I258="Project-driven",Analysis!$D258,""))</f>
        <v/>
      </c>
      <c r="D258" s="29" t="str">
        <f>IF(Analysis!$I258="","",IF(Analysis!$I258="Drifting",Analysis!$D258,""))</f>
        <v/>
      </c>
      <c r="E258" s="29" t="str">
        <f>IF(Analysis!$I258="","",IF(Analysis!$I258="Embedded",Analysis!$C258,""))</f>
        <v/>
      </c>
      <c r="F258" s="29" t="str">
        <f>IF(Analysis!$I258="","",IF(Analysis!$I258="Loyal but shallow",Analysis!$C258,""))</f>
        <v/>
      </c>
      <c r="G258" s="29" t="str">
        <f>IF(Analysis!$I258="","",IF(Analysis!$I258="Project-driven",Analysis!$C258,""))</f>
        <v/>
      </c>
      <c r="H258" s="29" t="str">
        <f>IF(Analysis!$I258="","",IF(Analysis!$I258="Drifting",Analysis!$C258,""))</f>
        <v/>
      </c>
      <c r="I258" s="29" t="str">
        <f>IF(Analysis!$I258="","",IF(Analysis!$I258="Embedded",Analysis!$F258,""))</f>
        <v/>
      </c>
      <c r="J258" s="29" t="str">
        <f>IF(Analysis!$I258="","",IF(Analysis!$I258="Loyal but shallow",Analysis!$F258,""))</f>
        <v/>
      </c>
      <c r="K258" s="29" t="str">
        <f>IF(Analysis!$I258="","",IF(Analysis!$I258="Project-driven",Analysis!$F258,""))</f>
        <v/>
      </c>
      <c r="L258" s="29" t="str">
        <f>IF(Analysis!$I258="","",IF(Analysis!$I258="Drifting",Analysis!$F258,""))</f>
        <v/>
      </c>
      <c r="M258" s="29" t="str">
        <f>IF(Analysis!$I258="","",IF(Analysis!$I258="Embedded",Analysis!$H258,""))</f>
        <v/>
      </c>
      <c r="N258" s="29" t="str">
        <f>IF(Analysis!$I258="","",IF(Analysis!$I258="Loyal but shallow",Analysis!$H258,""))</f>
        <v/>
      </c>
      <c r="O258" s="29" t="str">
        <f>IF(Analysis!$I258="","",IF(Analysis!$I258="Project-driven",Analysis!$H258,""))</f>
        <v/>
      </c>
      <c r="P258" s="29" t="str">
        <f>IF(Analysis!$I258="","",IF(Analysis!$I258="Drifting",Analysis!$H258,""))</f>
        <v/>
      </c>
    </row>
    <row r="259" spans="1:16" x14ac:dyDescent="0.25">
      <c r="A259" s="29" t="str">
        <f>IF(Analysis!$I259="","",IF(Analysis!$I259="Embedded",Analysis!$D259,""))</f>
        <v/>
      </c>
      <c r="B259" s="29" t="str">
        <f>IF(Analysis!$I259="","",IF(Analysis!$I259="Loyal but shallow",Analysis!$D259,""))</f>
        <v/>
      </c>
      <c r="C259" s="29" t="str">
        <f>IF(Analysis!$I259="","",IF(Analysis!$I259="Project-driven",Analysis!$D259,""))</f>
        <v/>
      </c>
      <c r="D259" s="29" t="str">
        <f>IF(Analysis!$I259="","",IF(Analysis!$I259="Drifting",Analysis!$D259,""))</f>
        <v/>
      </c>
      <c r="E259" s="29" t="str">
        <f>IF(Analysis!$I259="","",IF(Analysis!$I259="Embedded",Analysis!$C259,""))</f>
        <v/>
      </c>
      <c r="F259" s="29" t="str">
        <f>IF(Analysis!$I259="","",IF(Analysis!$I259="Loyal but shallow",Analysis!$C259,""))</f>
        <v/>
      </c>
      <c r="G259" s="29" t="str">
        <f>IF(Analysis!$I259="","",IF(Analysis!$I259="Project-driven",Analysis!$C259,""))</f>
        <v/>
      </c>
      <c r="H259" s="29" t="str">
        <f>IF(Analysis!$I259="","",IF(Analysis!$I259="Drifting",Analysis!$C259,""))</f>
        <v/>
      </c>
      <c r="I259" s="29" t="str">
        <f>IF(Analysis!$I259="","",IF(Analysis!$I259="Embedded",Analysis!$F259,""))</f>
        <v/>
      </c>
      <c r="J259" s="29" t="str">
        <f>IF(Analysis!$I259="","",IF(Analysis!$I259="Loyal but shallow",Analysis!$F259,""))</f>
        <v/>
      </c>
      <c r="K259" s="29" t="str">
        <f>IF(Analysis!$I259="","",IF(Analysis!$I259="Project-driven",Analysis!$F259,""))</f>
        <v/>
      </c>
      <c r="L259" s="29" t="str">
        <f>IF(Analysis!$I259="","",IF(Analysis!$I259="Drifting",Analysis!$F259,""))</f>
        <v/>
      </c>
      <c r="M259" s="29" t="str">
        <f>IF(Analysis!$I259="","",IF(Analysis!$I259="Embedded",Analysis!$H259,""))</f>
        <v/>
      </c>
      <c r="N259" s="29" t="str">
        <f>IF(Analysis!$I259="","",IF(Analysis!$I259="Loyal but shallow",Analysis!$H259,""))</f>
        <v/>
      </c>
      <c r="O259" s="29" t="str">
        <f>IF(Analysis!$I259="","",IF(Analysis!$I259="Project-driven",Analysis!$H259,""))</f>
        <v/>
      </c>
      <c r="P259" s="29" t="str">
        <f>IF(Analysis!$I259="","",IF(Analysis!$I259="Drifting",Analysis!$H259,""))</f>
        <v/>
      </c>
    </row>
    <row r="260" spans="1:16" x14ac:dyDescent="0.25">
      <c r="A260" s="29" t="str">
        <f>IF(Analysis!$I260="","",IF(Analysis!$I260="Embedded",Analysis!$D260,""))</f>
        <v/>
      </c>
      <c r="B260" s="29" t="str">
        <f>IF(Analysis!$I260="","",IF(Analysis!$I260="Loyal but shallow",Analysis!$D260,""))</f>
        <v/>
      </c>
      <c r="C260" s="29" t="str">
        <f>IF(Analysis!$I260="","",IF(Analysis!$I260="Project-driven",Analysis!$D260,""))</f>
        <v/>
      </c>
      <c r="D260" s="29" t="str">
        <f>IF(Analysis!$I260="","",IF(Analysis!$I260="Drifting",Analysis!$D260,""))</f>
        <v/>
      </c>
      <c r="E260" s="29" t="str">
        <f>IF(Analysis!$I260="","",IF(Analysis!$I260="Embedded",Analysis!$C260,""))</f>
        <v/>
      </c>
      <c r="F260" s="29" t="str">
        <f>IF(Analysis!$I260="","",IF(Analysis!$I260="Loyal but shallow",Analysis!$C260,""))</f>
        <v/>
      </c>
      <c r="G260" s="29" t="str">
        <f>IF(Analysis!$I260="","",IF(Analysis!$I260="Project-driven",Analysis!$C260,""))</f>
        <v/>
      </c>
      <c r="H260" s="29" t="str">
        <f>IF(Analysis!$I260="","",IF(Analysis!$I260="Drifting",Analysis!$C260,""))</f>
        <v/>
      </c>
      <c r="I260" s="29" t="str">
        <f>IF(Analysis!$I260="","",IF(Analysis!$I260="Embedded",Analysis!$F260,""))</f>
        <v/>
      </c>
      <c r="J260" s="29" t="str">
        <f>IF(Analysis!$I260="","",IF(Analysis!$I260="Loyal but shallow",Analysis!$F260,""))</f>
        <v/>
      </c>
      <c r="K260" s="29" t="str">
        <f>IF(Analysis!$I260="","",IF(Analysis!$I260="Project-driven",Analysis!$F260,""))</f>
        <v/>
      </c>
      <c r="L260" s="29" t="str">
        <f>IF(Analysis!$I260="","",IF(Analysis!$I260="Drifting",Analysis!$F260,""))</f>
        <v/>
      </c>
      <c r="M260" s="29" t="str">
        <f>IF(Analysis!$I260="","",IF(Analysis!$I260="Embedded",Analysis!$H260,""))</f>
        <v/>
      </c>
      <c r="N260" s="29" t="str">
        <f>IF(Analysis!$I260="","",IF(Analysis!$I260="Loyal but shallow",Analysis!$H260,""))</f>
        <v/>
      </c>
      <c r="O260" s="29" t="str">
        <f>IF(Analysis!$I260="","",IF(Analysis!$I260="Project-driven",Analysis!$H260,""))</f>
        <v/>
      </c>
      <c r="P260" s="29" t="str">
        <f>IF(Analysis!$I260="","",IF(Analysis!$I260="Drifting",Analysis!$H260,""))</f>
        <v/>
      </c>
    </row>
    <row r="261" spans="1:16" x14ac:dyDescent="0.25">
      <c r="A261" s="29" t="str">
        <f>IF(Analysis!$I261="","",IF(Analysis!$I261="Embedded",Analysis!$D261,""))</f>
        <v/>
      </c>
      <c r="B261" s="29" t="str">
        <f>IF(Analysis!$I261="","",IF(Analysis!$I261="Loyal but shallow",Analysis!$D261,""))</f>
        <v/>
      </c>
      <c r="C261" s="29" t="str">
        <f>IF(Analysis!$I261="","",IF(Analysis!$I261="Project-driven",Analysis!$D261,""))</f>
        <v/>
      </c>
      <c r="D261" s="29" t="str">
        <f>IF(Analysis!$I261="","",IF(Analysis!$I261="Drifting",Analysis!$D261,""))</f>
        <v/>
      </c>
      <c r="E261" s="29" t="str">
        <f>IF(Analysis!$I261="","",IF(Analysis!$I261="Embedded",Analysis!$C261,""))</f>
        <v/>
      </c>
      <c r="F261" s="29" t="str">
        <f>IF(Analysis!$I261="","",IF(Analysis!$I261="Loyal but shallow",Analysis!$C261,""))</f>
        <v/>
      </c>
      <c r="G261" s="29" t="str">
        <f>IF(Analysis!$I261="","",IF(Analysis!$I261="Project-driven",Analysis!$C261,""))</f>
        <v/>
      </c>
      <c r="H261" s="29" t="str">
        <f>IF(Analysis!$I261="","",IF(Analysis!$I261="Drifting",Analysis!$C261,""))</f>
        <v/>
      </c>
      <c r="I261" s="29" t="str">
        <f>IF(Analysis!$I261="","",IF(Analysis!$I261="Embedded",Analysis!$F261,""))</f>
        <v/>
      </c>
      <c r="J261" s="29" t="str">
        <f>IF(Analysis!$I261="","",IF(Analysis!$I261="Loyal but shallow",Analysis!$F261,""))</f>
        <v/>
      </c>
      <c r="K261" s="29" t="str">
        <f>IF(Analysis!$I261="","",IF(Analysis!$I261="Project-driven",Analysis!$F261,""))</f>
        <v/>
      </c>
      <c r="L261" s="29" t="str">
        <f>IF(Analysis!$I261="","",IF(Analysis!$I261="Drifting",Analysis!$F261,""))</f>
        <v/>
      </c>
      <c r="M261" s="29" t="str">
        <f>IF(Analysis!$I261="","",IF(Analysis!$I261="Embedded",Analysis!$H261,""))</f>
        <v/>
      </c>
      <c r="N261" s="29" t="str">
        <f>IF(Analysis!$I261="","",IF(Analysis!$I261="Loyal but shallow",Analysis!$H261,""))</f>
        <v/>
      </c>
      <c r="O261" s="29" t="str">
        <f>IF(Analysis!$I261="","",IF(Analysis!$I261="Project-driven",Analysis!$H261,""))</f>
        <v/>
      </c>
      <c r="P261" s="29" t="str">
        <f>IF(Analysis!$I261="","",IF(Analysis!$I261="Drifting",Analysis!$H261,""))</f>
        <v/>
      </c>
    </row>
    <row r="262" spans="1:16" x14ac:dyDescent="0.25">
      <c r="A262" s="29" t="str">
        <f>IF(Analysis!$I262="","",IF(Analysis!$I262="Embedded",Analysis!$D262,""))</f>
        <v/>
      </c>
      <c r="B262" s="29" t="str">
        <f>IF(Analysis!$I262="","",IF(Analysis!$I262="Loyal but shallow",Analysis!$D262,""))</f>
        <v/>
      </c>
      <c r="C262" s="29" t="str">
        <f>IF(Analysis!$I262="","",IF(Analysis!$I262="Project-driven",Analysis!$D262,""))</f>
        <v/>
      </c>
      <c r="D262" s="29" t="str">
        <f>IF(Analysis!$I262="","",IF(Analysis!$I262="Drifting",Analysis!$D262,""))</f>
        <v/>
      </c>
      <c r="E262" s="29" t="str">
        <f>IF(Analysis!$I262="","",IF(Analysis!$I262="Embedded",Analysis!$C262,""))</f>
        <v/>
      </c>
      <c r="F262" s="29" t="str">
        <f>IF(Analysis!$I262="","",IF(Analysis!$I262="Loyal but shallow",Analysis!$C262,""))</f>
        <v/>
      </c>
      <c r="G262" s="29" t="str">
        <f>IF(Analysis!$I262="","",IF(Analysis!$I262="Project-driven",Analysis!$C262,""))</f>
        <v/>
      </c>
      <c r="H262" s="29" t="str">
        <f>IF(Analysis!$I262="","",IF(Analysis!$I262="Drifting",Analysis!$C262,""))</f>
        <v/>
      </c>
      <c r="I262" s="29" t="str">
        <f>IF(Analysis!$I262="","",IF(Analysis!$I262="Embedded",Analysis!$F262,""))</f>
        <v/>
      </c>
      <c r="J262" s="29" t="str">
        <f>IF(Analysis!$I262="","",IF(Analysis!$I262="Loyal but shallow",Analysis!$F262,""))</f>
        <v/>
      </c>
      <c r="K262" s="29" t="str">
        <f>IF(Analysis!$I262="","",IF(Analysis!$I262="Project-driven",Analysis!$F262,""))</f>
        <v/>
      </c>
      <c r="L262" s="29" t="str">
        <f>IF(Analysis!$I262="","",IF(Analysis!$I262="Drifting",Analysis!$F262,""))</f>
        <v/>
      </c>
      <c r="M262" s="29" t="str">
        <f>IF(Analysis!$I262="","",IF(Analysis!$I262="Embedded",Analysis!$H262,""))</f>
        <v/>
      </c>
      <c r="N262" s="29" t="str">
        <f>IF(Analysis!$I262="","",IF(Analysis!$I262="Loyal but shallow",Analysis!$H262,""))</f>
        <v/>
      </c>
      <c r="O262" s="29" t="str">
        <f>IF(Analysis!$I262="","",IF(Analysis!$I262="Project-driven",Analysis!$H262,""))</f>
        <v/>
      </c>
      <c r="P262" s="29" t="str">
        <f>IF(Analysis!$I262="","",IF(Analysis!$I262="Drifting",Analysis!$H262,""))</f>
        <v/>
      </c>
    </row>
    <row r="263" spans="1:16" x14ac:dyDescent="0.25">
      <c r="A263" s="29" t="str">
        <f>IF(Analysis!$I263="","",IF(Analysis!$I263="Embedded",Analysis!$D263,""))</f>
        <v/>
      </c>
      <c r="B263" s="29" t="str">
        <f>IF(Analysis!$I263="","",IF(Analysis!$I263="Loyal but shallow",Analysis!$D263,""))</f>
        <v/>
      </c>
      <c r="C263" s="29" t="str">
        <f>IF(Analysis!$I263="","",IF(Analysis!$I263="Project-driven",Analysis!$D263,""))</f>
        <v/>
      </c>
      <c r="D263" s="29" t="str">
        <f>IF(Analysis!$I263="","",IF(Analysis!$I263="Drifting",Analysis!$D263,""))</f>
        <v/>
      </c>
      <c r="E263" s="29" t="str">
        <f>IF(Analysis!$I263="","",IF(Analysis!$I263="Embedded",Analysis!$C263,""))</f>
        <v/>
      </c>
      <c r="F263" s="29" t="str">
        <f>IF(Analysis!$I263="","",IF(Analysis!$I263="Loyal but shallow",Analysis!$C263,""))</f>
        <v/>
      </c>
      <c r="G263" s="29" t="str">
        <f>IF(Analysis!$I263="","",IF(Analysis!$I263="Project-driven",Analysis!$C263,""))</f>
        <v/>
      </c>
      <c r="H263" s="29" t="str">
        <f>IF(Analysis!$I263="","",IF(Analysis!$I263="Drifting",Analysis!$C263,""))</f>
        <v/>
      </c>
      <c r="I263" s="29" t="str">
        <f>IF(Analysis!$I263="","",IF(Analysis!$I263="Embedded",Analysis!$F263,""))</f>
        <v/>
      </c>
      <c r="J263" s="29" t="str">
        <f>IF(Analysis!$I263="","",IF(Analysis!$I263="Loyal but shallow",Analysis!$F263,""))</f>
        <v/>
      </c>
      <c r="K263" s="29" t="str">
        <f>IF(Analysis!$I263="","",IF(Analysis!$I263="Project-driven",Analysis!$F263,""))</f>
        <v/>
      </c>
      <c r="L263" s="29" t="str">
        <f>IF(Analysis!$I263="","",IF(Analysis!$I263="Drifting",Analysis!$F263,""))</f>
        <v/>
      </c>
      <c r="M263" s="29" t="str">
        <f>IF(Analysis!$I263="","",IF(Analysis!$I263="Embedded",Analysis!$H263,""))</f>
        <v/>
      </c>
      <c r="N263" s="29" t="str">
        <f>IF(Analysis!$I263="","",IF(Analysis!$I263="Loyal but shallow",Analysis!$H263,""))</f>
        <v/>
      </c>
      <c r="O263" s="29" t="str">
        <f>IF(Analysis!$I263="","",IF(Analysis!$I263="Project-driven",Analysis!$H263,""))</f>
        <v/>
      </c>
      <c r="P263" s="29" t="str">
        <f>IF(Analysis!$I263="","",IF(Analysis!$I263="Drifting",Analysis!$H263,""))</f>
        <v/>
      </c>
    </row>
    <row r="264" spans="1:16" x14ac:dyDescent="0.25">
      <c r="A264" s="29" t="str">
        <f>IF(Analysis!$I264="","",IF(Analysis!$I264="Embedded",Analysis!$D264,""))</f>
        <v/>
      </c>
      <c r="B264" s="29" t="str">
        <f>IF(Analysis!$I264="","",IF(Analysis!$I264="Loyal but shallow",Analysis!$D264,""))</f>
        <v/>
      </c>
      <c r="C264" s="29" t="str">
        <f>IF(Analysis!$I264="","",IF(Analysis!$I264="Project-driven",Analysis!$D264,""))</f>
        <v/>
      </c>
      <c r="D264" s="29" t="str">
        <f>IF(Analysis!$I264="","",IF(Analysis!$I264="Drifting",Analysis!$D264,""))</f>
        <v/>
      </c>
      <c r="E264" s="29" t="str">
        <f>IF(Analysis!$I264="","",IF(Analysis!$I264="Embedded",Analysis!$C264,""))</f>
        <v/>
      </c>
      <c r="F264" s="29" t="str">
        <f>IF(Analysis!$I264="","",IF(Analysis!$I264="Loyal but shallow",Analysis!$C264,""))</f>
        <v/>
      </c>
      <c r="G264" s="29" t="str">
        <f>IF(Analysis!$I264="","",IF(Analysis!$I264="Project-driven",Analysis!$C264,""))</f>
        <v/>
      </c>
      <c r="H264" s="29" t="str">
        <f>IF(Analysis!$I264="","",IF(Analysis!$I264="Drifting",Analysis!$C264,""))</f>
        <v/>
      </c>
      <c r="I264" s="29" t="str">
        <f>IF(Analysis!$I264="","",IF(Analysis!$I264="Embedded",Analysis!$F264,""))</f>
        <v/>
      </c>
      <c r="J264" s="29" t="str">
        <f>IF(Analysis!$I264="","",IF(Analysis!$I264="Loyal but shallow",Analysis!$F264,""))</f>
        <v/>
      </c>
      <c r="K264" s="29" t="str">
        <f>IF(Analysis!$I264="","",IF(Analysis!$I264="Project-driven",Analysis!$F264,""))</f>
        <v/>
      </c>
      <c r="L264" s="29" t="str">
        <f>IF(Analysis!$I264="","",IF(Analysis!$I264="Drifting",Analysis!$F264,""))</f>
        <v/>
      </c>
      <c r="M264" s="29" t="str">
        <f>IF(Analysis!$I264="","",IF(Analysis!$I264="Embedded",Analysis!$H264,""))</f>
        <v/>
      </c>
      <c r="N264" s="29" t="str">
        <f>IF(Analysis!$I264="","",IF(Analysis!$I264="Loyal but shallow",Analysis!$H264,""))</f>
        <v/>
      </c>
      <c r="O264" s="29" t="str">
        <f>IF(Analysis!$I264="","",IF(Analysis!$I264="Project-driven",Analysis!$H264,""))</f>
        <v/>
      </c>
      <c r="P264" s="29" t="str">
        <f>IF(Analysis!$I264="","",IF(Analysis!$I264="Drifting",Analysis!$H264,""))</f>
        <v/>
      </c>
    </row>
    <row r="265" spans="1:16" x14ac:dyDescent="0.25">
      <c r="A265" s="29" t="str">
        <f>IF(Analysis!$I265="","",IF(Analysis!$I265="Embedded",Analysis!$D265,""))</f>
        <v/>
      </c>
      <c r="B265" s="29" t="str">
        <f>IF(Analysis!$I265="","",IF(Analysis!$I265="Loyal but shallow",Analysis!$D265,""))</f>
        <v/>
      </c>
      <c r="C265" s="29" t="str">
        <f>IF(Analysis!$I265="","",IF(Analysis!$I265="Project-driven",Analysis!$D265,""))</f>
        <v/>
      </c>
      <c r="D265" s="29" t="str">
        <f>IF(Analysis!$I265="","",IF(Analysis!$I265="Drifting",Analysis!$D265,""))</f>
        <v/>
      </c>
      <c r="E265" s="29" t="str">
        <f>IF(Analysis!$I265="","",IF(Analysis!$I265="Embedded",Analysis!$C265,""))</f>
        <v/>
      </c>
      <c r="F265" s="29" t="str">
        <f>IF(Analysis!$I265="","",IF(Analysis!$I265="Loyal but shallow",Analysis!$C265,""))</f>
        <v/>
      </c>
      <c r="G265" s="29" t="str">
        <f>IF(Analysis!$I265="","",IF(Analysis!$I265="Project-driven",Analysis!$C265,""))</f>
        <v/>
      </c>
      <c r="H265" s="29" t="str">
        <f>IF(Analysis!$I265="","",IF(Analysis!$I265="Drifting",Analysis!$C265,""))</f>
        <v/>
      </c>
      <c r="I265" s="29" t="str">
        <f>IF(Analysis!$I265="","",IF(Analysis!$I265="Embedded",Analysis!$F265,""))</f>
        <v/>
      </c>
      <c r="J265" s="29" t="str">
        <f>IF(Analysis!$I265="","",IF(Analysis!$I265="Loyal but shallow",Analysis!$F265,""))</f>
        <v/>
      </c>
      <c r="K265" s="29" t="str">
        <f>IF(Analysis!$I265="","",IF(Analysis!$I265="Project-driven",Analysis!$F265,""))</f>
        <v/>
      </c>
      <c r="L265" s="29" t="str">
        <f>IF(Analysis!$I265="","",IF(Analysis!$I265="Drifting",Analysis!$F265,""))</f>
        <v/>
      </c>
      <c r="M265" s="29" t="str">
        <f>IF(Analysis!$I265="","",IF(Analysis!$I265="Embedded",Analysis!$H265,""))</f>
        <v/>
      </c>
      <c r="N265" s="29" t="str">
        <f>IF(Analysis!$I265="","",IF(Analysis!$I265="Loyal but shallow",Analysis!$H265,""))</f>
        <v/>
      </c>
      <c r="O265" s="29" t="str">
        <f>IF(Analysis!$I265="","",IF(Analysis!$I265="Project-driven",Analysis!$H265,""))</f>
        <v/>
      </c>
      <c r="P265" s="29" t="str">
        <f>IF(Analysis!$I265="","",IF(Analysis!$I265="Drifting",Analysis!$H265,""))</f>
        <v/>
      </c>
    </row>
    <row r="266" spans="1:16" x14ac:dyDescent="0.25">
      <c r="A266" s="29" t="str">
        <f>IF(Analysis!$I266="","",IF(Analysis!$I266="Embedded",Analysis!$D266,""))</f>
        <v/>
      </c>
      <c r="B266" s="29" t="str">
        <f>IF(Analysis!$I266="","",IF(Analysis!$I266="Loyal but shallow",Analysis!$D266,""))</f>
        <v/>
      </c>
      <c r="C266" s="29" t="str">
        <f>IF(Analysis!$I266="","",IF(Analysis!$I266="Project-driven",Analysis!$D266,""))</f>
        <v/>
      </c>
      <c r="D266" s="29" t="str">
        <f>IF(Analysis!$I266="","",IF(Analysis!$I266="Drifting",Analysis!$D266,""))</f>
        <v/>
      </c>
      <c r="E266" s="29" t="str">
        <f>IF(Analysis!$I266="","",IF(Analysis!$I266="Embedded",Analysis!$C266,""))</f>
        <v/>
      </c>
      <c r="F266" s="29" t="str">
        <f>IF(Analysis!$I266="","",IF(Analysis!$I266="Loyal but shallow",Analysis!$C266,""))</f>
        <v/>
      </c>
      <c r="G266" s="29" t="str">
        <f>IF(Analysis!$I266="","",IF(Analysis!$I266="Project-driven",Analysis!$C266,""))</f>
        <v/>
      </c>
      <c r="H266" s="29" t="str">
        <f>IF(Analysis!$I266="","",IF(Analysis!$I266="Drifting",Analysis!$C266,""))</f>
        <v/>
      </c>
      <c r="I266" s="29" t="str">
        <f>IF(Analysis!$I266="","",IF(Analysis!$I266="Embedded",Analysis!$F266,""))</f>
        <v/>
      </c>
      <c r="J266" s="29" t="str">
        <f>IF(Analysis!$I266="","",IF(Analysis!$I266="Loyal but shallow",Analysis!$F266,""))</f>
        <v/>
      </c>
      <c r="K266" s="29" t="str">
        <f>IF(Analysis!$I266="","",IF(Analysis!$I266="Project-driven",Analysis!$F266,""))</f>
        <v/>
      </c>
      <c r="L266" s="29" t="str">
        <f>IF(Analysis!$I266="","",IF(Analysis!$I266="Drifting",Analysis!$F266,""))</f>
        <v/>
      </c>
      <c r="M266" s="29" t="str">
        <f>IF(Analysis!$I266="","",IF(Analysis!$I266="Embedded",Analysis!$H266,""))</f>
        <v/>
      </c>
      <c r="N266" s="29" t="str">
        <f>IF(Analysis!$I266="","",IF(Analysis!$I266="Loyal but shallow",Analysis!$H266,""))</f>
        <v/>
      </c>
      <c r="O266" s="29" t="str">
        <f>IF(Analysis!$I266="","",IF(Analysis!$I266="Project-driven",Analysis!$H266,""))</f>
        <v/>
      </c>
      <c r="P266" s="29" t="str">
        <f>IF(Analysis!$I266="","",IF(Analysis!$I266="Drifting",Analysis!$H266,""))</f>
        <v/>
      </c>
    </row>
    <row r="267" spans="1:16" x14ac:dyDescent="0.25">
      <c r="A267" s="29" t="str">
        <f>IF(Analysis!$I267="","",IF(Analysis!$I267="Embedded",Analysis!$D267,""))</f>
        <v/>
      </c>
      <c r="B267" s="29" t="str">
        <f>IF(Analysis!$I267="","",IF(Analysis!$I267="Loyal but shallow",Analysis!$D267,""))</f>
        <v/>
      </c>
      <c r="C267" s="29" t="str">
        <f>IF(Analysis!$I267="","",IF(Analysis!$I267="Project-driven",Analysis!$D267,""))</f>
        <v/>
      </c>
      <c r="D267" s="29" t="str">
        <f>IF(Analysis!$I267="","",IF(Analysis!$I267="Drifting",Analysis!$D267,""))</f>
        <v/>
      </c>
      <c r="E267" s="29" t="str">
        <f>IF(Analysis!$I267="","",IF(Analysis!$I267="Embedded",Analysis!$C267,""))</f>
        <v/>
      </c>
      <c r="F267" s="29" t="str">
        <f>IF(Analysis!$I267="","",IF(Analysis!$I267="Loyal but shallow",Analysis!$C267,""))</f>
        <v/>
      </c>
      <c r="G267" s="29" t="str">
        <f>IF(Analysis!$I267="","",IF(Analysis!$I267="Project-driven",Analysis!$C267,""))</f>
        <v/>
      </c>
      <c r="H267" s="29" t="str">
        <f>IF(Analysis!$I267="","",IF(Analysis!$I267="Drifting",Analysis!$C267,""))</f>
        <v/>
      </c>
      <c r="I267" s="29" t="str">
        <f>IF(Analysis!$I267="","",IF(Analysis!$I267="Embedded",Analysis!$F267,""))</f>
        <v/>
      </c>
      <c r="J267" s="29" t="str">
        <f>IF(Analysis!$I267="","",IF(Analysis!$I267="Loyal but shallow",Analysis!$F267,""))</f>
        <v/>
      </c>
      <c r="K267" s="29" t="str">
        <f>IF(Analysis!$I267="","",IF(Analysis!$I267="Project-driven",Analysis!$F267,""))</f>
        <v/>
      </c>
      <c r="L267" s="29" t="str">
        <f>IF(Analysis!$I267="","",IF(Analysis!$I267="Drifting",Analysis!$F267,""))</f>
        <v/>
      </c>
      <c r="M267" s="29" t="str">
        <f>IF(Analysis!$I267="","",IF(Analysis!$I267="Embedded",Analysis!$H267,""))</f>
        <v/>
      </c>
      <c r="N267" s="29" t="str">
        <f>IF(Analysis!$I267="","",IF(Analysis!$I267="Loyal but shallow",Analysis!$H267,""))</f>
        <v/>
      </c>
      <c r="O267" s="29" t="str">
        <f>IF(Analysis!$I267="","",IF(Analysis!$I267="Project-driven",Analysis!$H267,""))</f>
        <v/>
      </c>
      <c r="P267" s="29" t="str">
        <f>IF(Analysis!$I267="","",IF(Analysis!$I267="Drifting",Analysis!$H267,""))</f>
        <v/>
      </c>
    </row>
    <row r="268" spans="1:16" x14ac:dyDescent="0.25">
      <c r="A268" s="29" t="str">
        <f>IF(Analysis!$I268="","",IF(Analysis!$I268="Embedded",Analysis!$D268,""))</f>
        <v/>
      </c>
      <c r="B268" s="29" t="str">
        <f>IF(Analysis!$I268="","",IF(Analysis!$I268="Loyal but shallow",Analysis!$D268,""))</f>
        <v/>
      </c>
      <c r="C268" s="29" t="str">
        <f>IF(Analysis!$I268="","",IF(Analysis!$I268="Project-driven",Analysis!$D268,""))</f>
        <v/>
      </c>
      <c r="D268" s="29" t="str">
        <f>IF(Analysis!$I268="","",IF(Analysis!$I268="Drifting",Analysis!$D268,""))</f>
        <v/>
      </c>
      <c r="E268" s="29" t="str">
        <f>IF(Analysis!$I268="","",IF(Analysis!$I268="Embedded",Analysis!$C268,""))</f>
        <v/>
      </c>
      <c r="F268" s="29" t="str">
        <f>IF(Analysis!$I268="","",IF(Analysis!$I268="Loyal but shallow",Analysis!$C268,""))</f>
        <v/>
      </c>
      <c r="G268" s="29" t="str">
        <f>IF(Analysis!$I268="","",IF(Analysis!$I268="Project-driven",Analysis!$C268,""))</f>
        <v/>
      </c>
      <c r="H268" s="29" t="str">
        <f>IF(Analysis!$I268="","",IF(Analysis!$I268="Drifting",Analysis!$C268,""))</f>
        <v/>
      </c>
      <c r="I268" s="29" t="str">
        <f>IF(Analysis!$I268="","",IF(Analysis!$I268="Embedded",Analysis!$F268,""))</f>
        <v/>
      </c>
      <c r="J268" s="29" t="str">
        <f>IF(Analysis!$I268="","",IF(Analysis!$I268="Loyal but shallow",Analysis!$F268,""))</f>
        <v/>
      </c>
      <c r="K268" s="29" t="str">
        <f>IF(Analysis!$I268="","",IF(Analysis!$I268="Project-driven",Analysis!$F268,""))</f>
        <v/>
      </c>
      <c r="L268" s="29" t="str">
        <f>IF(Analysis!$I268="","",IF(Analysis!$I268="Drifting",Analysis!$F268,""))</f>
        <v/>
      </c>
      <c r="M268" s="29" t="str">
        <f>IF(Analysis!$I268="","",IF(Analysis!$I268="Embedded",Analysis!$H268,""))</f>
        <v/>
      </c>
      <c r="N268" s="29" t="str">
        <f>IF(Analysis!$I268="","",IF(Analysis!$I268="Loyal but shallow",Analysis!$H268,""))</f>
        <v/>
      </c>
      <c r="O268" s="29" t="str">
        <f>IF(Analysis!$I268="","",IF(Analysis!$I268="Project-driven",Analysis!$H268,""))</f>
        <v/>
      </c>
      <c r="P268" s="29" t="str">
        <f>IF(Analysis!$I268="","",IF(Analysis!$I268="Drifting",Analysis!$H268,""))</f>
        <v/>
      </c>
    </row>
    <row r="269" spans="1:16" x14ac:dyDescent="0.25">
      <c r="A269" s="29" t="str">
        <f>IF(Analysis!$I269="","",IF(Analysis!$I269="Embedded",Analysis!$D269,""))</f>
        <v/>
      </c>
      <c r="B269" s="29" t="str">
        <f>IF(Analysis!$I269="","",IF(Analysis!$I269="Loyal but shallow",Analysis!$D269,""))</f>
        <v/>
      </c>
      <c r="C269" s="29" t="str">
        <f>IF(Analysis!$I269="","",IF(Analysis!$I269="Project-driven",Analysis!$D269,""))</f>
        <v/>
      </c>
      <c r="D269" s="29" t="str">
        <f>IF(Analysis!$I269="","",IF(Analysis!$I269="Drifting",Analysis!$D269,""))</f>
        <v/>
      </c>
      <c r="E269" s="29" t="str">
        <f>IF(Analysis!$I269="","",IF(Analysis!$I269="Embedded",Analysis!$C269,""))</f>
        <v/>
      </c>
      <c r="F269" s="29" t="str">
        <f>IF(Analysis!$I269="","",IF(Analysis!$I269="Loyal but shallow",Analysis!$C269,""))</f>
        <v/>
      </c>
      <c r="G269" s="29" t="str">
        <f>IF(Analysis!$I269="","",IF(Analysis!$I269="Project-driven",Analysis!$C269,""))</f>
        <v/>
      </c>
      <c r="H269" s="29" t="str">
        <f>IF(Analysis!$I269="","",IF(Analysis!$I269="Drifting",Analysis!$C269,""))</f>
        <v/>
      </c>
      <c r="I269" s="29" t="str">
        <f>IF(Analysis!$I269="","",IF(Analysis!$I269="Embedded",Analysis!$F269,""))</f>
        <v/>
      </c>
      <c r="J269" s="29" t="str">
        <f>IF(Analysis!$I269="","",IF(Analysis!$I269="Loyal but shallow",Analysis!$F269,""))</f>
        <v/>
      </c>
      <c r="K269" s="29" t="str">
        <f>IF(Analysis!$I269="","",IF(Analysis!$I269="Project-driven",Analysis!$F269,""))</f>
        <v/>
      </c>
      <c r="L269" s="29" t="str">
        <f>IF(Analysis!$I269="","",IF(Analysis!$I269="Drifting",Analysis!$F269,""))</f>
        <v/>
      </c>
      <c r="M269" s="29" t="str">
        <f>IF(Analysis!$I269="","",IF(Analysis!$I269="Embedded",Analysis!$H269,""))</f>
        <v/>
      </c>
      <c r="N269" s="29" t="str">
        <f>IF(Analysis!$I269="","",IF(Analysis!$I269="Loyal but shallow",Analysis!$H269,""))</f>
        <v/>
      </c>
      <c r="O269" s="29" t="str">
        <f>IF(Analysis!$I269="","",IF(Analysis!$I269="Project-driven",Analysis!$H269,""))</f>
        <v/>
      </c>
      <c r="P269" s="29" t="str">
        <f>IF(Analysis!$I269="","",IF(Analysis!$I269="Drifting",Analysis!$H269,""))</f>
        <v/>
      </c>
    </row>
    <row r="270" spans="1:16" x14ac:dyDescent="0.25">
      <c r="A270" s="29" t="str">
        <f>IF(Analysis!$I270="","",IF(Analysis!$I270="Embedded",Analysis!$D270,""))</f>
        <v/>
      </c>
      <c r="B270" s="29" t="str">
        <f>IF(Analysis!$I270="","",IF(Analysis!$I270="Loyal but shallow",Analysis!$D270,""))</f>
        <v/>
      </c>
      <c r="C270" s="29" t="str">
        <f>IF(Analysis!$I270="","",IF(Analysis!$I270="Project-driven",Analysis!$D270,""))</f>
        <v/>
      </c>
      <c r="D270" s="29" t="str">
        <f>IF(Analysis!$I270="","",IF(Analysis!$I270="Drifting",Analysis!$D270,""))</f>
        <v/>
      </c>
      <c r="E270" s="29" t="str">
        <f>IF(Analysis!$I270="","",IF(Analysis!$I270="Embedded",Analysis!$C270,""))</f>
        <v/>
      </c>
      <c r="F270" s="29" t="str">
        <f>IF(Analysis!$I270="","",IF(Analysis!$I270="Loyal but shallow",Analysis!$C270,""))</f>
        <v/>
      </c>
      <c r="G270" s="29" t="str">
        <f>IF(Analysis!$I270="","",IF(Analysis!$I270="Project-driven",Analysis!$C270,""))</f>
        <v/>
      </c>
      <c r="H270" s="29" t="str">
        <f>IF(Analysis!$I270="","",IF(Analysis!$I270="Drifting",Analysis!$C270,""))</f>
        <v/>
      </c>
      <c r="I270" s="29" t="str">
        <f>IF(Analysis!$I270="","",IF(Analysis!$I270="Embedded",Analysis!$F270,""))</f>
        <v/>
      </c>
      <c r="J270" s="29" t="str">
        <f>IF(Analysis!$I270="","",IF(Analysis!$I270="Loyal but shallow",Analysis!$F270,""))</f>
        <v/>
      </c>
      <c r="K270" s="29" t="str">
        <f>IF(Analysis!$I270="","",IF(Analysis!$I270="Project-driven",Analysis!$F270,""))</f>
        <v/>
      </c>
      <c r="L270" s="29" t="str">
        <f>IF(Analysis!$I270="","",IF(Analysis!$I270="Drifting",Analysis!$F270,""))</f>
        <v/>
      </c>
      <c r="M270" s="29" t="str">
        <f>IF(Analysis!$I270="","",IF(Analysis!$I270="Embedded",Analysis!$H270,""))</f>
        <v/>
      </c>
      <c r="N270" s="29" t="str">
        <f>IF(Analysis!$I270="","",IF(Analysis!$I270="Loyal but shallow",Analysis!$H270,""))</f>
        <v/>
      </c>
      <c r="O270" s="29" t="str">
        <f>IF(Analysis!$I270="","",IF(Analysis!$I270="Project-driven",Analysis!$H270,""))</f>
        <v/>
      </c>
      <c r="P270" s="29" t="str">
        <f>IF(Analysis!$I270="","",IF(Analysis!$I270="Drifting",Analysis!$H270,""))</f>
        <v/>
      </c>
    </row>
    <row r="271" spans="1:16" x14ac:dyDescent="0.25">
      <c r="A271" s="29" t="str">
        <f>IF(Analysis!$I271="","",IF(Analysis!$I271="Embedded",Analysis!$D271,""))</f>
        <v/>
      </c>
      <c r="B271" s="29" t="str">
        <f>IF(Analysis!$I271="","",IF(Analysis!$I271="Loyal but shallow",Analysis!$D271,""))</f>
        <v/>
      </c>
      <c r="C271" s="29" t="str">
        <f>IF(Analysis!$I271="","",IF(Analysis!$I271="Project-driven",Analysis!$D271,""))</f>
        <v/>
      </c>
      <c r="D271" s="29" t="str">
        <f>IF(Analysis!$I271="","",IF(Analysis!$I271="Drifting",Analysis!$D271,""))</f>
        <v/>
      </c>
      <c r="E271" s="29" t="str">
        <f>IF(Analysis!$I271="","",IF(Analysis!$I271="Embedded",Analysis!$C271,""))</f>
        <v/>
      </c>
      <c r="F271" s="29" t="str">
        <f>IF(Analysis!$I271="","",IF(Analysis!$I271="Loyal but shallow",Analysis!$C271,""))</f>
        <v/>
      </c>
      <c r="G271" s="29" t="str">
        <f>IF(Analysis!$I271="","",IF(Analysis!$I271="Project-driven",Analysis!$C271,""))</f>
        <v/>
      </c>
      <c r="H271" s="29" t="str">
        <f>IF(Analysis!$I271="","",IF(Analysis!$I271="Drifting",Analysis!$C271,""))</f>
        <v/>
      </c>
      <c r="I271" s="29" t="str">
        <f>IF(Analysis!$I271="","",IF(Analysis!$I271="Embedded",Analysis!$F271,""))</f>
        <v/>
      </c>
      <c r="J271" s="29" t="str">
        <f>IF(Analysis!$I271="","",IF(Analysis!$I271="Loyal but shallow",Analysis!$F271,""))</f>
        <v/>
      </c>
      <c r="K271" s="29" t="str">
        <f>IF(Analysis!$I271="","",IF(Analysis!$I271="Project-driven",Analysis!$F271,""))</f>
        <v/>
      </c>
      <c r="L271" s="29" t="str">
        <f>IF(Analysis!$I271="","",IF(Analysis!$I271="Drifting",Analysis!$F271,""))</f>
        <v/>
      </c>
      <c r="M271" s="29" t="str">
        <f>IF(Analysis!$I271="","",IF(Analysis!$I271="Embedded",Analysis!$H271,""))</f>
        <v/>
      </c>
      <c r="N271" s="29" t="str">
        <f>IF(Analysis!$I271="","",IF(Analysis!$I271="Loyal but shallow",Analysis!$H271,""))</f>
        <v/>
      </c>
      <c r="O271" s="29" t="str">
        <f>IF(Analysis!$I271="","",IF(Analysis!$I271="Project-driven",Analysis!$H271,""))</f>
        <v/>
      </c>
      <c r="P271" s="29" t="str">
        <f>IF(Analysis!$I271="","",IF(Analysis!$I271="Drifting",Analysis!$H271,""))</f>
        <v/>
      </c>
    </row>
    <row r="272" spans="1:16" x14ac:dyDescent="0.25">
      <c r="A272" s="29" t="str">
        <f>IF(Analysis!$I272="","",IF(Analysis!$I272="Embedded",Analysis!$D272,""))</f>
        <v/>
      </c>
      <c r="B272" s="29" t="str">
        <f>IF(Analysis!$I272="","",IF(Analysis!$I272="Loyal but shallow",Analysis!$D272,""))</f>
        <v/>
      </c>
      <c r="C272" s="29" t="str">
        <f>IF(Analysis!$I272="","",IF(Analysis!$I272="Project-driven",Analysis!$D272,""))</f>
        <v/>
      </c>
      <c r="D272" s="29" t="str">
        <f>IF(Analysis!$I272="","",IF(Analysis!$I272="Drifting",Analysis!$D272,""))</f>
        <v/>
      </c>
      <c r="E272" s="29" t="str">
        <f>IF(Analysis!$I272="","",IF(Analysis!$I272="Embedded",Analysis!$C272,""))</f>
        <v/>
      </c>
      <c r="F272" s="29" t="str">
        <f>IF(Analysis!$I272="","",IF(Analysis!$I272="Loyal but shallow",Analysis!$C272,""))</f>
        <v/>
      </c>
      <c r="G272" s="29" t="str">
        <f>IF(Analysis!$I272="","",IF(Analysis!$I272="Project-driven",Analysis!$C272,""))</f>
        <v/>
      </c>
      <c r="H272" s="29" t="str">
        <f>IF(Analysis!$I272="","",IF(Analysis!$I272="Drifting",Analysis!$C272,""))</f>
        <v/>
      </c>
      <c r="I272" s="29" t="str">
        <f>IF(Analysis!$I272="","",IF(Analysis!$I272="Embedded",Analysis!$F272,""))</f>
        <v/>
      </c>
      <c r="J272" s="29" t="str">
        <f>IF(Analysis!$I272="","",IF(Analysis!$I272="Loyal but shallow",Analysis!$F272,""))</f>
        <v/>
      </c>
      <c r="K272" s="29" t="str">
        <f>IF(Analysis!$I272="","",IF(Analysis!$I272="Project-driven",Analysis!$F272,""))</f>
        <v/>
      </c>
      <c r="L272" s="29" t="str">
        <f>IF(Analysis!$I272="","",IF(Analysis!$I272="Drifting",Analysis!$F272,""))</f>
        <v/>
      </c>
      <c r="M272" s="29" t="str">
        <f>IF(Analysis!$I272="","",IF(Analysis!$I272="Embedded",Analysis!$H272,""))</f>
        <v/>
      </c>
      <c r="N272" s="29" t="str">
        <f>IF(Analysis!$I272="","",IF(Analysis!$I272="Loyal but shallow",Analysis!$H272,""))</f>
        <v/>
      </c>
      <c r="O272" s="29" t="str">
        <f>IF(Analysis!$I272="","",IF(Analysis!$I272="Project-driven",Analysis!$H272,""))</f>
        <v/>
      </c>
      <c r="P272" s="29" t="str">
        <f>IF(Analysis!$I272="","",IF(Analysis!$I272="Drifting",Analysis!$H272,""))</f>
        <v/>
      </c>
    </row>
    <row r="273" spans="1:16" x14ac:dyDescent="0.25">
      <c r="A273" s="29" t="str">
        <f>IF(Analysis!$I273="","",IF(Analysis!$I273="Embedded",Analysis!$D273,""))</f>
        <v/>
      </c>
      <c r="B273" s="29" t="str">
        <f>IF(Analysis!$I273="","",IF(Analysis!$I273="Loyal but shallow",Analysis!$D273,""))</f>
        <v/>
      </c>
      <c r="C273" s="29" t="str">
        <f>IF(Analysis!$I273="","",IF(Analysis!$I273="Project-driven",Analysis!$D273,""))</f>
        <v/>
      </c>
      <c r="D273" s="29" t="str">
        <f>IF(Analysis!$I273="","",IF(Analysis!$I273="Drifting",Analysis!$D273,""))</f>
        <v/>
      </c>
      <c r="E273" s="29" t="str">
        <f>IF(Analysis!$I273="","",IF(Analysis!$I273="Embedded",Analysis!$C273,""))</f>
        <v/>
      </c>
      <c r="F273" s="29" t="str">
        <f>IF(Analysis!$I273="","",IF(Analysis!$I273="Loyal but shallow",Analysis!$C273,""))</f>
        <v/>
      </c>
      <c r="G273" s="29" t="str">
        <f>IF(Analysis!$I273="","",IF(Analysis!$I273="Project-driven",Analysis!$C273,""))</f>
        <v/>
      </c>
      <c r="H273" s="29" t="str">
        <f>IF(Analysis!$I273="","",IF(Analysis!$I273="Drifting",Analysis!$C273,""))</f>
        <v/>
      </c>
      <c r="I273" s="29" t="str">
        <f>IF(Analysis!$I273="","",IF(Analysis!$I273="Embedded",Analysis!$F273,""))</f>
        <v/>
      </c>
      <c r="J273" s="29" t="str">
        <f>IF(Analysis!$I273="","",IF(Analysis!$I273="Loyal but shallow",Analysis!$F273,""))</f>
        <v/>
      </c>
      <c r="K273" s="29" t="str">
        <f>IF(Analysis!$I273="","",IF(Analysis!$I273="Project-driven",Analysis!$F273,""))</f>
        <v/>
      </c>
      <c r="L273" s="29" t="str">
        <f>IF(Analysis!$I273="","",IF(Analysis!$I273="Drifting",Analysis!$F273,""))</f>
        <v/>
      </c>
      <c r="M273" s="29" t="str">
        <f>IF(Analysis!$I273="","",IF(Analysis!$I273="Embedded",Analysis!$H273,""))</f>
        <v/>
      </c>
      <c r="N273" s="29" t="str">
        <f>IF(Analysis!$I273="","",IF(Analysis!$I273="Loyal but shallow",Analysis!$H273,""))</f>
        <v/>
      </c>
      <c r="O273" s="29" t="str">
        <f>IF(Analysis!$I273="","",IF(Analysis!$I273="Project-driven",Analysis!$H273,""))</f>
        <v/>
      </c>
      <c r="P273" s="29" t="str">
        <f>IF(Analysis!$I273="","",IF(Analysis!$I273="Drifting",Analysis!$H273,""))</f>
        <v/>
      </c>
    </row>
    <row r="274" spans="1:16" x14ac:dyDescent="0.25">
      <c r="A274" s="29" t="str">
        <f>IF(Analysis!$I274="","",IF(Analysis!$I274="Embedded",Analysis!$D274,""))</f>
        <v/>
      </c>
      <c r="B274" s="29" t="str">
        <f>IF(Analysis!$I274="","",IF(Analysis!$I274="Loyal but shallow",Analysis!$D274,""))</f>
        <v/>
      </c>
      <c r="C274" s="29" t="str">
        <f>IF(Analysis!$I274="","",IF(Analysis!$I274="Project-driven",Analysis!$D274,""))</f>
        <v/>
      </c>
      <c r="D274" s="29" t="str">
        <f>IF(Analysis!$I274="","",IF(Analysis!$I274="Drifting",Analysis!$D274,""))</f>
        <v/>
      </c>
      <c r="E274" s="29" t="str">
        <f>IF(Analysis!$I274="","",IF(Analysis!$I274="Embedded",Analysis!$C274,""))</f>
        <v/>
      </c>
      <c r="F274" s="29" t="str">
        <f>IF(Analysis!$I274="","",IF(Analysis!$I274="Loyal but shallow",Analysis!$C274,""))</f>
        <v/>
      </c>
      <c r="G274" s="29" t="str">
        <f>IF(Analysis!$I274="","",IF(Analysis!$I274="Project-driven",Analysis!$C274,""))</f>
        <v/>
      </c>
      <c r="H274" s="29" t="str">
        <f>IF(Analysis!$I274="","",IF(Analysis!$I274="Drifting",Analysis!$C274,""))</f>
        <v/>
      </c>
      <c r="I274" s="29" t="str">
        <f>IF(Analysis!$I274="","",IF(Analysis!$I274="Embedded",Analysis!$F274,""))</f>
        <v/>
      </c>
      <c r="J274" s="29" t="str">
        <f>IF(Analysis!$I274="","",IF(Analysis!$I274="Loyal but shallow",Analysis!$F274,""))</f>
        <v/>
      </c>
      <c r="K274" s="29" t="str">
        <f>IF(Analysis!$I274="","",IF(Analysis!$I274="Project-driven",Analysis!$F274,""))</f>
        <v/>
      </c>
      <c r="L274" s="29" t="str">
        <f>IF(Analysis!$I274="","",IF(Analysis!$I274="Drifting",Analysis!$F274,""))</f>
        <v/>
      </c>
      <c r="M274" s="29" t="str">
        <f>IF(Analysis!$I274="","",IF(Analysis!$I274="Embedded",Analysis!$H274,""))</f>
        <v/>
      </c>
      <c r="N274" s="29" t="str">
        <f>IF(Analysis!$I274="","",IF(Analysis!$I274="Loyal but shallow",Analysis!$H274,""))</f>
        <v/>
      </c>
      <c r="O274" s="29" t="str">
        <f>IF(Analysis!$I274="","",IF(Analysis!$I274="Project-driven",Analysis!$H274,""))</f>
        <v/>
      </c>
      <c r="P274" s="29" t="str">
        <f>IF(Analysis!$I274="","",IF(Analysis!$I274="Drifting",Analysis!$H274,""))</f>
        <v/>
      </c>
    </row>
    <row r="275" spans="1:16" x14ac:dyDescent="0.25">
      <c r="A275" s="29" t="str">
        <f>IF(Analysis!$I275="","",IF(Analysis!$I275="Embedded",Analysis!$D275,""))</f>
        <v/>
      </c>
      <c r="B275" s="29" t="str">
        <f>IF(Analysis!$I275="","",IF(Analysis!$I275="Loyal but shallow",Analysis!$D275,""))</f>
        <v/>
      </c>
      <c r="C275" s="29" t="str">
        <f>IF(Analysis!$I275="","",IF(Analysis!$I275="Project-driven",Analysis!$D275,""))</f>
        <v/>
      </c>
      <c r="D275" s="29" t="str">
        <f>IF(Analysis!$I275="","",IF(Analysis!$I275="Drifting",Analysis!$D275,""))</f>
        <v/>
      </c>
      <c r="E275" s="29" t="str">
        <f>IF(Analysis!$I275="","",IF(Analysis!$I275="Embedded",Analysis!$C275,""))</f>
        <v/>
      </c>
      <c r="F275" s="29" t="str">
        <f>IF(Analysis!$I275="","",IF(Analysis!$I275="Loyal but shallow",Analysis!$C275,""))</f>
        <v/>
      </c>
      <c r="G275" s="29" t="str">
        <f>IF(Analysis!$I275="","",IF(Analysis!$I275="Project-driven",Analysis!$C275,""))</f>
        <v/>
      </c>
      <c r="H275" s="29" t="str">
        <f>IF(Analysis!$I275="","",IF(Analysis!$I275="Drifting",Analysis!$C275,""))</f>
        <v/>
      </c>
      <c r="I275" s="29" t="str">
        <f>IF(Analysis!$I275="","",IF(Analysis!$I275="Embedded",Analysis!$F275,""))</f>
        <v/>
      </c>
      <c r="J275" s="29" t="str">
        <f>IF(Analysis!$I275="","",IF(Analysis!$I275="Loyal but shallow",Analysis!$F275,""))</f>
        <v/>
      </c>
      <c r="K275" s="29" t="str">
        <f>IF(Analysis!$I275="","",IF(Analysis!$I275="Project-driven",Analysis!$F275,""))</f>
        <v/>
      </c>
      <c r="L275" s="29" t="str">
        <f>IF(Analysis!$I275="","",IF(Analysis!$I275="Drifting",Analysis!$F275,""))</f>
        <v/>
      </c>
      <c r="M275" s="29" t="str">
        <f>IF(Analysis!$I275="","",IF(Analysis!$I275="Embedded",Analysis!$H275,""))</f>
        <v/>
      </c>
      <c r="N275" s="29" t="str">
        <f>IF(Analysis!$I275="","",IF(Analysis!$I275="Loyal but shallow",Analysis!$H275,""))</f>
        <v/>
      </c>
      <c r="O275" s="29" t="str">
        <f>IF(Analysis!$I275="","",IF(Analysis!$I275="Project-driven",Analysis!$H275,""))</f>
        <v/>
      </c>
      <c r="P275" s="29" t="str">
        <f>IF(Analysis!$I275="","",IF(Analysis!$I275="Drifting",Analysis!$H275,""))</f>
        <v/>
      </c>
    </row>
    <row r="276" spans="1:16" x14ac:dyDescent="0.25">
      <c r="A276" s="29" t="str">
        <f>IF(Analysis!$I276="","",IF(Analysis!$I276="Embedded",Analysis!$D276,""))</f>
        <v/>
      </c>
      <c r="B276" s="29" t="str">
        <f>IF(Analysis!$I276="","",IF(Analysis!$I276="Loyal but shallow",Analysis!$D276,""))</f>
        <v/>
      </c>
      <c r="C276" s="29" t="str">
        <f>IF(Analysis!$I276="","",IF(Analysis!$I276="Project-driven",Analysis!$D276,""))</f>
        <v/>
      </c>
      <c r="D276" s="29" t="str">
        <f>IF(Analysis!$I276="","",IF(Analysis!$I276="Drifting",Analysis!$D276,""))</f>
        <v/>
      </c>
      <c r="E276" s="29" t="str">
        <f>IF(Analysis!$I276="","",IF(Analysis!$I276="Embedded",Analysis!$C276,""))</f>
        <v/>
      </c>
      <c r="F276" s="29" t="str">
        <f>IF(Analysis!$I276="","",IF(Analysis!$I276="Loyal but shallow",Analysis!$C276,""))</f>
        <v/>
      </c>
      <c r="G276" s="29" t="str">
        <f>IF(Analysis!$I276="","",IF(Analysis!$I276="Project-driven",Analysis!$C276,""))</f>
        <v/>
      </c>
      <c r="H276" s="29" t="str">
        <f>IF(Analysis!$I276="","",IF(Analysis!$I276="Drifting",Analysis!$C276,""))</f>
        <v/>
      </c>
      <c r="I276" s="29" t="str">
        <f>IF(Analysis!$I276="","",IF(Analysis!$I276="Embedded",Analysis!$F276,""))</f>
        <v/>
      </c>
      <c r="J276" s="29" t="str">
        <f>IF(Analysis!$I276="","",IF(Analysis!$I276="Loyal but shallow",Analysis!$F276,""))</f>
        <v/>
      </c>
      <c r="K276" s="29" t="str">
        <f>IF(Analysis!$I276="","",IF(Analysis!$I276="Project-driven",Analysis!$F276,""))</f>
        <v/>
      </c>
      <c r="L276" s="29" t="str">
        <f>IF(Analysis!$I276="","",IF(Analysis!$I276="Drifting",Analysis!$F276,""))</f>
        <v/>
      </c>
      <c r="M276" s="29" t="str">
        <f>IF(Analysis!$I276="","",IF(Analysis!$I276="Embedded",Analysis!$H276,""))</f>
        <v/>
      </c>
      <c r="N276" s="29" t="str">
        <f>IF(Analysis!$I276="","",IF(Analysis!$I276="Loyal but shallow",Analysis!$H276,""))</f>
        <v/>
      </c>
      <c r="O276" s="29" t="str">
        <f>IF(Analysis!$I276="","",IF(Analysis!$I276="Project-driven",Analysis!$H276,""))</f>
        <v/>
      </c>
      <c r="P276" s="29" t="str">
        <f>IF(Analysis!$I276="","",IF(Analysis!$I276="Drifting",Analysis!$H276,""))</f>
        <v/>
      </c>
    </row>
    <row r="277" spans="1:16" x14ac:dyDescent="0.25">
      <c r="A277" s="29" t="str">
        <f>IF(Analysis!$I277="","",IF(Analysis!$I277="Embedded",Analysis!$D277,""))</f>
        <v/>
      </c>
      <c r="B277" s="29" t="str">
        <f>IF(Analysis!$I277="","",IF(Analysis!$I277="Loyal but shallow",Analysis!$D277,""))</f>
        <v/>
      </c>
      <c r="C277" s="29" t="str">
        <f>IF(Analysis!$I277="","",IF(Analysis!$I277="Project-driven",Analysis!$D277,""))</f>
        <v/>
      </c>
      <c r="D277" s="29" t="str">
        <f>IF(Analysis!$I277="","",IF(Analysis!$I277="Drifting",Analysis!$D277,""))</f>
        <v/>
      </c>
      <c r="E277" s="29" t="str">
        <f>IF(Analysis!$I277="","",IF(Analysis!$I277="Embedded",Analysis!$C277,""))</f>
        <v/>
      </c>
      <c r="F277" s="29" t="str">
        <f>IF(Analysis!$I277="","",IF(Analysis!$I277="Loyal but shallow",Analysis!$C277,""))</f>
        <v/>
      </c>
      <c r="G277" s="29" t="str">
        <f>IF(Analysis!$I277="","",IF(Analysis!$I277="Project-driven",Analysis!$C277,""))</f>
        <v/>
      </c>
      <c r="H277" s="29" t="str">
        <f>IF(Analysis!$I277="","",IF(Analysis!$I277="Drifting",Analysis!$C277,""))</f>
        <v/>
      </c>
      <c r="I277" s="29" t="str">
        <f>IF(Analysis!$I277="","",IF(Analysis!$I277="Embedded",Analysis!$F277,""))</f>
        <v/>
      </c>
      <c r="J277" s="29" t="str">
        <f>IF(Analysis!$I277="","",IF(Analysis!$I277="Loyal but shallow",Analysis!$F277,""))</f>
        <v/>
      </c>
      <c r="K277" s="29" t="str">
        <f>IF(Analysis!$I277="","",IF(Analysis!$I277="Project-driven",Analysis!$F277,""))</f>
        <v/>
      </c>
      <c r="L277" s="29" t="str">
        <f>IF(Analysis!$I277="","",IF(Analysis!$I277="Drifting",Analysis!$F277,""))</f>
        <v/>
      </c>
      <c r="M277" s="29" t="str">
        <f>IF(Analysis!$I277="","",IF(Analysis!$I277="Embedded",Analysis!$H277,""))</f>
        <v/>
      </c>
      <c r="N277" s="29" t="str">
        <f>IF(Analysis!$I277="","",IF(Analysis!$I277="Loyal but shallow",Analysis!$H277,""))</f>
        <v/>
      </c>
      <c r="O277" s="29" t="str">
        <f>IF(Analysis!$I277="","",IF(Analysis!$I277="Project-driven",Analysis!$H277,""))</f>
        <v/>
      </c>
      <c r="P277" s="29" t="str">
        <f>IF(Analysis!$I277="","",IF(Analysis!$I277="Drifting",Analysis!$H277,""))</f>
        <v/>
      </c>
    </row>
    <row r="278" spans="1:16" x14ac:dyDescent="0.25">
      <c r="A278" s="29" t="str">
        <f>IF(Analysis!$I278="","",IF(Analysis!$I278="Embedded",Analysis!$D278,""))</f>
        <v/>
      </c>
      <c r="B278" s="29" t="str">
        <f>IF(Analysis!$I278="","",IF(Analysis!$I278="Loyal but shallow",Analysis!$D278,""))</f>
        <v/>
      </c>
      <c r="C278" s="29" t="str">
        <f>IF(Analysis!$I278="","",IF(Analysis!$I278="Project-driven",Analysis!$D278,""))</f>
        <v/>
      </c>
      <c r="D278" s="29" t="str">
        <f>IF(Analysis!$I278="","",IF(Analysis!$I278="Drifting",Analysis!$D278,""))</f>
        <v/>
      </c>
      <c r="E278" s="29" t="str">
        <f>IF(Analysis!$I278="","",IF(Analysis!$I278="Embedded",Analysis!$C278,""))</f>
        <v/>
      </c>
      <c r="F278" s="29" t="str">
        <f>IF(Analysis!$I278="","",IF(Analysis!$I278="Loyal but shallow",Analysis!$C278,""))</f>
        <v/>
      </c>
      <c r="G278" s="29" t="str">
        <f>IF(Analysis!$I278="","",IF(Analysis!$I278="Project-driven",Analysis!$C278,""))</f>
        <v/>
      </c>
      <c r="H278" s="29" t="str">
        <f>IF(Analysis!$I278="","",IF(Analysis!$I278="Drifting",Analysis!$C278,""))</f>
        <v/>
      </c>
      <c r="I278" s="29" t="str">
        <f>IF(Analysis!$I278="","",IF(Analysis!$I278="Embedded",Analysis!$F278,""))</f>
        <v/>
      </c>
      <c r="J278" s="29" t="str">
        <f>IF(Analysis!$I278="","",IF(Analysis!$I278="Loyal but shallow",Analysis!$F278,""))</f>
        <v/>
      </c>
      <c r="K278" s="29" t="str">
        <f>IF(Analysis!$I278="","",IF(Analysis!$I278="Project-driven",Analysis!$F278,""))</f>
        <v/>
      </c>
      <c r="L278" s="29" t="str">
        <f>IF(Analysis!$I278="","",IF(Analysis!$I278="Drifting",Analysis!$F278,""))</f>
        <v/>
      </c>
      <c r="M278" s="29" t="str">
        <f>IF(Analysis!$I278="","",IF(Analysis!$I278="Embedded",Analysis!$H278,""))</f>
        <v/>
      </c>
      <c r="N278" s="29" t="str">
        <f>IF(Analysis!$I278="","",IF(Analysis!$I278="Loyal but shallow",Analysis!$H278,""))</f>
        <v/>
      </c>
      <c r="O278" s="29" t="str">
        <f>IF(Analysis!$I278="","",IF(Analysis!$I278="Project-driven",Analysis!$H278,""))</f>
        <v/>
      </c>
      <c r="P278" s="29" t="str">
        <f>IF(Analysis!$I278="","",IF(Analysis!$I278="Drifting",Analysis!$H278,""))</f>
        <v/>
      </c>
    </row>
    <row r="279" spans="1:16" x14ac:dyDescent="0.25">
      <c r="A279" s="29" t="str">
        <f>IF(Analysis!$I279="","",IF(Analysis!$I279="Embedded",Analysis!$D279,""))</f>
        <v/>
      </c>
      <c r="B279" s="29" t="str">
        <f>IF(Analysis!$I279="","",IF(Analysis!$I279="Loyal but shallow",Analysis!$D279,""))</f>
        <v/>
      </c>
      <c r="C279" s="29" t="str">
        <f>IF(Analysis!$I279="","",IF(Analysis!$I279="Project-driven",Analysis!$D279,""))</f>
        <v/>
      </c>
      <c r="D279" s="29" t="str">
        <f>IF(Analysis!$I279="","",IF(Analysis!$I279="Drifting",Analysis!$D279,""))</f>
        <v/>
      </c>
      <c r="E279" s="29" t="str">
        <f>IF(Analysis!$I279="","",IF(Analysis!$I279="Embedded",Analysis!$C279,""))</f>
        <v/>
      </c>
      <c r="F279" s="29" t="str">
        <f>IF(Analysis!$I279="","",IF(Analysis!$I279="Loyal but shallow",Analysis!$C279,""))</f>
        <v/>
      </c>
      <c r="G279" s="29" t="str">
        <f>IF(Analysis!$I279="","",IF(Analysis!$I279="Project-driven",Analysis!$C279,""))</f>
        <v/>
      </c>
      <c r="H279" s="29" t="str">
        <f>IF(Analysis!$I279="","",IF(Analysis!$I279="Drifting",Analysis!$C279,""))</f>
        <v/>
      </c>
      <c r="I279" s="29" t="str">
        <f>IF(Analysis!$I279="","",IF(Analysis!$I279="Embedded",Analysis!$F279,""))</f>
        <v/>
      </c>
      <c r="J279" s="29" t="str">
        <f>IF(Analysis!$I279="","",IF(Analysis!$I279="Loyal but shallow",Analysis!$F279,""))</f>
        <v/>
      </c>
      <c r="K279" s="29" t="str">
        <f>IF(Analysis!$I279="","",IF(Analysis!$I279="Project-driven",Analysis!$F279,""))</f>
        <v/>
      </c>
      <c r="L279" s="29" t="str">
        <f>IF(Analysis!$I279="","",IF(Analysis!$I279="Drifting",Analysis!$F279,""))</f>
        <v/>
      </c>
      <c r="M279" s="29" t="str">
        <f>IF(Analysis!$I279="","",IF(Analysis!$I279="Embedded",Analysis!$H279,""))</f>
        <v/>
      </c>
      <c r="N279" s="29" t="str">
        <f>IF(Analysis!$I279="","",IF(Analysis!$I279="Loyal but shallow",Analysis!$H279,""))</f>
        <v/>
      </c>
      <c r="O279" s="29" t="str">
        <f>IF(Analysis!$I279="","",IF(Analysis!$I279="Project-driven",Analysis!$H279,""))</f>
        <v/>
      </c>
      <c r="P279" s="29" t="str">
        <f>IF(Analysis!$I279="","",IF(Analysis!$I279="Drifting",Analysis!$H279,""))</f>
        <v/>
      </c>
    </row>
    <row r="280" spans="1:16" x14ac:dyDescent="0.25">
      <c r="A280" s="29" t="str">
        <f>IF(Analysis!$I280="","",IF(Analysis!$I280="Embedded",Analysis!$D280,""))</f>
        <v/>
      </c>
      <c r="B280" s="29" t="str">
        <f>IF(Analysis!$I280="","",IF(Analysis!$I280="Loyal but shallow",Analysis!$D280,""))</f>
        <v/>
      </c>
      <c r="C280" s="29" t="str">
        <f>IF(Analysis!$I280="","",IF(Analysis!$I280="Project-driven",Analysis!$D280,""))</f>
        <v/>
      </c>
      <c r="D280" s="29" t="str">
        <f>IF(Analysis!$I280="","",IF(Analysis!$I280="Drifting",Analysis!$D280,""))</f>
        <v/>
      </c>
      <c r="E280" s="29" t="str">
        <f>IF(Analysis!$I280="","",IF(Analysis!$I280="Embedded",Analysis!$C280,""))</f>
        <v/>
      </c>
      <c r="F280" s="29" t="str">
        <f>IF(Analysis!$I280="","",IF(Analysis!$I280="Loyal but shallow",Analysis!$C280,""))</f>
        <v/>
      </c>
      <c r="G280" s="29" t="str">
        <f>IF(Analysis!$I280="","",IF(Analysis!$I280="Project-driven",Analysis!$C280,""))</f>
        <v/>
      </c>
      <c r="H280" s="29" t="str">
        <f>IF(Analysis!$I280="","",IF(Analysis!$I280="Drifting",Analysis!$C280,""))</f>
        <v/>
      </c>
      <c r="I280" s="29" t="str">
        <f>IF(Analysis!$I280="","",IF(Analysis!$I280="Embedded",Analysis!$F280,""))</f>
        <v/>
      </c>
      <c r="J280" s="29" t="str">
        <f>IF(Analysis!$I280="","",IF(Analysis!$I280="Loyal but shallow",Analysis!$F280,""))</f>
        <v/>
      </c>
      <c r="K280" s="29" t="str">
        <f>IF(Analysis!$I280="","",IF(Analysis!$I280="Project-driven",Analysis!$F280,""))</f>
        <v/>
      </c>
      <c r="L280" s="29" t="str">
        <f>IF(Analysis!$I280="","",IF(Analysis!$I280="Drifting",Analysis!$F280,""))</f>
        <v/>
      </c>
      <c r="M280" s="29" t="str">
        <f>IF(Analysis!$I280="","",IF(Analysis!$I280="Embedded",Analysis!$H280,""))</f>
        <v/>
      </c>
      <c r="N280" s="29" t="str">
        <f>IF(Analysis!$I280="","",IF(Analysis!$I280="Loyal but shallow",Analysis!$H280,""))</f>
        <v/>
      </c>
      <c r="O280" s="29" t="str">
        <f>IF(Analysis!$I280="","",IF(Analysis!$I280="Project-driven",Analysis!$H280,""))</f>
        <v/>
      </c>
      <c r="P280" s="29" t="str">
        <f>IF(Analysis!$I280="","",IF(Analysis!$I280="Drifting",Analysis!$H280,""))</f>
        <v/>
      </c>
    </row>
    <row r="281" spans="1:16" x14ac:dyDescent="0.25">
      <c r="A281" s="29" t="str">
        <f>IF(Analysis!$I281="","",IF(Analysis!$I281="Embedded",Analysis!$D281,""))</f>
        <v/>
      </c>
      <c r="B281" s="29" t="str">
        <f>IF(Analysis!$I281="","",IF(Analysis!$I281="Loyal but shallow",Analysis!$D281,""))</f>
        <v/>
      </c>
      <c r="C281" s="29" t="str">
        <f>IF(Analysis!$I281="","",IF(Analysis!$I281="Project-driven",Analysis!$D281,""))</f>
        <v/>
      </c>
      <c r="D281" s="29" t="str">
        <f>IF(Analysis!$I281="","",IF(Analysis!$I281="Drifting",Analysis!$D281,""))</f>
        <v/>
      </c>
      <c r="E281" s="29" t="str">
        <f>IF(Analysis!$I281="","",IF(Analysis!$I281="Embedded",Analysis!$C281,""))</f>
        <v/>
      </c>
      <c r="F281" s="29" t="str">
        <f>IF(Analysis!$I281="","",IF(Analysis!$I281="Loyal but shallow",Analysis!$C281,""))</f>
        <v/>
      </c>
      <c r="G281" s="29" t="str">
        <f>IF(Analysis!$I281="","",IF(Analysis!$I281="Project-driven",Analysis!$C281,""))</f>
        <v/>
      </c>
      <c r="H281" s="29" t="str">
        <f>IF(Analysis!$I281="","",IF(Analysis!$I281="Drifting",Analysis!$C281,""))</f>
        <v/>
      </c>
      <c r="I281" s="29" t="str">
        <f>IF(Analysis!$I281="","",IF(Analysis!$I281="Embedded",Analysis!$F281,""))</f>
        <v/>
      </c>
      <c r="J281" s="29" t="str">
        <f>IF(Analysis!$I281="","",IF(Analysis!$I281="Loyal but shallow",Analysis!$F281,""))</f>
        <v/>
      </c>
      <c r="K281" s="29" t="str">
        <f>IF(Analysis!$I281="","",IF(Analysis!$I281="Project-driven",Analysis!$F281,""))</f>
        <v/>
      </c>
      <c r="L281" s="29" t="str">
        <f>IF(Analysis!$I281="","",IF(Analysis!$I281="Drifting",Analysis!$F281,""))</f>
        <v/>
      </c>
      <c r="M281" s="29" t="str">
        <f>IF(Analysis!$I281="","",IF(Analysis!$I281="Embedded",Analysis!$H281,""))</f>
        <v/>
      </c>
      <c r="N281" s="29" t="str">
        <f>IF(Analysis!$I281="","",IF(Analysis!$I281="Loyal but shallow",Analysis!$H281,""))</f>
        <v/>
      </c>
      <c r="O281" s="29" t="str">
        <f>IF(Analysis!$I281="","",IF(Analysis!$I281="Project-driven",Analysis!$H281,""))</f>
        <v/>
      </c>
      <c r="P281" s="29" t="str">
        <f>IF(Analysis!$I281="","",IF(Analysis!$I281="Drifting",Analysis!$H281,""))</f>
        <v/>
      </c>
    </row>
    <row r="282" spans="1:16" x14ac:dyDescent="0.25">
      <c r="A282" s="29" t="str">
        <f>IF(Analysis!$I282="","",IF(Analysis!$I282="Embedded",Analysis!$D282,""))</f>
        <v/>
      </c>
      <c r="B282" s="29" t="str">
        <f>IF(Analysis!$I282="","",IF(Analysis!$I282="Loyal but shallow",Analysis!$D282,""))</f>
        <v/>
      </c>
      <c r="C282" s="29" t="str">
        <f>IF(Analysis!$I282="","",IF(Analysis!$I282="Project-driven",Analysis!$D282,""))</f>
        <v/>
      </c>
      <c r="D282" s="29" t="str">
        <f>IF(Analysis!$I282="","",IF(Analysis!$I282="Drifting",Analysis!$D282,""))</f>
        <v/>
      </c>
      <c r="E282" s="29" t="str">
        <f>IF(Analysis!$I282="","",IF(Analysis!$I282="Embedded",Analysis!$C282,""))</f>
        <v/>
      </c>
      <c r="F282" s="29" t="str">
        <f>IF(Analysis!$I282="","",IF(Analysis!$I282="Loyal but shallow",Analysis!$C282,""))</f>
        <v/>
      </c>
      <c r="G282" s="29" t="str">
        <f>IF(Analysis!$I282="","",IF(Analysis!$I282="Project-driven",Analysis!$C282,""))</f>
        <v/>
      </c>
      <c r="H282" s="29" t="str">
        <f>IF(Analysis!$I282="","",IF(Analysis!$I282="Drifting",Analysis!$C282,""))</f>
        <v/>
      </c>
      <c r="I282" s="29" t="str">
        <f>IF(Analysis!$I282="","",IF(Analysis!$I282="Embedded",Analysis!$F282,""))</f>
        <v/>
      </c>
      <c r="J282" s="29" t="str">
        <f>IF(Analysis!$I282="","",IF(Analysis!$I282="Loyal but shallow",Analysis!$F282,""))</f>
        <v/>
      </c>
      <c r="K282" s="29" t="str">
        <f>IF(Analysis!$I282="","",IF(Analysis!$I282="Project-driven",Analysis!$F282,""))</f>
        <v/>
      </c>
      <c r="L282" s="29" t="str">
        <f>IF(Analysis!$I282="","",IF(Analysis!$I282="Drifting",Analysis!$F282,""))</f>
        <v/>
      </c>
      <c r="M282" s="29" t="str">
        <f>IF(Analysis!$I282="","",IF(Analysis!$I282="Embedded",Analysis!$H282,""))</f>
        <v/>
      </c>
      <c r="N282" s="29" t="str">
        <f>IF(Analysis!$I282="","",IF(Analysis!$I282="Loyal but shallow",Analysis!$H282,""))</f>
        <v/>
      </c>
      <c r="O282" s="29" t="str">
        <f>IF(Analysis!$I282="","",IF(Analysis!$I282="Project-driven",Analysis!$H282,""))</f>
        <v/>
      </c>
      <c r="P282" s="29" t="str">
        <f>IF(Analysis!$I282="","",IF(Analysis!$I282="Drifting",Analysis!$H282,""))</f>
        <v/>
      </c>
    </row>
    <row r="283" spans="1:16" x14ac:dyDescent="0.25">
      <c r="A283" s="29" t="str">
        <f>IF(Analysis!$I283="","",IF(Analysis!$I283="Embedded",Analysis!$D283,""))</f>
        <v/>
      </c>
      <c r="B283" s="29" t="str">
        <f>IF(Analysis!$I283="","",IF(Analysis!$I283="Loyal but shallow",Analysis!$D283,""))</f>
        <v/>
      </c>
      <c r="C283" s="29" t="str">
        <f>IF(Analysis!$I283="","",IF(Analysis!$I283="Project-driven",Analysis!$D283,""))</f>
        <v/>
      </c>
      <c r="D283" s="29" t="str">
        <f>IF(Analysis!$I283="","",IF(Analysis!$I283="Drifting",Analysis!$D283,""))</f>
        <v/>
      </c>
      <c r="E283" s="29" t="str">
        <f>IF(Analysis!$I283="","",IF(Analysis!$I283="Embedded",Analysis!$C283,""))</f>
        <v/>
      </c>
      <c r="F283" s="29" t="str">
        <f>IF(Analysis!$I283="","",IF(Analysis!$I283="Loyal but shallow",Analysis!$C283,""))</f>
        <v/>
      </c>
      <c r="G283" s="29" t="str">
        <f>IF(Analysis!$I283="","",IF(Analysis!$I283="Project-driven",Analysis!$C283,""))</f>
        <v/>
      </c>
      <c r="H283" s="29" t="str">
        <f>IF(Analysis!$I283="","",IF(Analysis!$I283="Drifting",Analysis!$C283,""))</f>
        <v/>
      </c>
      <c r="I283" s="29" t="str">
        <f>IF(Analysis!$I283="","",IF(Analysis!$I283="Embedded",Analysis!$F283,""))</f>
        <v/>
      </c>
      <c r="J283" s="29" t="str">
        <f>IF(Analysis!$I283="","",IF(Analysis!$I283="Loyal but shallow",Analysis!$F283,""))</f>
        <v/>
      </c>
      <c r="K283" s="29" t="str">
        <f>IF(Analysis!$I283="","",IF(Analysis!$I283="Project-driven",Analysis!$F283,""))</f>
        <v/>
      </c>
      <c r="L283" s="29" t="str">
        <f>IF(Analysis!$I283="","",IF(Analysis!$I283="Drifting",Analysis!$F283,""))</f>
        <v/>
      </c>
      <c r="M283" s="29" t="str">
        <f>IF(Analysis!$I283="","",IF(Analysis!$I283="Embedded",Analysis!$H283,""))</f>
        <v/>
      </c>
      <c r="N283" s="29" t="str">
        <f>IF(Analysis!$I283="","",IF(Analysis!$I283="Loyal but shallow",Analysis!$H283,""))</f>
        <v/>
      </c>
      <c r="O283" s="29" t="str">
        <f>IF(Analysis!$I283="","",IF(Analysis!$I283="Project-driven",Analysis!$H283,""))</f>
        <v/>
      </c>
      <c r="P283" s="29" t="str">
        <f>IF(Analysis!$I283="","",IF(Analysis!$I283="Drifting",Analysis!$H283,""))</f>
        <v/>
      </c>
    </row>
    <row r="284" spans="1:16" x14ac:dyDescent="0.25">
      <c r="A284" s="29" t="str">
        <f>IF(Analysis!$I284="","",IF(Analysis!$I284="Embedded",Analysis!$D284,""))</f>
        <v/>
      </c>
      <c r="B284" s="29" t="str">
        <f>IF(Analysis!$I284="","",IF(Analysis!$I284="Loyal but shallow",Analysis!$D284,""))</f>
        <v/>
      </c>
      <c r="C284" s="29" t="str">
        <f>IF(Analysis!$I284="","",IF(Analysis!$I284="Project-driven",Analysis!$D284,""))</f>
        <v/>
      </c>
      <c r="D284" s="29" t="str">
        <f>IF(Analysis!$I284="","",IF(Analysis!$I284="Drifting",Analysis!$D284,""))</f>
        <v/>
      </c>
      <c r="E284" s="29" t="str">
        <f>IF(Analysis!$I284="","",IF(Analysis!$I284="Embedded",Analysis!$C284,""))</f>
        <v/>
      </c>
      <c r="F284" s="29" t="str">
        <f>IF(Analysis!$I284="","",IF(Analysis!$I284="Loyal but shallow",Analysis!$C284,""))</f>
        <v/>
      </c>
      <c r="G284" s="29" t="str">
        <f>IF(Analysis!$I284="","",IF(Analysis!$I284="Project-driven",Analysis!$C284,""))</f>
        <v/>
      </c>
      <c r="H284" s="29" t="str">
        <f>IF(Analysis!$I284="","",IF(Analysis!$I284="Drifting",Analysis!$C284,""))</f>
        <v/>
      </c>
      <c r="I284" s="29" t="str">
        <f>IF(Analysis!$I284="","",IF(Analysis!$I284="Embedded",Analysis!$F284,""))</f>
        <v/>
      </c>
      <c r="J284" s="29" t="str">
        <f>IF(Analysis!$I284="","",IF(Analysis!$I284="Loyal but shallow",Analysis!$F284,""))</f>
        <v/>
      </c>
      <c r="K284" s="29" t="str">
        <f>IF(Analysis!$I284="","",IF(Analysis!$I284="Project-driven",Analysis!$F284,""))</f>
        <v/>
      </c>
      <c r="L284" s="29" t="str">
        <f>IF(Analysis!$I284="","",IF(Analysis!$I284="Drifting",Analysis!$F284,""))</f>
        <v/>
      </c>
      <c r="M284" s="29" t="str">
        <f>IF(Analysis!$I284="","",IF(Analysis!$I284="Embedded",Analysis!$H284,""))</f>
        <v/>
      </c>
      <c r="N284" s="29" t="str">
        <f>IF(Analysis!$I284="","",IF(Analysis!$I284="Loyal but shallow",Analysis!$H284,""))</f>
        <v/>
      </c>
      <c r="O284" s="29" t="str">
        <f>IF(Analysis!$I284="","",IF(Analysis!$I284="Project-driven",Analysis!$H284,""))</f>
        <v/>
      </c>
      <c r="P284" s="29" t="str">
        <f>IF(Analysis!$I284="","",IF(Analysis!$I284="Drifting",Analysis!$H284,""))</f>
        <v/>
      </c>
    </row>
    <row r="285" spans="1:16" x14ac:dyDescent="0.25">
      <c r="A285" s="29" t="str">
        <f>IF(Analysis!$I285="","",IF(Analysis!$I285="Embedded",Analysis!$D285,""))</f>
        <v/>
      </c>
      <c r="B285" s="29" t="str">
        <f>IF(Analysis!$I285="","",IF(Analysis!$I285="Loyal but shallow",Analysis!$D285,""))</f>
        <v/>
      </c>
      <c r="C285" s="29" t="str">
        <f>IF(Analysis!$I285="","",IF(Analysis!$I285="Project-driven",Analysis!$D285,""))</f>
        <v/>
      </c>
      <c r="D285" s="29" t="str">
        <f>IF(Analysis!$I285="","",IF(Analysis!$I285="Drifting",Analysis!$D285,""))</f>
        <v/>
      </c>
      <c r="E285" s="29" t="str">
        <f>IF(Analysis!$I285="","",IF(Analysis!$I285="Embedded",Analysis!$C285,""))</f>
        <v/>
      </c>
      <c r="F285" s="29" t="str">
        <f>IF(Analysis!$I285="","",IF(Analysis!$I285="Loyal but shallow",Analysis!$C285,""))</f>
        <v/>
      </c>
      <c r="G285" s="29" t="str">
        <f>IF(Analysis!$I285="","",IF(Analysis!$I285="Project-driven",Analysis!$C285,""))</f>
        <v/>
      </c>
      <c r="H285" s="29" t="str">
        <f>IF(Analysis!$I285="","",IF(Analysis!$I285="Drifting",Analysis!$C285,""))</f>
        <v/>
      </c>
      <c r="I285" s="29" t="str">
        <f>IF(Analysis!$I285="","",IF(Analysis!$I285="Embedded",Analysis!$F285,""))</f>
        <v/>
      </c>
      <c r="J285" s="29" t="str">
        <f>IF(Analysis!$I285="","",IF(Analysis!$I285="Loyal but shallow",Analysis!$F285,""))</f>
        <v/>
      </c>
      <c r="K285" s="29" t="str">
        <f>IF(Analysis!$I285="","",IF(Analysis!$I285="Project-driven",Analysis!$F285,""))</f>
        <v/>
      </c>
      <c r="L285" s="29" t="str">
        <f>IF(Analysis!$I285="","",IF(Analysis!$I285="Drifting",Analysis!$F285,""))</f>
        <v/>
      </c>
      <c r="M285" s="29" t="str">
        <f>IF(Analysis!$I285="","",IF(Analysis!$I285="Embedded",Analysis!$H285,""))</f>
        <v/>
      </c>
      <c r="N285" s="29" t="str">
        <f>IF(Analysis!$I285="","",IF(Analysis!$I285="Loyal but shallow",Analysis!$H285,""))</f>
        <v/>
      </c>
      <c r="O285" s="29" t="str">
        <f>IF(Analysis!$I285="","",IF(Analysis!$I285="Project-driven",Analysis!$H285,""))</f>
        <v/>
      </c>
      <c r="P285" s="29" t="str">
        <f>IF(Analysis!$I285="","",IF(Analysis!$I285="Drifting",Analysis!$H285,""))</f>
        <v/>
      </c>
    </row>
    <row r="286" spans="1:16" x14ac:dyDescent="0.25">
      <c r="A286" s="29" t="str">
        <f>IF(Analysis!$I286="","",IF(Analysis!$I286="Embedded",Analysis!$D286,""))</f>
        <v/>
      </c>
      <c r="B286" s="29" t="str">
        <f>IF(Analysis!$I286="","",IF(Analysis!$I286="Loyal but shallow",Analysis!$D286,""))</f>
        <v/>
      </c>
      <c r="C286" s="29" t="str">
        <f>IF(Analysis!$I286="","",IF(Analysis!$I286="Project-driven",Analysis!$D286,""))</f>
        <v/>
      </c>
      <c r="D286" s="29" t="str">
        <f>IF(Analysis!$I286="","",IF(Analysis!$I286="Drifting",Analysis!$D286,""))</f>
        <v/>
      </c>
      <c r="E286" s="29" t="str">
        <f>IF(Analysis!$I286="","",IF(Analysis!$I286="Embedded",Analysis!$C286,""))</f>
        <v/>
      </c>
      <c r="F286" s="29" t="str">
        <f>IF(Analysis!$I286="","",IF(Analysis!$I286="Loyal but shallow",Analysis!$C286,""))</f>
        <v/>
      </c>
      <c r="G286" s="29" t="str">
        <f>IF(Analysis!$I286="","",IF(Analysis!$I286="Project-driven",Analysis!$C286,""))</f>
        <v/>
      </c>
      <c r="H286" s="29" t="str">
        <f>IF(Analysis!$I286="","",IF(Analysis!$I286="Drifting",Analysis!$C286,""))</f>
        <v/>
      </c>
      <c r="I286" s="29" t="str">
        <f>IF(Analysis!$I286="","",IF(Analysis!$I286="Embedded",Analysis!$F286,""))</f>
        <v/>
      </c>
      <c r="J286" s="29" t="str">
        <f>IF(Analysis!$I286="","",IF(Analysis!$I286="Loyal but shallow",Analysis!$F286,""))</f>
        <v/>
      </c>
      <c r="K286" s="29" t="str">
        <f>IF(Analysis!$I286="","",IF(Analysis!$I286="Project-driven",Analysis!$F286,""))</f>
        <v/>
      </c>
      <c r="L286" s="29" t="str">
        <f>IF(Analysis!$I286="","",IF(Analysis!$I286="Drifting",Analysis!$F286,""))</f>
        <v/>
      </c>
      <c r="M286" s="29" t="str">
        <f>IF(Analysis!$I286="","",IF(Analysis!$I286="Embedded",Analysis!$H286,""))</f>
        <v/>
      </c>
      <c r="N286" s="29" t="str">
        <f>IF(Analysis!$I286="","",IF(Analysis!$I286="Loyal but shallow",Analysis!$H286,""))</f>
        <v/>
      </c>
      <c r="O286" s="29" t="str">
        <f>IF(Analysis!$I286="","",IF(Analysis!$I286="Project-driven",Analysis!$H286,""))</f>
        <v/>
      </c>
      <c r="P286" s="29" t="str">
        <f>IF(Analysis!$I286="","",IF(Analysis!$I286="Drifting",Analysis!$H286,""))</f>
        <v/>
      </c>
    </row>
    <row r="287" spans="1:16" x14ac:dyDescent="0.25">
      <c r="A287" s="29" t="str">
        <f>IF(Analysis!$I287="","",IF(Analysis!$I287="Embedded",Analysis!$D287,""))</f>
        <v/>
      </c>
      <c r="B287" s="29" t="str">
        <f>IF(Analysis!$I287="","",IF(Analysis!$I287="Loyal but shallow",Analysis!$D287,""))</f>
        <v/>
      </c>
      <c r="C287" s="29" t="str">
        <f>IF(Analysis!$I287="","",IF(Analysis!$I287="Project-driven",Analysis!$D287,""))</f>
        <v/>
      </c>
      <c r="D287" s="29" t="str">
        <f>IF(Analysis!$I287="","",IF(Analysis!$I287="Drifting",Analysis!$D287,""))</f>
        <v/>
      </c>
      <c r="E287" s="29" t="str">
        <f>IF(Analysis!$I287="","",IF(Analysis!$I287="Embedded",Analysis!$C287,""))</f>
        <v/>
      </c>
      <c r="F287" s="29" t="str">
        <f>IF(Analysis!$I287="","",IF(Analysis!$I287="Loyal but shallow",Analysis!$C287,""))</f>
        <v/>
      </c>
      <c r="G287" s="29" t="str">
        <f>IF(Analysis!$I287="","",IF(Analysis!$I287="Project-driven",Analysis!$C287,""))</f>
        <v/>
      </c>
      <c r="H287" s="29" t="str">
        <f>IF(Analysis!$I287="","",IF(Analysis!$I287="Drifting",Analysis!$C287,""))</f>
        <v/>
      </c>
      <c r="I287" s="29" t="str">
        <f>IF(Analysis!$I287="","",IF(Analysis!$I287="Embedded",Analysis!$F287,""))</f>
        <v/>
      </c>
      <c r="J287" s="29" t="str">
        <f>IF(Analysis!$I287="","",IF(Analysis!$I287="Loyal but shallow",Analysis!$F287,""))</f>
        <v/>
      </c>
      <c r="K287" s="29" t="str">
        <f>IF(Analysis!$I287="","",IF(Analysis!$I287="Project-driven",Analysis!$F287,""))</f>
        <v/>
      </c>
      <c r="L287" s="29" t="str">
        <f>IF(Analysis!$I287="","",IF(Analysis!$I287="Drifting",Analysis!$F287,""))</f>
        <v/>
      </c>
      <c r="M287" s="29" t="str">
        <f>IF(Analysis!$I287="","",IF(Analysis!$I287="Embedded",Analysis!$H287,""))</f>
        <v/>
      </c>
      <c r="N287" s="29" t="str">
        <f>IF(Analysis!$I287="","",IF(Analysis!$I287="Loyal but shallow",Analysis!$H287,""))</f>
        <v/>
      </c>
      <c r="O287" s="29" t="str">
        <f>IF(Analysis!$I287="","",IF(Analysis!$I287="Project-driven",Analysis!$H287,""))</f>
        <v/>
      </c>
      <c r="P287" s="29" t="str">
        <f>IF(Analysis!$I287="","",IF(Analysis!$I287="Drifting",Analysis!$H287,""))</f>
        <v/>
      </c>
    </row>
    <row r="288" spans="1:16" x14ac:dyDescent="0.25">
      <c r="A288" s="29" t="str">
        <f>IF(Analysis!$I288="","",IF(Analysis!$I288="Embedded",Analysis!$D288,""))</f>
        <v/>
      </c>
      <c r="B288" s="29" t="str">
        <f>IF(Analysis!$I288="","",IF(Analysis!$I288="Loyal but shallow",Analysis!$D288,""))</f>
        <v/>
      </c>
      <c r="C288" s="29" t="str">
        <f>IF(Analysis!$I288="","",IF(Analysis!$I288="Project-driven",Analysis!$D288,""))</f>
        <v/>
      </c>
      <c r="D288" s="29" t="str">
        <f>IF(Analysis!$I288="","",IF(Analysis!$I288="Drifting",Analysis!$D288,""))</f>
        <v/>
      </c>
      <c r="E288" s="29" t="str">
        <f>IF(Analysis!$I288="","",IF(Analysis!$I288="Embedded",Analysis!$C288,""))</f>
        <v/>
      </c>
      <c r="F288" s="29" t="str">
        <f>IF(Analysis!$I288="","",IF(Analysis!$I288="Loyal but shallow",Analysis!$C288,""))</f>
        <v/>
      </c>
      <c r="G288" s="29" t="str">
        <f>IF(Analysis!$I288="","",IF(Analysis!$I288="Project-driven",Analysis!$C288,""))</f>
        <v/>
      </c>
      <c r="H288" s="29" t="str">
        <f>IF(Analysis!$I288="","",IF(Analysis!$I288="Drifting",Analysis!$C288,""))</f>
        <v/>
      </c>
      <c r="I288" s="29" t="str">
        <f>IF(Analysis!$I288="","",IF(Analysis!$I288="Embedded",Analysis!$F288,""))</f>
        <v/>
      </c>
      <c r="J288" s="29" t="str">
        <f>IF(Analysis!$I288="","",IF(Analysis!$I288="Loyal but shallow",Analysis!$F288,""))</f>
        <v/>
      </c>
      <c r="K288" s="29" t="str">
        <f>IF(Analysis!$I288="","",IF(Analysis!$I288="Project-driven",Analysis!$F288,""))</f>
        <v/>
      </c>
      <c r="L288" s="29" t="str">
        <f>IF(Analysis!$I288="","",IF(Analysis!$I288="Drifting",Analysis!$F288,""))</f>
        <v/>
      </c>
      <c r="M288" s="29" t="str">
        <f>IF(Analysis!$I288="","",IF(Analysis!$I288="Embedded",Analysis!$H288,""))</f>
        <v/>
      </c>
      <c r="N288" s="29" t="str">
        <f>IF(Analysis!$I288="","",IF(Analysis!$I288="Loyal but shallow",Analysis!$H288,""))</f>
        <v/>
      </c>
      <c r="O288" s="29" t="str">
        <f>IF(Analysis!$I288="","",IF(Analysis!$I288="Project-driven",Analysis!$H288,""))</f>
        <v/>
      </c>
      <c r="P288" s="29" t="str">
        <f>IF(Analysis!$I288="","",IF(Analysis!$I288="Drifting",Analysis!$H288,""))</f>
        <v/>
      </c>
    </row>
    <row r="289" spans="1:16" x14ac:dyDescent="0.25">
      <c r="A289" s="29" t="str">
        <f>IF(Analysis!$I289="","",IF(Analysis!$I289="Embedded",Analysis!$D289,""))</f>
        <v/>
      </c>
      <c r="B289" s="29" t="str">
        <f>IF(Analysis!$I289="","",IF(Analysis!$I289="Loyal but shallow",Analysis!$D289,""))</f>
        <v/>
      </c>
      <c r="C289" s="29" t="str">
        <f>IF(Analysis!$I289="","",IF(Analysis!$I289="Project-driven",Analysis!$D289,""))</f>
        <v/>
      </c>
      <c r="D289" s="29" t="str">
        <f>IF(Analysis!$I289="","",IF(Analysis!$I289="Drifting",Analysis!$D289,""))</f>
        <v/>
      </c>
      <c r="E289" s="29" t="str">
        <f>IF(Analysis!$I289="","",IF(Analysis!$I289="Embedded",Analysis!$C289,""))</f>
        <v/>
      </c>
      <c r="F289" s="29" t="str">
        <f>IF(Analysis!$I289="","",IF(Analysis!$I289="Loyal but shallow",Analysis!$C289,""))</f>
        <v/>
      </c>
      <c r="G289" s="29" t="str">
        <f>IF(Analysis!$I289="","",IF(Analysis!$I289="Project-driven",Analysis!$C289,""))</f>
        <v/>
      </c>
      <c r="H289" s="29" t="str">
        <f>IF(Analysis!$I289="","",IF(Analysis!$I289="Drifting",Analysis!$C289,""))</f>
        <v/>
      </c>
      <c r="I289" s="29" t="str">
        <f>IF(Analysis!$I289="","",IF(Analysis!$I289="Embedded",Analysis!$F289,""))</f>
        <v/>
      </c>
      <c r="J289" s="29" t="str">
        <f>IF(Analysis!$I289="","",IF(Analysis!$I289="Loyal but shallow",Analysis!$F289,""))</f>
        <v/>
      </c>
      <c r="K289" s="29" t="str">
        <f>IF(Analysis!$I289="","",IF(Analysis!$I289="Project-driven",Analysis!$F289,""))</f>
        <v/>
      </c>
      <c r="L289" s="29" t="str">
        <f>IF(Analysis!$I289="","",IF(Analysis!$I289="Drifting",Analysis!$F289,""))</f>
        <v/>
      </c>
      <c r="M289" s="29" t="str">
        <f>IF(Analysis!$I289="","",IF(Analysis!$I289="Embedded",Analysis!$H289,""))</f>
        <v/>
      </c>
      <c r="N289" s="29" t="str">
        <f>IF(Analysis!$I289="","",IF(Analysis!$I289="Loyal but shallow",Analysis!$H289,""))</f>
        <v/>
      </c>
      <c r="O289" s="29" t="str">
        <f>IF(Analysis!$I289="","",IF(Analysis!$I289="Project-driven",Analysis!$H289,""))</f>
        <v/>
      </c>
      <c r="P289" s="29" t="str">
        <f>IF(Analysis!$I289="","",IF(Analysis!$I289="Drifting",Analysis!$H289,""))</f>
        <v/>
      </c>
    </row>
    <row r="290" spans="1:16" x14ac:dyDescent="0.25">
      <c r="A290" s="29" t="str">
        <f>IF(Analysis!$I290="","",IF(Analysis!$I290="Embedded",Analysis!$D290,""))</f>
        <v/>
      </c>
      <c r="B290" s="29" t="str">
        <f>IF(Analysis!$I290="","",IF(Analysis!$I290="Loyal but shallow",Analysis!$D290,""))</f>
        <v/>
      </c>
      <c r="C290" s="29" t="str">
        <f>IF(Analysis!$I290="","",IF(Analysis!$I290="Project-driven",Analysis!$D290,""))</f>
        <v/>
      </c>
      <c r="D290" s="29" t="str">
        <f>IF(Analysis!$I290="","",IF(Analysis!$I290="Drifting",Analysis!$D290,""))</f>
        <v/>
      </c>
      <c r="E290" s="29" t="str">
        <f>IF(Analysis!$I290="","",IF(Analysis!$I290="Embedded",Analysis!$C290,""))</f>
        <v/>
      </c>
      <c r="F290" s="29" t="str">
        <f>IF(Analysis!$I290="","",IF(Analysis!$I290="Loyal but shallow",Analysis!$C290,""))</f>
        <v/>
      </c>
      <c r="G290" s="29" t="str">
        <f>IF(Analysis!$I290="","",IF(Analysis!$I290="Project-driven",Analysis!$C290,""))</f>
        <v/>
      </c>
      <c r="H290" s="29" t="str">
        <f>IF(Analysis!$I290="","",IF(Analysis!$I290="Drifting",Analysis!$C290,""))</f>
        <v/>
      </c>
      <c r="I290" s="29" t="str">
        <f>IF(Analysis!$I290="","",IF(Analysis!$I290="Embedded",Analysis!$F290,""))</f>
        <v/>
      </c>
      <c r="J290" s="29" t="str">
        <f>IF(Analysis!$I290="","",IF(Analysis!$I290="Loyal but shallow",Analysis!$F290,""))</f>
        <v/>
      </c>
      <c r="K290" s="29" t="str">
        <f>IF(Analysis!$I290="","",IF(Analysis!$I290="Project-driven",Analysis!$F290,""))</f>
        <v/>
      </c>
      <c r="L290" s="29" t="str">
        <f>IF(Analysis!$I290="","",IF(Analysis!$I290="Drifting",Analysis!$F290,""))</f>
        <v/>
      </c>
      <c r="M290" s="29" t="str">
        <f>IF(Analysis!$I290="","",IF(Analysis!$I290="Embedded",Analysis!$H290,""))</f>
        <v/>
      </c>
      <c r="N290" s="29" t="str">
        <f>IF(Analysis!$I290="","",IF(Analysis!$I290="Loyal but shallow",Analysis!$H290,""))</f>
        <v/>
      </c>
      <c r="O290" s="29" t="str">
        <f>IF(Analysis!$I290="","",IF(Analysis!$I290="Project-driven",Analysis!$H290,""))</f>
        <v/>
      </c>
      <c r="P290" s="29" t="str">
        <f>IF(Analysis!$I290="","",IF(Analysis!$I290="Drifting",Analysis!$H290,""))</f>
        <v/>
      </c>
    </row>
    <row r="291" spans="1:16" x14ac:dyDescent="0.25">
      <c r="A291" s="29" t="str">
        <f>IF(Analysis!$I291="","",IF(Analysis!$I291="Embedded",Analysis!$D291,""))</f>
        <v/>
      </c>
      <c r="B291" s="29" t="str">
        <f>IF(Analysis!$I291="","",IF(Analysis!$I291="Loyal but shallow",Analysis!$D291,""))</f>
        <v/>
      </c>
      <c r="C291" s="29" t="str">
        <f>IF(Analysis!$I291="","",IF(Analysis!$I291="Project-driven",Analysis!$D291,""))</f>
        <v/>
      </c>
      <c r="D291" s="29" t="str">
        <f>IF(Analysis!$I291="","",IF(Analysis!$I291="Drifting",Analysis!$D291,""))</f>
        <v/>
      </c>
      <c r="E291" s="29" t="str">
        <f>IF(Analysis!$I291="","",IF(Analysis!$I291="Embedded",Analysis!$C291,""))</f>
        <v/>
      </c>
      <c r="F291" s="29" t="str">
        <f>IF(Analysis!$I291="","",IF(Analysis!$I291="Loyal but shallow",Analysis!$C291,""))</f>
        <v/>
      </c>
      <c r="G291" s="29" t="str">
        <f>IF(Analysis!$I291="","",IF(Analysis!$I291="Project-driven",Analysis!$C291,""))</f>
        <v/>
      </c>
      <c r="H291" s="29" t="str">
        <f>IF(Analysis!$I291="","",IF(Analysis!$I291="Drifting",Analysis!$C291,""))</f>
        <v/>
      </c>
      <c r="I291" s="29" t="str">
        <f>IF(Analysis!$I291="","",IF(Analysis!$I291="Embedded",Analysis!$F291,""))</f>
        <v/>
      </c>
      <c r="J291" s="29" t="str">
        <f>IF(Analysis!$I291="","",IF(Analysis!$I291="Loyal but shallow",Analysis!$F291,""))</f>
        <v/>
      </c>
      <c r="K291" s="29" t="str">
        <f>IF(Analysis!$I291="","",IF(Analysis!$I291="Project-driven",Analysis!$F291,""))</f>
        <v/>
      </c>
      <c r="L291" s="29" t="str">
        <f>IF(Analysis!$I291="","",IF(Analysis!$I291="Drifting",Analysis!$F291,""))</f>
        <v/>
      </c>
      <c r="M291" s="29" t="str">
        <f>IF(Analysis!$I291="","",IF(Analysis!$I291="Embedded",Analysis!$H291,""))</f>
        <v/>
      </c>
      <c r="N291" s="29" t="str">
        <f>IF(Analysis!$I291="","",IF(Analysis!$I291="Loyal but shallow",Analysis!$H291,""))</f>
        <v/>
      </c>
      <c r="O291" s="29" t="str">
        <f>IF(Analysis!$I291="","",IF(Analysis!$I291="Project-driven",Analysis!$H291,""))</f>
        <v/>
      </c>
      <c r="P291" s="29" t="str">
        <f>IF(Analysis!$I291="","",IF(Analysis!$I291="Drifting",Analysis!$H291,""))</f>
        <v/>
      </c>
    </row>
    <row r="292" spans="1:16" x14ac:dyDescent="0.25">
      <c r="A292" s="29" t="str">
        <f>IF(Analysis!$I292="","",IF(Analysis!$I292="Embedded",Analysis!$D292,""))</f>
        <v/>
      </c>
      <c r="B292" s="29" t="str">
        <f>IF(Analysis!$I292="","",IF(Analysis!$I292="Loyal but shallow",Analysis!$D292,""))</f>
        <v/>
      </c>
      <c r="C292" s="29" t="str">
        <f>IF(Analysis!$I292="","",IF(Analysis!$I292="Project-driven",Analysis!$D292,""))</f>
        <v/>
      </c>
      <c r="D292" s="29" t="str">
        <f>IF(Analysis!$I292="","",IF(Analysis!$I292="Drifting",Analysis!$D292,""))</f>
        <v/>
      </c>
      <c r="E292" s="29" t="str">
        <f>IF(Analysis!$I292="","",IF(Analysis!$I292="Embedded",Analysis!$C292,""))</f>
        <v/>
      </c>
      <c r="F292" s="29" t="str">
        <f>IF(Analysis!$I292="","",IF(Analysis!$I292="Loyal but shallow",Analysis!$C292,""))</f>
        <v/>
      </c>
      <c r="G292" s="29" t="str">
        <f>IF(Analysis!$I292="","",IF(Analysis!$I292="Project-driven",Analysis!$C292,""))</f>
        <v/>
      </c>
      <c r="H292" s="29" t="str">
        <f>IF(Analysis!$I292="","",IF(Analysis!$I292="Drifting",Analysis!$C292,""))</f>
        <v/>
      </c>
      <c r="I292" s="29" t="str">
        <f>IF(Analysis!$I292="","",IF(Analysis!$I292="Embedded",Analysis!$F292,""))</f>
        <v/>
      </c>
      <c r="J292" s="29" t="str">
        <f>IF(Analysis!$I292="","",IF(Analysis!$I292="Loyal but shallow",Analysis!$F292,""))</f>
        <v/>
      </c>
      <c r="K292" s="29" t="str">
        <f>IF(Analysis!$I292="","",IF(Analysis!$I292="Project-driven",Analysis!$F292,""))</f>
        <v/>
      </c>
      <c r="L292" s="29" t="str">
        <f>IF(Analysis!$I292="","",IF(Analysis!$I292="Drifting",Analysis!$F292,""))</f>
        <v/>
      </c>
      <c r="M292" s="29" t="str">
        <f>IF(Analysis!$I292="","",IF(Analysis!$I292="Embedded",Analysis!$H292,""))</f>
        <v/>
      </c>
      <c r="N292" s="29" t="str">
        <f>IF(Analysis!$I292="","",IF(Analysis!$I292="Loyal but shallow",Analysis!$H292,""))</f>
        <v/>
      </c>
      <c r="O292" s="29" t="str">
        <f>IF(Analysis!$I292="","",IF(Analysis!$I292="Project-driven",Analysis!$H292,""))</f>
        <v/>
      </c>
      <c r="P292" s="29" t="str">
        <f>IF(Analysis!$I292="","",IF(Analysis!$I292="Drifting",Analysis!$H292,""))</f>
        <v/>
      </c>
    </row>
    <row r="293" spans="1:16" x14ac:dyDescent="0.25">
      <c r="A293" s="29" t="str">
        <f>IF(Analysis!$I293="","",IF(Analysis!$I293="Embedded",Analysis!$D293,""))</f>
        <v/>
      </c>
      <c r="B293" s="29" t="str">
        <f>IF(Analysis!$I293="","",IF(Analysis!$I293="Loyal but shallow",Analysis!$D293,""))</f>
        <v/>
      </c>
      <c r="C293" s="29" t="str">
        <f>IF(Analysis!$I293="","",IF(Analysis!$I293="Project-driven",Analysis!$D293,""))</f>
        <v/>
      </c>
      <c r="D293" s="29" t="str">
        <f>IF(Analysis!$I293="","",IF(Analysis!$I293="Drifting",Analysis!$D293,""))</f>
        <v/>
      </c>
      <c r="E293" s="29" t="str">
        <f>IF(Analysis!$I293="","",IF(Analysis!$I293="Embedded",Analysis!$C293,""))</f>
        <v/>
      </c>
      <c r="F293" s="29" t="str">
        <f>IF(Analysis!$I293="","",IF(Analysis!$I293="Loyal but shallow",Analysis!$C293,""))</f>
        <v/>
      </c>
      <c r="G293" s="29" t="str">
        <f>IF(Analysis!$I293="","",IF(Analysis!$I293="Project-driven",Analysis!$C293,""))</f>
        <v/>
      </c>
      <c r="H293" s="29" t="str">
        <f>IF(Analysis!$I293="","",IF(Analysis!$I293="Drifting",Analysis!$C293,""))</f>
        <v/>
      </c>
      <c r="I293" s="29" t="str">
        <f>IF(Analysis!$I293="","",IF(Analysis!$I293="Embedded",Analysis!$F293,""))</f>
        <v/>
      </c>
      <c r="J293" s="29" t="str">
        <f>IF(Analysis!$I293="","",IF(Analysis!$I293="Loyal but shallow",Analysis!$F293,""))</f>
        <v/>
      </c>
      <c r="K293" s="29" t="str">
        <f>IF(Analysis!$I293="","",IF(Analysis!$I293="Project-driven",Analysis!$F293,""))</f>
        <v/>
      </c>
      <c r="L293" s="29" t="str">
        <f>IF(Analysis!$I293="","",IF(Analysis!$I293="Drifting",Analysis!$F293,""))</f>
        <v/>
      </c>
      <c r="M293" s="29" t="str">
        <f>IF(Analysis!$I293="","",IF(Analysis!$I293="Embedded",Analysis!$H293,""))</f>
        <v/>
      </c>
      <c r="N293" s="29" t="str">
        <f>IF(Analysis!$I293="","",IF(Analysis!$I293="Loyal but shallow",Analysis!$H293,""))</f>
        <v/>
      </c>
      <c r="O293" s="29" t="str">
        <f>IF(Analysis!$I293="","",IF(Analysis!$I293="Project-driven",Analysis!$H293,""))</f>
        <v/>
      </c>
      <c r="P293" s="29" t="str">
        <f>IF(Analysis!$I293="","",IF(Analysis!$I293="Drifting",Analysis!$H293,""))</f>
        <v/>
      </c>
    </row>
    <row r="294" spans="1:16" x14ac:dyDescent="0.25">
      <c r="A294" s="29" t="str">
        <f>IF(Analysis!$I294="","",IF(Analysis!$I294="Embedded",Analysis!$D294,""))</f>
        <v/>
      </c>
      <c r="B294" s="29" t="str">
        <f>IF(Analysis!$I294="","",IF(Analysis!$I294="Loyal but shallow",Analysis!$D294,""))</f>
        <v/>
      </c>
      <c r="C294" s="29" t="str">
        <f>IF(Analysis!$I294="","",IF(Analysis!$I294="Project-driven",Analysis!$D294,""))</f>
        <v/>
      </c>
      <c r="D294" s="29" t="str">
        <f>IF(Analysis!$I294="","",IF(Analysis!$I294="Drifting",Analysis!$D294,""))</f>
        <v/>
      </c>
      <c r="E294" s="29" t="str">
        <f>IF(Analysis!$I294="","",IF(Analysis!$I294="Embedded",Analysis!$C294,""))</f>
        <v/>
      </c>
      <c r="F294" s="29" t="str">
        <f>IF(Analysis!$I294="","",IF(Analysis!$I294="Loyal but shallow",Analysis!$C294,""))</f>
        <v/>
      </c>
      <c r="G294" s="29" t="str">
        <f>IF(Analysis!$I294="","",IF(Analysis!$I294="Project-driven",Analysis!$C294,""))</f>
        <v/>
      </c>
      <c r="H294" s="29" t="str">
        <f>IF(Analysis!$I294="","",IF(Analysis!$I294="Drifting",Analysis!$C294,""))</f>
        <v/>
      </c>
      <c r="I294" s="29" t="str">
        <f>IF(Analysis!$I294="","",IF(Analysis!$I294="Embedded",Analysis!$F294,""))</f>
        <v/>
      </c>
      <c r="J294" s="29" t="str">
        <f>IF(Analysis!$I294="","",IF(Analysis!$I294="Loyal but shallow",Analysis!$F294,""))</f>
        <v/>
      </c>
      <c r="K294" s="29" t="str">
        <f>IF(Analysis!$I294="","",IF(Analysis!$I294="Project-driven",Analysis!$F294,""))</f>
        <v/>
      </c>
      <c r="L294" s="29" t="str">
        <f>IF(Analysis!$I294="","",IF(Analysis!$I294="Drifting",Analysis!$F294,""))</f>
        <v/>
      </c>
      <c r="M294" s="29" t="str">
        <f>IF(Analysis!$I294="","",IF(Analysis!$I294="Embedded",Analysis!$H294,""))</f>
        <v/>
      </c>
      <c r="N294" s="29" t="str">
        <f>IF(Analysis!$I294="","",IF(Analysis!$I294="Loyal but shallow",Analysis!$H294,""))</f>
        <v/>
      </c>
      <c r="O294" s="29" t="str">
        <f>IF(Analysis!$I294="","",IF(Analysis!$I294="Project-driven",Analysis!$H294,""))</f>
        <v/>
      </c>
      <c r="P294" s="29" t="str">
        <f>IF(Analysis!$I294="","",IF(Analysis!$I294="Drifting",Analysis!$H294,""))</f>
        <v/>
      </c>
    </row>
    <row r="295" spans="1:16" x14ac:dyDescent="0.25">
      <c r="A295" s="29" t="str">
        <f>IF(Analysis!$I295="","",IF(Analysis!$I295="Embedded",Analysis!$D295,""))</f>
        <v/>
      </c>
      <c r="B295" s="29" t="str">
        <f>IF(Analysis!$I295="","",IF(Analysis!$I295="Loyal but shallow",Analysis!$D295,""))</f>
        <v/>
      </c>
      <c r="C295" s="29" t="str">
        <f>IF(Analysis!$I295="","",IF(Analysis!$I295="Project-driven",Analysis!$D295,""))</f>
        <v/>
      </c>
      <c r="D295" s="29" t="str">
        <f>IF(Analysis!$I295="","",IF(Analysis!$I295="Drifting",Analysis!$D295,""))</f>
        <v/>
      </c>
      <c r="E295" s="29" t="str">
        <f>IF(Analysis!$I295="","",IF(Analysis!$I295="Embedded",Analysis!$C295,""))</f>
        <v/>
      </c>
      <c r="F295" s="29" t="str">
        <f>IF(Analysis!$I295="","",IF(Analysis!$I295="Loyal but shallow",Analysis!$C295,""))</f>
        <v/>
      </c>
      <c r="G295" s="29" t="str">
        <f>IF(Analysis!$I295="","",IF(Analysis!$I295="Project-driven",Analysis!$C295,""))</f>
        <v/>
      </c>
      <c r="H295" s="29" t="str">
        <f>IF(Analysis!$I295="","",IF(Analysis!$I295="Drifting",Analysis!$C295,""))</f>
        <v/>
      </c>
      <c r="I295" s="29" t="str">
        <f>IF(Analysis!$I295="","",IF(Analysis!$I295="Embedded",Analysis!$F295,""))</f>
        <v/>
      </c>
      <c r="J295" s="29" t="str">
        <f>IF(Analysis!$I295="","",IF(Analysis!$I295="Loyal but shallow",Analysis!$F295,""))</f>
        <v/>
      </c>
      <c r="K295" s="29" t="str">
        <f>IF(Analysis!$I295="","",IF(Analysis!$I295="Project-driven",Analysis!$F295,""))</f>
        <v/>
      </c>
      <c r="L295" s="29" t="str">
        <f>IF(Analysis!$I295="","",IF(Analysis!$I295="Drifting",Analysis!$F295,""))</f>
        <v/>
      </c>
      <c r="M295" s="29" t="str">
        <f>IF(Analysis!$I295="","",IF(Analysis!$I295="Embedded",Analysis!$H295,""))</f>
        <v/>
      </c>
      <c r="N295" s="29" t="str">
        <f>IF(Analysis!$I295="","",IF(Analysis!$I295="Loyal but shallow",Analysis!$H295,""))</f>
        <v/>
      </c>
      <c r="O295" s="29" t="str">
        <f>IF(Analysis!$I295="","",IF(Analysis!$I295="Project-driven",Analysis!$H295,""))</f>
        <v/>
      </c>
      <c r="P295" s="29" t="str">
        <f>IF(Analysis!$I295="","",IF(Analysis!$I295="Drifting",Analysis!$H295,""))</f>
        <v/>
      </c>
    </row>
    <row r="296" spans="1:16" x14ac:dyDescent="0.25">
      <c r="A296" s="29" t="str">
        <f>IF(Analysis!$I296="","",IF(Analysis!$I296="Embedded",Analysis!$D296,""))</f>
        <v/>
      </c>
      <c r="B296" s="29" t="str">
        <f>IF(Analysis!$I296="","",IF(Analysis!$I296="Loyal but shallow",Analysis!$D296,""))</f>
        <v/>
      </c>
      <c r="C296" s="29" t="str">
        <f>IF(Analysis!$I296="","",IF(Analysis!$I296="Project-driven",Analysis!$D296,""))</f>
        <v/>
      </c>
      <c r="D296" s="29" t="str">
        <f>IF(Analysis!$I296="","",IF(Analysis!$I296="Drifting",Analysis!$D296,""))</f>
        <v/>
      </c>
      <c r="E296" s="29" t="str">
        <f>IF(Analysis!$I296="","",IF(Analysis!$I296="Embedded",Analysis!$C296,""))</f>
        <v/>
      </c>
      <c r="F296" s="29" t="str">
        <f>IF(Analysis!$I296="","",IF(Analysis!$I296="Loyal but shallow",Analysis!$C296,""))</f>
        <v/>
      </c>
      <c r="G296" s="29" t="str">
        <f>IF(Analysis!$I296="","",IF(Analysis!$I296="Project-driven",Analysis!$C296,""))</f>
        <v/>
      </c>
      <c r="H296" s="29" t="str">
        <f>IF(Analysis!$I296="","",IF(Analysis!$I296="Drifting",Analysis!$C296,""))</f>
        <v/>
      </c>
      <c r="I296" s="29" t="str">
        <f>IF(Analysis!$I296="","",IF(Analysis!$I296="Embedded",Analysis!$F296,""))</f>
        <v/>
      </c>
      <c r="J296" s="29" t="str">
        <f>IF(Analysis!$I296="","",IF(Analysis!$I296="Loyal but shallow",Analysis!$F296,""))</f>
        <v/>
      </c>
      <c r="K296" s="29" t="str">
        <f>IF(Analysis!$I296="","",IF(Analysis!$I296="Project-driven",Analysis!$F296,""))</f>
        <v/>
      </c>
      <c r="L296" s="29" t="str">
        <f>IF(Analysis!$I296="","",IF(Analysis!$I296="Drifting",Analysis!$F296,""))</f>
        <v/>
      </c>
      <c r="M296" s="29" t="str">
        <f>IF(Analysis!$I296="","",IF(Analysis!$I296="Embedded",Analysis!$H296,""))</f>
        <v/>
      </c>
      <c r="N296" s="29" t="str">
        <f>IF(Analysis!$I296="","",IF(Analysis!$I296="Loyal but shallow",Analysis!$H296,""))</f>
        <v/>
      </c>
      <c r="O296" s="29" t="str">
        <f>IF(Analysis!$I296="","",IF(Analysis!$I296="Project-driven",Analysis!$H296,""))</f>
        <v/>
      </c>
      <c r="P296" s="29" t="str">
        <f>IF(Analysis!$I296="","",IF(Analysis!$I296="Drifting",Analysis!$H296,""))</f>
        <v/>
      </c>
    </row>
    <row r="297" spans="1:16" x14ac:dyDescent="0.25">
      <c r="A297" s="29" t="str">
        <f>IF(Analysis!$I297="","",IF(Analysis!$I297="Embedded",Analysis!$D297,""))</f>
        <v/>
      </c>
      <c r="B297" s="29" t="str">
        <f>IF(Analysis!$I297="","",IF(Analysis!$I297="Loyal but shallow",Analysis!$D297,""))</f>
        <v/>
      </c>
      <c r="C297" s="29" t="str">
        <f>IF(Analysis!$I297="","",IF(Analysis!$I297="Project-driven",Analysis!$D297,""))</f>
        <v/>
      </c>
      <c r="D297" s="29" t="str">
        <f>IF(Analysis!$I297="","",IF(Analysis!$I297="Drifting",Analysis!$D297,""))</f>
        <v/>
      </c>
      <c r="E297" s="29" t="str">
        <f>IF(Analysis!$I297="","",IF(Analysis!$I297="Embedded",Analysis!$C297,""))</f>
        <v/>
      </c>
      <c r="F297" s="29" t="str">
        <f>IF(Analysis!$I297="","",IF(Analysis!$I297="Loyal but shallow",Analysis!$C297,""))</f>
        <v/>
      </c>
      <c r="G297" s="29" t="str">
        <f>IF(Analysis!$I297="","",IF(Analysis!$I297="Project-driven",Analysis!$C297,""))</f>
        <v/>
      </c>
      <c r="H297" s="29" t="str">
        <f>IF(Analysis!$I297="","",IF(Analysis!$I297="Drifting",Analysis!$C297,""))</f>
        <v/>
      </c>
      <c r="I297" s="29" t="str">
        <f>IF(Analysis!$I297="","",IF(Analysis!$I297="Embedded",Analysis!$F297,""))</f>
        <v/>
      </c>
      <c r="J297" s="29" t="str">
        <f>IF(Analysis!$I297="","",IF(Analysis!$I297="Loyal but shallow",Analysis!$F297,""))</f>
        <v/>
      </c>
      <c r="K297" s="29" t="str">
        <f>IF(Analysis!$I297="","",IF(Analysis!$I297="Project-driven",Analysis!$F297,""))</f>
        <v/>
      </c>
      <c r="L297" s="29" t="str">
        <f>IF(Analysis!$I297="","",IF(Analysis!$I297="Drifting",Analysis!$F297,""))</f>
        <v/>
      </c>
      <c r="M297" s="29" t="str">
        <f>IF(Analysis!$I297="","",IF(Analysis!$I297="Embedded",Analysis!$H297,""))</f>
        <v/>
      </c>
      <c r="N297" s="29" t="str">
        <f>IF(Analysis!$I297="","",IF(Analysis!$I297="Loyal but shallow",Analysis!$H297,""))</f>
        <v/>
      </c>
      <c r="O297" s="29" t="str">
        <f>IF(Analysis!$I297="","",IF(Analysis!$I297="Project-driven",Analysis!$H297,""))</f>
        <v/>
      </c>
      <c r="P297" s="29" t="str">
        <f>IF(Analysis!$I297="","",IF(Analysis!$I297="Drifting",Analysis!$H297,""))</f>
        <v/>
      </c>
    </row>
    <row r="298" spans="1:16" x14ac:dyDescent="0.25">
      <c r="A298" s="29" t="str">
        <f>IF(Analysis!$I298="","",IF(Analysis!$I298="Embedded",Analysis!$D298,""))</f>
        <v/>
      </c>
      <c r="B298" s="29" t="str">
        <f>IF(Analysis!$I298="","",IF(Analysis!$I298="Loyal but shallow",Analysis!$D298,""))</f>
        <v/>
      </c>
      <c r="C298" s="29" t="str">
        <f>IF(Analysis!$I298="","",IF(Analysis!$I298="Project-driven",Analysis!$D298,""))</f>
        <v/>
      </c>
      <c r="D298" s="29" t="str">
        <f>IF(Analysis!$I298="","",IF(Analysis!$I298="Drifting",Analysis!$D298,""))</f>
        <v/>
      </c>
      <c r="E298" s="29" t="str">
        <f>IF(Analysis!$I298="","",IF(Analysis!$I298="Embedded",Analysis!$C298,""))</f>
        <v/>
      </c>
      <c r="F298" s="29" t="str">
        <f>IF(Analysis!$I298="","",IF(Analysis!$I298="Loyal but shallow",Analysis!$C298,""))</f>
        <v/>
      </c>
      <c r="G298" s="29" t="str">
        <f>IF(Analysis!$I298="","",IF(Analysis!$I298="Project-driven",Analysis!$C298,""))</f>
        <v/>
      </c>
      <c r="H298" s="29" t="str">
        <f>IF(Analysis!$I298="","",IF(Analysis!$I298="Drifting",Analysis!$C298,""))</f>
        <v/>
      </c>
      <c r="I298" s="29" t="str">
        <f>IF(Analysis!$I298="","",IF(Analysis!$I298="Embedded",Analysis!$F298,""))</f>
        <v/>
      </c>
      <c r="J298" s="29" t="str">
        <f>IF(Analysis!$I298="","",IF(Analysis!$I298="Loyal but shallow",Analysis!$F298,""))</f>
        <v/>
      </c>
      <c r="K298" s="29" t="str">
        <f>IF(Analysis!$I298="","",IF(Analysis!$I298="Project-driven",Analysis!$F298,""))</f>
        <v/>
      </c>
      <c r="L298" s="29" t="str">
        <f>IF(Analysis!$I298="","",IF(Analysis!$I298="Drifting",Analysis!$F298,""))</f>
        <v/>
      </c>
      <c r="M298" s="29" t="str">
        <f>IF(Analysis!$I298="","",IF(Analysis!$I298="Embedded",Analysis!$H298,""))</f>
        <v/>
      </c>
      <c r="N298" s="29" t="str">
        <f>IF(Analysis!$I298="","",IF(Analysis!$I298="Loyal but shallow",Analysis!$H298,""))</f>
        <v/>
      </c>
      <c r="O298" s="29" t="str">
        <f>IF(Analysis!$I298="","",IF(Analysis!$I298="Project-driven",Analysis!$H298,""))</f>
        <v/>
      </c>
      <c r="P298" s="29" t="str">
        <f>IF(Analysis!$I298="","",IF(Analysis!$I298="Drifting",Analysis!$H298,""))</f>
        <v/>
      </c>
    </row>
    <row r="299" spans="1:16" x14ac:dyDescent="0.25">
      <c r="A299" s="29" t="str">
        <f>IF(Analysis!$I299="","",IF(Analysis!$I299="Embedded",Analysis!$D299,""))</f>
        <v/>
      </c>
      <c r="B299" s="29" t="str">
        <f>IF(Analysis!$I299="","",IF(Analysis!$I299="Loyal but shallow",Analysis!$D299,""))</f>
        <v/>
      </c>
      <c r="C299" s="29" t="str">
        <f>IF(Analysis!$I299="","",IF(Analysis!$I299="Project-driven",Analysis!$D299,""))</f>
        <v/>
      </c>
      <c r="D299" s="29" t="str">
        <f>IF(Analysis!$I299="","",IF(Analysis!$I299="Drifting",Analysis!$D299,""))</f>
        <v/>
      </c>
      <c r="E299" s="29" t="str">
        <f>IF(Analysis!$I299="","",IF(Analysis!$I299="Embedded",Analysis!$C299,""))</f>
        <v/>
      </c>
      <c r="F299" s="29" t="str">
        <f>IF(Analysis!$I299="","",IF(Analysis!$I299="Loyal but shallow",Analysis!$C299,""))</f>
        <v/>
      </c>
      <c r="G299" s="29" t="str">
        <f>IF(Analysis!$I299="","",IF(Analysis!$I299="Project-driven",Analysis!$C299,""))</f>
        <v/>
      </c>
      <c r="H299" s="29" t="str">
        <f>IF(Analysis!$I299="","",IF(Analysis!$I299="Drifting",Analysis!$C299,""))</f>
        <v/>
      </c>
      <c r="I299" s="29" t="str">
        <f>IF(Analysis!$I299="","",IF(Analysis!$I299="Embedded",Analysis!$F299,""))</f>
        <v/>
      </c>
      <c r="J299" s="29" t="str">
        <f>IF(Analysis!$I299="","",IF(Analysis!$I299="Loyal but shallow",Analysis!$F299,""))</f>
        <v/>
      </c>
      <c r="K299" s="29" t="str">
        <f>IF(Analysis!$I299="","",IF(Analysis!$I299="Project-driven",Analysis!$F299,""))</f>
        <v/>
      </c>
      <c r="L299" s="29" t="str">
        <f>IF(Analysis!$I299="","",IF(Analysis!$I299="Drifting",Analysis!$F299,""))</f>
        <v/>
      </c>
      <c r="M299" s="29" t="str">
        <f>IF(Analysis!$I299="","",IF(Analysis!$I299="Embedded",Analysis!$H299,""))</f>
        <v/>
      </c>
      <c r="N299" s="29" t="str">
        <f>IF(Analysis!$I299="","",IF(Analysis!$I299="Loyal but shallow",Analysis!$H299,""))</f>
        <v/>
      </c>
      <c r="O299" s="29" t="str">
        <f>IF(Analysis!$I299="","",IF(Analysis!$I299="Project-driven",Analysis!$H299,""))</f>
        <v/>
      </c>
      <c r="P299" s="29" t="str">
        <f>IF(Analysis!$I299="","",IF(Analysis!$I299="Drifting",Analysis!$H299,""))</f>
        <v/>
      </c>
    </row>
    <row r="300" spans="1:16" x14ac:dyDescent="0.25">
      <c r="A300" s="29" t="str">
        <f>IF(Analysis!$I300="","",IF(Analysis!$I300="Embedded",Analysis!$D300,""))</f>
        <v/>
      </c>
      <c r="B300" s="29" t="str">
        <f>IF(Analysis!$I300="","",IF(Analysis!$I300="Loyal but shallow",Analysis!$D300,""))</f>
        <v/>
      </c>
      <c r="C300" s="29" t="str">
        <f>IF(Analysis!$I300="","",IF(Analysis!$I300="Project-driven",Analysis!$D300,""))</f>
        <v/>
      </c>
      <c r="D300" s="29" t="str">
        <f>IF(Analysis!$I300="","",IF(Analysis!$I300="Drifting",Analysis!$D300,""))</f>
        <v/>
      </c>
      <c r="E300" s="29" t="str">
        <f>IF(Analysis!$I300="","",IF(Analysis!$I300="Embedded",Analysis!$C300,""))</f>
        <v/>
      </c>
      <c r="F300" s="29" t="str">
        <f>IF(Analysis!$I300="","",IF(Analysis!$I300="Loyal but shallow",Analysis!$C300,""))</f>
        <v/>
      </c>
      <c r="G300" s="29" t="str">
        <f>IF(Analysis!$I300="","",IF(Analysis!$I300="Project-driven",Analysis!$C300,""))</f>
        <v/>
      </c>
      <c r="H300" s="29" t="str">
        <f>IF(Analysis!$I300="","",IF(Analysis!$I300="Drifting",Analysis!$C300,""))</f>
        <v/>
      </c>
      <c r="I300" s="29" t="str">
        <f>IF(Analysis!$I300="","",IF(Analysis!$I300="Embedded",Analysis!$F300,""))</f>
        <v/>
      </c>
      <c r="J300" s="29" t="str">
        <f>IF(Analysis!$I300="","",IF(Analysis!$I300="Loyal but shallow",Analysis!$F300,""))</f>
        <v/>
      </c>
      <c r="K300" s="29" t="str">
        <f>IF(Analysis!$I300="","",IF(Analysis!$I300="Project-driven",Analysis!$F300,""))</f>
        <v/>
      </c>
      <c r="L300" s="29" t="str">
        <f>IF(Analysis!$I300="","",IF(Analysis!$I300="Drifting",Analysis!$F300,""))</f>
        <v/>
      </c>
      <c r="M300" s="29" t="str">
        <f>IF(Analysis!$I300="","",IF(Analysis!$I300="Embedded",Analysis!$H300,""))</f>
        <v/>
      </c>
      <c r="N300" s="29" t="str">
        <f>IF(Analysis!$I300="","",IF(Analysis!$I300="Loyal but shallow",Analysis!$H300,""))</f>
        <v/>
      </c>
      <c r="O300" s="29" t="str">
        <f>IF(Analysis!$I300="","",IF(Analysis!$I300="Project-driven",Analysis!$H300,""))</f>
        <v/>
      </c>
      <c r="P300" s="29" t="str">
        <f>IF(Analysis!$I300="","",IF(Analysis!$I300="Drifting",Analysis!$H300,""))</f>
        <v/>
      </c>
    </row>
    <row r="301" spans="1:16" x14ac:dyDescent="0.25">
      <c r="A301" s="29" t="str">
        <f>IF(Analysis!$I301="","",IF(Analysis!$I301="Embedded",Analysis!$D301,""))</f>
        <v/>
      </c>
      <c r="B301" s="29" t="str">
        <f>IF(Analysis!$I301="","",IF(Analysis!$I301="Loyal but shallow",Analysis!$D301,""))</f>
        <v/>
      </c>
      <c r="C301" s="29" t="str">
        <f>IF(Analysis!$I301="","",IF(Analysis!$I301="Project-driven",Analysis!$D301,""))</f>
        <v/>
      </c>
      <c r="D301" s="29" t="str">
        <f>IF(Analysis!$I301="","",IF(Analysis!$I301="Drifting",Analysis!$D301,""))</f>
        <v/>
      </c>
      <c r="E301" s="29" t="str">
        <f>IF(Analysis!$I301="","",IF(Analysis!$I301="Embedded",Analysis!$C301,""))</f>
        <v/>
      </c>
      <c r="F301" s="29" t="str">
        <f>IF(Analysis!$I301="","",IF(Analysis!$I301="Loyal but shallow",Analysis!$C301,""))</f>
        <v/>
      </c>
      <c r="G301" s="29" t="str">
        <f>IF(Analysis!$I301="","",IF(Analysis!$I301="Project-driven",Analysis!$C301,""))</f>
        <v/>
      </c>
      <c r="H301" s="29" t="str">
        <f>IF(Analysis!$I301="","",IF(Analysis!$I301="Drifting",Analysis!$C301,""))</f>
        <v/>
      </c>
      <c r="I301" s="29" t="str">
        <f>IF(Analysis!$I301="","",IF(Analysis!$I301="Embedded",Analysis!$F301,""))</f>
        <v/>
      </c>
      <c r="J301" s="29" t="str">
        <f>IF(Analysis!$I301="","",IF(Analysis!$I301="Loyal but shallow",Analysis!$F301,""))</f>
        <v/>
      </c>
      <c r="K301" s="29" t="str">
        <f>IF(Analysis!$I301="","",IF(Analysis!$I301="Project-driven",Analysis!$F301,""))</f>
        <v/>
      </c>
      <c r="L301" s="29" t="str">
        <f>IF(Analysis!$I301="","",IF(Analysis!$I301="Drifting",Analysis!$F301,""))</f>
        <v/>
      </c>
      <c r="M301" s="29" t="str">
        <f>IF(Analysis!$I301="","",IF(Analysis!$I301="Embedded",Analysis!$H301,""))</f>
        <v/>
      </c>
      <c r="N301" s="29" t="str">
        <f>IF(Analysis!$I301="","",IF(Analysis!$I301="Loyal but shallow",Analysis!$H301,""))</f>
        <v/>
      </c>
      <c r="O301" s="29" t="str">
        <f>IF(Analysis!$I301="","",IF(Analysis!$I301="Project-driven",Analysis!$H301,""))</f>
        <v/>
      </c>
      <c r="P301" s="29" t="str">
        <f>IF(Analysis!$I301="","",IF(Analysis!$I301="Drifting",Analysis!$H301,""))</f>
        <v/>
      </c>
    </row>
    <row r="302" spans="1:16" x14ac:dyDescent="0.25">
      <c r="A302" s="29" t="str">
        <f>IF(Analysis!$I302="","",IF(Analysis!$I302="Embedded",Analysis!$D302,""))</f>
        <v/>
      </c>
      <c r="B302" s="29" t="str">
        <f>IF(Analysis!$I302="","",IF(Analysis!$I302="Loyal but shallow",Analysis!$D302,""))</f>
        <v/>
      </c>
      <c r="C302" s="29" t="str">
        <f>IF(Analysis!$I302="","",IF(Analysis!$I302="Project-driven",Analysis!$D302,""))</f>
        <v/>
      </c>
      <c r="D302" s="29" t="str">
        <f>IF(Analysis!$I302="","",IF(Analysis!$I302="Drifting",Analysis!$D302,""))</f>
        <v/>
      </c>
      <c r="E302" s="29" t="str">
        <f>IF(Analysis!$I302="","",IF(Analysis!$I302="Embedded",Analysis!$C302,""))</f>
        <v/>
      </c>
      <c r="F302" s="29" t="str">
        <f>IF(Analysis!$I302="","",IF(Analysis!$I302="Loyal but shallow",Analysis!$C302,""))</f>
        <v/>
      </c>
      <c r="G302" s="29" t="str">
        <f>IF(Analysis!$I302="","",IF(Analysis!$I302="Project-driven",Analysis!$C302,""))</f>
        <v/>
      </c>
      <c r="H302" s="29" t="str">
        <f>IF(Analysis!$I302="","",IF(Analysis!$I302="Drifting",Analysis!$C302,""))</f>
        <v/>
      </c>
      <c r="I302" s="29" t="str">
        <f>IF(Analysis!$I302="","",IF(Analysis!$I302="Embedded",Analysis!$F302,""))</f>
        <v/>
      </c>
      <c r="J302" s="29" t="str">
        <f>IF(Analysis!$I302="","",IF(Analysis!$I302="Loyal but shallow",Analysis!$F302,""))</f>
        <v/>
      </c>
      <c r="K302" s="29" t="str">
        <f>IF(Analysis!$I302="","",IF(Analysis!$I302="Project-driven",Analysis!$F302,""))</f>
        <v/>
      </c>
      <c r="L302" s="29" t="str">
        <f>IF(Analysis!$I302="","",IF(Analysis!$I302="Drifting",Analysis!$F302,""))</f>
        <v/>
      </c>
      <c r="M302" s="29" t="str">
        <f>IF(Analysis!$I302="","",IF(Analysis!$I302="Embedded",Analysis!$H302,""))</f>
        <v/>
      </c>
      <c r="N302" s="29" t="str">
        <f>IF(Analysis!$I302="","",IF(Analysis!$I302="Loyal but shallow",Analysis!$H302,""))</f>
        <v/>
      </c>
      <c r="O302" s="29" t="str">
        <f>IF(Analysis!$I302="","",IF(Analysis!$I302="Project-driven",Analysis!$H302,""))</f>
        <v/>
      </c>
      <c r="P302" s="29" t="str">
        <f>IF(Analysis!$I302="","",IF(Analysis!$I302="Drifting",Analysis!$H302,""))</f>
        <v/>
      </c>
    </row>
    <row r="303" spans="1:16" x14ac:dyDescent="0.25">
      <c r="A303" s="29" t="str">
        <f>IF(Analysis!$I303="","",IF(Analysis!$I303="Embedded",Analysis!$D303,""))</f>
        <v/>
      </c>
      <c r="B303" s="29" t="str">
        <f>IF(Analysis!$I303="","",IF(Analysis!$I303="Loyal but shallow",Analysis!$D303,""))</f>
        <v/>
      </c>
      <c r="C303" s="29" t="str">
        <f>IF(Analysis!$I303="","",IF(Analysis!$I303="Project-driven",Analysis!$D303,""))</f>
        <v/>
      </c>
      <c r="D303" s="29" t="str">
        <f>IF(Analysis!$I303="","",IF(Analysis!$I303="Drifting",Analysis!$D303,""))</f>
        <v/>
      </c>
      <c r="E303" s="29" t="str">
        <f>IF(Analysis!$I303="","",IF(Analysis!$I303="Embedded",Analysis!$C303,""))</f>
        <v/>
      </c>
      <c r="F303" s="29" t="str">
        <f>IF(Analysis!$I303="","",IF(Analysis!$I303="Loyal but shallow",Analysis!$C303,""))</f>
        <v/>
      </c>
      <c r="G303" s="29" t="str">
        <f>IF(Analysis!$I303="","",IF(Analysis!$I303="Project-driven",Analysis!$C303,""))</f>
        <v/>
      </c>
      <c r="H303" s="29" t="str">
        <f>IF(Analysis!$I303="","",IF(Analysis!$I303="Drifting",Analysis!$C303,""))</f>
        <v/>
      </c>
      <c r="I303" s="29" t="str">
        <f>IF(Analysis!$I303="","",IF(Analysis!$I303="Embedded",Analysis!$F303,""))</f>
        <v/>
      </c>
      <c r="J303" s="29" t="str">
        <f>IF(Analysis!$I303="","",IF(Analysis!$I303="Loyal but shallow",Analysis!$F303,""))</f>
        <v/>
      </c>
      <c r="K303" s="29" t="str">
        <f>IF(Analysis!$I303="","",IF(Analysis!$I303="Project-driven",Analysis!$F303,""))</f>
        <v/>
      </c>
      <c r="L303" s="29" t="str">
        <f>IF(Analysis!$I303="","",IF(Analysis!$I303="Drifting",Analysis!$F303,""))</f>
        <v/>
      </c>
      <c r="M303" s="29" t="str">
        <f>IF(Analysis!$I303="","",IF(Analysis!$I303="Embedded",Analysis!$H303,""))</f>
        <v/>
      </c>
      <c r="N303" s="29" t="str">
        <f>IF(Analysis!$I303="","",IF(Analysis!$I303="Loyal but shallow",Analysis!$H303,""))</f>
        <v/>
      </c>
      <c r="O303" s="29" t="str">
        <f>IF(Analysis!$I303="","",IF(Analysis!$I303="Project-driven",Analysis!$H303,""))</f>
        <v/>
      </c>
      <c r="P303" s="29" t="str">
        <f>IF(Analysis!$I303="","",IF(Analysis!$I303="Drifting",Analysis!$H303,""))</f>
        <v/>
      </c>
    </row>
    <row r="304" spans="1:16" x14ac:dyDescent="0.25">
      <c r="A304" s="29" t="str">
        <f>IF(Analysis!$I304="","",IF(Analysis!$I304="Embedded",Analysis!$D304,""))</f>
        <v/>
      </c>
      <c r="B304" s="29" t="str">
        <f>IF(Analysis!$I304="","",IF(Analysis!$I304="Loyal but shallow",Analysis!$D304,""))</f>
        <v/>
      </c>
      <c r="C304" s="29" t="str">
        <f>IF(Analysis!$I304="","",IF(Analysis!$I304="Project-driven",Analysis!$D304,""))</f>
        <v/>
      </c>
      <c r="D304" s="29" t="str">
        <f>IF(Analysis!$I304="","",IF(Analysis!$I304="Drifting",Analysis!$D304,""))</f>
        <v/>
      </c>
      <c r="E304" s="29" t="str">
        <f>IF(Analysis!$I304="","",IF(Analysis!$I304="Embedded",Analysis!$C304,""))</f>
        <v/>
      </c>
      <c r="F304" s="29" t="str">
        <f>IF(Analysis!$I304="","",IF(Analysis!$I304="Loyal but shallow",Analysis!$C304,""))</f>
        <v/>
      </c>
      <c r="G304" s="29" t="str">
        <f>IF(Analysis!$I304="","",IF(Analysis!$I304="Project-driven",Analysis!$C304,""))</f>
        <v/>
      </c>
      <c r="H304" s="29" t="str">
        <f>IF(Analysis!$I304="","",IF(Analysis!$I304="Drifting",Analysis!$C304,""))</f>
        <v/>
      </c>
      <c r="I304" s="29" t="str">
        <f>IF(Analysis!$I304="","",IF(Analysis!$I304="Embedded",Analysis!$F304,""))</f>
        <v/>
      </c>
      <c r="J304" s="29" t="str">
        <f>IF(Analysis!$I304="","",IF(Analysis!$I304="Loyal but shallow",Analysis!$F304,""))</f>
        <v/>
      </c>
      <c r="K304" s="29" t="str">
        <f>IF(Analysis!$I304="","",IF(Analysis!$I304="Project-driven",Analysis!$F304,""))</f>
        <v/>
      </c>
      <c r="L304" s="29" t="str">
        <f>IF(Analysis!$I304="","",IF(Analysis!$I304="Drifting",Analysis!$F304,""))</f>
        <v/>
      </c>
      <c r="M304" s="29" t="str">
        <f>IF(Analysis!$I304="","",IF(Analysis!$I304="Embedded",Analysis!$H304,""))</f>
        <v/>
      </c>
      <c r="N304" s="29" t="str">
        <f>IF(Analysis!$I304="","",IF(Analysis!$I304="Loyal but shallow",Analysis!$H304,""))</f>
        <v/>
      </c>
      <c r="O304" s="29" t="str">
        <f>IF(Analysis!$I304="","",IF(Analysis!$I304="Project-driven",Analysis!$H304,""))</f>
        <v/>
      </c>
      <c r="P304" s="29" t="str">
        <f>IF(Analysis!$I304="","",IF(Analysis!$I304="Drifting",Analysis!$H304,""))</f>
        <v/>
      </c>
    </row>
    <row r="305" spans="1:16" x14ac:dyDescent="0.25">
      <c r="A305" s="29" t="str">
        <f>IF(Analysis!$I305="","",IF(Analysis!$I305="Embedded",Analysis!$D305,""))</f>
        <v/>
      </c>
      <c r="B305" s="29" t="str">
        <f>IF(Analysis!$I305="","",IF(Analysis!$I305="Loyal but shallow",Analysis!$D305,""))</f>
        <v/>
      </c>
      <c r="C305" s="29" t="str">
        <f>IF(Analysis!$I305="","",IF(Analysis!$I305="Project-driven",Analysis!$D305,""))</f>
        <v/>
      </c>
      <c r="D305" s="29" t="str">
        <f>IF(Analysis!$I305="","",IF(Analysis!$I305="Drifting",Analysis!$D305,""))</f>
        <v/>
      </c>
      <c r="E305" s="29" t="str">
        <f>IF(Analysis!$I305="","",IF(Analysis!$I305="Embedded",Analysis!$C305,""))</f>
        <v/>
      </c>
      <c r="F305" s="29" t="str">
        <f>IF(Analysis!$I305="","",IF(Analysis!$I305="Loyal but shallow",Analysis!$C305,""))</f>
        <v/>
      </c>
      <c r="G305" s="29" t="str">
        <f>IF(Analysis!$I305="","",IF(Analysis!$I305="Project-driven",Analysis!$C305,""))</f>
        <v/>
      </c>
      <c r="H305" s="29" t="str">
        <f>IF(Analysis!$I305="","",IF(Analysis!$I305="Drifting",Analysis!$C305,""))</f>
        <v/>
      </c>
      <c r="I305" s="29" t="str">
        <f>IF(Analysis!$I305="","",IF(Analysis!$I305="Embedded",Analysis!$F305,""))</f>
        <v/>
      </c>
      <c r="J305" s="29" t="str">
        <f>IF(Analysis!$I305="","",IF(Analysis!$I305="Loyal but shallow",Analysis!$F305,""))</f>
        <v/>
      </c>
      <c r="K305" s="29" t="str">
        <f>IF(Analysis!$I305="","",IF(Analysis!$I305="Project-driven",Analysis!$F305,""))</f>
        <v/>
      </c>
      <c r="L305" s="29" t="str">
        <f>IF(Analysis!$I305="","",IF(Analysis!$I305="Drifting",Analysis!$F305,""))</f>
        <v/>
      </c>
      <c r="M305" s="29" t="str">
        <f>IF(Analysis!$I305="","",IF(Analysis!$I305="Embedded",Analysis!$H305,""))</f>
        <v/>
      </c>
      <c r="N305" s="29" t="str">
        <f>IF(Analysis!$I305="","",IF(Analysis!$I305="Loyal but shallow",Analysis!$H305,""))</f>
        <v/>
      </c>
      <c r="O305" s="29" t="str">
        <f>IF(Analysis!$I305="","",IF(Analysis!$I305="Project-driven",Analysis!$H305,""))</f>
        <v/>
      </c>
      <c r="P305" s="29" t="str">
        <f>IF(Analysis!$I305="","",IF(Analysis!$I305="Drifting",Analysis!$H305,""))</f>
        <v/>
      </c>
    </row>
    <row r="306" spans="1:16" x14ac:dyDescent="0.25">
      <c r="A306" s="29" t="str">
        <f>IF(Analysis!$I306="","",IF(Analysis!$I306="Embedded",Analysis!$D306,""))</f>
        <v/>
      </c>
      <c r="B306" s="29" t="str">
        <f>IF(Analysis!$I306="","",IF(Analysis!$I306="Loyal but shallow",Analysis!$D306,""))</f>
        <v/>
      </c>
      <c r="C306" s="29" t="str">
        <f>IF(Analysis!$I306="","",IF(Analysis!$I306="Project-driven",Analysis!$D306,""))</f>
        <v/>
      </c>
      <c r="D306" s="29" t="str">
        <f>IF(Analysis!$I306="","",IF(Analysis!$I306="Drifting",Analysis!$D306,""))</f>
        <v/>
      </c>
      <c r="E306" s="29" t="str">
        <f>IF(Analysis!$I306="","",IF(Analysis!$I306="Embedded",Analysis!$C306,""))</f>
        <v/>
      </c>
      <c r="F306" s="29" t="str">
        <f>IF(Analysis!$I306="","",IF(Analysis!$I306="Loyal but shallow",Analysis!$C306,""))</f>
        <v/>
      </c>
      <c r="G306" s="29" t="str">
        <f>IF(Analysis!$I306="","",IF(Analysis!$I306="Project-driven",Analysis!$C306,""))</f>
        <v/>
      </c>
      <c r="H306" s="29" t="str">
        <f>IF(Analysis!$I306="","",IF(Analysis!$I306="Drifting",Analysis!$C306,""))</f>
        <v/>
      </c>
      <c r="I306" s="29" t="str">
        <f>IF(Analysis!$I306="","",IF(Analysis!$I306="Embedded",Analysis!$F306,""))</f>
        <v/>
      </c>
      <c r="J306" s="29" t="str">
        <f>IF(Analysis!$I306="","",IF(Analysis!$I306="Loyal but shallow",Analysis!$F306,""))</f>
        <v/>
      </c>
      <c r="K306" s="29" t="str">
        <f>IF(Analysis!$I306="","",IF(Analysis!$I306="Project-driven",Analysis!$F306,""))</f>
        <v/>
      </c>
      <c r="L306" s="29" t="str">
        <f>IF(Analysis!$I306="","",IF(Analysis!$I306="Drifting",Analysis!$F306,""))</f>
        <v/>
      </c>
      <c r="M306" s="29" t="str">
        <f>IF(Analysis!$I306="","",IF(Analysis!$I306="Embedded",Analysis!$H306,""))</f>
        <v/>
      </c>
      <c r="N306" s="29" t="str">
        <f>IF(Analysis!$I306="","",IF(Analysis!$I306="Loyal but shallow",Analysis!$H306,""))</f>
        <v/>
      </c>
      <c r="O306" s="29" t="str">
        <f>IF(Analysis!$I306="","",IF(Analysis!$I306="Project-driven",Analysis!$H306,""))</f>
        <v/>
      </c>
      <c r="P306" s="29" t="str">
        <f>IF(Analysis!$I306="","",IF(Analysis!$I306="Drifting",Analysis!$H306,""))</f>
        <v/>
      </c>
    </row>
    <row r="307" spans="1:16" x14ac:dyDescent="0.25">
      <c r="A307" s="29" t="str">
        <f>IF(Analysis!$I307="","",IF(Analysis!$I307="Embedded",Analysis!$D307,""))</f>
        <v/>
      </c>
      <c r="B307" s="29" t="str">
        <f>IF(Analysis!$I307="","",IF(Analysis!$I307="Loyal but shallow",Analysis!$D307,""))</f>
        <v/>
      </c>
      <c r="C307" s="29" t="str">
        <f>IF(Analysis!$I307="","",IF(Analysis!$I307="Project-driven",Analysis!$D307,""))</f>
        <v/>
      </c>
      <c r="D307" s="29" t="str">
        <f>IF(Analysis!$I307="","",IF(Analysis!$I307="Drifting",Analysis!$D307,""))</f>
        <v/>
      </c>
      <c r="E307" s="29" t="str">
        <f>IF(Analysis!$I307="","",IF(Analysis!$I307="Embedded",Analysis!$C307,""))</f>
        <v/>
      </c>
      <c r="F307" s="29" t="str">
        <f>IF(Analysis!$I307="","",IF(Analysis!$I307="Loyal but shallow",Analysis!$C307,""))</f>
        <v/>
      </c>
      <c r="G307" s="29" t="str">
        <f>IF(Analysis!$I307="","",IF(Analysis!$I307="Project-driven",Analysis!$C307,""))</f>
        <v/>
      </c>
      <c r="H307" s="29" t="str">
        <f>IF(Analysis!$I307="","",IF(Analysis!$I307="Drifting",Analysis!$C307,""))</f>
        <v/>
      </c>
      <c r="I307" s="29" t="str">
        <f>IF(Analysis!$I307="","",IF(Analysis!$I307="Embedded",Analysis!$F307,""))</f>
        <v/>
      </c>
      <c r="J307" s="29" t="str">
        <f>IF(Analysis!$I307="","",IF(Analysis!$I307="Loyal but shallow",Analysis!$F307,""))</f>
        <v/>
      </c>
      <c r="K307" s="29" t="str">
        <f>IF(Analysis!$I307="","",IF(Analysis!$I307="Project-driven",Analysis!$F307,""))</f>
        <v/>
      </c>
      <c r="L307" s="29" t="str">
        <f>IF(Analysis!$I307="","",IF(Analysis!$I307="Drifting",Analysis!$F307,""))</f>
        <v/>
      </c>
      <c r="M307" s="29" t="str">
        <f>IF(Analysis!$I307="","",IF(Analysis!$I307="Embedded",Analysis!$H307,""))</f>
        <v/>
      </c>
      <c r="N307" s="29" t="str">
        <f>IF(Analysis!$I307="","",IF(Analysis!$I307="Loyal but shallow",Analysis!$H307,""))</f>
        <v/>
      </c>
      <c r="O307" s="29" t="str">
        <f>IF(Analysis!$I307="","",IF(Analysis!$I307="Project-driven",Analysis!$H307,""))</f>
        <v/>
      </c>
      <c r="P307" s="29" t="str">
        <f>IF(Analysis!$I307="","",IF(Analysis!$I307="Drifting",Analysis!$H307,""))</f>
        <v/>
      </c>
    </row>
    <row r="308" spans="1:16" x14ac:dyDescent="0.25">
      <c r="A308" s="29" t="str">
        <f>IF(Analysis!$I308="","",IF(Analysis!$I308="Embedded",Analysis!$D308,""))</f>
        <v/>
      </c>
      <c r="B308" s="29" t="str">
        <f>IF(Analysis!$I308="","",IF(Analysis!$I308="Loyal but shallow",Analysis!$D308,""))</f>
        <v/>
      </c>
      <c r="C308" s="29" t="str">
        <f>IF(Analysis!$I308="","",IF(Analysis!$I308="Project-driven",Analysis!$D308,""))</f>
        <v/>
      </c>
      <c r="D308" s="29" t="str">
        <f>IF(Analysis!$I308="","",IF(Analysis!$I308="Drifting",Analysis!$D308,""))</f>
        <v/>
      </c>
      <c r="E308" s="29" t="str">
        <f>IF(Analysis!$I308="","",IF(Analysis!$I308="Embedded",Analysis!$C308,""))</f>
        <v/>
      </c>
      <c r="F308" s="29" t="str">
        <f>IF(Analysis!$I308="","",IF(Analysis!$I308="Loyal but shallow",Analysis!$C308,""))</f>
        <v/>
      </c>
      <c r="G308" s="29" t="str">
        <f>IF(Analysis!$I308="","",IF(Analysis!$I308="Project-driven",Analysis!$C308,""))</f>
        <v/>
      </c>
      <c r="H308" s="29" t="str">
        <f>IF(Analysis!$I308="","",IF(Analysis!$I308="Drifting",Analysis!$C308,""))</f>
        <v/>
      </c>
      <c r="I308" s="29" t="str">
        <f>IF(Analysis!$I308="","",IF(Analysis!$I308="Embedded",Analysis!$F308,""))</f>
        <v/>
      </c>
      <c r="J308" s="29" t="str">
        <f>IF(Analysis!$I308="","",IF(Analysis!$I308="Loyal but shallow",Analysis!$F308,""))</f>
        <v/>
      </c>
      <c r="K308" s="29" t="str">
        <f>IF(Analysis!$I308="","",IF(Analysis!$I308="Project-driven",Analysis!$F308,""))</f>
        <v/>
      </c>
      <c r="L308" s="29" t="str">
        <f>IF(Analysis!$I308="","",IF(Analysis!$I308="Drifting",Analysis!$F308,""))</f>
        <v/>
      </c>
      <c r="M308" s="29" t="str">
        <f>IF(Analysis!$I308="","",IF(Analysis!$I308="Embedded",Analysis!$H308,""))</f>
        <v/>
      </c>
      <c r="N308" s="29" t="str">
        <f>IF(Analysis!$I308="","",IF(Analysis!$I308="Loyal but shallow",Analysis!$H308,""))</f>
        <v/>
      </c>
      <c r="O308" s="29" t="str">
        <f>IF(Analysis!$I308="","",IF(Analysis!$I308="Project-driven",Analysis!$H308,""))</f>
        <v/>
      </c>
      <c r="P308" s="29" t="str">
        <f>IF(Analysis!$I308="","",IF(Analysis!$I308="Drifting",Analysis!$H308,""))</f>
        <v/>
      </c>
    </row>
    <row r="309" spans="1:16" x14ac:dyDescent="0.25">
      <c r="A309" s="29" t="str">
        <f>IF(Analysis!$I309="","",IF(Analysis!$I309="Embedded",Analysis!$D309,""))</f>
        <v/>
      </c>
      <c r="B309" s="29" t="str">
        <f>IF(Analysis!$I309="","",IF(Analysis!$I309="Loyal but shallow",Analysis!$D309,""))</f>
        <v/>
      </c>
      <c r="C309" s="29" t="str">
        <f>IF(Analysis!$I309="","",IF(Analysis!$I309="Project-driven",Analysis!$D309,""))</f>
        <v/>
      </c>
      <c r="D309" s="29" t="str">
        <f>IF(Analysis!$I309="","",IF(Analysis!$I309="Drifting",Analysis!$D309,""))</f>
        <v/>
      </c>
      <c r="E309" s="29" t="str">
        <f>IF(Analysis!$I309="","",IF(Analysis!$I309="Embedded",Analysis!$C309,""))</f>
        <v/>
      </c>
      <c r="F309" s="29" t="str">
        <f>IF(Analysis!$I309="","",IF(Analysis!$I309="Loyal but shallow",Analysis!$C309,""))</f>
        <v/>
      </c>
      <c r="G309" s="29" t="str">
        <f>IF(Analysis!$I309="","",IF(Analysis!$I309="Project-driven",Analysis!$C309,""))</f>
        <v/>
      </c>
      <c r="H309" s="29" t="str">
        <f>IF(Analysis!$I309="","",IF(Analysis!$I309="Drifting",Analysis!$C309,""))</f>
        <v/>
      </c>
      <c r="I309" s="29" t="str">
        <f>IF(Analysis!$I309="","",IF(Analysis!$I309="Embedded",Analysis!$F309,""))</f>
        <v/>
      </c>
      <c r="J309" s="29" t="str">
        <f>IF(Analysis!$I309="","",IF(Analysis!$I309="Loyal but shallow",Analysis!$F309,""))</f>
        <v/>
      </c>
      <c r="K309" s="29" t="str">
        <f>IF(Analysis!$I309="","",IF(Analysis!$I309="Project-driven",Analysis!$F309,""))</f>
        <v/>
      </c>
      <c r="L309" s="29" t="str">
        <f>IF(Analysis!$I309="","",IF(Analysis!$I309="Drifting",Analysis!$F309,""))</f>
        <v/>
      </c>
      <c r="M309" s="29" t="str">
        <f>IF(Analysis!$I309="","",IF(Analysis!$I309="Embedded",Analysis!$H309,""))</f>
        <v/>
      </c>
      <c r="N309" s="29" t="str">
        <f>IF(Analysis!$I309="","",IF(Analysis!$I309="Loyal but shallow",Analysis!$H309,""))</f>
        <v/>
      </c>
      <c r="O309" s="29" t="str">
        <f>IF(Analysis!$I309="","",IF(Analysis!$I309="Project-driven",Analysis!$H309,""))</f>
        <v/>
      </c>
      <c r="P309" s="29" t="str">
        <f>IF(Analysis!$I309="","",IF(Analysis!$I309="Drifting",Analysis!$H309,""))</f>
        <v/>
      </c>
    </row>
    <row r="310" spans="1:16" x14ac:dyDescent="0.25">
      <c r="A310" s="29" t="str">
        <f>IF(Analysis!$I310="","",IF(Analysis!$I310="Embedded",Analysis!$D310,""))</f>
        <v/>
      </c>
      <c r="B310" s="29" t="str">
        <f>IF(Analysis!$I310="","",IF(Analysis!$I310="Loyal but shallow",Analysis!$D310,""))</f>
        <v/>
      </c>
      <c r="C310" s="29" t="str">
        <f>IF(Analysis!$I310="","",IF(Analysis!$I310="Project-driven",Analysis!$D310,""))</f>
        <v/>
      </c>
      <c r="D310" s="29" t="str">
        <f>IF(Analysis!$I310="","",IF(Analysis!$I310="Drifting",Analysis!$D310,""))</f>
        <v/>
      </c>
      <c r="E310" s="29" t="str">
        <f>IF(Analysis!$I310="","",IF(Analysis!$I310="Embedded",Analysis!$C310,""))</f>
        <v/>
      </c>
      <c r="F310" s="29" t="str">
        <f>IF(Analysis!$I310="","",IF(Analysis!$I310="Loyal but shallow",Analysis!$C310,""))</f>
        <v/>
      </c>
      <c r="G310" s="29" t="str">
        <f>IF(Analysis!$I310="","",IF(Analysis!$I310="Project-driven",Analysis!$C310,""))</f>
        <v/>
      </c>
      <c r="H310" s="29" t="str">
        <f>IF(Analysis!$I310="","",IF(Analysis!$I310="Drifting",Analysis!$C310,""))</f>
        <v/>
      </c>
      <c r="I310" s="29" t="str">
        <f>IF(Analysis!$I310="","",IF(Analysis!$I310="Embedded",Analysis!$F310,""))</f>
        <v/>
      </c>
      <c r="J310" s="29" t="str">
        <f>IF(Analysis!$I310="","",IF(Analysis!$I310="Loyal but shallow",Analysis!$F310,""))</f>
        <v/>
      </c>
      <c r="K310" s="29" t="str">
        <f>IF(Analysis!$I310="","",IF(Analysis!$I310="Project-driven",Analysis!$F310,""))</f>
        <v/>
      </c>
      <c r="L310" s="29" t="str">
        <f>IF(Analysis!$I310="","",IF(Analysis!$I310="Drifting",Analysis!$F310,""))</f>
        <v/>
      </c>
      <c r="M310" s="29" t="str">
        <f>IF(Analysis!$I310="","",IF(Analysis!$I310="Embedded",Analysis!$H310,""))</f>
        <v/>
      </c>
      <c r="N310" s="29" t="str">
        <f>IF(Analysis!$I310="","",IF(Analysis!$I310="Loyal but shallow",Analysis!$H310,""))</f>
        <v/>
      </c>
      <c r="O310" s="29" t="str">
        <f>IF(Analysis!$I310="","",IF(Analysis!$I310="Project-driven",Analysis!$H310,""))</f>
        <v/>
      </c>
      <c r="P310" s="29" t="str">
        <f>IF(Analysis!$I310="","",IF(Analysis!$I310="Drifting",Analysis!$H310,""))</f>
        <v/>
      </c>
    </row>
    <row r="311" spans="1:16" x14ac:dyDescent="0.25">
      <c r="A311" s="29" t="str">
        <f>IF(Analysis!$I311="","",IF(Analysis!$I311="Embedded",Analysis!$D311,""))</f>
        <v/>
      </c>
      <c r="B311" s="29" t="str">
        <f>IF(Analysis!$I311="","",IF(Analysis!$I311="Loyal but shallow",Analysis!$D311,""))</f>
        <v/>
      </c>
      <c r="C311" s="29" t="str">
        <f>IF(Analysis!$I311="","",IF(Analysis!$I311="Project-driven",Analysis!$D311,""))</f>
        <v/>
      </c>
      <c r="D311" s="29" t="str">
        <f>IF(Analysis!$I311="","",IF(Analysis!$I311="Drifting",Analysis!$D311,""))</f>
        <v/>
      </c>
      <c r="E311" s="29" t="str">
        <f>IF(Analysis!$I311="","",IF(Analysis!$I311="Embedded",Analysis!$C311,""))</f>
        <v/>
      </c>
      <c r="F311" s="29" t="str">
        <f>IF(Analysis!$I311="","",IF(Analysis!$I311="Loyal but shallow",Analysis!$C311,""))</f>
        <v/>
      </c>
      <c r="G311" s="29" t="str">
        <f>IF(Analysis!$I311="","",IF(Analysis!$I311="Project-driven",Analysis!$C311,""))</f>
        <v/>
      </c>
      <c r="H311" s="29" t="str">
        <f>IF(Analysis!$I311="","",IF(Analysis!$I311="Drifting",Analysis!$C311,""))</f>
        <v/>
      </c>
      <c r="I311" s="29" t="str">
        <f>IF(Analysis!$I311="","",IF(Analysis!$I311="Embedded",Analysis!$F311,""))</f>
        <v/>
      </c>
      <c r="J311" s="29" t="str">
        <f>IF(Analysis!$I311="","",IF(Analysis!$I311="Loyal but shallow",Analysis!$F311,""))</f>
        <v/>
      </c>
      <c r="K311" s="29" t="str">
        <f>IF(Analysis!$I311="","",IF(Analysis!$I311="Project-driven",Analysis!$F311,""))</f>
        <v/>
      </c>
      <c r="L311" s="29" t="str">
        <f>IF(Analysis!$I311="","",IF(Analysis!$I311="Drifting",Analysis!$F311,""))</f>
        <v/>
      </c>
      <c r="M311" s="29" t="str">
        <f>IF(Analysis!$I311="","",IF(Analysis!$I311="Embedded",Analysis!$H311,""))</f>
        <v/>
      </c>
      <c r="N311" s="29" t="str">
        <f>IF(Analysis!$I311="","",IF(Analysis!$I311="Loyal but shallow",Analysis!$H311,""))</f>
        <v/>
      </c>
      <c r="O311" s="29" t="str">
        <f>IF(Analysis!$I311="","",IF(Analysis!$I311="Project-driven",Analysis!$H311,""))</f>
        <v/>
      </c>
      <c r="P311" s="29" t="str">
        <f>IF(Analysis!$I311="","",IF(Analysis!$I311="Drifting",Analysis!$H311,""))</f>
        <v/>
      </c>
    </row>
    <row r="312" spans="1:16" x14ac:dyDescent="0.25">
      <c r="A312" s="29" t="str">
        <f>IF(Analysis!$I312="","",IF(Analysis!$I312="Embedded",Analysis!$D312,""))</f>
        <v/>
      </c>
      <c r="B312" s="29" t="str">
        <f>IF(Analysis!$I312="","",IF(Analysis!$I312="Loyal but shallow",Analysis!$D312,""))</f>
        <v/>
      </c>
      <c r="C312" s="29" t="str">
        <f>IF(Analysis!$I312="","",IF(Analysis!$I312="Project-driven",Analysis!$D312,""))</f>
        <v/>
      </c>
      <c r="D312" s="29" t="str">
        <f>IF(Analysis!$I312="","",IF(Analysis!$I312="Drifting",Analysis!$D312,""))</f>
        <v/>
      </c>
      <c r="E312" s="29" t="str">
        <f>IF(Analysis!$I312="","",IF(Analysis!$I312="Embedded",Analysis!$C312,""))</f>
        <v/>
      </c>
      <c r="F312" s="29" t="str">
        <f>IF(Analysis!$I312="","",IF(Analysis!$I312="Loyal but shallow",Analysis!$C312,""))</f>
        <v/>
      </c>
      <c r="G312" s="29" t="str">
        <f>IF(Analysis!$I312="","",IF(Analysis!$I312="Project-driven",Analysis!$C312,""))</f>
        <v/>
      </c>
      <c r="H312" s="29" t="str">
        <f>IF(Analysis!$I312="","",IF(Analysis!$I312="Drifting",Analysis!$C312,""))</f>
        <v/>
      </c>
      <c r="I312" s="29" t="str">
        <f>IF(Analysis!$I312="","",IF(Analysis!$I312="Embedded",Analysis!$F312,""))</f>
        <v/>
      </c>
      <c r="J312" s="29" t="str">
        <f>IF(Analysis!$I312="","",IF(Analysis!$I312="Loyal but shallow",Analysis!$F312,""))</f>
        <v/>
      </c>
      <c r="K312" s="29" t="str">
        <f>IF(Analysis!$I312="","",IF(Analysis!$I312="Project-driven",Analysis!$F312,""))</f>
        <v/>
      </c>
      <c r="L312" s="29" t="str">
        <f>IF(Analysis!$I312="","",IF(Analysis!$I312="Drifting",Analysis!$F312,""))</f>
        <v/>
      </c>
      <c r="M312" s="29" t="str">
        <f>IF(Analysis!$I312="","",IF(Analysis!$I312="Embedded",Analysis!$H312,""))</f>
        <v/>
      </c>
      <c r="N312" s="29" t="str">
        <f>IF(Analysis!$I312="","",IF(Analysis!$I312="Loyal but shallow",Analysis!$H312,""))</f>
        <v/>
      </c>
      <c r="O312" s="29" t="str">
        <f>IF(Analysis!$I312="","",IF(Analysis!$I312="Project-driven",Analysis!$H312,""))</f>
        <v/>
      </c>
      <c r="P312" s="29" t="str">
        <f>IF(Analysis!$I312="","",IF(Analysis!$I312="Drifting",Analysis!$H312,""))</f>
        <v/>
      </c>
    </row>
    <row r="313" spans="1:16" x14ac:dyDescent="0.25">
      <c r="A313" s="29" t="str">
        <f>IF(Analysis!$I313="","",IF(Analysis!$I313="Embedded",Analysis!$D313,""))</f>
        <v/>
      </c>
      <c r="B313" s="29" t="str">
        <f>IF(Analysis!$I313="","",IF(Analysis!$I313="Loyal but shallow",Analysis!$D313,""))</f>
        <v/>
      </c>
      <c r="C313" s="29" t="str">
        <f>IF(Analysis!$I313="","",IF(Analysis!$I313="Project-driven",Analysis!$D313,""))</f>
        <v/>
      </c>
      <c r="D313" s="29" t="str">
        <f>IF(Analysis!$I313="","",IF(Analysis!$I313="Drifting",Analysis!$D313,""))</f>
        <v/>
      </c>
      <c r="E313" s="29" t="str">
        <f>IF(Analysis!$I313="","",IF(Analysis!$I313="Embedded",Analysis!$C313,""))</f>
        <v/>
      </c>
      <c r="F313" s="29" t="str">
        <f>IF(Analysis!$I313="","",IF(Analysis!$I313="Loyal but shallow",Analysis!$C313,""))</f>
        <v/>
      </c>
      <c r="G313" s="29" t="str">
        <f>IF(Analysis!$I313="","",IF(Analysis!$I313="Project-driven",Analysis!$C313,""))</f>
        <v/>
      </c>
      <c r="H313" s="29" t="str">
        <f>IF(Analysis!$I313="","",IF(Analysis!$I313="Drifting",Analysis!$C313,""))</f>
        <v/>
      </c>
      <c r="I313" s="29" t="str">
        <f>IF(Analysis!$I313="","",IF(Analysis!$I313="Embedded",Analysis!$F313,""))</f>
        <v/>
      </c>
      <c r="J313" s="29" t="str">
        <f>IF(Analysis!$I313="","",IF(Analysis!$I313="Loyal but shallow",Analysis!$F313,""))</f>
        <v/>
      </c>
      <c r="K313" s="29" t="str">
        <f>IF(Analysis!$I313="","",IF(Analysis!$I313="Project-driven",Analysis!$F313,""))</f>
        <v/>
      </c>
      <c r="L313" s="29" t="str">
        <f>IF(Analysis!$I313="","",IF(Analysis!$I313="Drifting",Analysis!$F313,""))</f>
        <v/>
      </c>
      <c r="M313" s="29" t="str">
        <f>IF(Analysis!$I313="","",IF(Analysis!$I313="Embedded",Analysis!$H313,""))</f>
        <v/>
      </c>
      <c r="N313" s="29" t="str">
        <f>IF(Analysis!$I313="","",IF(Analysis!$I313="Loyal but shallow",Analysis!$H313,""))</f>
        <v/>
      </c>
      <c r="O313" s="29" t="str">
        <f>IF(Analysis!$I313="","",IF(Analysis!$I313="Project-driven",Analysis!$H313,""))</f>
        <v/>
      </c>
      <c r="P313" s="29" t="str">
        <f>IF(Analysis!$I313="","",IF(Analysis!$I313="Drifting",Analysis!$H313,""))</f>
        <v/>
      </c>
    </row>
    <row r="314" spans="1:16" x14ac:dyDescent="0.25">
      <c r="A314" s="29" t="str">
        <f>IF(Analysis!$I314="","",IF(Analysis!$I314="Embedded",Analysis!$D314,""))</f>
        <v/>
      </c>
      <c r="B314" s="29" t="str">
        <f>IF(Analysis!$I314="","",IF(Analysis!$I314="Loyal but shallow",Analysis!$D314,""))</f>
        <v/>
      </c>
      <c r="C314" s="29" t="str">
        <f>IF(Analysis!$I314="","",IF(Analysis!$I314="Project-driven",Analysis!$D314,""))</f>
        <v/>
      </c>
      <c r="D314" s="29" t="str">
        <f>IF(Analysis!$I314="","",IF(Analysis!$I314="Drifting",Analysis!$D314,""))</f>
        <v/>
      </c>
      <c r="E314" s="29" t="str">
        <f>IF(Analysis!$I314="","",IF(Analysis!$I314="Embedded",Analysis!$C314,""))</f>
        <v/>
      </c>
      <c r="F314" s="29" t="str">
        <f>IF(Analysis!$I314="","",IF(Analysis!$I314="Loyal but shallow",Analysis!$C314,""))</f>
        <v/>
      </c>
      <c r="G314" s="29" t="str">
        <f>IF(Analysis!$I314="","",IF(Analysis!$I314="Project-driven",Analysis!$C314,""))</f>
        <v/>
      </c>
      <c r="H314" s="29" t="str">
        <f>IF(Analysis!$I314="","",IF(Analysis!$I314="Drifting",Analysis!$C314,""))</f>
        <v/>
      </c>
      <c r="I314" s="29" t="str">
        <f>IF(Analysis!$I314="","",IF(Analysis!$I314="Embedded",Analysis!$F314,""))</f>
        <v/>
      </c>
      <c r="J314" s="29" t="str">
        <f>IF(Analysis!$I314="","",IF(Analysis!$I314="Loyal but shallow",Analysis!$F314,""))</f>
        <v/>
      </c>
      <c r="K314" s="29" t="str">
        <f>IF(Analysis!$I314="","",IF(Analysis!$I314="Project-driven",Analysis!$F314,""))</f>
        <v/>
      </c>
      <c r="L314" s="29" t="str">
        <f>IF(Analysis!$I314="","",IF(Analysis!$I314="Drifting",Analysis!$F314,""))</f>
        <v/>
      </c>
      <c r="M314" s="29" t="str">
        <f>IF(Analysis!$I314="","",IF(Analysis!$I314="Embedded",Analysis!$H314,""))</f>
        <v/>
      </c>
      <c r="N314" s="29" t="str">
        <f>IF(Analysis!$I314="","",IF(Analysis!$I314="Loyal but shallow",Analysis!$H314,""))</f>
        <v/>
      </c>
      <c r="O314" s="29" t="str">
        <f>IF(Analysis!$I314="","",IF(Analysis!$I314="Project-driven",Analysis!$H314,""))</f>
        <v/>
      </c>
      <c r="P314" s="29" t="str">
        <f>IF(Analysis!$I314="","",IF(Analysis!$I314="Drifting",Analysis!$H314,""))</f>
        <v/>
      </c>
    </row>
    <row r="315" spans="1:16" x14ac:dyDescent="0.25">
      <c r="A315" s="29" t="str">
        <f>IF(Analysis!$I315="","",IF(Analysis!$I315="Embedded",Analysis!$D315,""))</f>
        <v/>
      </c>
      <c r="B315" s="29" t="str">
        <f>IF(Analysis!$I315="","",IF(Analysis!$I315="Loyal but shallow",Analysis!$D315,""))</f>
        <v/>
      </c>
      <c r="C315" s="29" t="str">
        <f>IF(Analysis!$I315="","",IF(Analysis!$I315="Project-driven",Analysis!$D315,""))</f>
        <v/>
      </c>
      <c r="D315" s="29" t="str">
        <f>IF(Analysis!$I315="","",IF(Analysis!$I315="Drifting",Analysis!$D315,""))</f>
        <v/>
      </c>
      <c r="E315" s="29" t="str">
        <f>IF(Analysis!$I315="","",IF(Analysis!$I315="Embedded",Analysis!$C315,""))</f>
        <v/>
      </c>
      <c r="F315" s="29" t="str">
        <f>IF(Analysis!$I315="","",IF(Analysis!$I315="Loyal but shallow",Analysis!$C315,""))</f>
        <v/>
      </c>
      <c r="G315" s="29" t="str">
        <f>IF(Analysis!$I315="","",IF(Analysis!$I315="Project-driven",Analysis!$C315,""))</f>
        <v/>
      </c>
      <c r="H315" s="29" t="str">
        <f>IF(Analysis!$I315="","",IF(Analysis!$I315="Drifting",Analysis!$C315,""))</f>
        <v/>
      </c>
      <c r="I315" s="29" t="str">
        <f>IF(Analysis!$I315="","",IF(Analysis!$I315="Embedded",Analysis!$F315,""))</f>
        <v/>
      </c>
      <c r="J315" s="29" t="str">
        <f>IF(Analysis!$I315="","",IF(Analysis!$I315="Loyal but shallow",Analysis!$F315,""))</f>
        <v/>
      </c>
      <c r="K315" s="29" t="str">
        <f>IF(Analysis!$I315="","",IF(Analysis!$I315="Project-driven",Analysis!$F315,""))</f>
        <v/>
      </c>
      <c r="L315" s="29" t="str">
        <f>IF(Analysis!$I315="","",IF(Analysis!$I315="Drifting",Analysis!$F315,""))</f>
        <v/>
      </c>
      <c r="M315" s="29" t="str">
        <f>IF(Analysis!$I315="","",IF(Analysis!$I315="Embedded",Analysis!$H315,""))</f>
        <v/>
      </c>
      <c r="N315" s="29" t="str">
        <f>IF(Analysis!$I315="","",IF(Analysis!$I315="Loyal but shallow",Analysis!$H315,""))</f>
        <v/>
      </c>
      <c r="O315" s="29" t="str">
        <f>IF(Analysis!$I315="","",IF(Analysis!$I315="Project-driven",Analysis!$H315,""))</f>
        <v/>
      </c>
      <c r="P315" s="29" t="str">
        <f>IF(Analysis!$I315="","",IF(Analysis!$I315="Drifting",Analysis!$H315,""))</f>
        <v/>
      </c>
    </row>
    <row r="316" spans="1:16" x14ac:dyDescent="0.25">
      <c r="A316" s="29" t="str">
        <f>IF(Analysis!$I316="","",IF(Analysis!$I316="Embedded",Analysis!$D316,""))</f>
        <v/>
      </c>
      <c r="B316" s="29" t="str">
        <f>IF(Analysis!$I316="","",IF(Analysis!$I316="Loyal but shallow",Analysis!$D316,""))</f>
        <v/>
      </c>
      <c r="C316" s="29" t="str">
        <f>IF(Analysis!$I316="","",IF(Analysis!$I316="Project-driven",Analysis!$D316,""))</f>
        <v/>
      </c>
      <c r="D316" s="29" t="str">
        <f>IF(Analysis!$I316="","",IF(Analysis!$I316="Drifting",Analysis!$D316,""))</f>
        <v/>
      </c>
      <c r="E316" s="29" t="str">
        <f>IF(Analysis!$I316="","",IF(Analysis!$I316="Embedded",Analysis!$C316,""))</f>
        <v/>
      </c>
      <c r="F316" s="29" t="str">
        <f>IF(Analysis!$I316="","",IF(Analysis!$I316="Loyal but shallow",Analysis!$C316,""))</f>
        <v/>
      </c>
      <c r="G316" s="29" t="str">
        <f>IF(Analysis!$I316="","",IF(Analysis!$I316="Project-driven",Analysis!$C316,""))</f>
        <v/>
      </c>
      <c r="H316" s="29" t="str">
        <f>IF(Analysis!$I316="","",IF(Analysis!$I316="Drifting",Analysis!$C316,""))</f>
        <v/>
      </c>
      <c r="I316" s="29" t="str">
        <f>IF(Analysis!$I316="","",IF(Analysis!$I316="Embedded",Analysis!$F316,""))</f>
        <v/>
      </c>
      <c r="J316" s="29" t="str">
        <f>IF(Analysis!$I316="","",IF(Analysis!$I316="Loyal but shallow",Analysis!$F316,""))</f>
        <v/>
      </c>
      <c r="K316" s="29" t="str">
        <f>IF(Analysis!$I316="","",IF(Analysis!$I316="Project-driven",Analysis!$F316,""))</f>
        <v/>
      </c>
      <c r="L316" s="29" t="str">
        <f>IF(Analysis!$I316="","",IF(Analysis!$I316="Drifting",Analysis!$F316,""))</f>
        <v/>
      </c>
      <c r="M316" s="29" t="str">
        <f>IF(Analysis!$I316="","",IF(Analysis!$I316="Embedded",Analysis!$H316,""))</f>
        <v/>
      </c>
      <c r="N316" s="29" t="str">
        <f>IF(Analysis!$I316="","",IF(Analysis!$I316="Loyal but shallow",Analysis!$H316,""))</f>
        <v/>
      </c>
      <c r="O316" s="29" t="str">
        <f>IF(Analysis!$I316="","",IF(Analysis!$I316="Project-driven",Analysis!$H316,""))</f>
        <v/>
      </c>
      <c r="P316" s="29" t="str">
        <f>IF(Analysis!$I316="","",IF(Analysis!$I316="Drifting",Analysis!$H316,""))</f>
        <v/>
      </c>
    </row>
    <row r="317" spans="1:16" x14ac:dyDescent="0.25">
      <c r="A317" s="29" t="str">
        <f>IF(Analysis!$I317="","",IF(Analysis!$I317="Embedded",Analysis!$D317,""))</f>
        <v/>
      </c>
      <c r="B317" s="29" t="str">
        <f>IF(Analysis!$I317="","",IF(Analysis!$I317="Loyal but shallow",Analysis!$D317,""))</f>
        <v/>
      </c>
      <c r="C317" s="29" t="str">
        <f>IF(Analysis!$I317="","",IF(Analysis!$I317="Project-driven",Analysis!$D317,""))</f>
        <v/>
      </c>
      <c r="D317" s="29" t="str">
        <f>IF(Analysis!$I317="","",IF(Analysis!$I317="Drifting",Analysis!$D317,""))</f>
        <v/>
      </c>
      <c r="E317" s="29" t="str">
        <f>IF(Analysis!$I317="","",IF(Analysis!$I317="Embedded",Analysis!$C317,""))</f>
        <v/>
      </c>
      <c r="F317" s="29" t="str">
        <f>IF(Analysis!$I317="","",IF(Analysis!$I317="Loyal but shallow",Analysis!$C317,""))</f>
        <v/>
      </c>
      <c r="G317" s="29" t="str">
        <f>IF(Analysis!$I317="","",IF(Analysis!$I317="Project-driven",Analysis!$C317,""))</f>
        <v/>
      </c>
      <c r="H317" s="29" t="str">
        <f>IF(Analysis!$I317="","",IF(Analysis!$I317="Drifting",Analysis!$C317,""))</f>
        <v/>
      </c>
      <c r="I317" s="29" t="str">
        <f>IF(Analysis!$I317="","",IF(Analysis!$I317="Embedded",Analysis!$F317,""))</f>
        <v/>
      </c>
      <c r="J317" s="29" t="str">
        <f>IF(Analysis!$I317="","",IF(Analysis!$I317="Loyal but shallow",Analysis!$F317,""))</f>
        <v/>
      </c>
      <c r="K317" s="29" t="str">
        <f>IF(Analysis!$I317="","",IF(Analysis!$I317="Project-driven",Analysis!$F317,""))</f>
        <v/>
      </c>
      <c r="L317" s="29" t="str">
        <f>IF(Analysis!$I317="","",IF(Analysis!$I317="Drifting",Analysis!$F317,""))</f>
        <v/>
      </c>
      <c r="M317" s="29" t="str">
        <f>IF(Analysis!$I317="","",IF(Analysis!$I317="Embedded",Analysis!$H317,""))</f>
        <v/>
      </c>
      <c r="N317" s="29" t="str">
        <f>IF(Analysis!$I317="","",IF(Analysis!$I317="Loyal but shallow",Analysis!$H317,""))</f>
        <v/>
      </c>
      <c r="O317" s="29" t="str">
        <f>IF(Analysis!$I317="","",IF(Analysis!$I317="Project-driven",Analysis!$H317,""))</f>
        <v/>
      </c>
      <c r="P317" s="29" t="str">
        <f>IF(Analysis!$I317="","",IF(Analysis!$I317="Drifting",Analysis!$H317,""))</f>
        <v/>
      </c>
    </row>
    <row r="318" spans="1:16" x14ac:dyDescent="0.25">
      <c r="A318" s="29" t="str">
        <f>IF(Analysis!$I318="","",IF(Analysis!$I318="Embedded",Analysis!$D318,""))</f>
        <v/>
      </c>
      <c r="B318" s="29" t="str">
        <f>IF(Analysis!$I318="","",IF(Analysis!$I318="Loyal but shallow",Analysis!$D318,""))</f>
        <v/>
      </c>
      <c r="C318" s="29" t="str">
        <f>IF(Analysis!$I318="","",IF(Analysis!$I318="Project-driven",Analysis!$D318,""))</f>
        <v/>
      </c>
      <c r="D318" s="29" t="str">
        <f>IF(Analysis!$I318="","",IF(Analysis!$I318="Drifting",Analysis!$D318,""))</f>
        <v/>
      </c>
      <c r="E318" s="29" t="str">
        <f>IF(Analysis!$I318="","",IF(Analysis!$I318="Embedded",Analysis!$C318,""))</f>
        <v/>
      </c>
      <c r="F318" s="29" t="str">
        <f>IF(Analysis!$I318="","",IF(Analysis!$I318="Loyal but shallow",Analysis!$C318,""))</f>
        <v/>
      </c>
      <c r="G318" s="29" t="str">
        <f>IF(Analysis!$I318="","",IF(Analysis!$I318="Project-driven",Analysis!$C318,""))</f>
        <v/>
      </c>
      <c r="H318" s="29" t="str">
        <f>IF(Analysis!$I318="","",IF(Analysis!$I318="Drifting",Analysis!$C318,""))</f>
        <v/>
      </c>
      <c r="I318" s="29" t="str">
        <f>IF(Analysis!$I318="","",IF(Analysis!$I318="Embedded",Analysis!$F318,""))</f>
        <v/>
      </c>
      <c r="J318" s="29" t="str">
        <f>IF(Analysis!$I318="","",IF(Analysis!$I318="Loyal but shallow",Analysis!$F318,""))</f>
        <v/>
      </c>
      <c r="K318" s="29" t="str">
        <f>IF(Analysis!$I318="","",IF(Analysis!$I318="Project-driven",Analysis!$F318,""))</f>
        <v/>
      </c>
      <c r="L318" s="29" t="str">
        <f>IF(Analysis!$I318="","",IF(Analysis!$I318="Drifting",Analysis!$F318,""))</f>
        <v/>
      </c>
      <c r="M318" s="29" t="str">
        <f>IF(Analysis!$I318="","",IF(Analysis!$I318="Embedded",Analysis!$H318,""))</f>
        <v/>
      </c>
      <c r="N318" s="29" t="str">
        <f>IF(Analysis!$I318="","",IF(Analysis!$I318="Loyal but shallow",Analysis!$H318,""))</f>
        <v/>
      </c>
      <c r="O318" s="29" t="str">
        <f>IF(Analysis!$I318="","",IF(Analysis!$I318="Project-driven",Analysis!$H318,""))</f>
        <v/>
      </c>
      <c r="P318" s="29" t="str">
        <f>IF(Analysis!$I318="","",IF(Analysis!$I318="Drifting",Analysis!$H318,""))</f>
        <v/>
      </c>
    </row>
    <row r="319" spans="1:16" x14ac:dyDescent="0.25">
      <c r="A319" s="29" t="str">
        <f>IF(Analysis!$I319="","",IF(Analysis!$I319="Embedded",Analysis!$D319,""))</f>
        <v/>
      </c>
      <c r="B319" s="29" t="str">
        <f>IF(Analysis!$I319="","",IF(Analysis!$I319="Loyal but shallow",Analysis!$D319,""))</f>
        <v/>
      </c>
      <c r="C319" s="29" t="str">
        <f>IF(Analysis!$I319="","",IF(Analysis!$I319="Project-driven",Analysis!$D319,""))</f>
        <v/>
      </c>
      <c r="D319" s="29" t="str">
        <f>IF(Analysis!$I319="","",IF(Analysis!$I319="Drifting",Analysis!$D319,""))</f>
        <v/>
      </c>
      <c r="E319" s="29" t="str">
        <f>IF(Analysis!$I319="","",IF(Analysis!$I319="Embedded",Analysis!$C319,""))</f>
        <v/>
      </c>
      <c r="F319" s="29" t="str">
        <f>IF(Analysis!$I319="","",IF(Analysis!$I319="Loyal but shallow",Analysis!$C319,""))</f>
        <v/>
      </c>
      <c r="G319" s="29" t="str">
        <f>IF(Analysis!$I319="","",IF(Analysis!$I319="Project-driven",Analysis!$C319,""))</f>
        <v/>
      </c>
      <c r="H319" s="29" t="str">
        <f>IF(Analysis!$I319="","",IF(Analysis!$I319="Drifting",Analysis!$C319,""))</f>
        <v/>
      </c>
      <c r="I319" s="29" t="str">
        <f>IF(Analysis!$I319="","",IF(Analysis!$I319="Embedded",Analysis!$F319,""))</f>
        <v/>
      </c>
      <c r="J319" s="29" t="str">
        <f>IF(Analysis!$I319="","",IF(Analysis!$I319="Loyal but shallow",Analysis!$F319,""))</f>
        <v/>
      </c>
      <c r="K319" s="29" t="str">
        <f>IF(Analysis!$I319="","",IF(Analysis!$I319="Project-driven",Analysis!$F319,""))</f>
        <v/>
      </c>
      <c r="L319" s="29" t="str">
        <f>IF(Analysis!$I319="","",IF(Analysis!$I319="Drifting",Analysis!$F319,""))</f>
        <v/>
      </c>
      <c r="M319" s="29" t="str">
        <f>IF(Analysis!$I319="","",IF(Analysis!$I319="Embedded",Analysis!$H319,""))</f>
        <v/>
      </c>
      <c r="N319" s="29" t="str">
        <f>IF(Analysis!$I319="","",IF(Analysis!$I319="Loyal but shallow",Analysis!$H319,""))</f>
        <v/>
      </c>
      <c r="O319" s="29" t="str">
        <f>IF(Analysis!$I319="","",IF(Analysis!$I319="Project-driven",Analysis!$H319,""))</f>
        <v/>
      </c>
      <c r="P319" s="29" t="str">
        <f>IF(Analysis!$I319="","",IF(Analysis!$I319="Drifting",Analysis!$H319,""))</f>
        <v/>
      </c>
    </row>
    <row r="320" spans="1:16" x14ac:dyDescent="0.25">
      <c r="A320" s="29" t="str">
        <f>IF(Analysis!$I320="","",IF(Analysis!$I320="Embedded",Analysis!$D320,""))</f>
        <v/>
      </c>
      <c r="B320" s="29" t="str">
        <f>IF(Analysis!$I320="","",IF(Analysis!$I320="Loyal but shallow",Analysis!$D320,""))</f>
        <v/>
      </c>
      <c r="C320" s="29" t="str">
        <f>IF(Analysis!$I320="","",IF(Analysis!$I320="Project-driven",Analysis!$D320,""))</f>
        <v/>
      </c>
      <c r="D320" s="29" t="str">
        <f>IF(Analysis!$I320="","",IF(Analysis!$I320="Drifting",Analysis!$D320,""))</f>
        <v/>
      </c>
      <c r="E320" s="29" t="str">
        <f>IF(Analysis!$I320="","",IF(Analysis!$I320="Embedded",Analysis!$C320,""))</f>
        <v/>
      </c>
      <c r="F320" s="29" t="str">
        <f>IF(Analysis!$I320="","",IF(Analysis!$I320="Loyal but shallow",Analysis!$C320,""))</f>
        <v/>
      </c>
      <c r="G320" s="29" t="str">
        <f>IF(Analysis!$I320="","",IF(Analysis!$I320="Project-driven",Analysis!$C320,""))</f>
        <v/>
      </c>
      <c r="H320" s="29" t="str">
        <f>IF(Analysis!$I320="","",IF(Analysis!$I320="Drifting",Analysis!$C320,""))</f>
        <v/>
      </c>
      <c r="I320" s="29" t="str">
        <f>IF(Analysis!$I320="","",IF(Analysis!$I320="Embedded",Analysis!$F320,""))</f>
        <v/>
      </c>
      <c r="J320" s="29" t="str">
        <f>IF(Analysis!$I320="","",IF(Analysis!$I320="Loyal but shallow",Analysis!$F320,""))</f>
        <v/>
      </c>
      <c r="K320" s="29" t="str">
        <f>IF(Analysis!$I320="","",IF(Analysis!$I320="Project-driven",Analysis!$F320,""))</f>
        <v/>
      </c>
      <c r="L320" s="29" t="str">
        <f>IF(Analysis!$I320="","",IF(Analysis!$I320="Drifting",Analysis!$F320,""))</f>
        <v/>
      </c>
      <c r="M320" s="29" t="str">
        <f>IF(Analysis!$I320="","",IF(Analysis!$I320="Embedded",Analysis!$H320,""))</f>
        <v/>
      </c>
      <c r="N320" s="29" t="str">
        <f>IF(Analysis!$I320="","",IF(Analysis!$I320="Loyal but shallow",Analysis!$H320,""))</f>
        <v/>
      </c>
      <c r="O320" s="29" t="str">
        <f>IF(Analysis!$I320="","",IF(Analysis!$I320="Project-driven",Analysis!$H320,""))</f>
        <v/>
      </c>
      <c r="P320" s="29" t="str">
        <f>IF(Analysis!$I320="","",IF(Analysis!$I320="Drifting",Analysis!$H320,""))</f>
        <v/>
      </c>
    </row>
    <row r="321" spans="1:16" x14ac:dyDescent="0.25">
      <c r="A321" s="29" t="str">
        <f>IF(Analysis!$I321="","",IF(Analysis!$I321="Embedded",Analysis!$D321,""))</f>
        <v/>
      </c>
      <c r="B321" s="29" t="str">
        <f>IF(Analysis!$I321="","",IF(Analysis!$I321="Loyal but shallow",Analysis!$D321,""))</f>
        <v/>
      </c>
      <c r="C321" s="29" t="str">
        <f>IF(Analysis!$I321="","",IF(Analysis!$I321="Project-driven",Analysis!$D321,""))</f>
        <v/>
      </c>
      <c r="D321" s="29" t="str">
        <f>IF(Analysis!$I321="","",IF(Analysis!$I321="Drifting",Analysis!$D321,""))</f>
        <v/>
      </c>
      <c r="E321" s="29" t="str">
        <f>IF(Analysis!$I321="","",IF(Analysis!$I321="Embedded",Analysis!$C321,""))</f>
        <v/>
      </c>
      <c r="F321" s="29" t="str">
        <f>IF(Analysis!$I321="","",IF(Analysis!$I321="Loyal but shallow",Analysis!$C321,""))</f>
        <v/>
      </c>
      <c r="G321" s="29" t="str">
        <f>IF(Analysis!$I321="","",IF(Analysis!$I321="Project-driven",Analysis!$C321,""))</f>
        <v/>
      </c>
      <c r="H321" s="29" t="str">
        <f>IF(Analysis!$I321="","",IF(Analysis!$I321="Drifting",Analysis!$C321,""))</f>
        <v/>
      </c>
      <c r="I321" s="29" t="str">
        <f>IF(Analysis!$I321="","",IF(Analysis!$I321="Embedded",Analysis!$F321,""))</f>
        <v/>
      </c>
      <c r="J321" s="29" t="str">
        <f>IF(Analysis!$I321="","",IF(Analysis!$I321="Loyal but shallow",Analysis!$F321,""))</f>
        <v/>
      </c>
      <c r="K321" s="29" t="str">
        <f>IF(Analysis!$I321="","",IF(Analysis!$I321="Project-driven",Analysis!$F321,""))</f>
        <v/>
      </c>
      <c r="L321" s="29" t="str">
        <f>IF(Analysis!$I321="","",IF(Analysis!$I321="Drifting",Analysis!$F321,""))</f>
        <v/>
      </c>
      <c r="M321" s="29" t="str">
        <f>IF(Analysis!$I321="","",IF(Analysis!$I321="Embedded",Analysis!$H321,""))</f>
        <v/>
      </c>
      <c r="N321" s="29" t="str">
        <f>IF(Analysis!$I321="","",IF(Analysis!$I321="Loyal but shallow",Analysis!$H321,""))</f>
        <v/>
      </c>
      <c r="O321" s="29" t="str">
        <f>IF(Analysis!$I321="","",IF(Analysis!$I321="Project-driven",Analysis!$H321,""))</f>
        <v/>
      </c>
      <c r="P321" s="29" t="str">
        <f>IF(Analysis!$I321="","",IF(Analysis!$I321="Drifting",Analysis!$H321,""))</f>
        <v/>
      </c>
    </row>
    <row r="322" spans="1:16" x14ac:dyDescent="0.25">
      <c r="A322" s="29" t="str">
        <f>IF(Analysis!$I322="","",IF(Analysis!$I322="Embedded",Analysis!$D322,""))</f>
        <v/>
      </c>
      <c r="B322" s="29" t="str">
        <f>IF(Analysis!$I322="","",IF(Analysis!$I322="Loyal but shallow",Analysis!$D322,""))</f>
        <v/>
      </c>
      <c r="C322" s="29" t="str">
        <f>IF(Analysis!$I322="","",IF(Analysis!$I322="Project-driven",Analysis!$D322,""))</f>
        <v/>
      </c>
      <c r="D322" s="29" t="str">
        <f>IF(Analysis!$I322="","",IF(Analysis!$I322="Drifting",Analysis!$D322,""))</f>
        <v/>
      </c>
      <c r="E322" s="29" t="str">
        <f>IF(Analysis!$I322="","",IF(Analysis!$I322="Embedded",Analysis!$C322,""))</f>
        <v/>
      </c>
      <c r="F322" s="29" t="str">
        <f>IF(Analysis!$I322="","",IF(Analysis!$I322="Loyal but shallow",Analysis!$C322,""))</f>
        <v/>
      </c>
      <c r="G322" s="29" t="str">
        <f>IF(Analysis!$I322="","",IF(Analysis!$I322="Project-driven",Analysis!$C322,""))</f>
        <v/>
      </c>
      <c r="H322" s="29" t="str">
        <f>IF(Analysis!$I322="","",IF(Analysis!$I322="Drifting",Analysis!$C322,""))</f>
        <v/>
      </c>
      <c r="I322" s="29" t="str">
        <f>IF(Analysis!$I322="","",IF(Analysis!$I322="Embedded",Analysis!$F322,""))</f>
        <v/>
      </c>
      <c r="J322" s="29" t="str">
        <f>IF(Analysis!$I322="","",IF(Analysis!$I322="Loyal but shallow",Analysis!$F322,""))</f>
        <v/>
      </c>
      <c r="K322" s="29" t="str">
        <f>IF(Analysis!$I322="","",IF(Analysis!$I322="Project-driven",Analysis!$F322,""))</f>
        <v/>
      </c>
      <c r="L322" s="29" t="str">
        <f>IF(Analysis!$I322="","",IF(Analysis!$I322="Drifting",Analysis!$F322,""))</f>
        <v/>
      </c>
      <c r="M322" s="29" t="str">
        <f>IF(Analysis!$I322="","",IF(Analysis!$I322="Embedded",Analysis!$H322,""))</f>
        <v/>
      </c>
      <c r="N322" s="29" t="str">
        <f>IF(Analysis!$I322="","",IF(Analysis!$I322="Loyal but shallow",Analysis!$H322,""))</f>
        <v/>
      </c>
      <c r="O322" s="29" t="str">
        <f>IF(Analysis!$I322="","",IF(Analysis!$I322="Project-driven",Analysis!$H322,""))</f>
        <v/>
      </c>
      <c r="P322" s="29" t="str">
        <f>IF(Analysis!$I322="","",IF(Analysis!$I322="Drifting",Analysis!$H322,""))</f>
        <v/>
      </c>
    </row>
    <row r="323" spans="1:16" x14ac:dyDescent="0.25">
      <c r="A323" s="29" t="str">
        <f>IF(Analysis!$I323="","",IF(Analysis!$I323="Embedded",Analysis!$D323,""))</f>
        <v/>
      </c>
      <c r="B323" s="29" t="str">
        <f>IF(Analysis!$I323="","",IF(Analysis!$I323="Loyal but shallow",Analysis!$D323,""))</f>
        <v/>
      </c>
      <c r="C323" s="29" t="str">
        <f>IF(Analysis!$I323="","",IF(Analysis!$I323="Project-driven",Analysis!$D323,""))</f>
        <v/>
      </c>
      <c r="D323" s="29" t="str">
        <f>IF(Analysis!$I323="","",IF(Analysis!$I323="Drifting",Analysis!$D323,""))</f>
        <v/>
      </c>
      <c r="E323" s="29" t="str">
        <f>IF(Analysis!$I323="","",IF(Analysis!$I323="Embedded",Analysis!$C323,""))</f>
        <v/>
      </c>
      <c r="F323" s="29" t="str">
        <f>IF(Analysis!$I323="","",IF(Analysis!$I323="Loyal but shallow",Analysis!$C323,""))</f>
        <v/>
      </c>
      <c r="G323" s="29" t="str">
        <f>IF(Analysis!$I323="","",IF(Analysis!$I323="Project-driven",Analysis!$C323,""))</f>
        <v/>
      </c>
      <c r="H323" s="29" t="str">
        <f>IF(Analysis!$I323="","",IF(Analysis!$I323="Drifting",Analysis!$C323,""))</f>
        <v/>
      </c>
      <c r="I323" s="29" t="str">
        <f>IF(Analysis!$I323="","",IF(Analysis!$I323="Embedded",Analysis!$F323,""))</f>
        <v/>
      </c>
      <c r="J323" s="29" t="str">
        <f>IF(Analysis!$I323="","",IF(Analysis!$I323="Loyal but shallow",Analysis!$F323,""))</f>
        <v/>
      </c>
      <c r="K323" s="29" t="str">
        <f>IF(Analysis!$I323="","",IF(Analysis!$I323="Project-driven",Analysis!$F323,""))</f>
        <v/>
      </c>
      <c r="L323" s="29" t="str">
        <f>IF(Analysis!$I323="","",IF(Analysis!$I323="Drifting",Analysis!$F323,""))</f>
        <v/>
      </c>
      <c r="M323" s="29" t="str">
        <f>IF(Analysis!$I323="","",IF(Analysis!$I323="Embedded",Analysis!$H323,""))</f>
        <v/>
      </c>
      <c r="N323" s="29" t="str">
        <f>IF(Analysis!$I323="","",IF(Analysis!$I323="Loyal but shallow",Analysis!$H323,""))</f>
        <v/>
      </c>
      <c r="O323" s="29" t="str">
        <f>IF(Analysis!$I323="","",IF(Analysis!$I323="Project-driven",Analysis!$H323,""))</f>
        <v/>
      </c>
      <c r="P323" s="29" t="str">
        <f>IF(Analysis!$I323="","",IF(Analysis!$I323="Drifting",Analysis!$H323,""))</f>
        <v/>
      </c>
    </row>
    <row r="324" spans="1:16" x14ac:dyDescent="0.25">
      <c r="A324" s="29" t="str">
        <f>IF(Analysis!$I324="","",IF(Analysis!$I324="Embedded",Analysis!$D324,""))</f>
        <v/>
      </c>
      <c r="B324" s="29" t="str">
        <f>IF(Analysis!$I324="","",IF(Analysis!$I324="Loyal but shallow",Analysis!$D324,""))</f>
        <v/>
      </c>
      <c r="C324" s="29" t="str">
        <f>IF(Analysis!$I324="","",IF(Analysis!$I324="Project-driven",Analysis!$D324,""))</f>
        <v/>
      </c>
      <c r="D324" s="29" t="str">
        <f>IF(Analysis!$I324="","",IF(Analysis!$I324="Drifting",Analysis!$D324,""))</f>
        <v/>
      </c>
      <c r="E324" s="29" t="str">
        <f>IF(Analysis!$I324="","",IF(Analysis!$I324="Embedded",Analysis!$C324,""))</f>
        <v/>
      </c>
      <c r="F324" s="29" t="str">
        <f>IF(Analysis!$I324="","",IF(Analysis!$I324="Loyal but shallow",Analysis!$C324,""))</f>
        <v/>
      </c>
      <c r="G324" s="29" t="str">
        <f>IF(Analysis!$I324="","",IF(Analysis!$I324="Project-driven",Analysis!$C324,""))</f>
        <v/>
      </c>
      <c r="H324" s="29" t="str">
        <f>IF(Analysis!$I324="","",IF(Analysis!$I324="Drifting",Analysis!$C324,""))</f>
        <v/>
      </c>
      <c r="I324" s="29" t="str">
        <f>IF(Analysis!$I324="","",IF(Analysis!$I324="Embedded",Analysis!$F324,""))</f>
        <v/>
      </c>
      <c r="J324" s="29" t="str">
        <f>IF(Analysis!$I324="","",IF(Analysis!$I324="Loyal but shallow",Analysis!$F324,""))</f>
        <v/>
      </c>
      <c r="K324" s="29" t="str">
        <f>IF(Analysis!$I324="","",IF(Analysis!$I324="Project-driven",Analysis!$F324,""))</f>
        <v/>
      </c>
      <c r="L324" s="29" t="str">
        <f>IF(Analysis!$I324="","",IF(Analysis!$I324="Drifting",Analysis!$F324,""))</f>
        <v/>
      </c>
      <c r="M324" s="29" t="str">
        <f>IF(Analysis!$I324="","",IF(Analysis!$I324="Embedded",Analysis!$H324,""))</f>
        <v/>
      </c>
      <c r="N324" s="29" t="str">
        <f>IF(Analysis!$I324="","",IF(Analysis!$I324="Loyal but shallow",Analysis!$H324,""))</f>
        <v/>
      </c>
      <c r="O324" s="29" t="str">
        <f>IF(Analysis!$I324="","",IF(Analysis!$I324="Project-driven",Analysis!$H324,""))</f>
        <v/>
      </c>
      <c r="P324" s="29" t="str">
        <f>IF(Analysis!$I324="","",IF(Analysis!$I324="Drifting",Analysis!$H324,""))</f>
        <v/>
      </c>
    </row>
    <row r="325" spans="1:16" x14ac:dyDescent="0.25">
      <c r="A325" s="29" t="str">
        <f>IF(Analysis!$I325="","",IF(Analysis!$I325="Embedded",Analysis!$D325,""))</f>
        <v/>
      </c>
      <c r="B325" s="29" t="str">
        <f>IF(Analysis!$I325="","",IF(Analysis!$I325="Loyal but shallow",Analysis!$D325,""))</f>
        <v/>
      </c>
      <c r="C325" s="29" t="str">
        <f>IF(Analysis!$I325="","",IF(Analysis!$I325="Project-driven",Analysis!$D325,""))</f>
        <v/>
      </c>
      <c r="D325" s="29" t="str">
        <f>IF(Analysis!$I325="","",IF(Analysis!$I325="Drifting",Analysis!$D325,""))</f>
        <v/>
      </c>
      <c r="E325" s="29" t="str">
        <f>IF(Analysis!$I325="","",IF(Analysis!$I325="Embedded",Analysis!$C325,""))</f>
        <v/>
      </c>
      <c r="F325" s="29" t="str">
        <f>IF(Analysis!$I325="","",IF(Analysis!$I325="Loyal but shallow",Analysis!$C325,""))</f>
        <v/>
      </c>
      <c r="G325" s="29" t="str">
        <f>IF(Analysis!$I325="","",IF(Analysis!$I325="Project-driven",Analysis!$C325,""))</f>
        <v/>
      </c>
      <c r="H325" s="29" t="str">
        <f>IF(Analysis!$I325="","",IF(Analysis!$I325="Drifting",Analysis!$C325,""))</f>
        <v/>
      </c>
      <c r="I325" s="29" t="str">
        <f>IF(Analysis!$I325="","",IF(Analysis!$I325="Embedded",Analysis!$F325,""))</f>
        <v/>
      </c>
      <c r="J325" s="29" t="str">
        <f>IF(Analysis!$I325="","",IF(Analysis!$I325="Loyal but shallow",Analysis!$F325,""))</f>
        <v/>
      </c>
      <c r="K325" s="29" t="str">
        <f>IF(Analysis!$I325="","",IF(Analysis!$I325="Project-driven",Analysis!$F325,""))</f>
        <v/>
      </c>
      <c r="L325" s="29" t="str">
        <f>IF(Analysis!$I325="","",IF(Analysis!$I325="Drifting",Analysis!$F325,""))</f>
        <v/>
      </c>
      <c r="M325" s="29" t="str">
        <f>IF(Analysis!$I325="","",IF(Analysis!$I325="Embedded",Analysis!$H325,""))</f>
        <v/>
      </c>
      <c r="N325" s="29" t="str">
        <f>IF(Analysis!$I325="","",IF(Analysis!$I325="Loyal but shallow",Analysis!$H325,""))</f>
        <v/>
      </c>
      <c r="O325" s="29" t="str">
        <f>IF(Analysis!$I325="","",IF(Analysis!$I325="Project-driven",Analysis!$H325,""))</f>
        <v/>
      </c>
      <c r="P325" s="29" t="str">
        <f>IF(Analysis!$I325="","",IF(Analysis!$I325="Drifting",Analysis!$H325,""))</f>
        <v/>
      </c>
    </row>
    <row r="326" spans="1:16" x14ac:dyDescent="0.25">
      <c r="A326" s="29" t="str">
        <f>IF(Analysis!$I326="","",IF(Analysis!$I326="Embedded",Analysis!$D326,""))</f>
        <v/>
      </c>
      <c r="B326" s="29" t="str">
        <f>IF(Analysis!$I326="","",IF(Analysis!$I326="Loyal but shallow",Analysis!$D326,""))</f>
        <v/>
      </c>
      <c r="C326" s="29" t="str">
        <f>IF(Analysis!$I326="","",IF(Analysis!$I326="Project-driven",Analysis!$D326,""))</f>
        <v/>
      </c>
      <c r="D326" s="29" t="str">
        <f>IF(Analysis!$I326="","",IF(Analysis!$I326="Drifting",Analysis!$D326,""))</f>
        <v/>
      </c>
      <c r="E326" s="29" t="str">
        <f>IF(Analysis!$I326="","",IF(Analysis!$I326="Embedded",Analysis!$C326,""))</f>
        <v/>
      </c>
      <c r="F326" s="29" t="str">
        <f>IF(Analysis!$I326="","",IF(Analysis!$I326="Loyal but shallow",Analysis!$C326,""))</f>
        <v/>
      </c>
      <c r="G326" s="29" t="str">
        <f>IF(Analysis!$I326="","",IF(Analysis!$I326="Project-driven",Analysis!$C326,""))</f>
        <v/>
      </c>
      <c r="H326" s="29" t="str">
        <f>IF(Analysis!$I326="","",IF(Analysis!$I326="Drifting",Analysis!$C326,""))</f>
        <v/>
      </c>
      <c r="I326" s="29" t="str">
        <f>IF(Analysis!$I326="","",IF(Analysis!$I326="Embedded",Analysis!$F326,""))</f>
        <v/>
      </c>
      <c r="J326" s="29" t="str">
        <f>IF(Analysis!$I326="","",IF(Analysis!$I326="Loyal but shallow",Analysis!$F326,""))</f>
        <v/>
      </c>
      <c r="K326" s="29" t="str">
        <f>IF(Analysis!$I326="","",IF(Analysis!$I326="Project-driven",Analysis!$F326,""))</f>
        <v/>
      </c>
      <c r="L326" s="29" t="str">
        <f>IF(Analysis!$I326="","",IF(Analysis!$I326="Drifting",Analysis!$F326,""))</f>
        <v/>
      </c>
      <c r="M326" s="29" t="str">
        <f>IF(Analysis!$I326="","",IF(Analysis!$I326="Embedded",Analysis!$H326,""))</f>
        <v/>
      </c>
      <c r="N326" s="29" t="str">
        <f>IF(Analysis!$I326="","",IF(Analysis!$I326="Loyal but shallow",Analysis!$H326,""))</f>
        <v/>
      </c>
      <c r="O326" s="29" t="str">
        <f>IF(Analysis!$I326="","",IF(Analysis!$I326="Project-driven",Analysis!$H326,""))</f>
        <v/>
      </c>
      <c r="P326" s="29" t="str">
        <f>IF(Analysis!$I326="","",IF(Analysis!$I326="Drifting",Analysis!$H326,""))</f>
        <v/>
      </c>
    </row>
    <row r="327" spans="1:16" x14ac:dyDescent="0.25">
      <c r="A327" s="29" t="str">
        <f>IF(Analysis!$I327="","",IF(Analysis!$I327="Embedded",Analysis!$D327,""))</f>
        <v/>
      </c>
      <c r="B327" s="29" t="str">
        <f>IF(Analysis!$I327="","",IF(Analysis!$I327="Loyal but shallow",Analysis!$D327,""))</f>
        <v/>
      </c>
      <c r="C327" s="29" t="str">
        <f>IF(Analysis!$I327="","",IF(Analysis!$I327="Project-driven",Analysis!$D327,""))</f>
        <v/>
      </c>
      <c r="D327" s="29" t="str">
        <f>IF(Analysis!$I327="","",IF(Analysis!$I327="Drifting",Analysis!$D327,""))</f>
        <v/>
      </c>
      <c r="E327" s="29" t="str">
        <f>IF(Analysis!$I327="","",IF(Analysis!$I327="Embedded",Analysis!$C327,""))</f>
        <v/>
      </c>
      <c r="F327" s="29" t="str">
        <f>IF(Analysis!$I327="","",IF(Analysis!$I327="Loyal but shallow",Analysis!$C327,""))</f>
        <v/>
      </c>
      <c r="G327" s="29" t="str">
        <f>IF(Analysis!$I327="","",IF(Analysis!$I327="Project-driven",Analysis!$C327,""))</f>
        <v/>
      </c>
      <c r="H327" s="29" t="str">
        <f>IF(Analysis!$I327="","",IF(Analysis!$I327="Drifting",Analysis!$C327,""))</f>
        <v/>
      </c>
      <c r="I327" s="29" t="str">
        <f>IF(Analysis!$I327="","",IF(Analysis!$I327="Embedded",Analysis!$F327,""))</f>
        <v/>
      </c>
      <c r="J327" s="29" t="str">
        <f>IF(Analysis!$I327="","",IF(Analysis!$I327="Loyal but shallow",Analysis!$F327,""))</f>
        <v/>
      </c>
      <c r="K327" s="29" t="str">
        <f>IF(Analysis!$I327="","",IF(Analysis!$I327="Project-driven",Analysis!$F327,""))</f>
        <v/>
      </c>
      <c r="L327" s="29" t="str">
        <f>IF(Analysis!$I327="","",IF(Analysis!$I327="Drifting",Analysis!$F327,""))</f>
        <v/>
      </c>
      <c r="M327" s="29" t="str">
        <f>IF(Analysis!$I327="","",IF(Analysis!$I327="Embedded",Analysis!$H327,""))</f>
        <v/>
      </c>
      <c r="N327" s="29" t="str">
        <f>IF(Analysis!$I327="","",IF(Analysis!$I327="Loyal but shallow",Analysis!$H327,""))</f>
        <v/>
      </c>
      <c r="O327" s="29" t="str">
        <f>IF(Analysis!$I327="","",IF(Analysis!$I327="Project-driven",Analysis!$H327,""))</f>
        <v/>
      </c>
      <c r="P327" s="29" t="str">
        <f>IF(Analysis!$I327="","",IF(Analysis!$I327="Drifting",Analysis!$H327,""))</f>
        <v/>
      </c>
    </row>
    <row r="328" spans="1:16" x14ac:dyDescent="0.25">
      <c r="A328" s="29" t="str">
        <f>IF(Analysis!$I328="","",IF(Analysis!$I328="Embedded",Analysis!$D328,""))</f>
        <v/>
      </c>
      <c r="B328" s="29" t="str">
        <f>IF(Analysis!$I328="","",IF(Analysis!$I328="Loyal but shallow",Analysis!$D328,""))</f>
        <v/>
      </c>
      <c r="C328" s="29" t="str">
        <f>IF(Analysis!$I328="","",IF(Analysis!$I328="Project-driven",Analysis!$D328,""))</f>
        <v/>
      </c>
      <c r="D328" s="29" t="str">
        <f>IF(Analysis!$I328="","",IF(Analysis!$I328="Drifting",Analysis!$D328,""))</f>
        <v/>
      </c>
      <c r="E328" s="29" t="str">
        <f>IF(Analysis!$I328="","",IF(Analysis!$I328="Embedded",Analysis!$C328,""))</f>
        <v/>
      </c>
      <c r="F328" s="29" t="str">
        <f>IF(Analysis!$I328="","",IF(Analysis!$I328="Loyal but shallow",Analysis!$C328,""))</f>
        <v/>
      </c>
      <c r="G328" s="29" t="str">
        <f>IF(Analysis!$I328="","",IF(Analysis!$I328="Project-driven",Analysis!$C328,""))</f>
        <v/>
      </c>
      <c r="H328" s="29" t="str">
        <f>IF(Analysis!$I328="","",IF(Analysis!$I328="Drifting",Analysis!$C328,""))</f>
        <v/>
      </c>
      <c r="I328" s="29" t="str">
        <f>IF(Analysis!$I328="","",IF(Analysis!$I328="Embedded",Analysis!$F328,""))</f>
        <v/>
      </c>
      <c r="J328" s="29" t="str">
        <f>IF(Analysis!$I328="","",IF(Analysis!$I328="Loyal but shallow",Analysis!$F328,""))</f>
        <v/>
      </c>
      <c r="K328" s="29" t="str">
        <f>IF(Analysis!$I328="","",IF(Analysis!$I328="Project-driven",Analysis!$F328,""))</f>
        <v/>
      </c>
      <c r="L328" s="29" t="str">
        <f>IF(Analysis!$I328="","",IF(Analysis!$I328="Drifting",Analysis!$F328,""))</f>
        <v/>
      </c>
      <c r="M328" s="29" t="str">
        <f>IF(Analysis!$I328="","",IF(Analysis!$I328="Embedded",Analysis!$H328,""))</f>
        <v/>
      </c>
      <c r="N328" s="29" t="str">
        <f>IF(Analysis!$I328="","",IF(Analysis!$I328="Loyal but shallow",Analysis!$H328,""))</f>
        <v/>
      </c>
      <c r="O328" s="29" t="str">
        <f>IF(Analysis!$I328="","",IF(Analysis!$I328="Project-driven",Analysis!$H328,""))</f>
        <v/>
      </c>
      <c r="P328" s="29" t="str">
        <f>IF(Analysis!$I328="","",IF(Analysis!$I328="Drifting",Analysis!$H328,""))</f>
        <v/>
      </c>
    </row>
    <row r="329" spans="1:16" x14ac:dyDescent="0.25">
      <c r="A329" s="29" t="str">
        <f>IF(Analysis!$I329="","",IF(Analysis!$I329="Embedded",Analysis!$D329,""))</f>
        <v/>
      </c>
      <c r="B329" s="29" t="str">
        <f>IF(Analysis!$I329="","",IF(Analysis!$I329="Loyal but shallow",Analysis!$D329,""))</f>
        <v/>
      </c>
      <c r="C329" s="29" t="str">
        <f>IF(Analysis!$I329="","",IF(Analysis!$I329="Project-driven",Analysis!$D329,""))</f>
        <v/>
      </c>
      <c r="D329" s="29" t="str">
        <f>IF(Analysis!$I329="","",IF(Analysis!$I329="Drifting",Analysis!$D329,""))</f>
        <v/>
      </c>
      <c r="E329" s="29" t="str">
        <f>IF(Analysis!$I329="","",IF(Analysis!$I329="Embedded",Analysis!$C329,""))</f>
        <v/>
      </c>
      <c r="F329" s="29" t="str">
        <f>IF(Analysis!$I329="","",IF(Analysis!$I329="Loyal but shallow",Analysis!$C329,""))</f>
        <v/>
      </c>
      <c r="G329" s="29" t="str">
        <f>IF(Analysis!$I329="","",IF(Analysis!$I329="Project-driven",Analysis!$C329,""))</f>
        <v/>
      </c>
      <c r="H329" s="29" t="str">
        <f>IF(Analysis!$I329="","",IF(Analysis!$I329="Drifting",Analysis!$C329,""))</f>
        <v/>
      </c>
      <c r="I329" s="29" t="str">
        <f>IF(Analysis!$I329="","",IF(Analysis!$I329="Embedded",Analysis!$F329,""))</f>
        <v/>
      </c>
      <c r="J329" s="29" t="str">
        <f>IF(Analysis!$I329="","",IF(Analysis!$I329="Loyal but shallow",Analysis!$F329,""))</f>
        <v/>
      </c>
      <c r="K329" s="29" t="str">
        <f>IF(Analysis!$I329="","",IF(Analysis!$I329="Project-driven",Analysis!$F329,""))</f>
        <v/>
      </c>
      <c r="L329" s="29" t="str">
        <f>IF(Analysis!$I329="","",IF(Analysis!$I329="Drifting",Analysis!$F329,""))</f>
        <v/>
      </c>
      <c r="M329" s="29" t="str">
        <f>IF(Analysis!$I329="","",IF(Analysis!$I329="Embedded",Analysis!$H329,""))</f>
        <v/>
      </c>
      <c r="N329" s="29" t="str">
        <f>IF(Analysis!$I329="","",IF(Analysis!$I329="Loyal but shallow",Analysis!$H329,""))</f>
        <v/>
      </c>
      <c r="O329" s="29" t="str">
        <f>IF(Analysis!$I329="","",IF(Analysis!$I329="Project-driven",Analysis!$H329,""))</f>
        <v/>
      </c>
      <c r="P329" s="29" t="str">
        <f>IF(Analysis!$I329="","",IF(Analysis!$I329="Drifting",Analysis!$H329,""))</f>
        <v/>
      </c>
    </row>
    <row r="330" spans="1:16" x14ac:dyDescent="0.25">
      <c r="A330" s="29" t="str">
        <f>IF(Analysis!$I330="","",IF(Analysis!$I330="Embedded",Analysis!$D330,""))</f>
        <v/>
      </c>
      <c r="B330" s="29" t="str">
        <f>IF(Analysis!$I330="","",IF(Analysis!$I330="Loyal but shallow",Analysis!$D330,""))</f>
        <v/>
      </c>
      <c r="C330" s="29" t="str">
        <f>IF(Analysis!$I330="","",IF(Analysis!$I330="Project-driven",Analysis!$D330,""))</f>
        <v/>
      </c>
      <c r="D330" s="29" t="str">
        <f>IF(Analysis!$I330="","",IF(Analysis!$I330="Drifting",Analysis!$D330,""))</f>
        <v/>
      </c>
      <c r="E330" s="29" t="str">
        <f>IF(Analysis!$I330="","",IF(Analysis!$I330="Embedded",Analysis!$C330,""))</f>
        <v/>
      </c>
      <c r="F330" s="29" t="str">
        <f>IF(Analysis!$I330="","",IF(Analysis!$I330="Loyal but shallow",Analysis!$C330,""))</f>
        <v/>
      </c>
      <c r="G330" s="29" t="str">
        <f>IF(Analysis!$I330="","",IF(Analysis!$I330="Project-driven",Analysis!$C330,""))</f>
        <v/>
      </c>
      <c r="H330" s="29" t="str">
        <f>IF(Analysis!$I330="","",IF(Analysis!$I330="Drifting",Analysis!$C330,""))</f>
        <v/>
      </c>
      <c r="I330" s="29" t="str">
        <f>IF(Analysis!$I330="","",IF(Analysis!$I330="Embedded",Analysis!$F330,""))</f>
        <v/>
      </c>
      <c r="J330" s="29" t="str">
        <f>IF(Analysis!$I330="","",IF(Analysis!$I330="Loyal but shallow",Analysis!$F330,""))</f>
        <v/>
      </c>
      <c r="K330" s="29" t="str">
        <f>IF(Analysis!$I330="","",IF(Analysis!$I330="Project-driven",Analysis!$F330,""))</f>
        <v/>
      </c>
      <c r="L330" s="29" t="str">
        <f>IF(Analysis!$I330="","",IF(Analysis!$I330="Drifting",Analysis!$F330,""))</f>
        <v/>
      </c>
      <c r="M330" s="29" t="str">
        <f>IF(Analysis!$I330="","",IF(Analysis!$I330="Embedded",Analysis!$H330,""))</f>
        <v/>
      </c>
      <c r="N330" s="29" t="str">
        <f>IF(Analysis!$I330="","",IF(Analysis!$I330="Loyal but shallow",Analysis!$H330,""))</f>
        <v/>
      </c>
      <c r="O330" s="29" t="str">
        <f>IF(Analysis!$I330="","",IF(Analysis!$I330="Project-driven",Analysis!$H330,""))</f>
        <v/>
      </c>
      <c r="P330" s="29" t="str">
        <f>IF(Analysis!$I330="","",IF(Analysis!$I330="Drifting",Analysis!$H330,""))</f>
        <v/>
      </c>
    </row>
    <row r="331" spans="1:16" x14ac:dyDescent="0.25">
      <c r="A331" s="29" t="str">
        <f>IF(Analysis!$I331="","",IF(Analysis!$I331="Embedded",Analysis!$D331,""))</f>
        <v/>
      </c>
      <c r="B331" s="29" t="str">
        <f>IF(Analysis!$I331="","",IF(Analysis!$I331="Loyal but shallow",Analysis!$D331,""))</f>
        <v/>
      </c>
      <c r="C331" s="29" t="str">
        <f>IF(Analysis!$I331="","",IF(Analysis!$I331="Project-driven",Analysis!$D331,""))</f>
        <v/>
      </c>
      <c r="D331" s="29" t="str">
        <f>IF(Analysis!$I331="","",IF(Analysis!$I331="Drifting",Analysis!$D331,""))</f>
        <v/>
      </c>
      <c r="E331" s="29" t="str">
        <f>IF(Analysis!$I331="","",IF(Analysis!$I331="Embedded",Analysis!$C331,""))</f>
        <v/>
      </c>
      <c r="F331" s="29" t="str">
        <f>IF(Analysis!$I331="","",IF(Analysis!$I331="Loyal but shallow",Analysis!$C331,""))</f>
        <v/>
      </c>
      <c r="G331" s="29" t="str">
        <f>IF(Analysis!$I331="","",IF(Analysis!$I331="Project-driven",Analysis!$C331,""))</f>
        <v/>
      </c>
      <c r="H331" s="29" t="str">
        <f>IF(Analysis!$I331="","",IF(Analysis!$I331="Drifting",Analysis!$C331,""))</f>
        <v/>
      </c>
      <c r="I331" s="29" t="str">
        <f>IF(Analysis!$I331="","",IF(Analysis!$I331="Embedded",Analysis!$F331,""))</f>
        <v/>
      </c>
      <c r="J331" s="29" t="str">
        <f>IF(Analysis!$I331="","",IF(Analysis!$I331="Loyal but shallow",Analysis!$F331,""))</f>
        <v/>
      </c>
      <c r="K331" s="29" t="str">
        <f>IF(Analysis!$I331="","",IF(Analysis!$I331="Project-driven",Analysis!$F331,""))</f>
        <v/>
      </c>
      <c r="L331" s="29" t="str">
        <f>IF(Analysis!$I331="","",IF(Analysis!$I331="Drifting",Analysis!$F331,""))</f>
        <v/>
      </c>
      <c r="M331" s="29" t="str">
        <f>IF(Analysis!$I331="","",IF(Analysis!$I331="Embedded",Analysis!$H331,""))</f>
        <v/>
      </c>
      <c r="N331" s="29" t="str">
        <f>IF(Analysis!$I331="","",IF(Analysis!$I331="Loyal but shallow",Analysis!$H331,""))</f>
        <v/>
      </c>
      <c r="O331" s="29" t="str">
        <f>IF(Analysis!$I331="","",IF(Analysis!$I331="Project-driven",Analysis!$H331,""))</f>
        <v/>
      </c>
      <c r="P331" s="29" t="str">
        <f>IF(Analysis!$I331="","",IF(Analysis!$I331="Drifting",Analysis!$H331,""))</f>
        <v/>
      </c>
    </row>
    <row r="332" spans="1:16" x14ac:dyDescent="0.25">
      <c r="A332" s="29" t="str">
        <f>IF(Analysis!$I332="","",IF(Analysis!$I332="Embedded",Analysis!$D332,""))</f>
        <v/>
      </c>
      <c r="B332" s="29" t="str">
        <f>IF(Analysis!$I332="","",IF(Analysis!$I332="Loyal but shallow",Analysis!$D332,""))</f>
        <v/>
      </c>
      <c r="C332" s="29" t="str">
        <f>IF(Analysis!$I332="","",IF(Analysis!$I332="Project-driven",Analysis!$D332,""))</f>
        <v/>
      </c>
      <c r="D332" s="29" t="str">
        <f>IF(Analysis!$I332="","",IF(Analysis!$I332="Drifting",Analysis!$D332,""))</f>
        <v/>
      </c>
      <c r="E332" s="29" t="str">
        <f>IF(Analysis!$I332="","",IF(Analysis!$I332="Embedded",Analysis!$C332,""))</f>
        <v/>
      </c>
      <c r="F332" s="29" t="str">
        <f>IF(Analysis!$I332="","",IF(Analysis!$I332="Loyal but shallow",Analysis!$C332,""))</f>
        <v/>
      </c>
      <c r="G332" s="29" t="str">
        <f>IF(Analysis!$I332="","",IF(Analysis!$I332="Project-driven",Analysis!$C332,""))</f>
        <v/>
      </c>
      <c r="H332" s="29" t="str">
        <f>IF(Analysis!$I332="","",IF(Analysis!$I332="Drifting",Analysis!$C332,""))</f>
        <v/>
      </c>
      <c r="I332" s="29" t="str">
        <f>IF(Analysis!$I332="","",IF(Analysis!$I332="Embedded",Analysis!$F332,""))</f>
        <v/>
      </c>
      <c r="J332" s="29" t="str">
        <f>IF(Analysis!$I332="","",IF(Analysis!$I332="Loyal but shallow",Analysis!$F332,""))</f>
        <v/>
      </c>
      <c r="K332" s="29" t="str">
        <f>IF(Analysis!$I332="","",IF(Analysis!$I332="Project-driven",Analysis!$F332,""))</f>
        <v/>
      </c>
      <c r="L332" s="29" t="str">
        <f>IF(Analysis!$I332="","",IF(Analysis!$I332="Drifting",Analysis!$F332,""))</f>
        <v/>
      </c>
      <c r="M332" s="29" t="str">
        <f>IF(Analysis!$I332="","",IF(Analysis!$I332="Embedded",Analysis!$H332,""))</f>
        <v/>
      </c>
      <c r="N332" s="29" t="str">
        <f>IF(Analysis!$I332="","",IF(Analysis!$I332="Loyal but shallow",Analysis!$H332,""))</f>
        <v/>
      </c>
      <c r="O332" s="29" t="str">
        <f>IF(Analysis!$I332="","",IF(Analysis!$I332="Project-driven",Analysis!$H332,""))</f>
        <v/>
      </c>
      <c r="P332" s="29" t="str">
        <f>IF(Analysis!$I332="","",IF(Analysis!$I332="Drifting",Analysis!$H332,""))</f>
        <v/>
      </c>
    </row>
    <row r="333" spans="1:16" x14ac:dyDescent="0.25">
      <c r="A333" s="29" t="str">
        <f>IF(Analysis!$I333="","",IF(Analysis!$I333="Embedded",Analysis!$D333,""))</f>
        <v/>
      </c>
      <c r="B333" s="29" t="str">
        <f>IF(Analysis!$I333="","",IF(Analysis!$I333="Loyal but shallow",Analysis!$D333,""))</f>
        <v/>
      </c>
      <c r="C333" s="29" t="str">
        <f>IF(Analysis!$I333="","",IF(Analysis!$I333="Project-driven",Analysis!$D333,""))</f>
        <v/>
      </c>
      <c r="D333" s="29" t="str">
        <f>IF(Analysis!$I333="","",IF(Analysis!$I333="Drifting",Analysis!$D333,""))</f>
        <v/>
      </c>
      <c r="E333" s="29" t="str">
        <f>IF(Analysis!$I333="","",IF(Analysis!$I333="Embedded",Analysis!$C333,""))</f>
        <v/>
      </c>
      <c r="F333" s="29" t="str">
        <f>IF(Analysis!$I333="","",IF(Analysis!$I333="Loyal but shallow",Analysis!$C333,""))</f>
        <v/>
      </c>
      <c r="G333" s="29" t="str">
        <f>IF(Analysis!$I333="","",IF(Analysis!$I333="Project-driven",Analysis!$C333,""))</f>
        <v/>
      </c>
      <c r="H333" s="29" t="str">
        <f>IF(Analysis!$I333="","",IF(Analysis!$I333="Drifting",Analysis!$C333,""))</f>
        <v/>
      </c>
      <c r="I333" s="29" t="str">
        <f>IF(Analysis!$I333="","",IF(Analysis!$I333="Embedded",Analysis!$F333,""))</f>
        <v/>
      </c>
      <c r="J333" s="29" t="str">
        <f>IF(Analysis!$I333="","",IF(Analysis!$I333="Loyal but shallow",Analysis!$F333,""))</f>
        <v/>
      </c>
      <c r="K333" s="29" t="str">
        <f>IF(Analysis!$I333="","",IF(Analysis!$I333="Project-driven",Analysis!$F333,""))</f>
        <v/>
      </c>
      <c r="L333" s="29" t="str">
        <f>IF(Analysis!$I333="","",IF(Analysis!$I333="Drifting",Analysis!$F333,""))</f>
        <v/>
      </c>
      <c r="M333" s="29" t="str">
        <f>IF(Analysis!$I333="","",IF(Analysis!$I333="Embedded",Analysis!$H333,""))</f>
        <v/>
      </c>
      <c r="N333" s="29" t="str">
        <f>IF(Analysis!$I333="","",IF(Analysis!$I333="Loyal but shallow",Analysis!$H333,""))</f>
        <v/>
      </c>
      <c r="O333" s="29" t="str">
        <f>IF(Analysis!$I333="","",IF(Analysis!$I333="Project-driven",Analysis!$H333,""))</f>
        <v/>
      </c>
      <c r="P333" s="29" t="str">
        <f>IF(Analysis!$I333="","",IF(Analysis!$I333="Drifting",Analysis!$H333,""))</f>
        <v/>
      </c>
    </row>
    <row r="334" spans="1:16" x14ac:dyDescent="0.25">
      <c r="A334" s="29" t="str">
        <f>IF(Analysis!$I334="","",IF(Analysis!$I334="Embedded",Analysis!$D334,""))</f>
        <v/>
      </c>
      <c r="B334" s="29" t="str">
        <f>IF(Analysis!$I334="","",IF(Analysis!$I334="Loyal but shallow",Analysis!$D334,""))</f>
        <v/>
      </c>
      <c r="C334" s="29" t="str">
        <f>IF(Analysis!$I334="","",IF(Analysis!$I334="Project-driven",Analysis!$D334,""))</f>
        <v/>
      </c>
      <c r="D334" s="29" t="str">
        <f>IF(Analysis!$I334="","",IF(Analysis!$I334="Drifting",Analysis!$D334,""))</f>
        <v/>
      </c>
      <c r="E334" s="29" t="str">
        <f>IF(Analysis!$I334="","",IF(Analysis!$I334="Embedded",Analysis!$C334,""))</f>
        <v/>
      </c>
      <c r="F334" s="29" t="str">
        <f>IF(Analysis!$I334="","",IF(Analysis!$I334="Loyal but shallow",Analysis!$C334,""))</f>
        <v/>
      </c>
      <c r="G334" s="29" t="str">
        <f>IF(Analysis!$I334="","",IF(Analysis!$I334="Project-driven",Analysis!$C334,""))</f>
        <v/>
      </c>
      <c r="H334" s="29" t="str">
        <f>IF(Analysis!$I334="","",IF(Analysis!$I334="Drifting",Analysis!$C334,""))</f>
        <v/>
      </c>
      <c r="I334" s="29" t="str">
        <f>IF(Analysis!$I334="","",IF(Analysis!$I334="Embedded",Analysis!$F334,""))</f>
        <v/>
      </c>
      <c r="J334" s="29" t="str">
        <f>IF(Analysis!$I334="","",IF(Analysis!$I334="Loyal but shallow",Analysis!$F334,""))</f>
        <v/>
      </c>
      <c r="K334" s="29" t="str">
        <f>IF(Analysis!$I334="","",IF(Analysis!$I334="Project-driven",Analysis!$F334,""))</f>
        <v/>
      </c>
      <c r="L334" s="29" t="str">
        <f>IF(Analysis!$I334="","",IF(Analysis!$I334="Drifting",Analysis!$F334,""))</f>
        <v/>
      </c>
      <c r="M334" s="29" t="str">
        <f>IF(Analysis!$I334="","",IF(Analysis!$I334="Embedded",Analysis!$H334,""))</f>
        <v/>
      </c>
      <c r="N334" s="29" t="str">
        <f>IF(Analysis!$I334="","",IF(Analysis!$I334="Loyal but shallow",Analysis!$H334,""))</f>
        <v/>
      </c>
      <c r="O334" s="29" t="str">
        <f>IF(Analysis!$I334="","",IF(Analysis!$I334="Project-driven",Analysis!$H334,""))</f>
        <v/>
      </c>
      <c r="P334" s="29" t="str">
        <f>IF(Analysis!$I334="","",IF(Analysis!$I334="Drifting",Analysis!$H334,""))</f>
        <v/>
      </c>
    </row>
    <row r="335" spans="1:16" x14ac:dyDescent="0.25">
      <c r="A335" s="29" t="str">
        <f>IF(Analysis!$I335="","",IF(Analysis!$I335="Embedded",Analysis!$D335,""))</f>
        <v/>
      </c>
      <c r="B335" s="29" t="str">
        <f>IF(Analysis!$I335="","",IF(Analysis!$I335="Loyal but shallow",Analysis!$D335,""))</f>
        <v/>
      </c>
      <c r="C335" s="29" t="str">
        <f>IF(Analysis!$I335="","",IF(Analysis!$I335="Project-driven",Analysis!$D335,""))</f>
        <v/>
      </c>
      <c r="D335" s="29" t="str">
        <f>IF(Analysis!$I335="","",IF(Analysis!$I335="Drifting",Analysis!$D335,""))</f>
        <v/>
      </c>
      <c r="E335" s="29" t="str">
        <f>IF(Analysis!$I335="","",IF(Analysis!$I335="Embedded",Analysis!$C335,""))</f>
        <v/>
      </c>
      <c r="F335" s="29" t="str">
        <f>IF(Analysis!$I335="","",IF(Analysis!$I335="Loyal but shallow",Analysis!$C335,""))</f>
        <v/>
      </c>
      <c r="G335" s="29" t="str">
        <f>IF(Analysis!$I335="","",IF(Analysis!$I335="Project-driven",Analysis!$C335,""))</f>
        <v/>
      </c>
      <c r="H335" s="29" t="str">
        <f>IF(Analysis!$I335="","",IF(Analysis!$I335="Drifting",Analysis!$C335,""))</f>
        <v/>
      </c>
      <c r="I335" s="29" t="str">
        <f>IF(Analysis!$I335="","",IF(Analysis!$I335="Embedded",Analysis!$F335,""))</f>
        <v/>
      </c>
      <c r="J335" s="29" t="str">
        <f>IF(Analysis!$I335="","",IF(Analysis!$I335="Loyal but shallow",Analysis!$F335,""))</f>
        <v/>
      </c>
      <c r="K335" s="29" t="str">
        <f>IF(Analysis!$I335="","",IF(Analysis!$I335="Project-driven",Analysis!$F335,""))</f>
        <v/>
      </c>
      <c r="L335" s="29" t="str">
        <f>IF(Analysis!$I335="","",IF(Analysis!$I335="Drifting",Analysis!$F335,""))</f>
        <v/>
      </c>
      <c r="M335" s="29" t="str">
        <f>IF(Analysis!$I335="","",IF(Analysis!$I335="Embedded",Analysis!$H335,""))</f>
        <v/>
      </c>
      <c r="N335" s="29" t="str">
        <f>IF(Analysis!$I335="","",IF(Analysis!$I335="Loyal but shallow",Analysis!$H335,""))</f>
        <v/>
      </c>
      <c r="O335" s="29" t="str">
        <f>IF(Analysis!$I335="","",IF(Analysis!$I335="Project-driven",Analysis!$H335,""))</f>
        <v/>
      </c>
      <c r="P335" s="29" t="str">
        <f>IF(Analysis!$I335="","",IF(Analysis!$I335="Drifting",Analysis!$H335,""))</f>
        <v/>
      </c>
    </row>
    <row r="336" spans="1:16" x14ac:dyDescent="0.25">
      <c r="A336" s="29" t="str">
        <f>IF(Analysis!$I336="","",IF(Analysis!$I336="Embedded",Analysis!$D336,""))</f>
        <v/>
      </c>
      <c r="B336" s="29" t="str">
        <f>IF(Analysis!$I336="","",IF(Analysis!$I336="Loyal but shallow",Analysis!$D336,""))</f>
        <v/>
      </c>
      <c r="C336" s="29" t="str">
        <f>IF(Analysis!$I336="","",IF(Analysis!$I336="Project-driven",Analysis!$D336,""))</f>
        <v/>
      </c>
      <c r="D336" s="29" t="str">
        <f>IF(Analysis!$I336="","",IF(Analysis!$I336="Drifting",Analysis!$D336,""))</f>
        <v/>
      </c>
      <c r="E336" s="29" t="str">
        <f>IF(Analysis!$I336="","",IF(Analysis!$I336="Embedded",Analysis!$C336,""))</f>
        <v/>
      </c>
      <c r="F336" s="29" t="str">
        <f>IF(Analysis!$I336="","",IF(Analysis!$I336="Loyal but shallow",Analysis!$C336,""))</f>
        <v/>
      </c>
      <c r="G336" s="29" t="str">
        <f>IF(Analysis!$I336="","",IF(Analysis!$I336="Project-driven",Analysis!$C336,""))</f>
        <v/>
      </c>
      <c r="H336" s="29" t="str">
        <f>IF(Analysis!$I336="","",IF(Analysis!$I336="Drifting",Analysis!$C336,""))</f>
        <v/>
      </c>
      <c r="I336" s="29" t="str">
        <f>IF(Analysis!$I336="","",IF(Analysis!$I336="Embedded",Analysis!$F336,""))</f>
        <v/>
      </c>
      <c r="J336" s="29" t="str">
        <f>IF(Analysis!$I336="","",IF(Analysis!$I336="Loyal but shallow",Analysis!$F336,""))</f>
        <v/>
      </c>
      <c r="K336" s="29" t="str">
        <f>IF(Analysis!$I336="","",IF(Analysis!$I336="Project-driven",Analysis!$F336,""))</f>
        <v/>
      </c>
      <c r="L336" s="29" t="str">
        <f>IF(Analysis!$I336="","",IF(Analysis!$I336="Drifting",Analysis!$F336,""))</f>
        <v/>
      </c>
      <c r="M336" s="29" t="str">
        <f>IF(Analysis!$I336="","",IF(Analysis!$I336="Embedded",Analysis!$H336,""))</f>
        <v/>
      </c>
      <c r="N336" s="29" t="str">
        <f>IF(Analysis!$I336="","",IF(Analysis!$I336="Loyal but shallow",Analysis!$H336,""))</f>
        <v/>
      </c>
      <c r="O336" s="29" t="str">
        <f>IF(Analysis!$I336="","",IF(Analysis!$I336="Project-driven",Analysis!$H336,""))</f>
        <v/>
      </c>
      <c r="P336" s="29" t="str">
        <f>IF(Analysis!$I336="","",IF(Analysis!$I336="Drifting",Analysis!$H336,""))</f>
        <v/>
      </c>
    </row>
    <row r="337" spans="1:16" x14ac:dyDescent="0.25">
      <c r="A337" s="29" t="str">
        <f>IF(Analysis!$I337="","",IF(Analysis!$I337="Embedded",Analysis!$D337,""))</f>
        <v/>
      </c>
      <c r="B337" s="29" t="str">
        <f>IF(Analysis!$I337="","",IF(Analysis!$I337="Loyal but shallow",Analysis!$D337,""))</f>
        <v/>
      </c>
      <c r="C337" s="29" t="str">
        <f>IF(Analysis!$I337="","",IF(Analysis!$I337="Project-driven",Analysis!$D337,""))</f>
        <v/>
      </c>
      <c r="D337" s="29" t="str">
        <f>IF(Analysis!$I337="","",IF(Analysis!$I337="Drifting",Analysis!$D337,""))</f>
        <v/>
      </c>
      <c r="E337" s="29" t="str">
        <f>IF(Analysis!$I337="","",IF(Analysis!$I337="Embedded",Analysis!$C337,""))</f>
        <v/>
      </c>
      <c r="F337" s="29" t="str">
        <f>IF(Analysis!$I337="","",IF(Analysis!$I337="Loyal but shallow",Analysis!$C337,""))</f>
        <v/>
      </c>
      <c r="G337" s="29" t="str">
        <f>IF(Analysis!$I337="","",IF(Analysis!$I337="Project-driven",Analysis!$C337,""))</f>
        <v/>
      </c>
      <c r="H337" s="29" t="str">
        <f>IF(Analysis!$I337="","",IF(Analysis!$I337="Drifting",Analysis!$C337,""))</f>
        <v/>
      </c>
      <c r="I337" s="29" t="str">
        <f>IF(Analysis!$I337="","",IF(Analysis!$I337="Embedded",Analysis!$F337,""))</f>
        <v/>
      </c>
      <c r="J337" s="29" t="str">
        <f>IF(Analysis!$I337="","",IF(Analysis!$I337="Loyal but shallow",Analysis!$F337,""))</f>
        <v/>
      </c>
      <c r="K337" s="29" t="str">
        <f>IF(Analysis!$I337="","",IF(Analysis!$I337="Project-driven",Analysis!$F337,""))</f>
        <v/>
      </c>
      <c r="L337" s="29" t="str">
        <f>IF(Analysis!$I337="","",IF(Analysis!$I337="Drifting",Analysis!$F337,""))</f>
        <v/>
      </c>
      <c r="M337" s="29" t="str">
        <f>IF(Analysis!$I337="","",IF(Analysis!$I337="Embedded",Analysis!$H337,""))</f>
        <v/>
      </c>
      <c r="N337" s="29" t="str">
        <f>IF(Analysis!$I337="","",IF(Analysis!$I337="Loyal but shallow",Analysis!$H337,""))</f>
        <v/>
      </c>
      <c r="O337" s="29" t="str">
        <f>IF(Analysis!$I337="","",IF(Analysis!$I337="Project-driven",Analysis!$H337,""))</f>
        <v/>
      </c>
      <c r="P337" s="29" t="str">
        <f>IF(Analysis!$I337="","",IF(Analysis!$I337="Drifting",Analysis!$H337,""))</f>
        <v/>
      </c>
    </row>
    <row r="338" spans="1:16" x14ac:dyDescent="0.25">
      <c r="A338" s="29" t="str">
        <f>IF(Analysis!$I338="","",IF(Analysis!$I338="Embedded",Analysis!$D338,""))</f>
        <v/>
      </c>
      <c r="B338" s="29" t="str">
        <f>IF(Analysis!$I338="","",IF(Analysis!$I338="Loyal but shallow",Analysis!$D338,""))</f>
        <v/>
      </c>
      <c r="C338" s="29" t="str">
        <f>IF(Analysis!$I338="","",IF(Analysis!$I338="Project-driven",Analysis!$D338,""))</f>
        <v/>
      </c>
      <c r="D338" s="29" t="str">
        <f>IF(Analysis!$I338="","",IF(Analysis!$I338="Drifting",Analysis!$D338,""))</f>
        <v/>
      </c>
      <c r="E338" s="29" t="str">
        <f>IF(Analysis!$I338="","",IF(Analysis!$I338="Embedded",Analysis!$C338,""))</f>
        <v/>
      </c>
      <c r="F338" s="29" t="str">
        <f>IF(Analysis!$I338="","",IF(Analysis!$I338="Loyal but shallow",Analysis!$C338,""))</f>
        <v/>
      </c>
      <c r="G338" s="29" t="str">
        <f>IF(Analysis!$I338="","",IF(Analysis!$I338="Project-driven",Analysis!$C338,""))</f>
        <v/>
      </c>
      <c r="H338" s="29" t="str">
        <f>IF(Analysis!$I338="","",IF(Analysis!$I338="Drifting",Analysis!$C338,""))</f>
        <v/>
      </c>
      <c r="I338" s="29" t="str">
        <f>IF(Analysis!$I338="","",IF(Analysis!$I338="Embedded",Analysis!$F338,""))</f>
        <v/>
      </c>
      <c r="J338" s="29" t="str">
        <f>IF(Analysis!$I338="","",IF(Analysis!$I338="Loyal but shallow",Analysis!$F338,""))</f>
        <v/>
      </c>
      <c r="K338" s="29" t="str">
        <f>IF(Analysis!$I338="","",IF(Analysis!$I338="Project-driven",Analysis!$F338,""))</f>
        <v/>
      </c>
      <c r="L338" s="29" t="str">
        <f>IF(Analysis!$I338="","",IF(Analysis!$I338="Drifting",Analysis!$F338,""))</f>
        <v/>
      </c>
      <c r="M338" s="29" t="str">
        <f>IF(Analysis!$I338="","",IF(Analysis!$I338="Embedded",Analysis!$H338,""))</f>
        <v/>
      </c>
      <c r="N338" s="29" t="str">
        <f>IF(Analysis!$I338="","",IF(Analysis!$I338="Loyal but shallow",Analysis!$H338,""))</f>
        <v/>
      </c>
      <c r="O338" s="29" t="str">
        <f>IF(Analysis!$I338="","",IF(Analysis!$I338="Project-driven",Analysis!$H338,""))</f>
        <v/>
      </c>
      <c r="P338" s="29" t="str">
        <f>IF(Analysis!$I338="","",IF(Analysis!$I338="Drifting",Analysis!$H338,""))</f>
        <v/>
      </c>
    </row>
    <row r="339" spans="1:16" x14ac:dyDescent="0.25">
      <c r="A339" s="29" t="str">
        <f>IF(Analysis!$I339="","",IF(Analysis!$I339="Embedded",Analysis!$D339,""))</f>
        <v/>
      </c>
      <c r="B339" s="29" t="str">
        <f>IF(Analysis!$I339="","",IF(Analysis!$I339="Loyal but shallow",Analysis!$D339,""))</f>
        <v/>
      </c>
      <c r="C339" s="29" t="str">
        <f>IF(Analysis!$I339="","",IF(Analysis!$I339="Project-driven",Analysis!$D339,""))</f>
        <v/>
      </c>
      <c r="D339" s="29" t="str">
        <f>IF(Analysis!$I339="","",IF(Analysis!$I339="Drifting",Analysis!$D339,""))</f>
        <v/>
      </c>
      <c r="E339" s="29" t="str">
        <f>IF(Analysis!$I339="","",IF(Analysis!$I339="Embedded",Analysis!$C339,""))</f>
        <v/>
      </c>
      <c r="F339" s="29" t="str">
        <f>IF(Analysis!$I339="","",IF(Analysis!$I339="Loyal but shallow",Analysis!$C339,""))</f>
        <v/>
      </c>
      <c r="G339" s="29" t="str">
        <f>IF(Analysis!$I339="","",IF(Analysis!$I339="Project-driven",Analysis!$C339,""))</f>
        <v/>
      </c>
      <c r="H339" s="29" t="str">
        <f>IF(Analysis!$I339="","",IF(Analysis!$I339="Drifting",Analysis!$C339,""))</f>
        <v/>
      </c>
      <c r="I339" s="29" t="str">
        <f>IF(Analysis!$I339="","",IF(Analysis!$I339="Embedded",Analysis!$F339,""))</f>
        <v/>
      </c>
      <c r="J339" s="29" t="str">
        <f>IF(Analysis!$I339="","",IF(Analysis!$I339="Loyal but shallow",Analysis!$F339,""))</f>
        <v/>
      </c>
      <c r="K339" s="29" t="str">
        <f>IF(Analysis!$I339="","",IF(Analysis!$I339="Project-driven",Analysis!$F339,""))</f>
        <v/>
      </c>
      <c r="L339" s="29" t="str">
        <f>IF(Analysis!$I339="","",IF(Analysis!$I339="Drifting",Analysis!$F339,""))</f>
        <v/>
      </c>
      <c r="M339" s="29" t="str">
        <f>IF(Analysis!$I339="","",IF(Analysis!$I339="Embedded",Analysis!$H339,""))</f>
        <v/>
      </c>
      <c r="N339" s="29" t="str">
        <f>IF(Analysis!$I339="","",IF(Analysis!$I339="Loyal but shallow",Analysis!$H339,""))</f>
        <v/>
      </c>
      <c r="O339" s="29" t="str">
        <f>IF(Analysis!$I339="","",IF(Analysis!$I339="Project-driven",Analysis!$H339,""))</f>
        <v/>
      </c>
      <c r="P339" s="29" t="str">
        <f>IF(Analysis!$I339="","",IF(Analysis!$I339="Drifting",Analysis!$H339,""))</f>
        <v/>
      </c>
    </row>
    <row r="340" spans="1:16" x14ac:dyDescent="0.25">
      <c r="A340" s="29" t="str">
        <f>IF(Analysis!$I340="","",IF(Analysis!$I340="Embedded",Analysis!$D340,""))</f>
        <v/>
      </c>
      <c r="B340" s="29" t="str">
        <f>IF(Analysis!$I340="","",IF(Analysis!$I340="Loyal but shallow",Analysis!$D340,""))</f>
        <v/>
      </c>
      <c r="C340" s="29" t="str">
        <f>IF(Analysis!$I340="","",IF(Analysis!$I340="Project-driven",Analysis!$D340,""))</f>
        <v/>
      </c>
      <c r="D340" s="29" t="str">
        <f>IF(Analysis!$I340="","",IF(Analysis!$I340="Drifting",Analysis!$D340,""))</f>
        <v/>
      </c>
      <c r="E340" s="29" t="str">
        <f>IF(Analysis!$I340="","",IF(Analysis!$I340="Embedded",Analysis!$C340,""))</f>
        <v/>
      </c>
      <c r="F340" s="29" t="str">
        <f>IF(Analysis!$I340="","",IF(Analysis!$I340="Loyal but shallow",Analysis!$C340,""))</f>
        <v/>
      </c>
      <c r="G340" s="29" t="str">
        <f>IF(Analysis!$I340="","",IF(Analysis!$I340="Project-driven",Analysis!$C340,""))</f>
        <v/>
      </c>
      <c r="H340" s="29" t="str">
        <f>IF(Analysis!$I340="","",IF(Analysis!$I340="Drifting",Analysis!$C340,""))</f>
        <v/>
      </c>
      <c r="I340" s="29" t="str">
        <f>IF(Analysis!$I340="","",IF(Analysis!$I340="Embedded",Analysis!$F340,""))</f>
        <v/>
      </c>
      <c r="J340" s="29" t="str">
        <f>IF(Analysis!$I340="","",IF(Analysis!$I340="Loyal but shallow",Analysis!$F340,""))</f>
        <v/>
      </c>
      <c r="K340" s="29" t="str">
        <f>IF(Analysis!$I340="","",IF(Analysis!$I340="Project-driven",Analysis!$F340,""))</f>
        <v/>
      </c>
      <c r="L340" s="29" t="str">
        <f>IF(Analysis!$I340="","",IF(Analysis!$I340="Drifting",Analysis!$F340,""))</f>
        <v/>
      </c>
      <c r="M340" s="29" t="str">
        <f>IF(Analysis!$I340="","",IF(Analysis!$I340="Embedded",Analysis!$H340,""))</f>
        <v/>
      </c>
      <c r="N340" s="29" t="str">
        <f>IF(Analysis!$I340="","",IF(Analysis!$I340="Loyal but shallow",Analysis!$H340,""))</f>
        <v/>
      </c>
      <c r="O340" s="29" t="str">
        <f>IF(Analysis!$I340="","",IF(Analysis!$I340="Project-driven",Analysis!$H340,""))</f>
        <v/>
      </c>
      <c r="P340" s="29" t="str">
        <f>IF(Analysis!$I340="","",IF(Analysis!$I340="Drifting",Analysis!$H340,""))</f>
        <v/>
      </c>
    </row>
    <row r="341" spans="1:16" x14ac:dyDescent="0.25">
      <c r="A341" s="29" t="str">
        <f>IF(Analysis!$I341="","",IF(Analysis!$I341="Embedded",Analysis!$D341,""))</f>
        <v/>
      </c>
      <c r="B341" s="29" t="str">
        <f>IF(Analysis!$I341="","",IF(Analysis!$I341="Loyal but shallow",Analysis!$D341,""))</f>
        <v/>
      </c>
      <c r="C341" s="29" t="str">
        <f>IF(Analysis!$I341="","",IF(Analysis!$I341="Project-driven",Analysis!$D341,""))</f>
        <v/>
      </c>
      <c r="D341" s="29" t="str">
        <f>IF(Analysis!$I341="","",IF(Analysis!$I341="Drifting",Analysis!$D341,""))</f>
        <v/>
      </c>
      <c r="E341" s="29" t="str">
        <f>IF(Analysis!$I341="","",IF(Analysis!$I341="Embedded",Analysis!$C341,""))</f>
        <v/>
      </c>
      <c r="F341" s="29" t="str">
        <f>IF(Analysis!$I341="","",IF(Analysis!$I341="Loyal but shallow",Analysis!$C341,""))</f>
        <v/>
      </c>
      <c r="G341" s="29" t="str">
        <f>IF(Analysis!$I341="","",IF(Analysis!$I341="Project-driven",Analysis!$C341,""))</f>
        <v/>
      </c>
      <c r="H341" s="29" t="str">
        <f>IF(Analysis!$I341="","",IF(Analysis!$I341="Drifting",Analysis!$C341,""))</f>
        <v/>
      </c>
      <c r="I341" s="29" t="str">
        <f>IF(Analysis!$I341="","",IF(Analysis!$I341="Embedded",Analysis!$F341,""))</f>
        <v/>
      </c>
      <c r="J341" s="29" t="str">
        <f>IF(Analysis!$I341="","",IF(Analysis!$I341="Loyal but shallow",Analysis!$F341,""))</f>
        <v/>
      </c>
      <c r="K341" s="29" t="str">
        <f>IF(Analysis!$I341="","",IF(Analysis!$I341="Project-driven",Analysis!$F341,""))</f>
        <v/>
      </c>
      <c r="L341" s="29" t="str">
        <f>IF(Analysis!$I341="","",IF(Analysis!$I341="Drifting",Analysis!$F341,""))</f>
        <v/>
      </c>
      <c r="M341" s="29" t="str">
        <f>IF(Analysis!$I341="","",IF(Analysis!$I341="Embedded",Analysis!$H341,""))</f>
        <v/>
      </c>
      <c r="N341" s="29" t="str">
        <f>IF(Analysis!$I341="","",IF(Analysis!$I341="Loyal but shallow",Analysis!$H341,""))</f>
        <v/>
      </c>
      <c r="O341" s="29" t="str">
        <f>IF(Analysis!$I341="","",IF(Analysis!$I341="Project-driven",Analysis!$H341,""))</f>
        <v/>
      </c>
      <c r="P341" s="29" t="str">
        <f>IF(Analysis!$I341="","",IF(Analysis!$I341="Drifting",Analysis!$H341,""))</f>
        <v/>
      </c>
    </row>
    <row r="342" spans="1:16" x14ac:dyDescent="0.25">
      <c r="A342" s="29" t="str">
        <f>IF(Analysis!$I342="","",IF(Analysis!$I342="Embedded",Analysis!$D342,""))</f>
        <v/>
      </c>
      <c r="B342" s="29" t="str">
        <f>IF(Analysis!$I342="","",IF(Analysis!$I342="Loyal but shallow",Analysis!$D342,""))</f>
        <v/>
      </c>
      <c r="C342" s="29" t="str">
        <f>IF(Analysis!$I342="","",IF(Analysis!$I342="Project-driven",Analysis!$D342,""))</f>
        <v/>
      </c>
      <c r="D342" s="29" t="str">
        <f>IF(Analysis!$I342="","",IF(Analysis!$I342="Drifting",Analysis!$D342,""))</f>
        <v/>
      </c>
      <c r="E342" s="29" t="str">
        <f>IF(Analysis!$I342="","",IF(Analysis!$I342="Embedded",Analysis!$C342,""))</f>
        <v/>
      </c>
      <c r="F342" s="29" t="str">
        <f>IF(Analysis!$I342="","",IF(Analysis!$I342="Loyal but shallow",Analysis!$C342,""))</f>
        <v/>
      </c>
      <c r="G342" s="29" t="str">
        <f>IF(Analysis!$I342="","",IF(Analysis!$I342="Project-driven",Analysis!$C342,""))</f>
        <v/>
      </c>
      <c r="H342" s="29" t="str">
        <f>IF(Analysis!$I342="","",IF(Analysis!$I342="Drifting",Analysis!$C342,""))</f>
        <v/>
      </c>
      <c r="I342" s="29" t="str">
        <f>IF(Analysis!$I342="","",IF(Analysis!$I342="Embedded",Analysis!$F342,""))</f>
        <v/>
      </c>
      <c r="J342" s="29" t="str">
        <f>IF(Analysis!$I342="","",IF(Analysis!$I342="Loyal but shallow",Analysis!$F342,""))</f>
        <v/>
      </c>
      <c r="K342" s="29" t="str">
        <f>IF(Analysis!$I342="","",IF(Analysis!$I342="Project-driven",Analysis!$F342,""))</f>
        <v/>
      </c>
      <c r="L342" s="29" t="str">
        <f>IF(Analysis!$I342="","",IF(Analysis!$I342="Drifting",Analysis!$F342,""))</f>
        <v/>
      </c>
      <c r="M342" s="29" t="str">
        <f>IF(Analysis!$I342="","",IF(Analysis!$I342="Embedded",Analysis!$H342,""))</f>
        <v/>
      </c>
      <c r="N342" s="29" t="str">
        <f>IF(Analysis!$I342="","",IF(Analysis!$I342="Loyal but shallow",Analysis!$H342,""))</f>
        <v/>
      </c>
      <c r="O342" s="29" t="str">
        <f>IF(Analysis!$I342="","",IF(Analysis!$I342="Project-driven",Analysis!$H342,""))</f>
        <v/>
      </c>
      <c r="P342" s="29" t="str">
        <f>IF(Analysis!$I342="","",IF(Analysis!$I342="Drifting",Analysis!$H342,""))</f>
        <v/>
      </c>
    </row>
    <row r="343" spans="1:16" x14ac:dyDescent="0.25">
      <c r="A343" s="29" t="str">
        <f>IF(Analysis!$I343="","",IF(Analysis!$I343="Embedded",Analysis!$D343,""))</f>
        <v/>
      </c>
      <c r="B343" s="29" t="str">
        <f>IF(Analysis!$I343="","",IF(Analysis!$I343="Loyal but shallow",Analysis!$D343,""))</f>
        <v/>
      </c>
      <c r="C343" s="29" t="str">
        <f>IF(Analysis!$I343="","",IF(Analysis!$I343="Project-driven",Analysis!$D343,""))</f>
        <v/>
      </c>
      <c r="D343" s="29" t="str">
        <f>IF(Analysis!$I343="","",IF(Analysis!$I343="Drifting",Analysis!$D343,""))</f>
        <v/>
      </c>
      <c r="E343" s="29" t="str">
        <f>IF(Analysis!$I343="","",IF(Analysis!$I343="Embedded",Analysis!$C343,""))</f>
        <v/>
      </c>
      <c r="F343" s="29" t="str">
        <f>IF(Analysis!$I343="","",IF(Analysis!$I343="Loyal but shallow",Analysis!$C343,""))</f>
        <v/>
      </c>
      <c r="G343" s="29" t="str">
        <f>IF(Analysis!$I343="","",IF(Analysis!$I343="Project-driven",Analysis!$C343,""))</f>
        <v/>
      </c>
      <c r="H343" s="29" t="str">
        <f>IF(Analysis!$I343="","",IF(Analysis!$I343="Drifting",Analysis!$C343,""))</f>
        <v/>
      </c>
      <c r="I343" s="29" t="str">
        <f>IF(Analysis!$I343="","",IF(Analysis!$I343="Embedded",Analysis!$F343,""))</f>
        <v/>
      </c>
      <c r="J343" s="29" t="str">
        <f>IF(Analysis!$I343="","",IF(Analysis!$I343="Loyal but shallow",Analysis!$F343,""))</f>
        <v/>
      </c>
      <c r="K343" s="29" t="str">
        <f>IF(Analysis!$I343="","",IF(Analysis!$I343="Project-driven",Analysis!$F343,""))</f>
        <v/>
      </c>
      <c r="L343" s="29" t="str">
        <f>IF(Analysis!$I343="","",IF(Analysis!$I343="Drifting",Analysis!$F343,""))</f>
        <v/>
      </c>
      <c r="M343" s="29" t="str">
        <f>IF(Analysis!$I343="","",IF(Analysis!$I343="Embedded",Analysis!$H343,""))</f>
        <v/>
      </c>
      <c r="N343" s="29" t="str">
        <f>IF(Analysis!$I343="","",IF(Analysis!$I343="Loyal but shallow",Analysis!$H343,""))</f>
        <v/>
      </c>
      <c r="O343" s="29" t="str">
        <f>IF(Analysis!$I343="","",IF(Analysis!$I343="Project-driven",Analysis!$H343,""))</f>
        <v/>
      </c>
      <c r="P343" s="29" t="str">
        <f>IF(Analysis!$I343="","",IF(Analysis!$I343="Drifting",Analysis!$H343,""))</f>
        <v/>
      </c>
    </row>
    <row r="344" spans="1:16" x14ac:dyDescent="0.25">
      <c r="A344" s="29" t="str">
        <f>IF(Analysis!$I344="","",IF(Analysis!$I344="Embedded",Analysis!$D344,""))</f>
        <v/>
      </c>
      <c r="B344" s="29" t="str">
        <f>IF(Analysis!$I344="","",IF(Analysis!$I344="Loyal but shallow",Analysis!$D344,""))</f>
        <v/>
      </c>
      <c r="C344" s="29" t="str">
        <f>IF(Analysis!$I344="","",IF(Analysis!$I344="Project-driven",Analysis!$D344,""))</f>
        <v/>
      </c>
      <c r="D344" s="29" t="str">
        <f>IF(Analysis!$I344="","",IF(Analysis!$I344="Drifting",Analysis!$D344,""))</f>
        <v/>
      </c>
      <c r="E344" s="29" t="str">
        <f>IF(Analysis!$I344="","",IF(Analysis!$I344="Embedded",Analysis!$C344,""))</f>
        <v/>
      </c>
      <c r="F344" s="29" t="str">
        <f>IF(Analysis!$I344="","",IF(Analysis!$I344="Loyal but shallow",Analysis!$C344,""))</f>
        <v/>
      </c>
      <c r="G344" s="29" t="str">
        <f>IF(Analysis!$I344="","",IF(Analysis!$I344="Project-driven",Analysis!$C344,""))</f>
        <v/>
      </c>
      <c r="H344" s="29" t="str">
        <f>IF(Analysis!$I344="","",IF(Analysis!$I344="Drifting",Analysis!$C344,""))</f>
        <v/>
      </c>
      <c r="I344" s="29" t="str">
        <f>IF(Analysis!$I344="","",IF(Analysis!$I344="Embedded",Analysis!$F344,""))</f>
        <v/>
      </c>
      <c r="J344" s="29" t="str">
        <f>IF(Analysis!$I344="","",IF(Analysis!$I344="Loyal but shallow",Analysis!$F344,""))</f>
        <v/>
      </c>
      <c r="K344" s="29" t="str">
        <f>IF(Analysis!$I344="","",IF(Analysis!$I344="Project-driven",Analysis!$F344,""))</f>
        <v/>
      </c>
      <c r="L344" s="29" t="str">
        <f>IF(Analysis!$I344="","",IF(Analysis!$I344="Drifting",Analysis!$F344,""))</f>
        <v/>
      </c>
      <c r="M344" s="29" t="str">
        <f>IF(Analysis!$I344="","",IF(Analysis!$I344="Embedded",Analysis!$H344,""))</f>
        <v/>
      </c>
      <c r="N344" s="29" t="str">
        <f>IF(Analysis!$I344="","",IF(Analysis!$I344="Loyal but shallow",Analysis!$H344,""))</f>
        <v/>
      </c>
      <c r="O344" s="29" t="str">
        <f>IF(Analysis!$I344="","",IF(Analysis!$I344="Project-driven",Analysis!$H344,""))</f>
        <v/>
      </c>
      <c r="P344" s="29" t="str">
        <f>IF(Analysis!$I344="","",IF(Analysis!$I344="Drifting",Analysis!$H344,""))</f>
        <v/>
      </c>
    </row>
    <row r="345" spans="1:16" x14ac:dyDescent="0.25">
      <c r="A345" s="29" t="str">
        <f>IF(Analysis!$I345="","",IF(Analysis!$I345="Embedded",Analysis!$D345,""))</f>
        <v/>
      </c>
      <c r="B345" s="29" t="str">
        <f>IF(Analysis!$I345="","",IF(Analysis!$I345="Loyal but shallow",Analysis!$D345,""))</f>
        <v/>
      </c>
      <c r="C345" s="29" t="str">
        <f>IF(Analysis!$I345="","",IF(Analysis!$I345="Project-driven",Analysis!$D345,""))</f>
        <v/>
      </c>
      <c r="D345" s="29" t="str">
        <f>IF(Analysis!$I345="","",IF(Analysis!$I345="Drifting",Analysis!$D345,""))</f>
        <v/>
      </c>
      <c r="E345" s="29" t="str">
        <f>IF(Analysis!$I345="","",IF(Analysis!$I345="Embedded",Analysis!$C345,""))</f>
        <v/>
      </c>
      <c r="F345" s="29" t="str">
        <f>IF(Analysis!$I345="","",IF(Analysis!$I345="Loyal but shallow",Analysis!$C345,""))</f>
        <v/>
      </c>
      <c r="G345" s="29" t="str">
        <f>IF(Analysis!$I345="","",IF(Analysis!$I345="Project-driven",Analysis!$C345,""))</f>
        <v/>
      </c>
      <c r="H345" s="29" t="str">
        <f>IF(Analysis!$I345="","",IF(Analysis!$I345="Drifting",Analysis!$C345,""))</f>
        <v/>
      </c>
      <c r="I345" s="29" t="str">
        <f>IF(Analysis!$I345="","",IF(Analysis!$I345="Embedded",Analysis!$F345,""))</f>
        <v/>
      </c>
      <c r="J345" s="29" t="str">
        <f>IF(Analysis!$I345="","",IF(Analysis!$I345="Loyal but shallow",Analysis!$F345,""))</f>
        <v/>
      </c>
      <c r="K345" s="29" t="str">
        <f>IF(Analysis!$I345="","",IF(Analysis!$I345="Project-driven",Analysis!$F345,""))</f>
        <v/>
      </c>
      <c r="L345" s="29" t="str">
        <f>IF(Analysis!$I345="","",IF(Analysis!$I345="Drifting",Analysis!$F345,""))</f>
        <v/>
      </c>
      <c r="M345" s="29" t="str">
        <f>IF(Analysis!$I345="","",IF(Analysis!$I345="Embedded",Analysis!$H345,""))</f>
        <v/>
      </c>
      <c r="N345" s="29" t="str">
        <f>IF(Analysis!$I345="","",IF(Analysis!$I345="Loyal but shallow",Analysis!$H345,""))</f>
        <v/>
      </c>
      <c r="O345" s="29" t="str">
        <f>IF(Analysis!$I345="","",IF(Analysis!$I345="Project-driven",Analysis!$H345,""))</f>
        <v/>
      </c>
      <c r="P345" s="29" t="str">
        <f>IF(Analysis!$I345="","",IF(Analysis!$I345="Drifting",Analysis!$H345,""))</f>
        <v/>
      </c>
    </row>
    <row r="346" spans="1:16" x14ac:dyDescent="0.25">
      <c r="A346" s="29" t="str">
        <f>IF(Analysis!$I346="","",IF(Analysis!$I346="Embedded",Analysis!$D346,""))</f>
        <v/>
      </c>
      <c r="B346" s="29" t="str">
        <f>IF(Analysis!$I346="","",IF(Analysis!$I346="Loyal but shallow",Analysis!$D346,""))</f>
        <v/>
      </c>
      <c r="C346" s="29" t="str">
        <f>IF(Analysis!$I346="","",IF(Analysis!$I346="Project-driven",Analysis!$D346,""))</f>
        <v/>
      </c>
      <c r="D346" s="29" t="str">
        <f>IF(Analysis!$I346="","",IF(Analysis!$I346="Drifting",Analysis!$D346,""))</f>
        <v/>
      </c>
      <c r="E346" s="29" t="str">
        <f>IF(Analysis!$I346="","",IF(Analysis!$I346="Embedded",Analysis!$C346,""))</f>
        <v/>
      </c>
      <c r="F346" s="29" t="str">
        <f>IF(Analysis!$I346="","",IF(Analysis!$I346="Loyal but shallow",Analysis!$C346,""))</f>
        <v/>
      </c>
      <c r="G346" s="29" t="str">
        <f>IF(Analysis!$I346="","",IF(Analysis!$I346="Project-driven",Analysis!$C346,""))</f>
        <v/>
      </c>
      <c r="H346" s="29" t="str">
        <f>IF(Analysis!$I346="","",IF(Analysis!$I346="Drifting",Analysis!$C346,""))</f>
        <v/>
      </c>
      <c r="I346" s="29" t="str">
        <f>IF(Analysis!$I346="","",IF(Analysis!$I346="Embedded",Analysis!$F346,""))</f>
        <v/>
      </c>
      <c r="J346" s="29" t="str">
        <f>IF(Analysis!$I346="","",IF(Analysis!$I346="Loyal but shallow",Analysis!$F346,""))</f>
        <v/>
      </c>
      <c r="K346" s="29" t="str">
        <f>IF(Analysis!$I346="","",IF(Analysis!$I346="Project-driven",Analysis!$F346,""))</f>
        <v/>
      </c>
      <c r="L346" s="29" t="str">
        <f>IF(Analysis!$I346="","",IF(Analysis!$I346="Drifting",Analysis!$F346,""))</f>
        <v/>
      </c>
      <c r="M346" s="29" t="str">
        <f>IF(Analysis!$I346="","",IF(Analysis!$I346="Embedded",Analysis!$H346,""))</f>
        <v/>
      </c>
      <c r="N346" s="29" t="str">
        <f>IF(Analysis!$I346="","",IF(Analysis!$I346="Loyal but shallow",Analysis!$H346,""))</f>
        <v/>
      </c>
      <c r="O346" s="29" t="str">
        <f>IF(Analysis!$I346="","",IF(Analysis!$I346="Project-driven",Analysis!$H346,""))</f>
        <v/>
      </c>
      <c r="P346" s="29" t="str">
        <f>IF(Analysis!$I346="","",IF(Analysis!$I346="Drifting",Analysis!$H346,""))</f>
        <v/>
      </c>
    </row>
    <row r="347" spans="1:16" x14ac:dyDescent="0.25">
      <c r="A347" s="29" t="str">
        <f>IF(Analysis!$I347="","",IF(Analysis!$I347="Embedded",Analysis!$D347,""))</f>
        <v/>
      </c>
      <c r="B347" s="29" t="str">
        <f>IF(Analysis!$I347="","",IF(Analysis!$I347="Loyal but shallow",Analysis!$D347,""))</f>
        <v/>
      </c>
      <c r="C347" s="29" t="str">
        <f>IF(Analysis!$I347="","",IF(Analysis!$I347="Project-driven",Analysis!$D347,""))</f>
        <v/>
      </c>
      <c r="D347" s="29" t="str">
        <f>IF(Analysis!$I347="","",IF(Analysis!$I347="Drifting",Analysis!$D347,""))</f>
        <v/>
      </c>
      <c r="E347" s="29" t="str">
        <f>IF(Analysis!$I347="","",IF(Analysis!$I347="Embedded",Analysis!$C347,""))</f>
        <v/>
      </c>
      <c r="F347" s="29" t="str">
        <f>IF(Analysis!$I347="","",IF(Analysis!$I347="Loyal but shallow",Analysis!$C347,""))</f>
        <v/>
      </c>
      <c r="G347" s="29" t="str">
        <f>IF(Analysis!$I347="","",IF(Analysis!$I347="Project-driven",Analysis!$C347,""))</f>
        <v/>
      </c>
      <c r="H347" s="29" t="str">
        <f>IF(Analysis!$I347="","",IF(Analysis!$I347="Drifting",Analysis!$C347,""))</f>
        <v/>
      </c>
      <c r="I347" s="29" t="str">
        <f>IF(Analysis!$I347="","",IF(Analysis!$I347="Embedded",Analysis!$F347,""))</f>
        <v/>
      </c>
      <c r="J347" s="29" t="str">
        <f>IF(Analysis!$I347="","",IF(Analysis!$I347="Loyal but shallow",Analysis!$F347,""))</f>
        <v/>
      </c>
      <c r="K347" s="29" t="str">
        <f>IF(Analysis!$I347="","",IF(Analysis!$I347="Project-driven",Analysis!$F347,""))</f>
        <v/>
      </c>
      <c r="L347" s="29" t="str">
        <f>IF(Analysis!$I347="","",IF(Analysis!$I347="Drifting",Analysis!$F347,""))</f>
        <v/>
      </c>
      <c r="M347" s="29" t="str">
        <f>IF(Analysis!$I347="","",IF(Analysis!$I347="Embedded",Analysis!$H347,""))</f>
        <v/>
      </c>
      <c r="N347" s="29" t="str">
        <f>IF(Analysis!$I347="","",IF(Analysis!$I347="Loyal but shallow",Analysis!$H347,""))</f>
        <v/>
      </c>
      <c r="O347" s="29" t="str">
        <f>IF(Analysis!$I347="","",IF(Analysis!$I347="Project-driven",Analysis!$H347,""))</f>
        <v/>
      </c>
      <c r="P347" s="29" t="str">
        <f>IF(Analysis!$I347="","",IF(Analysis!$I347="Drifting",Analysis!$H347,""))</f>
        <v/>
      </c>
    </row>
    <row r="348" spans="1:16" x14ac:dyDescent="0.25">
      <c r="A348" s="29" t="str">
        <f>IF(Analysis!$I348="","",IF(Analysis!$I348="Embedded",Analysis!$D348,""))</f>
        <v/>
      </c>
      <c r="B348" s="29" t="str">
        <f>IF(Analysis!$I348="","",IF(Analysis!$I348="Loyal but shallow",Analysis!$D348,""))</f>
        <v/>
      </c>
      <c r="C348" s="29" t="str">
        <f>IF(Analysis!$I348="","",IF(Analysis!$I348="Project-driven",Analysis!$D348,""))</f>
        <v/>
      </c>
      <c r="D348" s="29" t="str">
        <f>IF(Analysis!$I348="","",IF(Analysis!$I348="Drifting",Analysis!$D348,""))</f>
        <v/>
      </c>
      <c r="E348" s="29" t="str">
        <f>IF(Analysis!$I348="","",IF(Analysis!$I348="Embedded",Analysis!$C348,""))</f>
        <v/>
      </c>
      <c r="F348" s="29" t="str">
        <f>IF(Analysis!$I348="","",IF(Analysis!$I348="Loyal but shallow",Analysis!$C348,""))</f>
        <v/>
      </c>
      <c r="G348" s="29" t="str">
        <f>IF(Analysis!$I348="","",IF(Analysis!$I348="Project-driven",Analysis!$C348,""))</f>
        <v/>
      </c>
      <c r="H348" s="29" t="str">
        <f>IF(Analysis!$I348="","",IF(Analysis!$I348="Drifting",Analysis!$C348,""))</f>
        <v/>
      </c>
      <c r="I348" s="29" t="str">
        <f>IF(Analysis!$I348="","",IF(Analysis!$I348="Embedded",Analysis!$F348,""))</f>
        <v/>
      </c>
      <c r="J348" s="29" t="str">
        <f>IF(Analysis!$I348="","",IF(Analysis!$I348="Loyal but shallow",Analysis!$F348,""))</f>
        <v/>
      </c>
      <c r="K348" s="29" t="str">
        <f>IF(Analysis!$I348="","",IF(Analysis!$I348="Project-driven",Analysis!$F348,""))</f>
        <v/>
      </c>
      <c r="L348" s="29" t="str">
        <f>IF(Analysis!$I348="","",IF(Analysis!$I348="Drifting",Analysis!$F348,""))</f>
        <v/>
      </c>
      <c r="M348" s="29" t="str">
        <f>IF(Analysis!$I348="","",IF(Analysis!$I348="Embedded",Analysis!$H348,""))</f>
        <v/>
      </c>
      <c r="N348" s="29" t="str">
        <f>IF(Analysis!$I348="","",IF(Analysis!$I348="Loyal but shallow",Analysis!$H348,""))</f>
        <v/>
      </c>
      <c r="O348" s="29" t="str">
        <f>IF(Analysis!$I348="","",IF(Analysis!$I348="Project-driven",Analysis!$H348,""))</f>
        <v/>
      </c>
      <c r="P348" s="29" t="str">
        <f>IF(Analysis!$I348="","",IF(Analysis!$I348="Drifting",Analysis!$H348,""))</f>
        <v/>
      </c>
    </row>
    <row r="349" spans="1:16" x14ac:dyDescent="0.25">
      <c r="A349" s="29" t="str">
        <f>IF(Analysis!$I349="","",IF(Analysis!$I349="Embedded",Analysis!$D349,""))</f>
        <v/>
      </c>
      <c r="B349" s="29" t="str">
        <f>IF(Analysis!$I349="","",IF(Analysis!$I349="Loyal but shallow",Analysis!$D349,""))</f>
        <v/>
      </c>
      <c r="C349" s="29" t="str">
        <f>IF(Analysis!$I349="","",IF(Analysis!$I349="Project-driven",Analysis!$D349,""))</f>
        <v/>
      </c>
      <c r="D349" s="29" t="str">
        <f>IF(Analysis!$I349="","",IF(Analysis!$I349="Drifting",Analysis!$D349,""))</f>
        <v/>
      </c>
      <c r="E349" s="29" t="str">
        <f>IF(Analysis!$I349="","",IF(Analysis!$I349="Embedded",Analysis!$C349,""))</f>
        <v/>
      </c>
      <c r="F349" s="29" t="str">
        <f>IF(Analysis!$I349="","",IF(Analysis!$I349="Loyal but shallow",Analysis!$C349,""))</f>
        <v/>
      </c>
      <c r="G349" s="29" t="str">
        <f>IF(Analysis!$I349="","",IF(Analysis!$I349="Project-driven",Analysis!$C349,""))</f>
        <v/>
      </c>
      <c r="H349" s="29" t="str">
        <f>IF(Analysis!$I349="","",IF(Analysis!$I349="Drifting",Analysis!$C349,""))</f>
        <v/>
      </c>
      <c r="I349" s="29" t="str">
        <f>IF(Analysis!$I349="","",IF(Analysis!$I349="Embedded",Analysis!$F349,""))</f>
        <v/>
      </c>
      <c r="J349" s="29" t="str">
        <f>IF(Analysis!$I349="","",IF(Analysis!$I349="Loyal but shallow",Analysis!$F349,""))</f>
        <v/>
      </c>
      <c r="K349" s="29" t="str">
        <f>IF(Analysis!$I349="","",IF(Analysis!$I349="Project-driven",Analysis!$F349,""))</f>
        <v/>
      </c>
      <c r="L349" s="29" t="str">
        <f>IF(Analysis!$I349="","",IF(Analysis!$I349="Drifting",Analysis!$F349,""))</f>
        <v/>
      </c>
      <c r="M349" s="29" t="str">
        <f>IF(Analysis!$I349="","",IF(Analysis!$I349="Embedded",Analysis!$H349,""))</f>
        <v/>
      </c>
      <c r="N349" s="29" t="str">
        <f>IF(Analysis!$I349="","",IF(Analysis!$I349="Loyal but shallow",Analysis!$H349,""))</f>
        <v/>
      </c>
      <c r="O349" s="29" t="str">
        <f>IF(Analysis!$I349="","",IF(Analysis!$I349="Project-driven",Analysis!$H349,""))</f>
        <v/>
      </c>
      <c r="P349" s="29" t="str">
        <f>IF(Analysis!$I349="","",IF(Analysis!$I349="Drifting",Analysis!$H349,""))</f>
        <v/>
      </c>
    </row>
    <row r="350" spans="1:16" x14ac:dyDescent="0.25">
      <c r="A350" s="29" t="str">
        <f>IF(Analysis!$I350="","",IF(Analysis!$I350="Embedded",Analysis!$D350,""))</f>
        <v/>
      </c>
      <c r="B350" s="29" t="str">
        <f>IF(Analysis!$I350="","",IF(Analysis!$I350="Loyal but shallow",Analysis!$D350,""))</f>
        <v/>
      </c>
      <c r="C350" s="29" t="str">
        <f>IF(Analysis!$I350="","",IF(Analysis!$I350="Project-driven",Analysis!$D350,""))</f>
        <v/>
      </c>
      <c r="D350" s="29" t="str">
        <f>IF(Analysis!$I350="","",IF(Analysis!$I350="Drifting",Analysis!$D350,""))</f>
        <v/>
      </c>
      <c r="E350" s="29" t="str">
        <f>IF(Analysis!$I350="","",IF(Analysis!$I350="Embedded",Analysis!$C350,""))</f>
        <v/>
      </c>
      <c r="F350" s="29" t="str">
        <f>IF(Analysis!$I350="","",IF(Analysis!$I350="Loyal but shallow",Analysis!$C350,""))</f>
        <v/>
      </c>
      <c r="G350" s="29" t="str">
        <f>IF(Analysis!$I350="","",IF(Analysis!$I350="Project-driven",Analysis!$C350,""))</f>
        <v/>
      </c>
      <c r="H350" s="29" t="str">
        <f>IF(Analysis!$I350="","",IF(Analysis!$I350="Drifting",Analysis!$C350,""))</f>
        <v/>
      </c>
      <c r="I350" s="29" t="str">
        <f>IF(Analysis!$I350="","",IF(Analysis!$I350="Embedded",Analysis!$F350,""))</f>
        <v/>
      </c>
      <c r="J350" s="29" t="str">
        <f>IF(Analysis!$I350="","",IF(Analysis!$I350="Loyal but shallow",Analysis!$F350,""))</f>
        <v/>
      </c>
      <c r="K350" s="29" t="str">
        <f>IF(Analysis!$I350="","",IF(Analysis!$I350="Project-driven",Analysis!$F350,""))</f>
        <v/>
      </c>
      <c r="L350" s="29" t="str">
        <f>IF(Analysis!$I350="","",IF(Analysis!$I350="Drifting",Analysis!$F350,""))</f>
        <v/>
      </c>
      <c r="M350" s="29" t="str">
        <f>IF(Analysis!$I350="","",IF(Analysis!$I350="Embedded",Analysis!$H350,""))</f>
        <v/>
      </c>
      <c r="N350" s="29" t="str">
        <f>IF(Analysis!$I350="","",IF(Analysis!$I350="Loyal but shallow",Analysis!$H350,""))</f>
        <v/>
      </c>
      <c r="O350" s="29" t="str">
        <f>IF(Analysis!$I350="","",IF(Analysis!$I350="Project-driven",Analysis!$H350,""))</f>
        <v/>
      </c>
      <c r="P350" s="29" t="str">
        <f>IF(Analysis!$I350="","",IF(Analysis!$I350="Drifting",Analysis!$H350,""))</f>
        <v/>
      </c>
    </row>
    <row r="351" spans="1:16" x14ac:dyDescent="0.25">
      <c r="A351" s="29" t="str">
        <f>IF(Analysis!$I351="","",IF(Analysis!$I351="Embedded",Analysis!$D351,""))</f>
        <v/>
      </c>
      <c r="B351" s="29" t="str">
        <f>IF(Analysis!$I351="","",IF(Analysis!$I351="Loyal but shallow",Analysis!$D351,""))</f>
        <v/>
      </c>
      <c r="C351" s="29" t="str">
        <f>IF(Analysis!$I351="","",IF(Analysis!$I351="Project-driven",Analysis!$D351,""))</f>
        <v/>
      </c>
      <c r="D351" s="29" t="str">
        <f>IF(Analysis!$I351="","",IF(Analysis!$I351="Drifting",Analysis!$D351,""))</f>
        <v/>
      </c>
      <c r="E351" s="29" t="str">
        <f>IF(Analysis!$I351="","",IF(Analysis!$I351="Embedded",Analysis!$C351,""))</f>
        <v/>
      </c>
      <c r="F351" s="29" t="str">
        <f>IF(Analysis!$I351="","",IF(Analysis!$I351="Loyal but shallow",Analysis!$C351,""))</f>
        <v/>
      </c>
      <c r="G351" s="29" t="str">
        <f>IF(Analysis!$I351="","",IF(Analysis!$I351="Project-driven",Analysis!$C351,""))</f>
        <v/>
      </c>
      <c r="H351" s="29" t="str">
        <f>IF(Analysis!$I351="","",IF(Analysis!$I351="Drifting",Analysis!$C351,""))</f>
        <v/>
      </c>
      <c r="I351" s="29" t="str">
        <f>IF(Analysis!$I351="","",IF(Analysis!$I351="Embedded",Analysis!$F351,""))</f>
        <v/>
      </c>
      <c r="J351" s="29" t="str">
        <f>IF(Analysis!$I351="","",IF(Analysis!$I351="Loyal but shallow",Analysis!$F351,""))</f>
        <v/>
      </c>
      <c r="K351" s="29" t="str">
        <f>IF(Analysis!$I351="","",IF(Analysis!$I351="Project-driven",Analysis!$F351,""))</f>
        <v/>
      </c>
      <c r="L351" s="29" t="str">
        <f>IF(Analysis!$I351="","",IF(Analysis!$I351="Drifting",Analysis!$F351,""))</f>
        <v/>
      </c>
      <c r="M351" s="29" t="str">
        <f>IF(Analysis!$I351="","",IF(Analysis!$I351="Embedded",Analysis!$H351,""))</f>
        <v/>
      </c>
      <c r="N351" s="29" t="str">
        <f>IF(Analysis!$I351="","",IF(Analysis!$I351="Loyal but shallow",Analysis!$H351,""))</f>
        <v/>
      </c>
      <c r="O351" s="29" t="str">
        <f>IF(Analysis!$I351="","",IF(Analysis!$I351="Project-driven",Analysis!$H351,""))</f>
        <v/>
      </c>
      <c r="P351" s="29" t="str">
        <f>IF(Analysis!$I351="","",IF(Analysis!$I351="Drifting",Analysis!$H351,""))</f>
        <v/>
      </c>
    </row>
    <row r="352" spans="1:16" x14ac:dyDescent="0.25">
      <c r="A352" s="29" t="str">
        <f>IF(Analysis!$I352="","",IF(Analysis!$I352="Embedded",Analysis!$D352,""))</f>
        <v/>
      </c>
      <c r="B352" s="29" t="str">
        <f>IF(Analysis!$I352="","",IF(Analysis!$I352="Loyal but shallow",Analysis!$D352,""))</f>
        <v/>
      </c>
      <c r="C352" s="29" t="str">
        <f>IF(Analysis!$I352="","",IF(Analysis!$I352="Project-driven",Analysis!$D352,""))</f>
        <v/>
      </c>
      <c r="D352" s="29" t="str">
        <f>IF(Analysis!$I352="","",IF(Analysis!$I352="Drifting",Analysis!$D352,""))</f>
        <v/>
      </c>
      <c r="E352" s="29" t="str">
        <f>IF(Analysis!$I352="","",IF(Analysis!$I352="Embedded",Analysis!$C352,""))</f>
        <v/>
      </c>
      <c r="F352" s="29" t="str">
        <f>IF(Analysis!$I352="","",IF(Analysis!$I352="Loyal but shallow",Analysis!$C352,""))</f>
        <v/>
      </c>
      <c r="G352" s="29" t="str">
        <f>IF(Analysis!$I352="","",IF(Analysis!$I352="Project-driven",Analysis!$C352,""))</f>
        <v/>
      </c>
      <c r="H352" s="29" t="str">
        <f>IF(Analysis!$I352="","",IF(Analysis!$I352="Drifting",Analysis!$C352,""))</f>
        <v/>
      </c>
      <c r="I352" s="29" t="str">
        <f>IF(Analysis!$I352="","",IF(Analysis!$I352="Embedded",Analysis!$F352,""))</f>
        <v/>
      </c>
      <c r="J352" s="29" t="str">
        <f>IF(Analysis!$I352="","",IF(Analysis!$I352="Loyal but shallow",Analysis!$F352,""))</f>
        <v/>
      </c>
      <c r="K352" s="29" t="str">
        <f>IF(Analysis!$I352="","",IF(Analysis!$I352="Project-driven",Analysis!$F352,""))</f>
        <v/>
      </c>
      <c r="L352" s="29" t="str">
        <f>IF(Analysis!$I352="","",IF(Analysis!$I352="Drifting",Analysis!$F352,""))</f>
        <v/>
      </c>
      <c r="M352" s="29" t="str">
        <f>IF(Analysis!$I352="","",IF(Analysis!$I352="Embedded",Analysis!$H352,""))</f>
        <v/>
      </c>
      <c r="N352" s="29" t="str">
        <f>IF(Analysis!$I352="","",IF(Analysis!$I352="Loyal but shallow",Analysis!$H352,""))</f>
        <v/>
      </c>
      <c r="O352" s="29" t="str">
        <f>IF(Analysis!$I352="","",IF(Analysis!$I352="Project-driven",Analysis!$H352,""))</f>
        <v/>
      </c>
      <c r="P352" s="29" t="str">
        <f>IF(Analysis!$I352="","",IF(Analysis!$I352="Drifting",Analysis!$H352,""))</f>
        <v/>
      </c>
    </row>
    <row r="353" spans="1:16" x14ac:dyDescent="0.25">
      <c r="A353" s="29" t="str">
        <f>IF(Analysis!$I353="","",IF(Analysis!$I353="Embedded",Analysis!$D353,""))</f>
        <v/>
      </c>
      <c r="B353" s="29" t="str">
        <f>IF(Analysis!$I353="","",IF(Analysis!$I353="Loyal but shallow",Analysis!$D353,""))</f>
        <v/>
      </c>
      <c r="C353" s="29" t="str">
        <f>IF(Analysis!$I353="","",IF(Analysis!$I353="Project-driven",Analysis!$D353,""))</f>
        <v/>
      </c>
      <c r="D353" s="29" t="str">
        <f>IF(Analysis!$I353="","",IF(Analysis!$I353="Drifting",Analysis!$D353,""))</f>
        <v/>
      </c>
      <c r="E353" s="29" t="str">
        <f>IF(Analysis!$I353="","",IF(Analysis!$I353="Embedded",Analysis!$C353,""))</f>
        <v/>
      </c>
      <c r="F353" s="29" t="str">
        <f>IF(Analysis!$I353="","",IF(Analysis!$I353="Loyal but shallow",Analysis!$C353,""))</f>
        <v/>
      </c>
      <c r="G353" s="29" t="str">
        <f>IF(Analysis!$I353="","",IF(Analysis!$I353="Project-driven",Analysis!$C353,""))</f>
        <v/>
      </c>
      <c r="H353" s="29" t="str">
        <f>IF(Analysis!$I353="","",IF(Analysis!$I353="Drifting",Analysis!$C353,""))</f>
        <v/>
      </c>
      <c r="I353" s="29" t="str">
        <f>IF(Analysis!$I353="","",IF(Analysis!$I353="Embedded",Analysis!$F353,""))</f>
        <v/>
      </c>
      <c r="J353" s="29" t="str">
        <f>IF(Analysis!$I353="","",IF(Analysis!$I353="Loyal but shallow",Analysis!$F353,""))</f>
        <v/>
      </c>
      <c r="K353" s="29" t="str">
        <f>IF(Analysis!$I353="","",IF(Analysis!$I353="Project-driven",Analysis!$F353,""))</f>
        <v/>
      </c>
      <c r="L353" s="29" t="str">
        <f>IF(Analysis!$I353="","",IF(Analysis!$I353="Drifting",Analysis!$F353,""))</f>
        <v/>
      </c>
      <c r="M353" s="29" t="str">
        <f>IF(Analysis!$I353="","",IF(Analysis!$I353="Embedded",Analysis!$H353,""))</f>
        <v/>
      </c>
      <c r="N353" s="29" t="str">
        <f>IF(Analysis!$I353="","",IF(Analysis!$I353="Loyal but shallow",Analysis!$H353,""))</f>
        <v/>
      </c>
      <c r="O353" s="29" t="str">
        <f>IF(Analysis!$I353="","",IF(Analysis!$I353="Project-driven",Analysis!$H353,""))</f>
        <v/>
      </c>
      <c r="P353" s="29" t="str">
        <f>IF(Analysis!$I353="","",IF(Analysis!$I353="Drifting",Analysis!$H353,""))</f>
        <v/>
      </c>
    </row>
    <row r="354" spans="1:16" x14ac:dyDescent="0.25">
      <c r="A354" s="29" t="str">
        <f>IF(Analysis!$I354="","",IF(Analysis!$I354="Embedded",Analysis!$D354,""))</f>
        <v/>
      </c>
      <c r="B354" s="29" t="str">
        <f>IF(Analysis!$I354="","",IF(Analysis!$I354="Loyal but shallow",Analysis!$D354,""))</f>
        <v/>
      </c>
      <c r="C354" s="29" t="str">
        <f>IF(Analysis!$I354="","",IF(Analysis!$I354="Project-driven",Analysis!$D354,""))</f>
        <v/>
      </c>
      <c r="D354" s="29" t="str">
        <f>IF(Analysis!$I354="","",IF(Analysis!$I354="Drifting",Analysis!$D354,""))</f>
        <v/>
      </c>
      <c r="E354" s="29" t="str">
        <f>IF(Analysis!$I354="","",IF(Analysis!$I354="Embedded",Analysis!$C354,""))</f>
        <v/>
      </c>
      <c r="F354" s="29" t="str">
        <f>IF(Analysis!$I354="","",IF(Analysis!$I354="Loyal but shallow",Analysis!$C354,""))</f>
        <v/>
      </c>
      <c r="G354" s="29" t="str">
        <f>IF(Analysis!$I354="","",IF(Analysis!$I354="Project-driven",Analysis!$C354,""))</f>
        <v/>
      </c>
      <c r="H354" s="29" t="str">
        <f>IF(Analysis!$I354="","",IF(Analysis!$I354="Drifting",Analysis!$C354,""))</f>
        <v/>
      </c>
      <c r="I354" s="29" t="str">
        <f>IF(Analysis!$I354="","",IF(Analysis!$I354="Embedded",Analysis!$F354,""))</f>
        <v/>
      </c>
      <c r="J354" s="29" t="str">
        <f>IF(Analysis!$I354="","",IF(Analysis!$I354="Loyal but shallow",Analysis!$F354,""))</f>
        <v/>
      </c>
      <c r="K354" s="29" t="str">
        <f>IF(Analysis!$I354="","",IF(Analysis!$I354="Project-driven",Analysis!$F354,""))</f>
        <v/>
      </c>
      <c r="L354" s="29" t="str">
        <f>IF(Analysis!$I354="","",IF(Analysis!$I354="Drifting",Analysis!$F354,""))</f>
        <v/>
      </c>
      <c r="M354" s="29" t="str">
        <f>IF(Analysis!$I354="","",IF(Analysis!$I354="Embedded",Analysis!$H354,""))</f>
        <v/>
      </c>
      <c r="N354" s="29" t="str">
        <f>IF(Analysis!$I354="","",IF(Analysis!$I354="Loyal but shallow",Analysis!$H354,""))</f>
        <v/>
      </c>
      <c r="O354" s="29" t="str">
        <f>IF(Analysis!$I354="","",IF(Analysis!$I354="Project-driven",Analysis!$H354,""))</f>
        <v/>
      </c>
      <c r="P354" s="29" t="str">
        <f>IF(Analysis!$I354="","",IF(Analysis!$I354="Drifting",Analysis!$H354,""))</f>
        <v/>
      </c>
    </row>
    <row r="355" spans="1:16" x14ac:dyDescent="0.25">
      <c r="A355" s="29" t="str">
        <f>IF(Analysis!$I355="","",IF(Analysis!$I355="Embedded",Analysis!$D355,""))</f>
        <v/>
      </c>
      <c r="B355" s="29" t="str">
        <f>IF(Analysis!$I355="","",IF(Analysis!$I355="Loyal but shallow",Analysis!$D355,""))</f>
        <v/>
      </c>
      <c r="C355" s="29" t="str">
        <f>IF(Analysis!$I355="","",IF(Analysis!$I355="Project-driven",Analysis!$D355,""))</f>
        <v/>
      </c>
      <c r="D355" s="29" t="str">
        <f>IF(Analysis!$I355="","",IF(Analysis!$I355="Drifting",Analysis!$D355,""))</f>
        <v/>
      </c>
      <c r="E355" s="29" t="str">
        <f>IF(Analysis!$I355="","",IF(Analysis!$I355="Embedded",Analysis!$C355,""))</f>
        <v/>
      </c>
      <c r="F355" s="29" t="str">
        <f>IF(Analysis!$I355="","",IF(Analysis!$I355="Loyal but shallow",Analysis!$C355,""))</f>
        <v/>
      </c>
      <c r="G355" s="29" t="str">
        <f>IF(Analysis!$I355="","",IF(Analysis!$I355="Project-driven",Analysis!$C355,""))</f>
        <v/>
      </c>
      <c r="H355" s="29" t="str">
        <f>IF(Analysis!$I355="","",IF(Analysis!$I355="Drifting",Analysis!$C355,""))</f>
        <v/>
      </c>
      <c r="I355" s="29" t="str">
        <f>IF(Analysis!$I355="","",IF(Analysis!$I355="Embedded",Analysis!$F355,""))</f>
        <v/>
      </c>
      <c r="J355" s="29" t="str">
        <f>IF(Analysis!$I355="","",IF(Analysis!$I355="Loyal but shallow",Analysis!$F355,""))</f>
        <v/>
      </c>
      <c r="K355" s="29" t="str">
        <f>IF(Analysis!$I355="","",IF(Analysis!$I355="Project-driven",Analysis!$F355,""))</f>
        <v/>
      </c>
      <c r="L355" s="29" t="str">
        <f>IF(Analysis!$I355="","",IF(Analysis!$I355="Drifting",Analysis!$F355,""))</f>
        <v/>
      </c>
      <c r="M355" s="29" t="str">
        <f>IF(Analysis!$I355="","",IF(Analysis!$I355="Embedded",Analysis!$H355,""))</f>
        <v/>
      </c>
      <c r="N355" s="29" t="str">
        <f>IF(Analysis!$I355="","",IF(Analysis!$I355="Loyal but shallow",Analysis!$H355,""))</f>
        <v/>
      </c>
      <c r="O355" s="29" t="str">
        <f>IF(Analysis!$I355="","",IF(Analysis!$I355="Project-driven",Analysis!$H355,""))</f>
        <v/>
      </c>
      <c r="P355" s="29" t="str">
        <f>IF(Analysis!$I355="","",IF(Analysis!$I355="Drifting",Analysis!$H355,""))</f>
        <v/>
      </c>
    </row>
    <row r="356" spans="1:16" x14ac:dyDescent="0.25">
      <c r="A356" s="29" t="str">
        <f>IF(Analysis!$I356="","",IF(Analysis!$I356="Embedded",Analysis!$D356,""))</f>
        <v/>
      </c>
      <c r="B356" s="29" t="str">
        <f>IF(Analysis!$I356="","",IF(Analysis!$I356="Loyal but shallow",Analysis!$D356,""))</f>
        <v/>
      </c>
      <c r="C356" s="29" t="str">
        <f>IF(Analysis!$I356="","",IF(Analysis!$I356="Project-driven",Analysis!$D356,""))</f>
        <v/>
      </c>
      <c r="D356" s="29" t="str">
        <f>IF(Analysis!$I356="","",IF(Analysis!$I356="Drifting",Analysis!$D356,""))</f>
        <v/>
      </c>
      <c r="E356" s="29" t="str">
        <f>IF(Analysis!$I356="","",IF(Analysis!$I356="Embedded",Analysis!$C356,""))</f>
        <v/>
      </c>
      <c r="F356" s="29" t="str">
        <f>IF(Analysis!$I356="","",IF(Analysis!$I356="Loyal but shallow",Analysis!$C356,""))</f>
        <v/>
      </c>
      <c r="G356" s="29" t="str">
        <f>IF(Analysis!$I356="","",IF(Analysis!$I356="Project-driven",Analysis!$C356,""))</f>
        <v/>
      </c>
      <c r="H356" s="29" t="str">
        <f>IF(Analysis!$I356="","",IF(Analysis!$I356="Drifting",Analysis!$C356,""))</f>
        <v/>
      </c>
      <c r="I356" s="29" t="str">
        <f>IF(Analysis!$I356="","",IF(Analysis!$I356="Embedded",Analysis!$F356,""))</f>
        <v/>
      </c>
      <c r="J356" s="29" t="str">
        <f>IF(Analysis!$I356="","",IF(Analysis!$I356="Loyal but shallow",Analysis!$F356,""))</f>
        <v/>
      </c>
      <c r="K356" s="29" t="str">
        <f>IF(Analysis!$I356="","",IF(Analysis!$I356="Project-driven",Analysis!$F356,""))</f>
        <v/>
      </c>
      <c r="L356" s="29" t="str">
        <f>IF(Analysis!$I356="","",IF(Analysis!$I356="Drifting",Analysis!$F356,""))</f>
        <v/>
      </c>
      <c r="M356" s="29" t="str">
        <f>IF(Analysis!$I356="","",IF(Analysis!$I356="Embedded",Analysis!$H356,""))</f>
        <v/>
      </c>
      <c r="N356" s="29" t="str">
        <f>IF(Analysis!$I356="","",IF(Analysis!$I356="Loyal but shallow",Analysis!$H356,""))</f>
        <v/>
      </c>
      <c r="O356" s="29" t="str">
        <f>IF(Analysis!$I356="","",IF(Analysis!$I356="Project-driven",Analysis!$H356,""))</f>
        <v/>
      </c>
      <c r="P356" s="29" t="str">
        <f>IF(Analysis!$I356="","",IF(Analysis!$I356="Drifting",Analysis!$H356,""))</f>
        <v/>
      </c>
    </row>
    <row r="357" spans="1:16" x14ac:dyDescent="0.25">
      <c r="A357" s="29" t="str">
        <f>IF(Analysis!$I357="","",IF(Analysis!$I357="Embedded",Analysis!$D357,""))</f>
        <v/>
      </c>
      <c r="B357" s="29" t="str">
        <f>IF(Analysis!$I357="","",IF(Analysis!$I357="Loyal but shallow",Analysis!$D357,""))</f>
        <v/>
      </c>
      <c r="C357" s="29" t="str">
        <f>IF(Analysis!$I357="","",IF(Analysis!$I357="Project-driven",Analysis!$D357,""))</f>
        <v/>
      </c>
      <c r="D357" s="29" t="str">
        <f>IF(Analysis!$I357="","",IF(Analysis!$I357="Drifting",Analysis!$D357,""))</f>
        <v/>
      </c>
      <c r="E357" s="29" t="str">
        <f>IF(Analysis!$I357="","",IF(Analysis!$I357="Embedded",Analysis!$C357,""))</f>
        <v/>
      </c>
      <c r="F357" s="29" t="str">
        <f>IF(Analysis!$I357="","",IF(Analysis!$I357="Loyal but shallow",Analysis!$C357,""))</f>
        <v/>
      </c>
      <c r="G357" s="29" t="str">
        <f>IF(Analysis!$I357="","",IF(Analysis!$I357="Project-driven",Analysis!$C357,""))</f>
        <v/>
      </c>
      <c r="H357" s="29" t="str">
        <f>IF(Analysis!$I357="","",IF(Analysis!$I357="Drifting",Analysis!$C357,""))</f>
        <v/>
      </c>
      <c r="I357" s="29" t="str">
        <f>IF(Analysis!$I357="","",IF(Analysis!$I357="Embedded",Analysis!$F357,""))</f>
        <v/>
      </c>
      <c r="J357" s="29" t="str">
        <f>IF(Analysis!$I357="","",IF(Analysis!$I357="Loyal but shallow",Analysis!$F357,""))</f>
        <v/>
      </c>
      <c r="K357" s="29" t="str">
        <f>IF(Analysis!$I357="","",IF(Analysis!$I357="Project-driven",Analysis!$F357,""))</f>
        <v/>
      </c>
      <c r="L357" s="29" t="str">
        <f>IF(Analysis!$I357="","",IF(Analysis!$I357="Drifting",Analysis!$F357,""))</f>
        <v/>
      </c>
      <c r="M357" s="29" t="str">
        <f>IF(Analysis!$I357="","",IF(Analysis!$I357="Embedded",Analysis!$H357,""))</f>
        <v/>
      </c>
      <c r="N357" s="29" t="str">
        <f>IF(Analysis!$I357="","",IF(Analysis!$I357="Loyal but shallow",Analysis!$H357,""))</f>
        <v/>
      </c>
      <c r="O357" s="29" t="str">
        <f>IF(Analysis!$I357="","",IF(Analysis!$I357="Project-driven",Analysis!$H357,""))</f>
        <v/>
      </c>
      <c r="P357" s="29" t="str">
        <f>IF(Analysis!$I357="","",IF(Analysis!$I357="Drifting",Analysis!$H357,""))</f>
        <v/>
      </c>
    </row>
    <row r="358" spans="1:16" x14ac:dyDescent="0.25">
      <c r="A358" s="29" t="str">
        <f>IF(Analysis!$I358="","",IF(Analysis!$I358="Embedded",Analysis!$D358,""))</f>
        <v/>
      </c>
      <c r="B358" s="29" t="str">
        <f>IF(Analysis!$I358="","",IF(Analysis!$I358="Loyal but shallow",Analysis!$D358,""))</f>
        <v/>
      </c>
      <c r="C358" s="29" t="str">
        <f>IF(Analysis!$I358="","",IF(Analysis!$I358="Project-driven",Analysis!$D358,""))</f>
        <v/>
      </c>
      <c r="D358" s="29" t="str">
        <f>IF(Analysis!$I358="","",IF(Analysis!$I358="Drifting",Analysis!$D358,""))</f>
        <v/>
      </c>
      <c r="E358" s="29" t="str">
        <f>IF(Analysis!$I358="","",IF(Analysis!$I358="Embedded",Analysis!$C358,""))</f>
        <v/>
      </c>
      <c r="F358" s="29" t="str">
        <f>IF(Analysis!$I358="","",IF(Analysis!$I358="Loyal but shallow",Analysis!$C358,""))</f>
        <v/>
      </c>
      <c r="G358" s="29" t="str">
        <f>IF(Analysis!$I358="","",IF(Analysis!$I358="Project-driven",Analysis!$C358,""))</f>
        <v/>
      </c>
      <c r="H358" s="29" t="str">
        <f>IF(Analysis!$I358="","",IF(Analysis!$I358="Drifting",Analysis!$C358,""))</f>
        <v/>
      </c>
      <c r="I358" s="29" t="str">
        <f>IF(Analysis!$I358="","",IF(Analysis!$I358="Embedded",Analysis!$F358,""))</f>
        <v/>
      </c>
      <c r="J358" s="29" t="str">
        <f>IF(Analysis!$I358="","",IF(Analysis!$I358="Loyal but shallow",Analysis!$F358,""))</f>
        <v/>
      </c>
      <c r="K358" s="29" t="str">
        <f>IF(Analysis!$I358="","",IF(Analysis!$I358="Project-driven",Analysis!$F358,""))</f>
        <v/>
      </c>
      <c r="L358" s="29" t="str">
        <f>IF(Analysis!$I358="","",IF(Analysis!$I358="Drifting",Analysis!$F358,""))</f>
        <v/>
      </c>
      <c r="M358" s="29" t="str">
        <f>IF(Analysis!$I358="","",IF(Analysis!$I358="Embedded",Analysis!$H358,""))</f>
        <v/>
      </c>
      <c r="N358" s="29" t="str">
        <f>IF(Analysis!$I358="","",IF(Analysis!$I358="Loyal but shallow",Analysis!$H358,""))</f>
        <v/>
      </c>
      <c r="O358" s="29" t="str">
        <f>IF(Analysis!$I358="","",IF(Analysis!$I358="Project-driven",Analysis!$H358,""))</f>
        <v/>
      </c>
      <c r="P358" s="29" t="str">
        <f>IF(Analysis!$I358="","",IF(Analysis!$I358="Drifting",Analysis!$H358,""))</f>
        <v/>
      </c>
    </row>
    <row r="359" spans="1:16" x14ac:dyDescent="0.25">
      <c r="A359" s="29" t="str">
        <f>IF(Analysis!$I359="","",IF(Analysis!$I359="Embedded",Analysis!$D359,""))</f>
        <v/>
      </c>
      <c r="B359" s="29" t="str">
        <f>IF(Analysis!$I359="","",IF(Analysis!$I359="Loyal but shallow",Analysis!$D359,""))</f>
        <v/>
      </c>
      <c r="C359" s="29" t="str">
        <f>IF(Analysis!$I359="","",IF(Analysis!$I359="Project-driven",Analysis!$D359,""))</f>
        <v/>
      </c>
      <c r="D359" s="29" t="str">
        <f>IF(Analysis!$I359="","",IF(Analysis!$I359="Drifting",Analysis!$D359,""))</f>
        <v/>
      </c>
      <c r="E359" s="29" t="str">
        <f>IF(Analysis!$I359="","",IF(Analysis!$I359="Embedded",Analysis!$C359,""))</f>
        <v/>
      </c>
      <c r="F359" s="29" t="str">
        <f>IF(Analysis!$I359="","",IF(Analysis!$I359="Loyal but shallow",Analysis!$C359,""))</f>
        <v/>
      </c>
      <c r="G359" s="29" t="str">
        <f>IF(Analysis!$I359="","",IF(Analysis!$I359="Project-driven",Analysis!$C359,""))</f>
        <v/>
      </c>
      <c r="H359" s="29" t="str">
        <f>IF(Analysis!$I359="","",IF(Analysis!$I359="Drifting",Analysis!$C359,""))</f>
        <v/>
      </c>
      <c r="I359" s="29" t="str">
        <f>IF(Analysis!$I359="","",IF(Analysis!$I359="Embedded",Analysis!$F359,""))</f>
        <v/>
      </c>
      <c r="J359" s="29" t="str">
        <f>IF(Analysis!$I359="","",IF(Analysis!$I359="Loyal but shallow",Analysis!$F359,""))</f>
        <v/>
      </c>
      <c r="K359" s="29" t="str">
        <f>IF(Analysis!$I359="","",IF(Analysis!$I359="Project-driven",Analysis!$F359,""))</f>
        <v/>
      </c>
      <c r="L359" s="29" t="str">
        <f>IF(Analysis!$I359="","",IF(Analysis!$I359="Drifting",Analysis!$F359,""))</f>
        <v/>
      </c>
      <c r="M359" s="29" t="str">
        <f>IF(Analysis!$I359="","",IF(Analysis!$I359="Embedded",Analysis!$H359,""))</f>
        <v/>
      </c>
      <c r="N359" s="29" t="str">
        <f>IF(Analysis!$I359="","",IF(Analysis!$I359="Loyal but shallow",Analysis!$H359,""))</f>
        <v/>
      </c>
      <c r="O359" s="29" t="str">
        <f>IF(Analysis!$I359="","",IF(Analysis!$I359="Project-driven",Analysis!$H359,""))</f>
        <v/>
      </c>
      <c r="P359" s="29" t="str">
        <f>IF(Analysis!$I359="","",IF(Analysis!$I359="Drifting",Analysis!$H359,""))</f>
        <v/>
      </c>
    </row>
    <row r="360" spans="1:16" x14ac:dyDescent="0.25">
      <c r="A360" s="29" t="str">
        <f>IF(Analysis!$I360="","",IF(Analysis!$I360="Embedded",Analysis!$D360,""))</f>
        <v/>
      </c>
      <c r="B360" s="29" t="str">
        <f>IF(Analysis!$I360="","",IF(Analysis!$I360="Loyal but shallow",Analysis!$D360,""))</f>
        <v/>
      </c>
      <c r="C360" s="29" t="str">
        <f>IF(Analysis!$I360="","",IF(Analysis!$I360="Project-driven",Analysis!$D360,""))</f>
        <v/>
      </c>
      <c r="D360" s="29" t="str">
        <f>IF(Analysis!$I360="","",IF(Analysis!$I360="Drifting",Analysis!$D360,""))</f>
        <v/>
      </c>
      <c r="E360" s="29" t="str">
        <f>IF(Analysis!$I360="","",IF(Analysis!$I360="Embedded",Analysis!$C360,""))</f>
        <v/>
      </c>
      <c r="F360" s="29" t="str">
        <f>IF(Analysis!$I360="","",IF(Analysis!$I360="Loyal but shallow",Analysis!$C360,""))</f>
        <v/>
      </c>
      <c r="G360" s="29" t="str">
        <f>IF(Analysis!$I360="","",IF(Analysis!$I360="Project-driven",Analysis!$C360,""))</f>
        <v/>
      </c>
      <c r="H360" s="29" t="str">
        <f>IF(Analysis!$I360="","",IF(Analysis!$I360="Drifting",Analysis!$C360,""))</f>
        <v/>
      </c>
      <c r="I360" s="29" t="str">
        <f>IF(Analysis!$I360="","",IF(Analysis!$I360="Embedded",Analysis!$F360,""))</f>
        <v/>
      </c>
      <c r="J360" s="29" t="str">
        <f>IF(Analysis!$I360="","",IF(Analysis!$I360="Loyal but shallow",Analysis!$F360,""))</f>
        <v/>
      </c>
      <c r="K360" s="29" t="str">
        <f>IF(Analysis!$I360="","",IF(Analysis!$I360="Project-driven",Analysis!$F360,""))</f>
        <v/>
      </c>
      <c r="L360" s="29" t="str">
        <f>IF(Analysis!$I360="","",IF(Analysis!$I360="Drifting",Analysis!$F360,""))</f>
        <v/>
      </c>
      <c r="M360" s="29" t="str">
        <f>IF(Analysis!$I360="","",IF(Analysis!$I360="Embedded",Analysis!$H360,""))</f>
        <v/>
      </c>
      <c r="N360" s="29" t="str">
        <f>IF(Analysis!$I360="","",IF(Analysis!$I360="Loyal but shallow",Analysis!$H360,""))</f>
        <v/>
      </c>
      <c r="O360" s="29" t="str">
        <f>IF(Analysis!$I360="","",IF(Analysis!$I360="Project-driven",Analysis!$H360,""))</f>
        <v/>
      </c>
      <c r="P360" s="29" t="str">
        <f>IF(Analysis!$I360="","",IF(Analysis!$I360="Drifting",Analysis!$H360,""))</f>
        <v/>
      </c>
    </row>
    <row r="361" spans="1:16" x14ac:dyDescent="0.25">
      <c r="A361" s="29" t="str">
        <f>IF(Analysis!$I361="","",IF(Analysis!$I361="Embedded",Analysis!$D361,""))</f>
        <v/>
      </c>
      <c r="B361" s="29" t="str">
        <f>IF(Analysis!$I361="","",IF(Analysis!$I361="Loyal but shallow",Analysis!$D361,""))</f>
        <v/>
      </c>
      <c r="C361" s="29" t="str">
        <f>IF(Analysis!$I361="","",IF(Analysis!$I361="Project-driven",Analysis!$D361,""))</f>
        <v/>
      </c>
      <c r="D361" s="29" t="str">
        <f>IF(Analysis!$I361="","",IF(Analysis!$I361="Drifting",Analysis!$D361,""))</f>
        <v/>
      </c>
      <c r="E361" s="29" t="str">
        <f>IF(Analysis!$I361="","",IF(Analysis!$I361="Embedded",Analysis!$C361,""))</f>
        <v/>
      </c>
      <c r="F361" s="29" t="str">
        <f>IF(Analysis!$I361="","",IF(Analysis!$I361="Loyal but shallow",Analysis!$C361,""))</f>
        <v/>
      </c>
      <c r="G361" s="29" t="str">
        <f>IF(Analysis!$I361="","",IF(Analysis!$I361="Project-driven",Analysis!$C361,""))</f>
        <v/>
      </c>
      <c r="H361" s="29" t="str">
        <f>IF(Analysis!$I361="","",IF(Analysis!$I361="Drifting",Analysis!$C361,""))</f>
        <v/>
      </c>
      <c r="I361" s="29" t="str">
        <f>IF(Analysis!$I361="","",IF(Analysis!$I361="Embedded",Analysis!$F361,""))</f>
        <v/>
      </c>
      <c r="J361" s="29" t="str">
        <f>IF(Analysis!$I361="","",IF(Analysis!$I361="Loyal but shallow",Analysis!$F361,""))</f>
        <v/>
      </c>
      <c r="K361" s="29" t="str">
        <f>IF(Analysis!$I361="","",IF(Analysis!$I361="Project-driven",Analysis!$F361,""))</f>
        <v/>
      </c>
      <c r="L361" s="29" t="str">
        <f>IF(Analysis!$I361="","",IF(Analysis!$I361="Drifting",Analysis!$F361,""))</f>
        <v/>
      </c>
      <c r="M361" s="29" t="str">
        <f>IF(Analysis!$I361="","",IF(Analysis!$I361="Embedded",Analysis!$H361,""))</f>
        <v/>
      </c>
      <c r="N361" s="29" t="str">
        <f>IF(Analysis!$I361="","",IF(Analysis!$I361="Loyal but shallow",Analysis!$H361,""))</f>
        <v/>
      </c>
      <c r="O361" s="29" t="str">
        <f>IF(Analysis!$I361="","",IF(Analysis!$I361="Project-driven",Analysis!$H361,""))</f>
        <v/>
      </c>
      <c r="P361" s="29" t="str">
        <f>IF(Analysis!$I361="","",IF(Analysis!$I361="Drifting",Analysis!$H361,""))</f>
        <v/>
      </c>
    </row>
    <row r="362" spans="1:16" x14ac:dyDescent="0.25">
      <c r="A362" s="29" t="str">
        <f>IF(Analysis!$I362="","",IF(Analysis!$I362="Embedded",Analysis!$D362,""))</f>
        <v/>
      </c>
      <c r="B362" s="29" t="str">
        <f>IF(Analysis!$I362="","",IF(Analysis!$I362="Loyal but shallow",Analysis!$D362,""))</f>
        <v/>
      </c>
      <c r="C362" s="29" t="str">
        <f>IF(Analysis!$I362="","",IF(Analysis!$I362="Project-driven",Analysis!$D362,""))</f>
        <v/>
      </c>
      <c r="D362" s="29" t="str">
        <f>IF(Analysis!$I362="","",IF(Analysis!$I362="Drifting",Analysis!$D362,""))</f>
        <v/>
      </c>
      <c r="E362" s="29" t="str">
        <f>IF(Analysis!$I362="","",IF(Analysis!$I362="Embedded",Analysis!$C362,""))</f>
        <v/>
      </c>
      <c r="F362" s="29" t="str">
        <f>IF(Analysis!$I362="","",IF(Analysis!$I362="Loyal but shallow",Analysis!$C362,""))</f>
        <v/>
      </c>
      <c r="G362" s="29" t="str">
        <f>IF(Analysis!$I362="","",IF(Analysis!$I362="Project-driven",Analysis!$C362,""))</f>
        <v/>
      </c>
      <c r="H362" s="29" t="str">
        <f>IF(Analysis!$I362="","",IF(Analysis!$I362="Drifting",Analysis!$C362,""))</f>
        <v/>
      </c>
      <c r="I362" s="29" t="str">
        <f>IF(Analysis!$I362="","",IF(Analysis!$I362="Embedded",Analysis!$F362,""))</f>
        <v/>
      </c>
      <c r="J362" s="29" t="str">
        <f>IF(Analysis!$I362="","",IF(Analysis!$I362="Loyal but shallow",Analysis!$F362,""))</f>
        <v/>
      </c>
      <c r="K362" s="29" t="str">
        <f>IF(Analysis!$I362="","",IF(Analysis!$I362="Project-driven",Analysis!$F362,""))</f>
        <v/>
      </c>
      <c r="L362" s="29" t="str">
        <f>IF(Analysis!$I362="","",IF(Analysis!$I362="Drifting",Analysis!$F362,""))</f>
        <v/>
      </c>
      <c r="M362" s="29" t="str">
        <f>IF(Analysis!$I362="","",IF(Analysis!$I362="Embedded",Analysis!$H362,""))</f>
        <v/>
      </c>
      <c r="N362" s="29" t="str">
        <f>IF(Analysis!$I362="","",IF(Analysis!$I362="Loyal but shallow",Analysis!$H362,""))</f>
        <v/>
      </c>
      <c r="O362" s="29" t="str">
        <f>IF(Analysis!$I362="","",IF(Analysis!$I362="Project-driven",Analysis!$H362,""))</f>
        <v/>
      </c>
      <c r="P362" s="29" t="str">
        <f>IF(Analysis!$I362="","",IF(Analysis!$I362="Drifting",Analysis!$H362,""))</f>
        <v/>
      </c>
    </row>
    <row r="363" spans="1:16" x14ac:dyDescent="0.25">
      <c r="A363" s="29" t="str">
        <f>IF(Analysis!$I363="","",IF(Analysis!$I363="Embedded",Analysis!$D363,""))</f>
        <v/>
      </c>
      <c r="B363" s="29" t="str">
        <f>IF(Analysis!$I363="","",IF(Analysis!$I363="Loyal but shallow",Analysis!$D363,""))</f>
        <v/>
      </c>
      <c r="C363" s="29" t="str">
        <f>IF(Analysis!$I363="","",IF(Analysis!$I363="Project-driven",Analysis!$D363,""))</f>
        <v/>
      </c>
      <c r="D363" s="29" t="str">
        <f>IF(Analysis!$I363="","",IF(Analysis!$I363="Drifting",Analysis!$D363,""))</f>
        <v/>
      </c>
      <c r="E363" s="29" t="str">
        <f>IF(Analysis!$I363="","",IF(Analysis!$I363="Embedded",Analysis!$C363,""))</f>
        <v/>
      </c>
      <c r="F363" s="29" t="str">
        <f>IF(Analysis!$I363="","",IF(Analysis!$I363="Loyal but shallow",Analysis!$C363,""))</f>
        <v/>
      </c>
      <c r="G363" s="29" t="str">
        <f>IF(Analysis!$I363="","",IF(Analysis!$I363="Project-driven",Analysis!$C363,""))</f>
        <v/>
      </c>
      <c r="H363" s="29" t="str">
        <f>IF(Analysis!$I363="","",IF(Analysis!$I363="Drifting",Analysis!$C363,""))</f>
        <v/>
      </c>
      <c r="I363" s="29" t="str">
        <f>IF(Analysis!$I363="","",IF(Analysis!$I363="Embedded",Analysis!$F363,""))</f>
        <v/>
      </c>
      <c r="J363" s="29" t="str">
        <f>IF(Analysis!$I363="","",IF(Analysis!$I363="Loyal but shallow",Analysis!$F363,""))</f>
        <v/>
      </c>
      <c r="K363" s="29" t="str">
        <f>IF(Analysis!$I363="","",IF(Analysis!$I363="Project-driven",Analysis!$F363,""))</f>
        <v/>
      </c>
      <c r="L363" s="29" t="str">
        <f>IF(Analysis!$I363="","",IF(Analysis!$I363="Drifting",Analysis!$F363,""))</f>
        <v/>
      </c>
      <c r="M363" s="29" t="str">
        <f>IF(Analysis!$I363="","",IF(Analysis!$I363="Embedded",Analysis!$H363,""))</f>
        <v/>
      </c>
      <c r="N363" s="29" t="str">
        <f>IF(Analysis!$I363="","",IF(Analysis!$I363="Loyal but shallow",Analysis!$H363,""))</f>
        <v/>
      </c>
      <c r="O363" s="29" t="str">
        <f>IF(Analysis!$I363="","",IF(Analysis!$I363="Project-driven",Analysis!$H363,""))</f>
        <v/>
      </c>
      <c r="P363" s="29" t="str">
        <f>IF(Analysis!$I363="","",IF(Analysis!$I363="Drifting",Analysis!$H363,""))</f>
        <v/>
      </c>
    </row>
    <row r="364" spans="1:16" x14ac:dyDescent="0.25">
      <c r="A364" s="29" t="str">
        <f>IF(Analysis!$I364="","",IF(Analysis!$I364="Embedded",Analysis!$D364,""))</f>
        <v/>
      </c>
      <c r="B364" s="29" t="str">
        <f>IF(Analysis!$I364="","",IF(Analysis!$I364="Loyal but shallow",Analysis!$D364,""))</f>
        <v/>
      </c>
      <c r="C364" s="29" t="str">
        <f>IF(Analysis!$I364="","",IF(Analysis!$I364="Project-driven",Analysis!$D364,""))</f>
        <v/>
      </c>
      <c r="D364" s="29" t="str">
        <f>IF(Analysis!$I364="","",IF(Analysis!$I364="Drifting",Analysis!$D364,""))</f>
        <v/>
      </c>
      <c r="E364" s="29" t="str">
        <f>IF(Analysis!$I364="","",IF(Analysis!$I364="Embedded",Analysis!$C364,""))</f>
        <v/>
      </c>
      <c r="F364" s="29" t="str">
        <f>IF(Analysis!$I364="","",IF(Analysis!$I364="Loyal but shallow",Analysis!$C364,""))</f>
        <v/>
      </c>
      <c r="G364" s="29" t="str">
        <f>IF(Analysis!$I364="","",IF(Analysis!$I364="Project-driven",Analysis!$C364,""))</f>
        <v/>
      </c>
      <c r="H364" s="29" t="str">
        <f>IF(Analysis!$I364="","",IF(Analysis!$I364="Drifting",Analysis!$C364,""))</f>
        <v/>
      </c>
      <c r="I364" s="29" t="str">
        <f>IF(Analysis!$I364="","",IF(Analysis!$I364="Embedded",Analysis!$F364,""))</f>
        <v/>
      </c>
      <c r="J364" s="29" t="str">
        <f>IF(Analysis!$I364="","",IF(Analysis!$I364="Loyal but shallow",Analysis!$F364,""))</f>
        <v/>
      </c>
      <c r="K364" s="29" t="str">
        <f>IF(Analysis!$I364="","",IF(Analysis!$I364="Project-driven",Analysis!$F364,""))</f>
        <v/>
      </c>
      <c r="L364" s="29" t="str">
        <f>IF(Analysis!$I364="","",IF(Analysis!$I364="Drifting",Analysis!$F364,""))</f>
        <v/>
      </c>
      <c r="M364" s="29" t="str">
        <f>IF(Analysis!$I364="","",IF(Analysis!$I364="Embedded",Analysis!$H364,""))</f>
        <v/>
      </c>
      <c r="N364" s="29" t="str">
        <f>IF(Analysis!$I364="","",IF(Analysis!$I364="Loyal but shallow",Analysis!$H364,""))</f>
        <v/>
      </c>
      <c r="O364" s="29" t="str">
        <f>IF(Analysis!$I364="","",IF(Analysis!$I364="Project-driven",Analysis!$H364,""))</f>
        <v/>
      </c>
      <c r="P364" s="29" t="str">
        <f>IF(Analysis!$I364="","",IF(Analysis!$I364="Drifting",Analysis!$H364,""))</f>
        <v/>
      </c>
    </row>
    <row r="365" spans="1:16" x14ac:dyDescent="0.25">
      <c r="A365" s="29" t="str">
        <f>IF(Analysis!$I365="","",IF(Analysis!$I365="Embedded",Analysis!$D365,""))</f>
        <v/>
      </c>
      <c r="B365" s="29" t="str">
        <f>IF(Analysis!$I365="","",IF(Analysis!$I365="Loyal but shallow",Analysis!$D365,""))</f>
        <v/>
      </c>
      <c r="C365" s="29" t="str">
        <f>IF(Analysis!$I365="","",IF(Analysis!$I365="Project-driven",Analysis!$D365,""))</f>
        <v/>
      </c>
      <c r="D365" s="29" t="str">
        <f>IF(Analysis!$I365="","",IF(Analysis!$I365="Drifting",Analysis!$D365,""))</f>
        <v/>
      </c>
      <c r="E365" s="29" t="str">
        <f>IF(Analysis!$I365="","",IF(Analysis!$I365="Embedded",Analysis!$C365,""))</f>
        <v/>
      </c>
      <c r="F365" s="29" t="str">
        <f>IF(Analysis!$I365="","",IF(Analysis!$I365="Loyal but shallow",Analysis!$C365,""))</f>
        <v/>
      </c>
      <c r="G365" s="29" t="str">
        <f>IF(Analysis!$I365="","",IF(Analysis!$I365="Project-driven",Analysis!$C365,""))</f>
        <v/>
      </c>
      <c r="H365" s="29" t="str">
        <f>IF(Analysis!$I365="","",IF(Analysis!$I365="Drifting",Analysis!$C365,""))</f>
        <v/>
      </c>
      <c r="I365" s="29" t="str">
        <f>IF(Analysis!$I365="","",IF(Analysis!$I365="Embedded",Analysis!$F365,""))</f>
        <v/>
      </c>
      <c r="J365" s="29" t="str">
        <f>IF(Analysis!$I365="","",IF(Analysis!$I365="Loyal but shallow",Analysis!$F365,""))</f>
        <v/>
      </c>
      <c r="K365" s="29" t="str">
        <f>IF(Analysis!$I365="","",IF(Analysis!$I365="Project-driven",Analysis!$F365,""))</f>
        <v/>
      </c>
      <c r="L365" s="29" t="str">
        <f>IF(Analysis!$I365="","",IF(Analysis!$I365="Drifting",Analysis!$F365,""))</f>
        <v/>
      </c>
      <c r="M365" s="29" t="str">
        <f>IF(Analysis!$I365="","",IF(Analysis!$I365="Embedded",Analysis!$H365,""))</f>
        <v/>
      </c>
      <c r="N365" s="29" t="str">
        <f>IF(Analysis!$I365="","",IF(Analysis!$I365="Loyal but shallow",Analysis!$H365,""))</f>
        <v/>
      </c>
      <c r="O365" s="29" t="str">
        <f>IF(Analysis!$I365="","",IF(Analysis!$I365="Project-driven",Analysis!$H365,""))</f>
        <v/>
      </c>
      <c r="P365" s="29" t="str">
        <f>IF(Analysis!$I365="","",IF(Analysis!$I365="Drifting",Analysis!$H365,""))</f>
        <v/>
      </c>
    </row>
    <row r="366" spans="1:16" x14ac:dyDescent="0.25">
      <c r="A366" s="29" t="str">
        <f>IF(Analysis!$I366="","",IF(Analysis!$I366="Embedded",Analysis!$D366,""))</f>
        <v/>
      </c>
      <c r="B366" s="29" t="str">
        <f>IF(Analysis!$I366="","",IF(Analysis!$I366="Loyal but shallow",Analysis!$D366,""))</f>
        <v/>
      </c>
      <c r="C366" s="29" t="str">
        <f>IF(Analysis!$I366="","",IF(Analysis!$I366="Project-driven",Analysis!$D366,""))</f>
        <v/>
      </c>
      <c r="D366" s="29" t="str">
        <f>IF(Analysis!$I366="","",IF(Analysis!$I366="Drifting",Analysis!$D366,""))</f>
        <v/>
      </c>
      <c r="E366" s="29" t="str">
        <f>IF(Analysis!$I366="","",IF(Analysis!$I366="Embedded",Analysis!$C366,""))</f>
        <v/>
      </c>
      <c r="F366" s="29" t="str">
        <f>IF(Analysis!$I366="","",IF(Analysis!$I366="Loyal but shallow",Analysis!$C366,""))</f>
        <v/>
      </c>
      <c r="G366" s="29" t="str">
        <f>IF(Analysis!$I366="","",IF(Analysis!$I366="Project-driven",Analysis!$C366,""))</f>
        <v/>
      </c>
      <c r="H366" s="29" t="str">
        <f>IF(Analysis!$I366="","",IF(Analysis!$I366="Drifting",Analysis!$C366,""))</f>
        <v/>
      </c>
      <c r="I366" s="29" t="str">
        <f>IF(Analysis!$I366="","",IF(Analysis!$I366="Embedded",Analysis!$F366,""))</f>
        <v/>
      </c>
      <c r="J366" s="29" t="str">
        <f>IF(Analysis!$I366="","",IF(Analysis!$I366="Loyal but shallow",Analysis!$F366,""))</f>
        <v/>
      </c>
      <c r="K366" s="29" t="str">
        <f>IF(Analysis!$I366="","",IF(Analysis!$I366="Project-driven",Analysis!$F366,""))</f>
        <v/>
      </c>
      <c r="L366" s="29" t="str">
        <f>IF(Analysis!$I366="","",IF(Analysis!$I366="Drifting",Analysis!$F366,""))</f>
        <v/>
      </c>
      <c r="M366" s="29" t="str">
        <f>IF(Analysis!$I366="","",IF(Analysis!$I366="Embedded",Analysis!$H366,""))</f>
        <v/>
      </c>
      <c r="N366" s="29" t="str">
        <f>IF(Analysis!$I366="","",IF(Analysis!$I366="Loyal but shallow",Analysis!$H366,""))</f>
        <v/>
      </c>
      <c r="O366" s="29" t="str">
        <f>IF(Analysis!$I366="","",IF(Analysis!$I366="Project-driven",Analysis!$H366,""))</f>
        <v/>
      </c>
      <c r="P366" s="29" t="str">
        <f>IF(Analysis!$I366="","",IF(Analysis!$I366="Drifting",Analysis!$H366,""))</f>
        <v/>
      </c>
    </row>
    <row r="367" spans="1:16" x14ac:dyDescent="0.25">
      <c r="A367" s="29" t="str">
        <f>IF(Analysis!$I367="","",IF(Analysis!$I367="Embedded",Analysis!$D367,""))</f>
        <v/>
      </c>
      <c r="B367" s="29" t="str">
        <f>IF(Analysis!$I367="","",IF(Analysis!$I367="Loyal but shallow",Analysis!$D367,""))</f>
        <v/>
      </c>
      <c r="C367" s="29" t="str">
        <f>IF(Analysis!$I367="","",IF(Analysis!$I367="Project-driven",Analysis!$D367,""))</f>
        <v/>
      </c>
      <c r="D367" s="29" t="str">
        <f>IF(Analysis!$I367="","",IF(Analysis!$I367="Drifting",Analysis!$D367,""))</f>
        <v/>
      </c>
      <c r="E367" s="29" t="str">
        <f>IF(Analysis!$I367="","",IF(Analysis!$I367="Embedded",Analysis!$C367,""))</f>
        <v/>
      </c>
      <c r="F367" s="29" t="str">
        <f>IF(Analysis!$I367="","",IF(Analysis!$I367="Loyal but shallow",Analysis!$C367,""))</f>
        <v/>
      </c>
      <c r="G367" s="29" t="str">
        <f>IF(Analysis!$I367="","",IF(Analysis!$I367="Project-driven",Analysis!$C367,""))</f>
        <v/>
      </c>
      <c r="H367" s="29" t="str">
        <f>IF(Analysis!$I367="","",IF(Analysis!$I367="Drifting",Analysis!$C367,""))</f>
        <v/>
      </c>
      <c r="I367" s="29" t="str">
        <f>IF(Analysis!$I367="","",IF(Analysis!$I367="Embedded",Analysis!$F367,""))</f>
        <v/>
      </c>
      <c r="J367" s="29" t="str">
        <f>IF(Analysis!$I367="","",IF(Analysis!$I367="Loyal but shallow",Analysis!$F367,""))</f>
        <v/>
      </c>
      <c r="K367" s="29" t="str">
        <f>IF(Analysis!$I367="","",IF(Analysis!$I367="Project-driven",Analysis!$F367,""))</f>
        <v/>
      </c>
      <c r="L367" s="29" t="str">
        <f>IF(Analysis!$I367="","",IF(Analysis!$I367="Drifting",Analysis!$F367,""))</f>
        <v/>
      </c>
      <c r="M367" s="29" t="str">
        <f>IF(Analysis!$I367="","",IF(Analysis!$I367="Embedded",Analysis!$H367,""))</f>
        <v/>
      </c>
      <c r="N367" s="29" t="str">
        <f>IF(Analysis!$I367="","",IF(Analysis!$I367="Loyal but shallow",Analysis!$H367,""))</f>
        <v/>
      </c>
      <c r="O367" s="29" t="str">
        <f>IF(Analysis!$I367="","",IF(Analysis!$I367="Project-driven",Analysis!$H367,""))</f>
        <v/>
      </c>
      <c r="P367" s="29" t="str">
        <f>IF(Analysis!$I367="","",IF(Analysis!$I367="Drifting",Analysis!$H367,""))</f>
        <v/>
      </c>
    </row>
    <row r="368" spans="1:16" x14ac:dyDescent="0.25">
      <c r="A368" s="29" t="str">
        <f>IF(Analysis!$I368="","",IF(Analysis!$I368="Embedded",Analysis!$D368,""))</f>
        <v/>
      </c>
      <c r="B368" s="29" t="str">
        <f>IF(Analysis!$I368="","",IF(Analysis!$I368="Loyal but shallow",Analysis!$D368,""))</f>
        <v/>
      </c>
      <c r="C368" s="29" t="str">
        <f>IF(Analysis!$I368="","",IF(Analysis!$I368="Project-driven",Analysis!$D368,""))</f>
        <v/>
      </c>
      <c r="D368" s="29" t="str">
        <f>IF(Analysis!$I368="","",IF(Analysis!$I368="Drifting",Analysis!$D368,""))</f>
        <v/>
      </c>
      <c r="E368" s="29" t="str">
        <f>IF(Analysis!$I368="","",IF(Analysis!$I368="Embedded",Analysis!$C368,""))</f>
        <v/>
      </c>
      <c r="F368" s="29" t="str">
        <f>IF(Analysis!$I368="","",IF(Analysis!$I368="Loyal but shallow",Analysis!$C368,""))</f>
        <v/>
      </c>
      <c r="G368" s="29" t="str">
        <f>IF(Analysis!$I368="","",IF(Analysis!$I368="Project-driven",Analysis!$C368,""))</f>
        <v/>
      </c>
      <c r="H368" s="29" t="str">
        <f>IF(Analysis!$I368="","",IF(Analysis!$I368="Drifting",Analysis!$C368,""))</f>
        <v/>
      </c>
      <c r="I368" s="29" t="str">
        <f>IF(Analysis!$I368="","",IF(Analysis!$I368="Embedded",Analysis!$F368,""))</f>
        <v/>
      </c>
      <c r="J368" s="29" t="str">
        <f>IF(Analysis!$I368="","",IF(Analysis!$I368="Loyal but shallow",Analysis!$F368,""))</f>
        <v/>
      </c>
      <c r="K368" s="29" t="str">
        <f>IF(Analysis!$I368="","",IF(Analysis!$I368="Project-driven",Analysis!$F368,""))</f>
        <v/>
      </c>
      <c r="L368" s="29" t="str">
        <f>IF(Analysis!$I368="","",IF(Analysis!$I368="Drifting",Analysis!$F368,""))</f>
        <v/>
      </c>
      <c r="M368" s="29" t="str">
        <f>IF(Analysis!$I368="","",IF(Analysis!$I368="Embedded",Analysis!$H368,""))</f>
        <v/>
      </c>
      <c r="N368" s="29" t="str">
        <f>IF(Analysis!$I368="","",IF(Analysis!$I368="Loyal but shallow",Analysis!$H368,""))</f>
        <v/>
      </c>
      <c r="O368" s="29" t="str">
        <f>IF(Analysis!$I368="","",IF(Analysis!$I368="Project-driven",Analysis!$H368,""))</f>
        <v/>
      </c>
      <c r="P368" s="29" t="str">
        <f>IF(Analysis!$I368="","",IF(Analysis!$I368="Drifting",Analysis!$H368,""))</f>
        <v/>
      </c>
    </row>
    <row r="369" spans="1:16" x14ac:dyDescent="0.25">
      <c r="A369" s="29" t="str">
        <f>IF(Analysis!$I369="","",IF(Analysis!$I369="Embedded",Analysis!$D369,""))</f>
        <v/>
      </c>
      <c r="B369" s="29" t="str">
        <f>IF(Analysis!$I369="","",IF(Analysis!$I369="Loyal but shallow",Analysis!$D369,""))</f>
        <v/>
      </c>
      <c r="C369" s="29" t="str">
        <f>IF(Analysis!$I369="","",IF(Analysis!$I369="Project-driven",Analysis!$D369,""))</f>
        <v/>
      </c>
      <c r="D369" s="29" t="str">
        <f>IF(Analysis!$I369="","",IF(Analysis!$I369="Drifting",Analysis!$D369,""))</f>
        <v/>
      </c>
      <c r="E369" s="29" t="str">
        <f>IF(Analysis!$I369="","",IF(Analysis!$I369="Embedded",Analysis!$C369,""))</f>
        <v/>
      </c>
      <c r="F369" s="29" t="str">
        <f>IF(Analysis!$I369="","",IF(Analysis!$I369="Loyal but shallow",Analysis!$C369,""))</f>
        <v/>
      </c>
      <c r="G369" s="29" t="str">
        <f>IF(Analysis!$I369="","",IF(Analysis!$I369="Project-driven",Analysis!$C369,""))</f>
        <v/>
      </c>
      <c r="H369" s="29" t="str">
        <f>IF(Analysis!$I369="","",IF(Analysis!$I369="Drifting",Analysis!$C369,""))</f>
        <v/>
      </c>
      <c r="I369" s="29" t="str">
        <f>IF(Analysis!$I369="","",IF(Analysis!$I369="Embedded",Analysis!$F369,""))</f>
        <v/>
      </c>
      <c r="J369" s="29" t="str">
        <f>IF(Analysis!$I369="","",IF(Analysis!$I369="Loyal but shallow",Analysis!$F369,""))</f>
        <v/>
      </c>
      <c r="K369" s="29" t="str">
        <f>IF(Analysis!$I369="","",IF(Analysis!$I369="Project-driven",Analysis!$F369,""))</f>
        <v/>
      </c>
      <c r="L369" s="29" t="str">
        <f>IF(Analysis!$I369="","",IF(Analysis!$I369="Drifting",Analysis!$F369,""))</f>
        <v/>
      </c>
      <c r="M369" s="29" t="str">
        <f>IF(Analysis!$I369="","",IF(Analysis!$I369="Embedded",Analysis!$H369,""))</f>
        <v/>
      </c>
      <c r="N369" s="29" t="str">
        <f>IF(Analysis!$I369="","",IF(Analysis!$I369="Loyal but shallow",Analysis!$H369,""))</f>
        <v/>
      </c>
      <c r="O369" s="29" t="str">
        <f>IF(Analysis!$I369="","",IF(Analysis!$I369="Project-driven",Analysis!$H369,""))</f>
        <v/>
      </c>
      <c r="P369" s="29" t="str">
        <f>IF(Analysis!$I369="","",IF(Analysis!$I369="Drifting",Analysis!$H369,""))</f>
        <v/>
      </c>
    </row>
    <row r="370" spans="1:16" x14ac:dyDescent="0.25">
      <c r="A370" s="29" t="str">
        <f>IF(Analysis!$I370="","",IF(Analysis!$I370="Embedded",Analysis!$D370,""))</f>
        <v/>
      </c>
      <c r="B370" s="29" t="str">
        <f>IF(Analysis!$I370="","",IF(Analysis!$I370="Loyal but shallow",Analysis!$D370,""))</f>
        <v/>
      </c>
      <c r="C370" s="29" t="str">
        <f>IF(Analysis!$I370="","",IF(Analysis!$I370="Project-driven",Analysis!$D370,""))</f>
        <v/>
      </c>
      <c r="D370" s="29" t="str">
        <f>IF(Analysis!$I370="","",IF(Analysis!$I370="Drifting",Analysis!$D370,""))</f>
        <v/>
      </c>
      <c r="E370" s="29" t="str">
        <f>IF(Analysis!$I370="","",IF(Analysis!$I370="Embedded",Analysis!$C370,""))</f>
        <v/>
      </c>
      <c r="F370" s="29" t="str">
        <f>IF(Analysis!$I370="","",IF(Analysis!$I370="Loyal but shallow",Analysis!$C370,""))</f>
        <v/>
      </c>
      <c r="G370" s="29" t="str">
        <f>IF(Analysis!$I370="","",IF(Analysis!$I370="Project-driven",Analysis!$C370,""))</f>
        <v/>
      </c>
      <c r="H370" s="29" t="str">
        <f>IF(Analysis!$I370="","",IF(Analysis!$I370="Drifting",Analysis!$C370,""))</f>
        <v/>
      </c>
      <c r="I370" s="29" t="str">
        <f>IF(Analysis!$I370="","",IF(Analysis!$I370="Embedded",Analysis!$F370,""))</f>
        <v/>
      </c>
      <c r="J370" s="29" t="str">
        <f>IF(Analysis!$I370="","",IF(Analysis!$I370="Loyal but shallow",Analysis!$F370,""))</f>
        <v/>
      </c>
      <c r="K370" s="29" t="str">
        <f>IF(Analysis!$I370="","",IF(Analysis!$I370="Project-driven",Analysis!$F370,""))</f>
        <v/>
      </c>
      <c r="L370" s="29" t="str">
        <f>IF(Analysis!$I370="","",IF(Analysis!$I370="Drifting",Analysis!$F370,""))</f>
        <v/>
      </c>
      <c r="M370" s="29" t="str">
        <f>IF(Analysis!$I370="","",IF(Analysis!$I370="Embedded",Analysis!$H370,""))</f>
        <v/>
      </c>
      <c r="N370" s="29" t="str">
        <f>IF(Analysis!$I370="","",IF(Analysis!$I370="Loyal but shallow",Analysis!$H370,""))</f>
        <v/>
      </c>
      <c r="O370" s="29" t="str">
        <f>IF(Analysis!$I370="","",IF(Analysis!$I370="Project-driven",Analysis!$H370,""))</f>
        <v/>
      </c>
      <c r="P370" s="29" t="str">
        <f>IF(Analysis!$I370="","",IF(Analysis!$I370="Drifting",Analysis!$H370,""))</f>
        <v/>
      </c>
    </row>
    <row r="371" spans="1:16" x14ac:dyDescent="0.25">
      <c r="A371" s="29" t="str">
        <f>IF(Analysis!$I371="","",IF(Analysis!$I371="Embedded",Analysis!$D371,""))</f>
        <v/>
      </c>
      <c r="B371" s="29" t="str">
        <f>IF(Analysis!$I371="","",IF(Analysis!$I371="Loyal but shallow",Analysis!$D371,""))</f>
        <v/>
      </c>
      <c r="C371" s="29" t="str">
        <f>IF(Analysis!$I371="","",IF(Analysis!$I371="Project-driven",Analysis!$D371,""))</f>
        <v/>
      </c>
      <c r="D371" s="29" t="str">
        <f>IF(Analysis!$I371="","",IF(Analysis!$I371="Drifting",Analysis!$D371,""))</f>
        <v/>
      </c>
      <c r="E371" s="29" t="str">
        <f>IF(Analysis!$I371="","",IF(Analysis!$I371="Embedded",Analysis!$C371,""))</f>
        <v/>
      </c>
      <c r="F371" s="29" t="str">
        <f>IF(Analysis!$I371="","",IF(Analysis!$I371="Loyal but shallow",Analysis!$C371,""))</f>
        <v/>
      </c>
      <c r="G371" s="29" t="str">
        <f>IF(Analysis!$I371="","",IF(Analysis!$I371="Project-driven",Analysis!$C371,""))</f>
        <v/>
      </c>
      <c r="H371" s="29" t="str">
        <f>IF(Analysis!$I371="","",IF(Analysis!$I371="Drifting",Analysis!$C371,""))</f>
        <v/>
      </c>
      <c r="I371" s="29" t="str">
        <f>IF(Analysis!$I371="","",IF(Analysis!$I371="Embedded",Analysis!$F371,""))</f>
        <v/>
      </c>
      <c r="J371" s="29" t="str">
        <f>IF(Analysis!$I371="","",IF(Analysis!$I371="Loyal but shallow",Analysis!$F371,""))</f>
        <v/>
      </c>
      <c r="K371" s="29" t="str">
        <f>IF(Analysis!$I371="","",IF(Analysis!$I371="Project-driven",Analysis!$F371,""))</f>
        <v/>
      </c>
      <c r="L371" s="29" t="str">
        <f>IF(Analysis!$I371="","",IF(Analysis!$I371="Drifting",Analysis!$F371,""))</f>
        <v/>
      </c>
      <c r="M371" s="29" t="str">
        <f>IF(Analysis!$I371="","",IF(Analysis!$I371="Embedded",Analysis!$H371,""))</f>
        <v/>
      </c>
      <c r="N371" s="29" t="str">
        <f>IF(Analysis!$I371="","",IF(Analysis!$I371="Loyal but shallow",Analysis!$H371,""))</f>
        <v/>
      </c>
      <c r="O371" s="29" t="str">
        <f>IF(Analysis!$I371="","",IF(Analysis!$I371="Project-driven",Analysis!$H371,""))</f>
        <v/>
      </c>
      <c r="P371" s="29" t="str">
        <f>IF(Analysis!$I371="","",IF(Analysis!$I371="Drifting",Analysis!$H371,""))</f>
        <v/>
      </c>
    </row>
    <row r="372" spans="1:16" x14ac:dyDescent="0.25">
      <c r="A372" s="29" t="str">
        <f>IF(Analysis!$I372="","",IF(Analysis!$I372="Embedded",Analysis!$D372,""))</f>
        <v/>
      </c>
      <c r="B372" s="29" t="str">
        <f>IF(Analysis!$I372="","",IF(Analysis!$I372="Loyal but shallow",Analysis!$D372,""))</f>
        <v/>
      </c>
      <c r="C372" s="29" t="str">
        <f>IF(Analysis!$I372="","",IF(Analysis!$I372="Project-driven",Analysis!$D372,""))</f>
        <v/>
      </c>
      <c r="D372" s="29" t="str">
        <f>IF(Analysis!$I372="","",IF(Analysis!$I372="Drifting",Analysis!$D372,""))</f>
        <v/>
      </c>
      <c r="E372" s="29" t="str">
        <f>IF(Analysis!$I372="","",IF(Analysis!$I372="Embedded",Analysis!$C372,""))</f>
        <v/>
      </c>
      <c r="F372" s="29" t="str">
        <f>IF(Analysis!$I372="","",IF(Analysis!$I372="Loyal but shallow",Analysis!$C372,""))</f>
        <v/>
      </c>
      <c r="G372" s="29" t="str">
        <f>IF(Analysis!$I372="","",IF(Analysis!$I372="Project-driven",Analysis!$C372,""))</f>
        <v/>
      </c>
      <c r="H372" s="29" t="str">
        <f>IF(Analysis!$I372="","",IF(Analysis!$I372="Drifting",Analysis!$C372,""))</f>
        <v/>
      </c>
      <c r="I372" s="29" t="str">
        <f>IF(Analysis!$I372="","",IF(Analysis!$I372="Embedded",Analysis!$F372,""))</f>
        <v/>
      </c>
      <c r="J372" s="29" t="str">
        <f>IF(Analysis!$I372="","",IF(Analysis!$I372="Loyal but shallow",Analysis!$F372,""))</f>
        <v/>
      </c>
      <c r="K372" s="29" t="str">
        <f>IF(Analysis!$I372="","",IF(Analysis!$I372="Project-driven",Analysis!$F372,""))</f>
        <v/>
      </c>
      <c r="L372" s="29" t="str">
        <f>IF(Analysis!$I372="","",IF(Analysis!$I372="Drifting",Analysis!$F372,""))</f>
        <v/>
      </c>
      <c r="M372" s="29" t="str">
        <f>IF(Analysis!$I372="","",IF(Analysis!$I372="Embedded",Analysis!$H372,""))</f>
        <v/>
      </c>
      <c r="N372" s="29" t="str">
        <f>IF(Analysis!$I372="","",IF(Analysis!$I372="Loyal but shallow",Analysis!$H372,""))</f>
        <v/>
      </c>
      <c r="O372" s="29" t="str">
        <f>IF(Analysis!$I372="","",IF(Analysis!$I372="Project-driven",Analysis!$H372,""))</f>
        <v/>
      </c>
      <c r="P372" s="29" t="str">
        <f>IF(Analysis!$I372="","",IF(Analysis!$I372="Drifting",Analysis!$H372,""))</f>
        <v/>
      </c>
    </row>
    <row r="373" spans="1:16" x14ac:dyDescent="0.25">
      <c r="A373" s="29" t="str">
        <f>IF(Analysis!$I373="","",IF(Analysis!$I373="Embedded",Analysis!$D373,""))</f>
        <v/>
      </c>
      <c r="B373" s="29" t="str">
        <f>IF(Analysis!$I373="","",IF(Analysis!$I373="Loyal but shallow",Analysis!$D373,""))</f>
        <v/>
      </c>
      <c r="C373" s="29" t="str">
        <f>IF(Analysis!$I373="","",IF(Analysis!$I373="Project-driven",Analysis!$D373,""))</f>
        <v/>
      </c>
      <c r="D373" s="29" t="str">
        <f>IF(Analysis!$I373="","",IF(Analysis!$I373="Drifting",Analysis!$D373,""))</f>
        <v/>
      </c>
      <c r="E373" s="29" t="str">
        <f>IF(Analysis!$I373="","",IF(Analysis!$I373="Embedded",Analysis!$C373,""))</f>
        <v/>
      </c>
      <c r="F373" s="29" t="str">
        <f>IF(Analysis!$I373="","",IF(Analysis!$I373="Loyal but shallow",Analysis!$C373,""))</f>
        <v/>
      </c>
      <c r="G373" s="29" t="str">
        <f>IF(Analysis!$I373="","",IF(Analysis!$I373="Project-driven",Analysis!$C373,""))</f>
        <v/>
      </c>
      <c r="H373" s="29" t="str">
        <f>IF(Analysis!$I373="","",IF(Analysis!$I373="Drifting",Analysis!$C373,""))</f>
        <v/>
      </c>
      <c r="I373" s="29" t="str">
        <f>IF(Analysis!$I373="","",IF(Analysis!$I373="Embedded",Analysis!$F373,""))</f>
        <v/>
      </c>
      <c r="J373" s="29" t="str">
        <f>IF(Analysis!$I373="","",IF(Analysis!$I373="Loyal but shallow",Analysis!$F373,""))</f>
        <v/>
      </c>
      <c r="K373" s="29" t="str">
        <f>IF(Analysis!$I373="","",IF(Analysis!$I373="Project-driven",Analysis!$F373,""))</f>
        <v/>
      </c>
      <c r="L373" s="29" t="str">
        <f>IF(Analysis!$I373="","",IF(Analysis!$I373="Drifting",Analysis!$F373,""))</f>
        <v/>
      </c>
      <c r="M373" s="29" t="str">
        <f>IF(Analysis!$I373="","",IF(Analysis!$I373="Embedded",Analysis!$H373,""))</f>
        <v/>
      </c>
      <c r="N373" s="29" t="str">
        <f>IF(Analysis!$I373="","",IF(Analysis!$I373="Loyal but shallow",Analysis!$H373,""))</f>
        <v/>
      </c>
      <c r="O373" s="29" t="str">
        <f>IF(Analysis!$I373="","",IF(Analysis!$I373="Project-driven",Analysis!$H373,""))</f>
        <v/>
      </c>
      <c r="P373" s="29" t="str">
        <f>IF(Analysis!$I373="","",IF(Analysis!$I373="Drifting",Analysis!$H373,""))</f>
        <v/>
      </c>
    </row>
    <row r="374" spans="1:16" x14ac:dyDescent="0.25">
      <c r="A374" s="29" t="str">
        <f>IF(Analysis!$I374="","",IF(Analysis!$I374="Embedded",Analysis!$D374,""))</f>
        <v/>
      </c>
      <c r="B374" s="29" t="str">
        <f>IF(Analysis!$I374="","",IF(Analysis!$I374="Loyal but shallow",Analysis!$D374,""))</f>
        <v/>
      </c>
      <c r="C374" s="29" t="str">
        <f>IF(Analysis!$I374="","",IF(Analysis!$I374="Project-driven",Analysis!$D374,""))</f>
        <v/>
      </c>
      <c r="D374" s="29" t="str">
        <f>IF(Analysis!$I374="","",IF(Analysis!$I374="Drifting",Analysis!$D374,""))</f>
        <v/>
      </c>
      <c r="E374" s="29" t="str">
        <f>IF(Analysis!$I374="","",IF(Analysis!$I374="Embedded",Analysis!$C374,""))</f>
        <v/>
      </c>
      <c r="F374" s="29" t="str">
        <f>IF(Analysis!$I374="","",IF(Analysis!$I374="Loyal but shallow",Analysis!$C374,""))</f>
        <v/>
      </c>
      <c r="G374" s="29" t="str">
        <f>IF(Analysis!$I374="","",IF(Analysis!$I374="Project-driven",Analysis!$C374,""))</f>
        <v/>
      </c>
      <c r="H374" s="29" t="str">
        <f>IF(Analysis!$I374="","",IF(Analysis!$I374="Drifting",Analysis!$C374,""))</f>
        <v/>
      </c>
      <c r="I374" s="29" t="str">
        <f>IF(Analysis!$I374="","",IF(Analysis!$I374="Embedded",Analysis!$F374,""))</f>
        <v/>
      </c>
      <c r="J374" s="29" t="str">
        <f>IF(Analysis!$I374="","",IF(Analysis!$I374="Loyal but shallow",Analysis!$F374,""))</f>
        <v/>
      </c>
      <c r="K374" s="29" t="str">
        <f>IF(Analysis!$I374="","",IF(Analysis!$I374="Project-driven",Analysis!$F374,""))</f>
        <v/>
      </c>
      <c r="L374" s="29" t="str">
        <f>IF(Analysis!$I374="","",IF(Analysis!$I374="Drifting",Analysis!$F374,""))</f>
        <v/>
      </c>
      <c r="M374" s="29" t="str">
        <f>IF(Analysis!$I374="","",IF(Analysis!$I374="Embedded",Analysis!$H374,""))</f>
        <v/>
      </c>
      <c r="N374" s="29" t="str">
        <f>IF(Analysis!$I374="","",IF(Analysis!$I374="Loyal but shallow",Analysis!$H374,""))</f>
        <v/>
      </c>
      <c r="O374" s="29" t="str">
        <f>IF(Analysis!$I374="","",IF(Analysis!$I374="Project-driven",Analysis!$H374,""))</f>
        <v/>
      </c>
      <c r="P374" s="29" t="str">
        <f>IF(Analysis!$I374="","",IF(Analysis!$I374="Drifting",Analysis!$H374,""))</f>
        <v/>
      </c>
    </row>
    <row r="375" spans="1:16" x14ac:dyDescent="0.25">
      <c r="A375" s="29" t="str">
        <f>IF(Analysis!$I375="","",IF(Analysis!$I375="Embedded",Analysis!$D375,""))</f>
        <v/>
      </c>
      <c r="B375" s="29" t="str">
        <f>IF(Analysis!$I375="","",IF(Analysis!$I375="Loyal but shallow",Analysis!$D375,""))</f>
        <v/>
      </c>
      <c r="C375" s="29" t="str">
        <f>IF(Analysis!$I375="","",IF(Analysis!$I375="Project-driven",Analysis!$D375,""))</f>
        <v/>
      </c>
      <c r="D375" s="29" t="str">
        <f>IF(Analysis!$I375="","",IF(Analysis!$I375="Drifting",Analysis!$D375,""))</f>
        <v/>
      </c>
      <c r="E375" s="29" t="str">
        <f>IF(Analysis!$I375="","",IF(Analysis!$I375="Embedded",Analysis!$C375,""))</f>
        <v/>
      </c>
      <c r="F375" s="29" t="str">
        <f>IF(Analysis!$I375="","",IF(Analysis!$I375="Loyal but shallow",Analysis!$C375,""))</f>
        <v/>
      </c>
      <c r="G375" s="29" t="str">
        <f>IF(Analysis!$I375="","",IF(Analysis!$I375="Project-driven",Analysis!$C375,""))</f>
        <v/>
      </c>
      <c r="H375" s="29" t="str">
        <f>IF(Analysis!$I375="","",IF(Analysis!$I375="Drifting",Analysis!$C375,""))</f>
        <v/>
      </c>
      <c r="I375" s="29" t="str">
        <f>IF(Analysis!$I375="","",IF(Analysis!$I375="Embedded",Analysis!$F375,""))</f>
        <v/>
      </c>
      <c r="J375" s="29" t="str">
        <f>IF(Analysis!$I375="","",IF(Analysis!$I375="Loyal but shallow",Analysis!$F375,""))</f>
        <v/>
      </c>
      <c r="K375" s="29" t="str">
        <f>IF(Analysis!$I375="","",IF(Analysis!$I375="Project-driven",Analysis!$F375,""))</f>
        <v/>
      </c>
      <c r="L375" s="29" t="str">
        <f>IF(Analysis!$I375="","",IF(Analysis!$I375="Drifting",Analysis!$F375,""))</f>
        <v/>
      </c>
      <c r="M375" s="29" t="str">
        <f>IF(Analysis!$I375="","",IF(Analysis!$I375="Embedded",Analysis!$H375,""))</f>
        <v/>
      </c>
      <c r="N375" s="29" t="str">
        <f>IF(Analysis!$I375="","",IF(Analysis!$I375="Loyal but shallow",Analysis!$H375,""))</f>
        <v/>
      </c>
      <c r="O375" s="29" t="str">
        <f>IF(Analysis!$I375="","",IF(Analysis!$I375="Project-driven",Analysis!$H375,""))</f>
        <v/>
      </c>
      <c r="P375" s="29" t="str">
        <f>IF(Analysis!$I375="","",IF(Analysis!$I375="Drifting",Analysis!$H375,""))</f>
        <v/>
      </c>
    </row>
    <row r="376" spans="1:16" x14ac:dyDescent="0.25">
      <c r="A376" s="29" t="str">
        <f>IF(Analysis!$I376="","",IF(Analysis!$I376="Embedded",Analysis!$D376,""))</f>
        <v/>
      </c>
      <c r="B376" s="29" t="str">
        <f>IF(Analysis!$I376="","",IF(Analysis!$I376="Loyal but shallow",Analysis!$D376,""))</f>
        <v/>
      </c>
      <c r="C376" s="29" t="str">
        <f>IF(Analysis!$I376="","",IF(Analysis!$I376="Project-driven",Analysis!$D376,""))</f>
        <v/>
      </c>
      <c r="D376" s="29" t="str">
        <f>IF(Analysis!$I376="","",IF(Analysis!$I376="Drifting",Analysis!$D376,""))</f>
        <v/>
      </c>
      <c r="E376" s="29" t="str">
        <f>IF(Analysis!$I376="","",IF(Analysis!$I376="Embedded",Analysis!$C376,""))</f>
        <v/>
      </c>
      <c r="F376" s="29" t="str">
        <f>IF(Analysis!$I376="","",IF(Analysis!$I376="Loyal but shallow",Analysis!$C376,""))</f>
        <v/>
      </c>
      <c r="G376" s="29" t="str">
        <f>IF(Analysis!$I376="","",IF(Analysis!$I376="Project-driven",Analysis!$C376,""))</f>
        <v/>
      </c>
      <c r="H376" s="29" t="str">
        <f>IF(Analysis!$I376="","",IF(Analysis!$I376="Drifting",Analysis!$C376,""))</f>
        <v/>
      </c>
      <c r="I376" s="29" t="str">
        <f>IF(Analysis!$I376="","",IF(Analysis!$I376="Embedded",Analysis!$F376,""))</f>
        <v/>
      </c>
      <c r="J376" s="29" t="str">
        <f>IF(Analysis!$I376="","",IF(Analysis!$I376="Loyal but shallow",Analysis!$F376,""))</f>
        <v/>
      </c>
      <c r="K376" s="29" t="str">
        <f>IF(Analysis!$I376="","",IF(Analysis!$I376="Project-driven",Analysis!$F376,""))</f>
        <v/>
      </c>
      <c r="L376" s="29" t="str">
        <f>IF(Analysis!$I376="","",IF(Analysis!$I376="Drifting",Analysis!$F376,""))</f>
        <v/>
      </c>
      <c r="M376" s="29" t="str">
        <f>IF(Analysis!$I376="","",IF(Analysis!$I376="Embedded",Analysis!$H376,""))</f>
        <v/>
      </c>
      <c r="N376" s="29" t="str">
        <f>IF(Analysis!$I376="","",IF(Analysis!$I376="Loyal but shallow",Analysis!$H376,""))</f>
        <v/>
      </c>
      <c r="O376" s="29" t="str">
        <f>IF(Analysis!$I376="","",IF(Analysis!$I376="Project-driven",Analysis!$H376,""))</f>
        <v/>
      </c>
      <c r="P376" s="29" t="str">
        <f>IF(Analysis!$I376="","",IF(Analysis!$I376="Drifting",Analysis!$H376,""))</f>
        <v/>
      </c>
    </row>
    <row r="377" spans="1:16" x14ac:dyDescent="0.25">
      <c r="A377" s="29" t="str">
        <f>IF(Analysis!$I377="","",IF(Analysis!$I377="Embedded",Analysis!$D377,""))</f>
        <v/>
      </c>
      <c r="B377" s="29" t="str">
        <f>IF(Analysis!$I377="","",IF(Analysis!$I377="Loyal but shallow",Analysis!$D377,""))</f>
        <v/>
      </c>
      <c r="C377" s="29" t="str">
        <f>IF(Analysis!$I377="","",IF(Analysis!$I377="Project-driven",Analysis!$D377,""))</f>
        <v/>
      </c>
      <c r="D377" s="29" t="str">
        <f>IF(Analysis!$I377="","",IF(Analysis!$I377="Drifting",Analysis!$D377,""))</f>
        <v/>
      </c>
      <c r="E377" s="29" t="str">
        <f>IF(Analysis!$I377="","",IF(Analysis!$I377="Embedded",Analysis!$C377,""))</f>
        <v/>
      </c>
      <c r="F377" s="29" t="str">
        <f>IF(Analysis!$I377="","",IF(Analysis!$I377="Loyal but shallow",Analysis!$C377,""))</f>
        <v/>
      </c>
      <c r="G377" s="29" t="str">
        <f>IF(Analysis!$I377="","",IF(Analysis!$I377="Project-driven",Analysis!$C377,""))</f>
        <v/>
      </c>
      <c r="H377" s="29" t="str">
        <f>IF(Analysis!$I377="","",IF(Analysis!$I377="Drifting",Analysis!$C377,""))</f>
        <v/>
      </c>
      <c r="I377" s="29" t="str">
        <f>IF(Analysis!$I377="","",IF(Analysis!$I377="Embedded",Analysis!$F377,""))</f>
        <v/>
      </c>
      <c r="J377" s="29" t="str">
        <f>IF(Analysis!$I377="","",IF(Analysis!$I377="Loyal but shallow",Analysis!$F377,""))</f>
        <v/>
      </c>
      <c r="K377" s="29" t="str">
        <f>IF(Analysis!$I377="","",IF(Analysis!$I377="Project-driven",Analysis!$F377,""))</f>
        <v/>
      </c>
      <c r="L377" s="29" t="str">
        <f>IF(Analysis!$I377="","",IF(Analysis!$I377="Drifting",Analysis!$F377,""))</f>
        <v/>
      </c>
      <c r="M377" s="29" t="str">
        <f>IF(Analysis!$I377="","",IF(Analysis!$I377="Embedded",Analysis!$H377,""))</f>
        <v/>
      </c>
      <c r="N377" s="29" t="str">
        <f>IF(Analysis!$I377="","",IF(Analysis!$I377="Loyal but shallow",Analysis!$H377,""))</f>
        <v/>
      </c>
      <c r="O377" s="29" t="str">
        <f>IF(Analysis!$I377="","",IF(Analysis!$I377="Project-driven",Analysis!$H377,""))</f>
        <v/>
      </c>
      <c r="P377" s="29" t="str">
        <f>IF(Analysis!$I377="","",IF(Analysis!$I377="Drifting",Analysis!$H377,""))</f>
        <v/>
      </c>
    </row>
    <row r="378" spans="1:16" x14ac:dyDescent="0.25">
      <c r="A378" s="29" t="str">
        <f>IF(Analysis!$I378="","",IF(Analysis!$I378="Embedded",Analysis!$D378,""))</f>
        <v/>
      </c>
      <c r="B378" s="29" t="str">
        <f>IF(Analysis!$I378="","",IF(Analysis!$I378="Loyal but shallow",Analysis!$D378,""))</f>
        <v/>
      </c>
      <c r="C378" s="29" t="str">
        <f>IF(Analysis!$I378="","",IF(Analysis!$I378="Project-driven",Analysis!$D378,""))</f>
        <v/>
      </c>
      <c r="D378" s="29" t="str">
        <f>IF(Analysis!$I378="","",IF(Analysis!$I378="Drifting",Analysis!$D378,""))</f>
        <v/>
      </c>
      <c r="E378" s="29" t="str">
        <f>IF(Analysis!$I378="","",IF(Analysis!$I378="Embedded",Analysis!$C378,""))</f>
        <v/>
      </c>
      <c r="F378" s="29" t="str">
        <f>IF(Analysis!$I378="","",IF(Analysis!$I378="Loyal but shallow",Analysis!$C378,""))</f>
        <v/>
      </c>
      <c r="G378" s="29" t="str">
        <f>IF(Analysis!$I378="","",IF(Analysis!$I378="Project-driven",Analysis!$C378,""))</f>
        <v/>
      </c>
      <c r="H378" s="29" t="str">
        <f>IF(Analysis!$I378="","",IF(Analysis!$I378="Drifting",Analysis!$C378,""))</f>
        <v/>
      </c>
      <c r="I378" s="29" t="str">
        <f>IF(Analysis!$I378="","",IF(Analysis!$I378="Embedded",Analysis!$F378,""))</f>
        <v/>
      </c>
      <c r="J378" s="29" t="str">
        <f>IF(Analysis!$I378="","",IF(Analysis!$I378="Loyal but shallow",Analysis!$F378,""))</f>
        <v/>
      </c>
      <c r="K378" s="29" t="str">
        <f>IF(Analysis!$I378="","",IF(Analysis!$I378="Project-driven",Analysis!$F378,""))</f>
        <v/>
      </c>
      <c r="L378" s="29" t="str">
        <f>IF(Analysis!$I378="","",IF(Analysis!$I378="Drifting",Analysis!$F378,""))</f>
        <v/>
      </c>
      <c r="M378" s="29" t="str">
        <f>IF(Analysis!$I378="","",IF(Analysis!$I378="Embedded",Analysis!$H378,""))</f>
        <v/>
      </c>
      <c r="N378" s="29" t="str">
        <f>IF(Analysis!$I378="","",IF(Analysis!$I378="Loyal but shallow",Analysis!$H378,""))</f>
        <v/>
      </c>
      <c r="O378" s="29" t="str">
        <f>IF(Analysis!$I378="","",IF(Analysis!$I378="Project-driven",Analysis!$H378,""))</f>
        <v/>
      </c>
      <c r="P378" s="29" t="str">
        <f>IF(Analysis!$I378="","",IF(Analysis!$I378="Drifting",Analysis!$H378,""))</f>
        <v/>
      </c>
    </row>
    <row r="379" spans="1:16" x14ac:dyDescent="0.25">
      <c r="A379" s="29" t="str">
        <f>IF(Analysis!$I379="","",IF(Analysis!$I379="Embedded",Analysis!$D379,""))</f>
        <v/>
      </c>
      <c r="B379" s="29" t="str">
        <f>IF(Analysis!$I379="","",IF(Analysis!$I379="Loyal but shallow",Analysis!$D379,""))</f>
        <v/>
      </c>
      <c r="C379" s="29" t="str">
        <f>IF(Analysis!$I379="","",IF(Analysis!$I379="Project-driven",Analysis!$D379,""))</f>
        <v/>
      </c>
      <c r="D379" s="29" t="str">
        <f>IF(Analysis!$I379="","",IF(Analysis!$I379="Drifting",Analysis!$D379,""))</f>
        <v/>
      </c>
      <c r="E379" s="29" t="str">
        <f>IF(Analysis!$I379="","",IF(Analysis!$I379="Embedded",Analysis!$C379,""))</f>
        <v/>
      </c>
      <c r="F379" s="29" t="str">
        <f>IF(Analysis!$I379="","",IF(Analysis!$I379="Loyal but shallow",Analysis!$C379,""))</f>
        <v/>
      </c>
      <c r="G379" s="29" t="str">
        <f>IF(Analysis!$I379="","",IF(Analysis!$I379="Project-driven",Analysis!$C379,""))</f>
        <v/>
      </c>
      <c r="H379" s="29" t="str">
        <f>IF(Analysis!$I379="","",IF(Analysis!$I379="Drifting",Analysis!$C379,""))</f>
        <v/>
      </c>
      <c r="I379" s="29" t="str">
        <f>IF(Analysis!$I379="","",IF(Analysis!$I379="Embedded",Analysis!$F379,""))</f>
        <v/>
      </c>
      <c r="J379" s="29" t="str">
        <f>IF(Analysis!$I379="","",IF(Analysis!$I379="Loyal but shallow",Analysis!$F379,""))</f>
        <v/>
      </c>
      <c r="K379" s="29" t="str">
        <f>IF(Analysis!$I379="","",IF(Analysis!$I379="Project-driven",Analysis!$F379,""))</f>
        <v/>
      </c>
      <c r="L379" s="29" t="str">
        <f>IF(Analysis!$I379="","",IF(Analysis!$I379="Drifting",Analysis!$F379,""))</f>
        <v/>
      </c>
      <c r="M379" s="29" t="str">
        <f>IF(Analysis!$I379="","",IF(Analysis!$I379="Embedded",Analysis!$H379,""))</f>
        <v/>
      </c>
      <c r="N379" s="29" t="str">
        <f>IF(Analysis!$I379="","",IF(Analysis!$I379="Loyal but shallow",Analysis!$H379,""))</f>
        <v/>
      </c>
      <c r="O379" s="29" t="str">
        <f>IF(Analysis!$I379="","",IF(Analysis!$I379="Project-driven",Analysis!$H379,""))</f>
        <v/>
      </c>
      <c r="P379" s="29" t="str">
        <f>IF(Analysis!$I379="","",IF(Analysis!$I379="Drifting",Analysis!$H379,""))</f>
        <v/>
      </c>
    </row>
    <row r="380" spans="1:16" x14ac:dyDescent="0.25">
      <c r="A380" s="29" t="str">
        <f>IF(Analysis!$I380="","",IF(Analysis!$I380="Embedded",Analysis!$D380,""))</f>
        <v/>
      </c>
      <c r="B380" s="29" t="str">
        <f>IF(Analysis!$I380="","",IF(Analysis!$I380="Loyal but shallow",Analysis!$D380,""))</f>
        <v/>
      </c>
      <c r="C380" s="29" t="str">
        <f>IF(Analysis!$I380="","",IF(Analysis!$I380="Project-driven",Analysis!$D380,""))</f>
        <v/>
      </c>
      <c r="D380" s="29" t="str">
        <f>IF(Analysis!$I380="","",IF(Analysis!$I380="Drifting",Analysis!$D380,""))</f>
        <v/>
      </c>
      <c r="E380" s="29" t="str">
        <f>IF(Analysis!$I380="","",IF(Analysis!$I380="Embedded",Analysis!$C380,""))</f>
        <v/>
      </c>
      <c r="F380" s="29" t="str">
        <f>IF(Analysis!$I380="","",IF(Analysis!$I380="Loyal but shallow",Analysis!$C380,""))</f>
        <v/>
      </c>
      <c r="G380" s="29" t="str">
        <f>IF(Analysis!$I380="","",IF(Analysis!$I380="Project-driven",Analysis!$C380,""))</f>
        <v/>
      </c>
      <c r="H380" s="29" t="str">
        <f>IF(Analysis!$I380="","",IF(Analysis!$I380="Drifting",Analysis!$C380,""))</f>
        <v/>
      </c>
      <c r="I380" s="29" t="str">
        <f>IF(Analysis!$I380="","",IF(Analysis!$I380="Embedded",Analysis!$F380,""))</f>
        <v/>
      </c>
      <c r="J380" s="29" t="str">
        <f>IF(Analysis!$I380="","",IF(Analysis!$I380="Loyal but shallow",Analysis!$F380,""))</f>
        <v/>
      </c>
      <c r="K380" s="29" t="str">
        <f>IF(Analysis!$I380="","",IF(Analysis!$I380="Project-driven",Analysis!$F380,""))</f>
        <v/>
      </c>
      <c r="L380" s="29" t="str">
        <f>IF(Analysis!$I380="","",IF(Analysis!$I380="Drifting",Analysis!$F380,""))</f>
        <v/>
      </c>
      <c r="M380" s="29" t="str">
        <f>IF(Analysis!$I380="","",IF(Analysis!$I380="Embedded",Analysis!$H380,""))</f>
        <v/>
      </c>
      <c r="N380" s="29" t="str">
        <f>IF(Analysis!$I380="","",IF(Analysis!$I380="Loyal but shallow",Analysis!$H380,""))</f>
        <v/>
      </c>
      <c r="O380" s="29" t="str">
        <f>IF(Analysis!$I380="","",IF(Analysis!$I380="Project-driven",Analysis!$H380,""))</f>
        <v/>
      </c>
      <c r="P380" s="29" t="str">
        <f>IF(Analysis!$I380="","",IF(Analysis!$I380="Drifting",Analysis!$H380,""))</f>
        <v/>
      </c>
    </row>
    <row r="381" spans="1:16" x14ac:dyDescent="0.25">
      <c r="A381" s="29" t="str">
        <f>IF(Analysis!$I381="","",IF(Analysis!$I381="Embedded",Analysis!$D381,""))</f>
        <v/>
      </c>
      <c r="B381" s="29" t="str">
        <f>IF(Analysis!$I381="","",IF(Analysis!$I381="Loyal but shallow",Analysis!$D381,""))</f>
        <v/>
      </c>
      <c r="C381" s="29" t="str">
        <f>IF(Analysis!$I381="","",IF(Analysis!$I381="Project-driven",Analysis!$D381,""))</f>
        <v/>
      </c>
      <c r="D381" s="29" t="str">
        <f>IF(Analysis!$I381="","",IF(Analysis!$I381="Drifting",Analysis!$D381,""))</f>
        <v/>
      </c>
      <c r="E381" s="29" t="str">
        <f>IF(Analysis!$I381="","",IF(Analysis!$I381="Embedded",Analysis!$C381,""))</f>
        <v/>
      </c>
      <c r="F381" s="29" t="str">
        <f>IF(Analysis!$I381="","",IF(Analysis!$I381="Loyal but shallow",Analysis!$C381,""))</f>
        <v/>
      </c>
      <c r="G381" s="29" t="str">
        <f>IF(Analysis!$I381="","",IF(Analysis!$I381="Project-driven",Analysis!$C381,""))</f>
        <v/>
      </c>
      <c r="H381" s="29" t="str">
        <f>IF(Analysis!$I381="","",IF(Analysis!$I381="Drifting",Analysis!$C381,""))</f>
        <v/>
      </c>
      <c r="I381" s="29" t="str">
        <f>IF(Analysis!$I381="","",IF(Analysis!$I381="Embedded",Analysis!$F381,""))</f>
        <v/>
      </c>
      <c r="J381" s="29" t="str">
        <f>IF(Analysis!$I381="","",IF(Analysis!$I381="Loyal but shallow",Analysis!$F381,""))</f>
        <v/>
      </c>
      <c r="K381" s="29" t="str">
        <f>IF(Analysis!$I381="","",IF(Analysis!$I381="Project-driven",Analysis!$F381,""))</f>
        <v/>
      </c>
      <c r="L381" s="29" t="str">
        <f>IF(Analysis!$I381="","",IF(Analysis!$I381="Drifting",Analysis!$F381,""))</f>
        <v/>
      </c>
      <c r="M381" s="29" t="str">
        <f>IF(Analysis!$I381="","",IF(Analysis!$I381="Embedded",Analysis!$H381,""))</f>
        <v/>
      </c>
      <c r="N381" s="29" t="str">
        <f>IF(Analysis!$I381="","",IF(Analysis!$I381="Loyal but shallow",Analysis!$H381,""))</f>
        <v/>
      </c>
      <c r="O381" s="29" t="str">
        <f>IF(Analysis!$I381="","",IF(Analysis!$I381="Project-driven",Analysis!$H381,""))</f>
        <v/>
      </c>
      <c r="P381" s="29" t="str">
        <f>IF(Analysis!$I381="","",IF(Analysis!$I381="Drifting",Analysis!$H381,""))</f>
        <v/>
      </c>
    </row>
    <row r="382" spans="1:16" x14ac:dyDescent="0.25">
      <c r="A382" s="29" t="str">
        <f>IF(Analysis!$I382="","",IF(Analysis!$I382="Embedded",Analysis!$D382,""))</f>
        <v/>
      </c>
      <c r="B382" s="29" t="str">
        <f>IF(Analysis!$I382="","",IF(Analysis!$I382="Loyal but shallow",Analysis!$D382,""))</f>
        <v/>
      </c>
      <c r="C382" s="29" t="str">
        <f>IF(Analysis!$I382="","",IF(Analysis!$I382="Project-driven",Analysis!$D382,""))</f>
        <v/>
      </c>
      <c r="D382" s="29" t="str">
        <f>IF(Analysis!$I382="","",IF(Analysis!$I382="Drifting",Analysis!$D382,""))</f>
        <v/>
      </c>
      <c r="E382" s="29" t="str">
        <f>IF(Analysis!$I382="","",IF(Analysis!$I382="Embedded",Analysis!$C382,""))</f>
        <v/>
      </c>
      <c r="F382" s="29" t="str">
        <f>IF(Analysis!$I382="","",IF(Analysis!$I382="Loyal but shallow",Analysis!$C382,""))</f>
        <v/>
      </c>
      <c r="G382" s="29" t="str">
        <f>IF(Analysis!$I382="","",IF(Analysis!$I382="Project-driven",Analysis!$C382,""))</f>
        <v/>
      </c>
      <c r="H382" s="29" t="str">
        <f>IF(Analysis!$I382="","",IF(Analysis!$I382="Drifting",Analysis!$C382,""))</f>
        <v/>
      </c>
      <c r="I382" s="29" t="str">
        <f>IF(Analysis!$I382="","",IF(Analysis!$I382="Embedded",Analysis!$F382,""))</f>
        <v/>
      </c>
      <c r="J382" s="29" t="str">
        <f>IF(Analysis!$I382="","",IF(Analysis!$I382="Loyal but shallow",Analysis!$F382,""))</f>
        <v/>
      </c>
      <c r="K382" s="29" t="str">
        <f>IF(Analysis!$I382="","",IF(Analysis!$I382="Project-driven",Analysis!$F382,""))</f>
        <v/>
      </c>
      <c r="L382" s="29" t="str">
        <f>IF(Analysis!$I382="","",IF(Analysis!$I382="Drifting",Analysis!$F382,""))</f>
        <v/>
      </c>
      <c r="M382" s="29" t="str">
        <f>IF(Analysis!$I382="","",IF(Analysis!$I382="Embedded",Analysis!$H382,""))</f>
        <v/>
      </c>
      <c r="N382" s="29" t="str">
        <f>IF(Analysis!$I382="","",IF(Analysis!$I382="Loyal but shallow",Analysis!$H382,""))</f>
        <v/>
      </c>
      <c r="O382" s="29" t="str">
        <f>IF(Analysis!$I382="","",IF(Analysis!$I382="Project-driven",Analysis!$H382,""))</f>
        <v/>
      </c>
      <c r="P382" s="29" t="str">
        <f>IF(Analysis!$I382="","",IF(Analysis!$I382="Drifting",Analysis!$H382,""))</f>
        <v/>
      </c>
    </row>
    <row r="383" spans="1:16" x14ac:dyDescent="0.25">
      <c r="A383" s="29" t="str">
        <f>IF(Analysis!$I383="","",IF(Analysis!$I383="Embedded",Analysis!$D383,""))</f>
        <v/>
      </c>
      <c r="B383" s="29" t="str">
        <f>IF(Analysis!$I383="","",IF(Analysis!$I383="Loyal but shallow",Analysis!$D383,""))</f>
        <v/>
      </c>
      <c r="C383" s="29" t="str">
        <f>IF(Analysis!$I383="","",IF(Analysis!$I383="Project-driven",Analysis!$D383,""))</f>
        <v/>
      </c>
      <c r="D383" s="29" t="str">
        <f>IF(Analysis!$I383="","",IF(Analysis!$I383="Drifting",Analysis!$D383,""))</f>
        <v/>
      </c>
      <c r="E383" s="29" t="str">
        <f>IF(Analysis!$I383="","",IF(Analysis!$I383="Embedded",Analysis!$C383,""))</f>
        <v/>
      </c>
      <c r="F383" s="29" t="str">
        <f>IF(Analysis!$I383="","",IF(Analysis!$I383="Loyal but shallow",Analysis!$C383,""))</f>
        <v/>
      </c>
      <c r="G383" s="29" t="str">
        <f>IF(Analysis!$I383="","",IF(Analysis!$I383="Project-driven",Analysis!$C383,""))</f>
        <v/>
      </c>
      <c r="H383" s="29" t="str">
        <f>IF(Analysis!$I383="","",IF(Analysis!$I383="Drifting",Analysis!$C383,""))</f>
        <v/>
      </c>
      <c r="I383" s="29" t="str">
        <f>IF(Analysis!$I383="","",IF(Analysis!$I383="Embedded",Analysis!$F383,""))</f>
        <v/>
      </c>
      <c r="J383" s="29" t="str">
        <f>IF(Analysis!$I383="","",IF(Analysis!$I383="Loyal but shallow",Analysis!$F383,""))</f>
        <v/>
      </c>
      <c r="K383" s="29" t="str">
        <f>IF(Analysis!$I383="","",IF(Analysis!$I383="Project-driven",Analysis!$F383,""))</f>
        <v/>
      </c>
      <c r="L383" s="29" t="str">
        <f>IF(Analysis!$I383="","",IF(Analysis!$I383="Drifting",Analysis!$F383,""))</f>
        <v/>
      </c>
      <c r="M383" s="29" t="str">
        <f>IF(Analysis!$I383="","",IF(Analysis!$I383="Embedded",Analysis!$H383,""))</f>
        <v/>
      </c>
      <c r="N383" s="29" t="str">
        <f>IF(Analysis!$I383="","",IF(Analysis!$I383="Loyal but shallow",Analysis!$H383,""))</f>
        <v/>
      </c>
      <c r="O383" s="29" t="str">
        <f>IF(Analysis!$I383="","",IF(Analysis!$I383="Project-driven",Analysis!$H383,""))</f>
        <v/>
      </c>
      <c r="P383" s="29" t="str">
        <f>IF(Analysis!$I383="","",IF(Analysis!$I383="Drifting",Analysis!$H383,""))</f>
        <v/>
      </c>
    </row>
    <row r="384" spans="1:16" x14ac:dyDescent="0.25">
      <c r="A384" s="29" t="str">
        <f>IF(Analysis!$I384="","",IF(Analysis!$I384="Embedded",Analysis!$D384,""))</f>
        <v/>
      </c>
      <c r="B384" s="29" t="str">
        <f>IF(Analysis!$I384="","",IF(Analysis!$I384="Loyal but shallow",Analysis!$D384,""))</f>
        <v/>
      </c>
      <c r="C384" s="29" t="str">
        <f>IF(Analysis!$I384="","",IF(Analysis!$I384="Project-driven",Analysis!$D384,""))</f>
        <v/>
      </c>
      <c r="D384" s="29" t="str">
        <f>IF(Analysis!$I384="","",IF(Analysis!$I384="Drifting",Analysis!$D384,""))</f>
        <v/>
      </c>
      <c r="E384" s="29" t="str">
        <f>IF(Analysis!$I384="","",IF(Analysis!$I384="Embedded",Analysis!$C384,""))</f>
        <v/>
      </c>
      <c r="F384" s="29" t="str">
        <f>IF(Analysis!$I384="","",IF(Analysis!$I384="Loyal but shallow",Analysis!$C384,""))</f>
        <v/>
      </c>
      <c r="G384" s="29" t="str">
        <f>IF(Analysis!$I384="","",IF(Analysis!$I384="Project-driven",Analysis!$C384,""))</f>
        <v/>
      </c>
      <c r="H384" s="29" t="str">
        <f>IF(Analysis!$I384="","",IF(Analysis!$I384="Drifting",Analysis!$C384,""))</f>
        <v/>
      </c>
      <c r="I384" s="29" t="str">
        <f>IF(Analysis!$I384="","",IF(Analysis!$I384="Embedded",Analysis!$F384,""))</f>
        <v/>
      </c>
      <c r="J384" s="29" t="str">
        <f>IF(Analysis!$I384="","",IF(Analysis!$I384="Loyal but shallow",Analysis!$F384,""))</f>
        <v/>
      </c>
      <c r="K384" s="29" t="str">
        <f>IF(Analysis!$I384="","",IF(Analysis!$I384="Project-driven",Analysis!$F384,""))</f>
        <v/>
      </c>
      <c r="L384" s="29" t="str">
        <f>IF(Analysis!$I384="","",IF(Analysis!$I384="Drifting",Analysis!$F384,""))</f>
        <v/>
      </c>
      <c r="M384" s="29" t="str">
        <f>IF(Analysis!$I384="","",IF(Analysis!$I384="Embedded",Analysis!$H384,""))</f>
        <v/>
      </c>
      <c r="N384" s="29" t="str">
        <f>IF(Analysis!$I384="","",IF(Analysis!$I384="Loyal but shallow",Analysis!$H384,""))</f>
        <v/>
      </c>
      <c r="O384" s="29" t="str">
        <f>IF(Analysis!$I384="","",IF(Analysis!$I384="Project-driven",Analysis!$H384,""))</f>
        <v/>
      </c>
      <c r="P384" s="29" t="str">
        <f>IF(Analysis!$I384="","",IF(Analysis!$I384="Drifting",Analysis!$H384,""))</f>
        <v/>
      </c>
    </row>
    <row r="385" spans="1:16" x14ac:dyDescent="0.25">
      <c r="A385" s="29" t="str">
        <f>IF(Analysis!$I385="","",IF(Analysis!$I385="Embedded",Analysis!$D385,""))</f>
        <v/>
      </c>
      <c r="B385" s="29" t="str">
        <f>IF(Analysis!$I385="","",IF(Analysis!$I385="Loyal but shallow",Analysis!$D385,""))</f>
        <v/>
      </c>
      <c r="C385" s="29" t="str">
        <f>IF(Analysis!$I385="","",IF(Analysis!$I385="Project-driven",Analysis!$D385,""))</f>
        <v/>
      </c>
      <c r="D385" s="29" t="str">
        <f>IF(Analysis!$I385="","",IF(Analysis!$I385="Drifting",Analysis!$D385,""))</f>
        <v/>
      </c>
      <c r="E385" s="29" t="str">
        <f>IF(Analysis!$I385="","",IF(Analysis!$I385="Embedded",Analysis!$C385,""))</f>
        <v/>
      </c>
      <c r="F385" s="29" t="str">
        <f>IF(Analysis!$I385="","",IF(Analysis!$I385="Loyal but shallow",Analysis!$C385,""))</f>
        <v/>
      </c>
      <c r="G385" s="29" t="str">
        <f>IF(Analysis!$I385="","",IF(Analysis!$I385="Project-driven",Analysis!$C385,""))</f>
        <v/>
      </c>
      <c r="H385" s="29" t="str">
        <f>IF(Analysis!$I385="","",IF(Analysis!$I385="Drifting",Analysis!$C385,""))</f>
        <v/>
      </c>
      <c r="I385" s="29" t="str">
        <f>IF(Analysis!$I385="","",IF(Analysis!$I385="Embedded",Analysis!$F385,""))</f>
        <v/>
      </c>
      <c r="J385" s="29" t="str">
        <f>IF(Analysis!$I385="","",IF(Analysis!$I385="Loyal but shallow",Analysis!$F385,""))</f>
        <v/>
      </c>
      <c r="K385" s="29" t="str">
        <f>IF(Analysis!$I385="","",IF(Analysis!$I385="Project-driven",Analysis!$F385,""))</f>
        <v/>
      </c>
      <c r="L385" s="29" t="str">
        <f>IF(Analysis!$I385="","",IF(Analysis!$I385="Drifting",Analysis!$F385,""))</f>
        <v/>
      </c>
      <c r="M385" s="29" t="str">
        <f>IF(Analysis!$I385="","",IF(Analysis!$I385="Embedded",Analysis!$H385,""))</f>
        <v/>
      </c>
      <c r="N385" s="29" t="str">
        <f>IF(Analysis!$I385="","",IF(Analysis!$I385="Loyal but shallow",Analysis!$H385,""))</f>
        <v/>
      </c>
      <c r="O385" s="29" t="str">
        <f>IF(Analysis!$I385="","",IF(Analysis!$I385="Project-driven",Analysis!$H385,""))</f>
        <v/>
      </c>
      <c r="P385" s="29" t="str">
        <f>IF(Analysis!$I385="","",IF(Analysis!$I385="Drifting",Analysis!$H385,""))</f>
        <v/>
      </c>
    </row>
    <row r="386" spans="1:16" x14ac:dyDescent="0.25">
      <c r="A386" s="29" t="str">
        <f>IF(Analysis!$I386="","",IF(Analysis!$I386="Embedded",Analysis!$D386,""))</f>
        <v/>
      </c>
      <c r="B386" s="29" t="str">
        <f>IF(Analysis!$I386="","",IF(Analysis!$I386="Loyal but shallow",Analysis!$D386,""))</f>
        <v/>
      </c>
      <c r="C386" s="29" t="str">
        <f>IF(Analysis!$I386="","",IF(Analysis!$I386="Project-driven",Analysis!$D386,""))</f>
        <v/>
      </c>
      <c r="D386" s="29" t="str">
        <f>IF(Analysis!$I386="","",IF(Analysis!$I386="Drifting",Analysis!$D386,""))</f>
        <v/>
      </c>
      <c r="E386" s="29" t="str">
        <f>IF(Analysis!$I386="","",IF(Analysis!$I386="Embedded",Analysis!$C386,""))</f>
        <v/>
      </c>
      <c r="F386" s="29" t="str">
        <f>IF(Analysis!$I386="","",IF(Analysis!$I386="Loyal but shallow",Analysis!$C386,""))</f>
        <v/>
      </c>
      <c r="G386" s="29" t="str">
        <f>IF(Analysis!$I386="","",IF(Analysis!$I386="Project-driven",Analysis!$C386,""))</f>
        <v/>
      </c>
      <c r="H386" s="29" t="str">
        <f>IF(Analysis!$I386="","",IF(Analysis!$I386="Drifting",Analysis!$C386,""))</f>
        <v/>
      </c>
      <c r="I386" s="29" t="str">
        <f>IF(Analysis!$I386="","",IF(Analysis!$I386="Embedded",Analysis!$F386,""))</f>
        <v/>
      </c>
      <c r="J386" s="29" t="str">
        <f>IF(Analysis!$I386="","",IF(Analysis!$I386="Loyal but shallow",Analysis!$F386,""))</f>
        <v/>
      </c>
      <c r="K386" s="29" t="str">
        <f>IF(Analysis!$I386="","",IF(Analysis!$I386="Project-driven",Analysis!$F386,""))</f>
        <v/>
      </c>
      <c r="L386" s="29" t="str">
        <f>IF(Analysis!$I386="","",IF(Analysis!$I386="Drifting",Analysis!$F386,""))</f>
        <v/>
      </c>
      <c r="M386" s="29" t="str">
        <f>IF(Analysis!$I386="","",IF(Analysis!$I386="Embedded",Analysis!$H386,""))</f>
        <v/>
      </c>
      <c r="N386" s="29" t="str">
        <f>IF(Analysis!$I386="","",IF(Analysis!$I386="Loyal but shallow",Analysis!$H386,""))</f>
        <v/>
      </c>
      <c r="O386" s="29" t="str">
        <f>IF(Analysis!$I386="","",IF(Analysis!$I386="Project-driven",Analysis!$H386,""))</f>
        <v/>
      </c>
      <c r="P386" s="29" t="str">
        <f>IF(Analysis!$I386="","",IF(Analysis!$I386="Drifting",Analysis!$H386,""))</f>
        <v/>
      </c>
    </row>
    <row r="387" spans="1:16" x14ac:dyDescent="0.25">
      <c r="A387" s="29" t="str">
        <f>IF(Analysis!$I387="","",IF(Analysis!$I387="Embedded",Analysis!$D387,""))</f>
        <v/>
      </c>
      <c r="B387" s="29" t="str">
        <f>IF(Analysis!$I387="","",IF(Analysis!$I387="Loyal but shallow",Analysis!$D387,""))</f>
        <v/>
      </c>
      <c r="C387" s="29" t="str">
        <f>IF(Analysis!$I387="","",IF(Analysis!$I387="Project-driven",Analysis!$D387,""))</f>
        <v/>
      </c>
      <c r="D387" s="29" t="str">
        <f>IF(Analysis!$I387="","",IF(Analysis!$I387="Drifting",Analysis!$D387,""))</f>
        <v/>
      </c>
      <c r="E387" s="29" t="str">
        <f>IF(Analysis!$I387="","",IF(Analysis!$I387="Embedded",Analysis!$C387,""))</f>
        <v/>
      </c>
      <c r="F387" s="29" t="str">
        <f>IF(Analysis!$I387="","",IF(Analysis!$I387="Loyal but shallow",Analysis!$C387,""))</f>
        <v/>
      </c>
      <c r="G387" s="29" t="str">
        <f>IF(Analysis!$I387="","",IF(Analysis!$I387="Project-driven",Analysis!$C387,""))</f>
        <v/>
      </c>
      <c r="H387" s="29" t="str">
        <f>IF(Analysis!$I387="","",IF(Analysis!$I387="Drifting",Analysis!$C387,""))</f>
        <v/>
      </c>
      <c r="I387" s="29" t="str">
        <f>IF(Analysis!$I387="","",IF(Analysis!$I387="Embedded",Analysis!$F387,""))</f>
        <v/>
      </c>
      <c r="J387" s="29" t="str">
        <f>IF(Analysis!$I387="","",IF(Analysis!$I387="Loyal but shallow",Analysis!$F387,""))</f>
        <v/>
      </c>
      <c r="K387" s="29" t="str">
        <f>IF(Analysis!$I387="","",IF(Analysis!$I387="Project-driven",Analysis!$F387,""))</f>
        <v/>
      </c>
      <c r="L387" s="29" t="str">
        <f>IF(Analysis!$I387="","",IF(Analysis!$I387="Drifting",Analysis!$F387,""))</f>
        <v/>
      </c>
      <c r="M387" s="29" t="str">
        <f>IF(Analysis!$I387="","",IF(Analysis!$I387="Embedded",Analysis!$H387,""))</f>
        <v/>
      </c>
      <c r="N387" s="29" t="str">
        <f>IF(Analysis!$I387="","",IF(Analysis!$I387="Loyal but shallow",Analysis!$H387,""))</f>
        <v/>
      </c>
      <c r="O387" s="29" t="str">
        <f>IF(Analysis!$I387="","",IF(Analysis!$I387="Project-driven",Analysis!$H387,""))</f>
        <v/>
      </c>
      <c r="P387" s="29" t="str">
        <f>IF(Analysis!$I387="","",IF(Analysis!$I387="Drifting",Analysis!$H387,""))</f>
        <v/>
      </c>
    </row>
    <row r="388" spans="1:16" x14ac:dyDescent="0.25">
      <c r="A388" s="29" t="str">
        <f>IF(Analysis!$I388="","",IF(Analysis!$I388="Embedded",Analysis!$D388,""))</f>
        <v/>
      </c>
      <c r="B388" s="29" t="str">
        <f>IF(Analysis!$I388="","",IF(Analysis!$I388="Loyal but shallow",Analysis!$D388,""))</f>
        <v/>
      </c>
      <c r="C388" s="29" t="str">
        <f>IF(Analysis!$I388="","",IF(Analysis!$I388="Project-driven",Analysis!$D388,""))</f>
        <v/>
      </c>
      <c r="D388" s="29" t="str">
        <f>IF(Analysis!$I388="","",IF(Analysis!$I388="Drifting",Analysis!$D388,""))</f>
        <v/>
      </c>
      <c r="E388" s="29" t="str">
        <f>IF(Analysis!$I388="","",IF(Analysis!$I388="Embedded",Analysis!$C388,""))</f>
        <v/>
      </c>
      <c r="F388" s="29" t="str">
        <f>IF(Analysis!$I388="","",IF(Analysis!$I388="Loyal but shallow",Analysis!$C388,""))</f>
        <v/>
      </c>
      <c r="G388" s="29" t="str">
        <f>IF(Analysis!$I388="","",IF(Analysis!$I388="Project-driven",Analysis!$C388,""))</f>
        <v/>
      </c>
      <c r="H388" s="29" t="str">
        <f>IF(Analysis!$I388="","",IF(Analysis!$I388="Drifting",Analysis!$C388,""))</f>
        <v/>
      </c>
      <c r="I388" s="29" t="str">
        <f>IF(Analysis!$I388="","",IF(Analysis!$I388="Embedded",Analysis!$F388,""))</f>
        <v/>
      </c>
      <c r="J388" s="29" t="str">
        <f>IF(Analysis!$I388="","",IF(Analysis!$I388="Loyal but shallow",Analysis!$F388,""))</f>
        <v/>
      </c>
      <c r="K388" s="29" t="str">
        <f>IF(Analysis!$I388="","",IF(Analysis!$I388="Project-driven",Analysis!$F388,""))</f>
        <v/>
      </c>
      <c r="L388" s="29" t="str">
        <f>IF(Analysis!$I388="","",IF(Analysis!$I388="Drifting",Analysis!$F388,""))</f>
        <v/>
      </c>
      <c r="M388" s="29" t="str">
        <f>IF(Analysis!$I388="","",IF(Analysis!$I388="Embedded",Analysis!$H388,""))</f>
        <v/>
      </c>
      <c r="N388" s="29" t="str">
        <f>IF(Analysis!$I388="","",IF(Analysis!$I388="Loyal but shallow",Analysis!$H388,""))</f>
        <v/>
      </c>
      <c r="O388" s="29" t="str">
        <f>IF(Analysis!$I388="","",IF(Analysis!$I388="Project-driven",Analysis!$H388,""))</f>
        <v/>
      </c>
      <c r="P388" s="29" t="str">
        <f>IF(Analysis!$I388="","",IF(Analysis!$I388="Drifting",Analysis!$H388,""))</f>
        <v/>
      </c>
    </row>
    <row r="389" spans="1:16" x14ac:dyDescent="0.25">
      <c r="A389" s="29" t="str">
        <f>IF(Analysis!$I389="","",IF(Analysis!$I389="Embedded",Analysis!$D389,""))</f>
        <v/>
      </c>
      <c r="B389" s="29" t="str">
        <f>IF(Analysis!$I389="","",IF(Analysis!$I389="Loyal but shallow",Analysis!$D389,""))</f>
        <v/>
      </c>
      <c r="C389" s="29" t="str">
        <f>IF(Analysis!$I389="","",IF(Analysis!$I389="Project-driven",Analysis!$D389,""))</f>
        <v/>
      </c>
      <c r="D389" s="29" t="str">
        <f>IF(Analysis!$I389="","",IF(Analysis!$I389="Drifting",Analysis!$D389,""))</f>
        <v/>
      </c>
      <c r="E389" s="29" t="str">
        <f>IF(Analysis!$I389="","",IF(Analysis!$I389="Embedded",Analysis!$C389,""))</f>
        <v/>
      </c>
      <c r="F389" s="29" t="str">
        <f>IF(Analysis!$I389="","",IF(Analysis!$I389="Loyal but shallow",Analysis!$C389,""))</f>
        <v/>
      </c>
      <c r="G389" s="29" t="str">
        <f>IF(Analysis!$I389="","",IF(Analysis!$I389="Project-driven",Analysis!$C389,""))</f>
        <v/>
      </c>
      <c r="H389" s="29" t="str">
        <f>IF(Analysis!$I389="","",IF(Analysis!$I389="Drifting",Analysis!$C389,""))</f>
        <v/>
      </c>
      <c r="I389" s="29" t="str">
        <f>IF(Analysis!$I389="","",IF(Analysis!$I389="Embedded",Analysis!$F389,""))</f>
        <v/>
      </c>
      <c r="J389" s="29" t="str">
        <f>IF(Analysis!$I389="","",IF(Analysis!$I389="Loyal but shallow",Analysis!$F389,""))</f>
        <v/>
      </c>
      <c r="K389" s="29" t="str">
        <f>IF(Analysis!$I389="","",IF(Analysis!$I389="Project-driven",Analysis!$F389,""))</f>
        <v/>
      </c>
      <c r="L389" s="29" t="str">
        <f>IF(Analysis!$I389="","",IF(Analysis!$I389="Drifting",Analysis!$F389,""))</f>
        <v/>
      </c>
      <c r="M389" s="29" t="str">
        <f>IF(Analysis!$I389="","",IF(Analysis!$I389="Embedded",Analysis!$H389,""))</f>
        <v/>
      </c>
      <c r="N389" s="29" t="str">
        <f>IF(Analysis!$I389="","",IF(Analysis!$I389="Loyal but shallow",Analysis!$H389,""))</f>
        <v/>
      </c>
      <c r="O389" s="29" t="str">
        <f>IF(Analysis!$I389="","",IF(Analysis!$I389="Project-driven",Analysis!$H389,""))</f>
        <v/>
      </c>
      <c r="P389" s="29" t="str">
        <f>IF(Analysis!$I389="","",IF(Analysis!$I389="Drifting",Analysis!$H389,""))</f>
        <v/>
      </c>
    </row>
    <row r="390" spans="1:16" x14ac:dyDescent="0.25">
      <c r="A390" s="29" t="str">
        <f>IF(Analysis!$I390="","",IF(Analysis!$I390="Embedded",Analysis!$D390,""))</f>
        <v/>
      </c>
      <c r="B390" s="29" t="str">
        <f>IF(Analysis!$I390="","",IF(Analysis!$I390="Loyal but shallow",Analysis!$D390,""))</f>
        <v/>
      </c>
      <c r="C390" s="29" t="str">
        <f>IF(Analysis!$I390="","",IF(Analysis!$I390="Project-driven",Analysis!$D390,""))</f>
        <v/>
      </c>
      <c r="D390" s="29" t="str">
        <f>IF(Analysis!$I390="","",IF(Analysis!$I390="Drifting",Analysis!$D390,""))</f>
        <v/>
      </c>
      <c r="E390" s="29" t="str">
        <f>IF(Analysis!$I390="","",IF(Analysis!$I390="Embedded",Analysis!$C390,""))</f>
        <v/>
      </c>
      <c r="F390" s="29" t="str">
        <f>IF(Analysis!$I390="","",IF(Analysis!$I390="Loyal but shallow",Analysis!$C390,""))</f>
        <v/>
      </c>
      <c r="G390" s="29" t="str">
        <f>IF(Analysis!$I390="","",IF(Analysis!$I390="Project-driven",Analysis!$C390,""))</f>
        <v/>
      </c>
      <c r="H390" s="29" t="str">
        <f>IF(Analysis!$I390="","",IF(Analysis!$I390="Drifting",Analysis!$C390,""))</f>
        <v/>
      </c>
      <c r="I390" s="29" t="str">
        <f>IF(Analysis!$I390="","",IF(Analysis!$I390="Embedded",Analysis!$F390,""))</f>
        <v/>
      </c>
      <c r="J390" s="29" t="str">
        <f>IF(Analysis!$I390="","",IF(Analysis!$I390="Loyal but shallow",Analysis!$F390,""))</f>
        <v/>
      </c>
      <c r="K390" s="29" t="str">
        <f>IF(Analysis!$I390="","",IF(Analysis!$I390="Project-driven",Analysis!$F390,""))</f>
        <v/>
      </c>
      <c r="L390" s="29" t="str">
        <f>IF(Analysis!$I390="","",IF(Analysis!$I390="Drifting",Analysis!$F390,""))</f>
        <v/>
      </c>
      <c r="M390" s="29" t="str">
        <f>IF(Analysis!$I390="","",IF(Analysis!$I390="Embedded",Analysis!$H390,""))</f>
        <v/>
      </c>
      <c r="N390" s="29" t="str">
        <f>IF(Analysis!$I390="","",IF(Analysis!$I390="Loyal but shallow",Analysis!$H390,""))</f>
        <v/>
      </c>
      <c r="O390" s="29" t="str">
        <f>IF(Analysis!$I390="","",IF(Analysis!$I390="Project-driven",Analysis!$H390,""))</f>
        <v/>
      </c>
      <c r="P390" s="29" t="str">
        <f>IF(Analysis!$I390="","",IF(Analysis!$I390="Drifting",Analysis!$H390,""))</f>
        <v/>
      </c>
    </row>
    <row r="391" spans="1:16" x14ac:dyDescent="0.25">
      <c r="A391" s="29" t="str">
        <f>IF(Analysis!$I391="","",IF(Analysis!$I391="Embedded",Analysis!$D391,""))</f>
        <v/>
      </c>
      <c r="B391" s="29" t="str">
        <f>IF(Analysis!$I391="","",IF(Analysis!$I391="Loyal but shallow",Analysis!$D391,""))</f>
        <v/>
      </c>
      <c r="C391" s="29" t="str">
        <f>IF(Analysis!$I391="","",IF(Analysis!$I391="Project-driven",Analysis!$D391,""))</f>
        <v/>
      </c>
      <c r="D391" s="29" t="str">
        <f>IF(Analysis!$I391="","",IF(Analysis!$I391="Drifting",Analysis!$D391,""))</f>
        <v/>
      </c>
      <c r="E391" s="29" t="str">
        <f>IF(Analysis!$I391="","",IF(Analysis!$I391="Embedded",Analysis!$C391,""))</f>
        <v/>
      </c>
      <c r="F391" s="29" t="str">
        <f>IF(Analysis!$I391="","",IF(Analysis!$I391="Loyal but shallow",Analysis!$C391,""))</f>
        <v/>
      </c>
      <c r="G391" s="29" t="str">
        <f>IF(Analysis!$I391="","",IF(Analysis!$I391="Project-driven",Analysis!$C391,""))</f>
        <v/>
      </c>
      <c r="H391" s="29" t="str">
        <f>IF(Analysis!$I391="","",IF(Analysis!$I391="Drifting",Analysis!$C391,""))</f>
        <v/>
      </c>
      <c r="I391" s="29" t="str">
        <f>IF(Analysis!$I391="","",IF(Analysis!$I391="Embedded",Analysis!$F391,""))</f>
        <v/>
      </c>
      <c r="J391" s="29" t="str">
        <f>IF(Analysis!$I391="","",IF(Analysis!$I391="Loyal but shallow",Analysis!$F391,""))</f>
        <v/>
      </c>
      <c r="K391" s="29" t="str">
        <f>IF(Analysis!$I391="","",IF(Analysis!$I391="Project-driven",Analysis!$F391,""))</f>
        <v/>
      </c>
      <c r="L391" s="29" t="str">
        <f>IF(Analysis!$I391="","",IF(Analysis!$I391="Drifting",Analysis!$F391,""))</f>
        <v/>
      </c>
      <c r="M391" s="29" t="str">
        <f>IF(Analysis!$I391="","",IF(Analysis!$I391="Embedded",Analysis!$H391,""))</f>
        <v/>
      </c>
      <c r="N391" s="29" t="str">
        <f>IF(Analysis!$I391="","",IF(Analysis!$I391="Loyal but shallow",Analysis!$H391,""))</f>
        <v/>
      </c>
      <c r="O391" s="29" t="str">
        <f>IF(Analysis!$I391="","",IF(Analysis!$I391="Project-driven",Analysis!$H391,""))</f>
        <v/>
      </c>
      <c r="P391" s="29" t="str">
        <f>IF(Analysis!$I391="","",IF(Analysis!$I391="Drifting",Analysis!$H391,""))</f>
        <v/>
      </c>
    </row>
    <row r="392" spans="1:16" x14ac:dyDescent="0.25">
      <c r="A392" s="29" t="str">
        <f>IF(Analysis!$I392="","",IF(Analysis!$I392="Embedded",Analysis!$D392,""))</f>
        <v/>
      </c>
      <c r="B392" s="29" t="str">
        <f>IF(Analysis!$I392="","",IF(Analysis!$I392="Loyal but shallow",Analysis!$D392,""))</f>
        <v/>
      </c>
      <c r="C392" s="29" t="str">
        <f>IF(Analysis!$I392="","",IF(Analysis!$I392="Project-driven",Analysis!$D392,""))</f>
        <v/>
      </c>
      <c r="D392" s="29" t="str">
        <f>IF(Analysis!$I392="","",IF(Analysis!$I392="Drifting",Analysis!$D392,""))</f>
        <v/>
      </c>
      <c r="E392" s="29" t="str">
        <f>IF(Analysis!$I392="","",IF(Analysis!$I392="Embedded",Analysis!$C392,""))</f>
        <v/>
      </c>
      <c r="F392" s="29" t="str">
        <f>IF(Analysis!$I392="","",IF(Analysis!$I392="Loyal but shallow",Analysis!$C392,""))</f>
        <v/>
      </c>
      <c r="G392" s="29" t="str">
        <f>IF(Analysis!$I392="","",IF(Analysis!$I392="Project-driven",Analysis!$C392,""))</f>
        <v/>
      </c>
      <c r="H392" s="29" t="str">
        <f>IF(Analysis!$I392="","",IF(Analysis!$I392="Drifting",Analysis!$C392,""))</f>
        <v/>
      </c>
      <c r="I392" s="29" t="str">
        <f>IF(Analysis!$I392="","",IF(Analysis!$I392="Embedded",Analysis!$F392,""))</f>
        <v/>
      </c>
      <c r="J392" s="29" t="str">
        <f>IF(Analysis!$I392="","",IF(Analysis!$I392="Loyal but shallow",Analysis!$F392,""))</f>
        <v/>
      </c>
      <c r="K392" s="29" t="str">
        <f>IF(Analysis!$I392="","",IF(Analysis!$I392="Project-driven",Analysis!$F392,""))</f>
        <v/>
      </c>
      <c r="L392" s="29" t="str">
        <f>IF(Analysis!$I392="","",IF(Analysis!$I392="Drifting",Analysis!$F392,""))</f>
        <v/>
      </c>
      <c r="M392" s="29" t="str">
        <f>IF(Analysis!$I392="","",IF(Analysis!$I392="Embedded",Analysis!$H392,""))</f>
        <v/>
      </c>
      <c r="N392" s="29" t="str">
        <f>IF(Analysis!$I392="","",IF(Analysis!$I392="Loyal but shallow",Analysis!$H392,""))</f>
        <v/>
      </c>
      <c r="O392" s="29" t="str">
        <f>IF(Analysis!$I392="","",IF(Analysis!$I392="Project-driven",Analysis!$H392,""))</f>
        <v/>
      </c>
      <c r="P392" s="29" t="str">
        <f>IF(Analysis!$I392="","",IF(Analysis!$I392="Drifting",Analysis!$H392,""))</f>
        <v/>
      </c>
    </row>
    <row r="393" spans="1:16" x14ac:dyDescent="0.25">
      <c r="A393" s="29" t="str">
        <f>IF(Analysis!$I393="","",IF(Analysis!$I393="Embedded",Analysis!$D393,""))</f>
        <v/>
      </c>
      <c r="B393" s="29" t="str">
        <f>IF(Analysis!$I393="","",IF(Analysis!$I393="Loyal but shallow",Analysis!$D393,""))</f>
        <v/>
      </c>
      <c r="C393" s="29" t="str">
        <f>IF(Analysis!$I393="","",IF(Analysis!$I393="Project-driven",Analysis!$D393,""))</f>
        <v/>
      </c>
      <c r="D393" s="29" t="str">
        <f>IF(Analysis!$I393="","",IF(Analysis!$I393="Drifting",Analysis!$D393,""))</f>
        <v/>
      </c>
      <c r="E393" s="29" t="str">
        <f>IF(Analysis!$I393="","",IF(Analysis!$I393="Embedded",Analysis!$C393,""))</f>
        <v/>
      </c>
      <c r="F393" s="29" t="str">
        <f>IF(Analysis!$I393="","",IF(Analysis!$I393="Loyal but shallow",Analysis!$C393,""))</f>
        <v/>
      </c>
      <c r="G393" s="29" t="str">
        <f>IF(Analysis!$I393="","",IF(Analysis!$I393="Project-driven",Analysis!$C393,""))</f>
        <v/>
      </c>
      <c r="H393" s="29" t="str">
        <f>IF(Analysis!$I393="","",IF(Analysis!$I393="Drifting",Analysis!$C393,""))</f>
        <v/>
      </c>
      <c r="I393" s="29" t="str">
        <f>IF(Analysis!$I393="","",IF(Analysis!$I393="Embedded",Analysis!$F393,""))</f>
        <v/>
      </c>
      <c r="J393" s="29" t="str">
        <f>IF(Analysis!$I393="","",IF(Analysis!$I393="Loyal but shallow",Analysis!$F393,""))</f>
        <v/>
      </c>
      <c r="K393" s="29" t="str">
        <f>IF(Analysis!$I393="","",IF(Analysis!$I393="Project-driven",Analysis!$F393,""))</f>
        <v/>
      </c>
      <c r="L393" s="29" t="str">
        <f>IF(Analysis!$I393="","",IF(Analysis!$I393="Drifting",Analysis!$F393,""))</f>
        <v/>
      </c>
      <c r="M393" s="29" t="str">
        <f>IF(Analysis!$I393="","",IF(Analysis!$I393="Embedded",Analysis!$H393,""))</f>
        <v/>
      </c>
      <c r="N393" s="29" t="str">
        <f>IF(Analysis!$I393="","",IF(Analysis!$I393="Loyal but shallow",Analysis!$H393,""))</f>
        <v/>
      </c>
      <c r="O393" s="29" t="str">
        <f>IF(Analysis!$I393="","",IF(Analysis!$I393="Project-driven",Analysis!$H393,""))</f>
        <v/>
      </c>
      <c r="P393" s="29" t="str">
        <f>IF(Analysis!$I393="","",IF(Analysis!$I393="Drifting",Analysis!$H393,""))</f>
        <v/>
      </c>
    </row>
    <row r="394" spans="1:16" x14ac:dyDescent="0.25">
      <c r="A394" s="29" t="str">
        <f>IF(Analysis!$I394="","",IF(Analysis!$I394="Embedded",Analysis!$D394,""))</f>
        <v/>
      </c>
      <c r="B394" s="29" t="str">
        <f>IF(Analysis!$I394="","",IF(Analysis!$I394="Loyal but shallow",Analysis!$D394,""))</f>
        <v/>
      </c>
      <c r="C394" s="29" t="str">
        <f>IF(Analysis!$I394="","",IF(Analysis!$I394="Project-driven",Analysis!$D394,""))</f>
        <v/>
      </c>
      <c r="D394" s="29" t="str">
        <f>IF(Analysis!$I394="","",IF(Analysis!$I394="Drifting",Analysis!$D394,""))</f>
        <v/>
      </c>
      <c r="E394" s="29" t="str">
        <f>IF(Analysis!$I394="","",IF(Analysis!$I394="Embedded",Analysis!$C394,""))</f>
        <v/>
      </c>
      <c r="F394" s="29" t="str">
        <f>IF(Analysis!$I394="","",IF(Analysis!$I394="Loyal but shallow",Analysis!$C394,""))</f>
        <v/>
      </c>
      <c r="G394" s="29" t="str">
        <f>IF(Analysis!$I394="","",IF(Analysis!$I394="Project-driven",Analysis!$C394,""))</f>
        <v/>
      </c>
      <c r="H394" s="29" t="str">
        <f>IF(Analysis!$I394="","",IF(Analysis!$I394="Drifting",Analysis!$C394,""))</f>
        <v/>
      </c>
      <c r="I394" s="29" t="str">
        <f>IF(Analysis!$I394="","",IF(Analysis!$I394="Embedded",Analysis!$F394,""))</f>
        <v/>
      </c>
      <c r="J394" s="29" t="str">
        <f>IF(Analysis!$I394="","",IF(Analysis!$I394="Loyal but shallow",Analysis!$F394,""))</f>
        <v/>
      </c>
      <c r="K394" s="29" t="str">
        <f>IF(Analysis!$I394="","",IF(Analysis!$I394="Project-driven",Analysis!$F394,""))</f>
        <v/>
      </c>
      <c r="L394" s="29" t="str">
        <f>IF(Analysis!$I394="","",IF(Analysis!$I394="Drifting",Analysis!$F394,""))</f>
        <v/>
      </c>
      <c r="M394" s="29" t="str">
        <f>IF(Analysis!$I394="","",IF(Analysis!$I394="Embedded",Analysis!$H394,""))</f>
        <v/>
      </c>
      <c r="N394" s="29" t="str">
        <f>IF(Analysis!$I394="","",IF(Analysis!$I394="Loyal but shallow",Analysis!$H394,""))</f>
        <v/>
      </c>
      <c r="O394" s="29" t="str">
        <f>IF(Analysis!$I394="","",IF(Analysis!$I394="Project-driven",Analysis!$H394,""))</f>
        <v/>
      </c>
      <c r="P394" s="29" t="str">
        <f>IF(Analysis!$I394="","",IF(Analysis!$I394="Drifting",Analysis!$H394,""))</f>
        <v/>
      </c>
    </row>
    <row r="395" spans="1:16" x14ac:dyDescent="0.25">
      <c r="A395" s="29" t="str">
        <f>IF(Analysis!$I395="","",IF(Analysis!$I395="Embedded",Analysis!$D395,""))</f>
        <v/>
      </c>
      <c r="B395" s="29" t="str">
        <f>IF(Analysis!$I395="","",IF(Analysis!$I395="Loyal but shallow",Analysis!$D395,""))</f>
        <v/>
      </c>
      <c r="C395" s="29" t="str">
        <f>IF(Analysis!$I395="","",IF(Analysis!$I395="Project-driven",Analysis!$D395,""))</f>
        <v/>
      </c>
      <c r="D395" s="29" t="str">
        <f>IF(Analysis!$I395="","",IF(Analysis!$I395="Drifting",Analysis!$D395,""))</f>
        <v/>
      </c>
      <c r="E395" s="29" t="str">
        <f>IF(Analysis!$I395="","",IF(Analysis!$I395="Embedded",Analysis!$C395,""))</f>
        <v/>
      </c>
      <c r="F395" s="29" t="str">
        <f>IF(Analysis!$I395="","",IF(Analysis!$I395="Loyal but shallow",Analysis!$C395,""))</f>
        <v/>
      </c>
      <c r="G395" s="29" t="str">
        <f>IF(Analysis!$I395="","",IF(Analysis!$I395="Project-driven",Analysis!$C395,""))</f>
        <v/>
      </c>
      <c r="H395" s="29" t="str">
        <f>IF(Analysis!$I395="","",IF(Analysis!$I395="Drifting",Analysis!$C395,""))</f>
        <v/>
      </c>
      <c r="I395" s="29" t="str">
        <f>IF(Analysis!$I395="","",IF(Analysis!$I395="Embedded",Analysis!$F395,""))</f>
        <v/>
      </c>
      <c r="J395" s="29" t="str">
        <f>IF(Analysis!$I395="","",IF(Analysis!$I395="Loyal but shallow",Analysis!$F395,""))</f>
        <v/>
      </c>
      <c r="K395" s="29" t="str">
        <f>IF(Analysis!$I395="","",IF(Analysis!$I395="Project-driven",Analysis!$F395,""))</f>
        <v/>
      </c>
      <c r="L395" s="29" t="str">
        <f>IF(Analysis!$I395="","",IF(Analysis!$I395="Drifting",Analysis!$F395,""))</f>
        <v/>
      </c>
      <c r="M395" s="29" t="str">
        <f>IF(Analysis!$I395="","",IF(Analysis!$I395="Embedded",Analysis!$H395,""))</f>
        <v/>
      </c>
      <c r="N395" s="29" t="str">
        <f>IF(Analysis!$I395="","",IF(Analysis!$I395="Loyal but shallow",Analysis!$H395,""))</f>
        <v/>
      </c>
      <c r="O395" s="29" t="str">
        <f>IF(Analysis!$I395="","",IF(Analysis!$I395="Project-driven",Analysis!$H395,""))</f>
        <v/>
      </c>
      <c r="P395" s="29" t="str">
        <f>IF(Analysis!$I395="","",IF(Analysis!$I395="Drifting",Analysis!$H395,""))</f>
        <v/>
      </c>
    </row>
    <row r="396" spans="1:16" x14ac:dyDescent="0.25">
      <c r="A396" s="29" t="str">
        <f>IF(Analysis!$I396="","",IF(Analysis!$I396="Embedded",Analysis!$D396,""))</f>
        <v/>
      </c>
      <c r="B396" s="29" t="str">
        <f>IF(Analysis!$I396="","",IF(Analysis!$I396="Loyal but shallow",Analysis!$D396,""))</f>
        <v/>
      </c>
      <c r="C396" s="29" t="str">
        <f>IF(Analysis!$I396="","",IF(Analysis!$I396="Project-driven",Analysis!$D396,""))</f>
        <v/>
      </c>
      <c r="D396" s="29" t="str">
        <f>IF(Analysis!$I396="","",IF(Analysis!$I396="Drifting",Analysis!$D396,""))</f>
        <v/>
      </c>
      <c r="E396" s="29" t="str">
        <f>IF(Analysis!$I396="","",IF(Analysis!$I396="Embedded",Analysis!$C396,""))</f>
        <v/>
      </c>
      <c r="F396" s="29" t="str">
        <f>IF(Analysis!$I396="","",IF(Analysis!$I396="Loyal but shallow",Analysis!$C396,""))</f>
        <v/>
      </c>
      <c r="G396" s="29" t="str">
        <f>IF(Analysis!$I396="","",IF(Analysis!$I396="Project-driven",Analysis!$C396,""))</f>
        <v/>
      </c>
      <c r="H396" s="29" t="str">
        <f>IF(Analysis!$I396="","",IF(Analysis!$I396="Drifting",Analysis!$C396,""))</f>
        <v/>
      </c>
      <c r="I396" s="29" t="str">
        <f>IF(Analysis!$I396="","",IF(Analysis!$I396="Embedded",Analysis!$F396,""))</f>
        <v/>
      </c>
      <c r="J396" s="29" t="str">
        <f>IF(Analysis!$I396="","",IF(Analysis!$I396="Loyal but shallow",Analysis!$F396,""))</f>
        <v/>
      </c>
      <c r="K396" s="29" t="str">
        <f>IF(Analysis!$I396="","",IF(Analysis!$I396="Project-driven",Analysis!$F396,""))</f>
        <v/>
      </c>
      <c r="L396" s="29" t="str">
        <f>IF(Analysis!$I396="","",IF(Analysis!$I396="Drifting",Analysis!$F396,""))</f>
        <v/>
      </c>
      <c r="M396" s="29" t="str">
        <f>IF(Analysis!$I396="","",IF(Analysis!$I396="Embedded",Analysis!$H396,""))</f>
        <v/>
      </c>
      <c r="N396" s="29" t="str">
        <f>IF(Analysis!$I396="","",IF(Analysis!$I396="Loyal but shallow",Analysis!$H396,""))</f>
        <v/>
      </c>
      <c r="O396" s="29" t="str">
        <f>IF(Analysis!$I396="","",IF(Analysis!$I396="Project-driven",Analysis!$H396,""))</f>
        <v/>
      </c>
      <c r="P396" s="29" t="str">
        <f>IF(Analysis!$I396="","",IF(Analysis!$I396="Drifting",Analysis!$H396,""))</f>
        <v/>
      </c>
    </row>
    <row r="397" spans="1:16" x14ac:dyDescent="0.25">
      <c r="A397" s="29" t="str">
        <f>IF(Analysis!$I397="","",IF(Analysis!$I397="Embedded",Analysis!$D397,""))</f>
        <v/>
      </c>
      <c r="B397" s="29" t="str">
        <f>IF(Analysis!$I397="","",IF(Analysis!$I397="Loyal but shallow",Analysis!$D397,""))</f>
        <v/>
      </c>
      <c r="C397" s="29" t="str">
        <f>IF(Analysis!$I397="","",IF(Analysis!$I397="Project-driven",Analysis!$D397,""))</f>
        <v/>
      </c>
      <c r="D397" s="29" t="str">
        <f>IF(Analysis!$I397="","",IF(Analysis!$I397="Drifting",Analysis!$D397,""))</f>
        <v/>
      </c>
      <c r="E397" s="29" t="str">
        <f>IF(Analysis!$I397="","",IF(Analysis!$I397="Embedded",Analysis!$C397,""))</f>
        <v/>
      </c>
      <c r="F397" s="29" t="str">
        <f>IF(Analysis!$I397="","",IF(Analysis!$I397="Loyal but shallow",Analysis!$C397,""))</f>
        <v/>
      </c>
      <c r="G397" s="29" t="str">
        <f>IF(Analysis!$I397="","",IF(Analysis!$I397="Project-driven",Analysis!$C397,""))</f>
        <v/>
      </c>
      <c r="H397" s="29" t="str">
        <f>IF(Analysis!$I397="","",IF(Analysis!$I397="Drifting",Analysis!$C397,""))</f>
        <v/>
      </c>
      <c r="I397" s="29" t="str">
        <f>IF(Analysis!$I397="","",IF(Analysis!$I397="Embedded",Analysis!$F397,""))</f>
        <v/>
      </c>
      <c r="J397" s="29" t="str">
        <f>IF(Analysis!$I397="","",IF(Analysis!$I397="Loyal but shallow",Analysis!$F397,""))</f>
        <v/>
      </c>
      <c r="K397" s="29" t="str">
        <f>IF(Analysis!$I397="","",IF(Analysis!$I397="Project-driven",Analysis!$F397,""))</f>
        <v/>
      </c>
      <c r="L397" s="29" t="str">
        <f>IF(Analysis!$I397="","",IF(Analysis!$I397="Drifting",Analysis!$F397,""))</f>
        <v/>
      </c>
      <c r="M397" s="29" t="str">
        <f>IF(Analysis!$I397="","",IF(Analysis!$I397="Embedded",Analysis!$H397,""))</f>
        <v/>
      </c>
      <c r="N397" s="29" t="str">
        <f>IF(Analysis!$I397="","",IF(Analysis!$I397="Loyal but shallow",Analysis!$H397,""))</f>
        <v/>
      </c>
      <c r="O397" s="29" t="str">
        <f>IF(Analysis!$I397="","",IF(Analysis!$I397="Project-driven",Analysis!$H397,""))</f>
        <v/>
      </c>
      <c r="P397" s="29" t="str">
        <f>IF(Analysis!$I397="","",IF(Analysis!$I397="Drifting",Analysis!$H397,""))</f>
        <v/>
      </c>
    </row>
    <row r="398" spans="1:16" x14ac:dyDescent="0.25">
      <c r="A398" s="29" t="str">
        <f>IF(Analysis!$I398="","",IF(Analysis!$I398="Embedded",Analysis!$D398,""))</f>
        <v/>
      </c>
      <c r="B398" s="29" t="str">
        <f>IF(Analysis!$I398="","",IF(Analysis!$I398="Loyal but shallow",Analysis!$D398,""))</f>
        <v/>
      </c>
      <c r="C398" s="29" t="str">
        <f>IF(Analysis!$I398="","",IF(Analysis!$I398="Project-driven",Analysis!$D398,""))</f>
        <v/>
      </c>
      <c r="D398" s="29" t="str">
        <f>IF(Analysis!$I398="","",IF(Analysis!$I398="Drifting",Analysis!$D398,""))</f>
        <v/>
      </c>
      <c r="E398" s="29" t="str">
        <f>IF(Analysis!$I398="","",IF(Analysis!$I398="Embedded",Analysis!$C398,""))</f>
        <v/>
      </c>
      <c r="F398" s="29" t="str">
        <f>IF(Analysis!$I398="","",IF(Analysis!$I398="Loyal but shallow",Analysis!$C398,""))</f>
        <v/>
      </c>
      <c r="G398" s="29" t="str">
        <f>IF(Analysis!$I398="","",IF(Analysis!$I398="Project-driven",Analysis!$C398,""))</f>
        <v/>
      </c>
      <c r="H398" s="29" t="str">
        <f>IF(Analysis!$I398="","",IF(Analysis!$I398="Drifting",Analysis!$C398,""))</f>
        <v/>
      </c>
      <c r="I398" s="29" t="str">
        <f>IF(Analysis!$I398="","",IF(Analysis!$I398="Embedded",Analysis!$F398,""))</f>
        <v/>
      </c>
      <c r="J398" s="29" t="str">
        <f>IF(Analysis!$I398="","",IF(Analysis!$I398="Loyal but shallow",Analysis!$F398,""))</f>
        <v/>
      </c>
      <c r="K398" s="29" t="str">
        <f>IF(Analysis!$I398="","",IF(Analysis!$I398="Project-driven",Analysis!$F398,""))</f>
        <v/>
      </c>
      <c r="L398" s="29" t="str">
        <f>IF(Analysis!$I398="","",IF(Analysis!$I398="Drifting",Analysis!$F398,""))</f>
        <v/>
      </c>
      <c r="M398" s="29" t="str">
        <f>IF(Analysis!$I398="","",IF(Analysis!$I398="Embedded",Analysis!$H398,""))</f>
        <v/>
      </c>
      <c r="N398" s="29" t="str">
        <f>IF(Analysis!$I398="","",IF(Analysis!$I398="Loyal but shallow",Analysis!$H398,""))</f>
        <v/>
      </c>
      <c r="O398" s="29" t="str">
        <f>IF(Analysis!$I398="","",IF(Analysis!$I398="Project-driven",Analysis!$H398,""))</f>
        <v/>
      </c>
      <c r="P398" s="29" t="str">
        <f>IF(Analysis!$I398="","",IF(Analysis!$I398="Drifting",Analysis!$H398,""))</f>
        <v/>
      </c>
    </row>
    <row r="399" spans="1:16" x14ac:dyDescent="0.25">
      <c r="A399" s="29" t="str">
        <f>IF(Analysis!$I399="","",IF(Analysis!$I399="Embedded",Analysis!$D399,""))</f>
        <v/>
      </c>
      <c r="B399" s="29" t="str">
        <f>IF(Analysis!$I399="","",IF(Analysis!$I399="Loyal but shallow",Analysis!$D399,""))</f>
        <v/>
      </c>
      <c r="C399" s="29" t="str">
        <f>IF(Analysis!$I399="","",IF(Analysis!$I399="Project-driven",Analysis!$D399,""))</f>
        <v/>
      </c>
      <c r="D399" s="29" t="str">
        <f>IF(Analysis!$I399="","",IF(Analysis!$I399="Drifting",Analysis!$D399,""))</f>
        <v/>
      </c>
      <c r="E399" s="29" t="str">
        <f>IF(Analysis!$I399="","",IF(Analysis!$I399="Embedded",Analysis!$C399,""))</f>
        <v/>
      </c>
      <c r="F399" s="29" t="str">
        <f>IF(Analysis!$I399="","",IF(Analysis!$I399="Loyal but shallow",Analysis!$C399,""))</f>
        <v/>
      </c>
      <c r="G399" s="29" t="str">
        <f>IF(Analysis!$I399="","",IF(Analysis!$I399="Project-driven",Analysis!$C399,""))</f>
        <v/>
      </c>
      <c r="H399" s="29" t="str">
        <f>IF(Analysis!$I399="","",IF(Analysis!$I399="Drifting",Analysis!$C399,""))</f>
        <v/>
      </c>
      <c r="I399" s="29" t="str">
        <f>IF(Analysis!$I399="","",IF(Analysis!$I399="Embedded",Analysis!$F399,""))</f>
        <v/>
      </c>
      <c r="J399" s="29" t="str">
        <f>IF(Analysis!$I399="","",IF(Analysis!$I399="Loyal but shallow",Analysis!$F399,""))</f>
        <v/>
      </c>
      <c r="K399" s="29" t="str">
        <f>IF(Analysis!$I399="","",IF(Analysis!$I399="Project-driven",Analysis!$F399,""))</f>
        <v/>
      </c>
      <c r="L399" s="29" t="str">
        <f>IF(Analysis!$I399="","",IF(Analysis!$I399="Drifting",Analysis!$F399,""))</f>
        <v/>
      </c>
      <c r="M399" s="29" t="str">
        <f>IF(Analysis!$I399="","",IF(Analysis!$I399="Embedded",Analysis!$H399,""))</f>
        <v/>
      </c>
      <c r="N399" s="29" t="str">
        <f>IF(Analysis!$I399="","",IF(Analysis!$I399="Loyal but shallow",Analysis!$H399,""))</f>
        <v/>
      </c>
      <c r="O399" s="29" t="str">
        <f>IF(Analysis!$I399="","",IF(Analysis!$I399="Project-driven",Analysis!$H399,""))</f>
        <v/>
      </c>
      <c r="P399" s="29" t="str">
        <f>IF(Analysis!$I399="","",IF(Analysis!$I399="Drifting",Analysis!$H399,""))</f>
        <v/>
      </c>
    </row>
    <row r="400" spans="1:16" x14ac:dyDescent="0.25">
      <c r="A400" s="29" t="str">
        <f>IF(Analysis!$I400="","",IF(Analysis!$I400="Embedded",Analysis!$D400,""))</f>
        <v/>
      </c>
      <c r="B400" s="29" t="str">
        <f>IF(Analysis!$I400="","",IF(Analysis!$I400="Loyal but shallow",Analysis!$D400,""))</f>
        <v/>
      </c>
      <c r="C400" s="29" t="str">
        <f>IF(Analysis!$I400="","",IF(Analysis!$I400="Project-driven",Analysis!$D400,""))</f>
        <v/>
      </c>
      <c r="D400" s="29" t="str">
        <f>IF(Analysis!$I400="","",IF(Analysis!$I400="Drifting",Analysis!$D400,""))</f>
        <v/>
      </c>
      <c r="E400" s="29" t="str">
        <f>IF(Analysis!$I400="","",IF(Analysis!$I400="Embedded",Analysis!$C400,""))</f>
        <v/>
      </c>
      <c r="F400" s="29" t="str">
        <f>IF(Analysis!$I400="","",IF(Analysis!$I400="Loyal but shallow",Analysis!$C400,""))</f>
        <v/>
      </c>
      <c r="G400" s="29" t="str">
        <f>IF(Analysis!$I400="","",IF(Analysis!$I400="Project-driven",Analysis!$C400,""))</f>
        <v/>
      </c>
      <c r="H400" s="29" t="str">
        <f>IF(Analysis!$I400="","",IF(Analysis!$I400="Drifting",Analysis!$C400,""))</f>
        <v/>
      </c>
      <c r="I400" s="29" t="str">
        <f>IF(Analysis!$I400="","",IF(Analysis!$I400="Embedded",Analysis!$F400,""))</f>
        <v/>
      </c>
      <c r="J400" s="29" t="str">
        <f>IF(Analysis!$I400="","",IF(Analysis!$I400="Loyal but shallow",Analysis!$F400,""))</f>
        <v/>
      </c>
      <c r="K400" s="29" t="str">
        <f>IF(Analysis!$I400="","",IF(Analysis!$I400="Project-driven",Analysis!$F400,""))</f>
        <v/>
      </c>
      <c r="L400" s="29" t="str">
        <f>IF(Analysis!$I400="","",IF(Analysis!$I400="Drifting",Analysis!$F400,""))</f>
        <v/>
      </c>
      <c r="M400" s="29" t="str">
        <f>IF(Analysis!$I400="","",IF(Analysis!$I400="Embedded",Analysis!$H400,""))</f>
        <v/>
      </c>
      <c r="N400" s="29" t="str">
        <f>IF(Analysis!$I400="","",IF(Analysis!$I400="Loyal but shallow",Analysis!$H400,""))</f>
        <v/>
      </c>
      <c r="O400" s="29" t="str">
        <f>IF(Analysis!$I400="","",IF(Analysis!$I400="Project-driven",Analysis!$H400,""))</f>
        <v/>
      </c>
      <c r="P400" s="29" t="str">
        <f>IF(Analysis!$I400="","",IF(Analysis!$I400="Drifting",Analysis!$H400,""))</f>
        <v/>
      </c>
    </row>
    <row r="401" spans="1:16" x14ac:dyDescent="0.25">
      <c r="A401" s="29" t="str">
        <f>IF(Analysis!$I401="","",IF(Analysis!$I401="Embedded",Analysis!$D401,""))</f>
        <v/>
      </c>
      <c r="B401" s="29" t="str">
        <f>IF(Analysis!$I401="","",IF(Analysis!$I401="Loyal but shallow",Analysis!$D401,""))</f>
        <v/>
      </c>
      <c r="C401" s="29" t="str">
        <f>IF(Analysis!$I401="","",IF(Analysis!$I401="Project-driven",Analysis!$D401,""))</f>
        <v/>
      </c>
      <c r="D401" s="29" t="str">
        <f>IF(Analysis!$I401="","",IF(Analysis!$I401="Drifting",Analysis!$D401,""))</f>
        <v/>
      </c>
      <c r="E401" s="29" t="str">
        <f>IF(Analysis!$I401="","",IF(Analysis!$I401="Embedded",Analysis!$C401,""))</f>
        <v/>
      </c>
      <c r="F401" s="29" t="str">
        <f>IF(Analysis!$I401="","",IF(Analysis!$I401="Loyal but shallow",Analysis!$C401,""))</f>
        <v/>
      </c>
      <c r="G401" s="29" t="str">
        <f>IF(Analysis!$I401="","",IF(Analysis!$I401="Project-driven",Analysis!$C401,""))</f>
        <v/>
      </c>
      <c r="H401" s="29" t="str">
        <f>IF(Analysis!$I401="","",IF(Analysis!$I401="Drifting",Analysis!$C401,""))</f>
        <v/>
      </c>
      <c r="I401" s="29" t="str">
        <f>IF(Analysis!$I401="","",IF(Analysis!$I401="Embedded",Analysis!$F401,""))</f>
        <v/>
      </c>
      <c r="J401" s="29" t="str">
        <f>IF(Analysis!$I401="","",IF(Analysis!$I401="Loyal but shallow",Analysis!$F401,""))</f>
        <v/>
      </c>
      <c r="K401" s="29" t="str">
        <f>IF(Analysis!$I401="","",IF(Analysis!$I401="Project-driven",Analysis!$F401,""))</f>
        <v/>
      </c>
      <c r="L401" s="29" t="str">
        <f>IF(Analysis!$I401="","",IF(Analysis!$I401="Drifting",Analysis!$F401,""))</f>
        <v/>
      </c>
      <c r="M401" s="29" t="str">
        <f>IF(Analysis!$I401="","",IF(Analysis!$I401="Embedded",Analysis!$H401,""))</f>
        <v/>
      </c>
      <c r="N401" s="29" t="str">
        <f>IF(Analysis!$I401="","",IF(Analysis!$I401="Loyal but shallow",Analysis!$H401,""))</f>
        <v/>
      </c>
      <c r="O401" s="29" t="str">
        <f>IF(Analysis!$I401="","",IF(Analysis!$I401="Project-driven",Analysis!$H401,""))</f>
        <v/>
      </c>
      <c r="P401" s="29" t="str">
        <f>IF(Analysis!$I401="","",IF(Analysis!$I401="Drifting",Analysis!$H401,""))</f>
        <v/>
      </c>
    </row>
    <row r="402" spans="1:16" x14ac:dyDescent="0.25">
      <c r="A402" s="29" t="str">
        <f>IF(Analysis!$I402="","",IF(Analysis!$I402="Embedded",Analysis!$D402,""))</f>
        <v/>
      </c>
      <c r="B402" s="29" t="str">
        <f>IF(Analysis!$I402="","",IF(Analysis!$I402="Loyal but shallow",Analysis!$D402,""))</f>
        <v/>
      </c>
      <c r="C402" s="29" t="str">
        <f>IF(Analysis!$I402="","",IF(Analysis!$I402="Project-driven",Analysis!$D402,""))</f>
        <v/>
      </c>
      <c r="D402" s="29" t="str">
        <f>IF(Analysis!$I402="","",IF(Analysis!$I402="Drifting",Analysis!$D402,""))</f>
        <v/>
      </c>
      <c r="E402" s="29" t="str">
        <f>IF(Analysis!$I402="","",IF(Analysis!$I402="Embedded",Analysis!$C402,""))</f>
        <v/>
      </c>
      <c r="F402" s="29" t="str">
        <f>IF(Analysis!$I402="","",IF(Analysis!$I402="Loyal but shallow",Analysis!$C402,""))</f>
        <v/>
      </c>
      <c r="G402" s="29" t="str">
        <f>IF(Analysis!$I402="","",IF(Analysis!$I402="Project-driven",Analysis!$C402,""))</f>
        <v/>
      </c>
      <c r="H402" s="29" t="str">
        <f>IF(Analysis!$I402="","",IF(Analysis!$I402="Drifting",Analysis!$C402,""))</f>
        <v/>
      </c>
      <c r="I402" s="29" t="str">
        <f>IF(Analysis!$I402="","",IF(Analysis!$I402="Embedded",Analysis!$F402,""))</f>
        <v/>
      </c>
      <c r="J402" s="29" t="str">
        <f>IF(Analysis!$I402="","",IF(Analysis!$I402="Loyal but shallow",Analysis!$F402,""))</f>
        <v/>
      </c>
      <c r="K402" s="29" t="str">
        <f>IF(Analysis!$I402="","",IF(Analysis!$I402="Project-driven",Analysis!$F402,""))</f>
        <v/>
      </c>
      <c r="L402" s="29" t="str">
        <f>IF(Analysis!$I402="","",IF(Analysis!$I402="Drifting",Analysis!$F402,""))</f>
        <v/>
      </c>
      <c r="M402" s="29" t="str">
        <f>IF(Analysis!$I402="","",IF(Analysis!$I402="Embedded",Analysis!$H402,""))</f>
        <v/>
      </c>
      <c r="N402" s="29" t="str">
        <f>IF(Analysis!$I402="","",IF(Analysis!$I402="Loyal but shallow",Analysis!$H402,""))</f>
        <v/>
      </c>
      <c r="O402" s="29" t="str">
        <f>IF(Analysis!$I402="","",IF(Analysis!$I402="Project-driven",Analysis!$H402,""))</f>
        <v/>
      </c>
      <c r="P402" s="29" t="str">
        <f>IF(Analysis!$I402="","",IF(Analysis!$I402="Drifting",Analysis!$H402,""))</f>
        <v/>
      </c>
    </row>
    <row r="403" spans="1:16" x14ac:dyDescent="0.25">
      <c r="A403" s="29" t="str">
        <f>IF(Analysis!$I403="","",IF(Analysis!$I403="Embedded",Analysis!$D403,""))</f>
        <v/>
      </c>
      <c r="B403" s="29" t="str">
        <f>IF(Analysis!$I403="","",IF(Analysis!$I403="Loyal but shallow",Analysis!$D403,""))</f>
        <v/>
      </c>
      <c r="C403" s="29" t="str">
        <f>IF(Analysis!$I403="","",IF(Analysis!$I403="Project-driven",Analysis!$D403,""))</f>
        <v/>
      </c>
      <c r="D403" s="29" t="str">
        <f>IF(Analysis!$I403="","",IF(Analysis!$I403="Drifting",Analysis!$D403,""))</f>
        <v/>
      </c>
      <c r="E403" s="29" t="str">
        <f>IF(Analysis!$I403="","",IF(Analysis!$I403="Embedded",Analysis!$C403,""))</f>
        <v/>
      </c>
      <c r="F403" s="29" t="str">
        <f>IF(Analysis!$I403="","",IF(Analysis!$I403="Loyal but shallow",Analysis!$C403,""))</f>
        <v/>
      </c>
      <c r="G403" s="29" t="str">
        <f>IF(Analysis!$I403="","",IF(Analysis!$I403="Project-driven",Analysis!$C403,""))</f>
        <v/>
      </c>
      <c r="H403" s="29" t="str">
        <f>IF(Analysis!$I403="","",IF(Analysis!$I403="Drifting",Analysis!$C403,""))</f>
        <v/>
      </c>
      <c r="I403" s="29" t="str">
        <f>IF(Analysis!$I403="","",IF(Analysis!$I403="Embedded",Analysis!$F403,""))</f>
        <v/>
      </c>
      <c r="J403" s="29" t="str">
        <f>IF(Analysis!$I403="","",IF(Analysis!$I403="Loyal but shallow",Analysis!$F403,""))</f>
        <v/>
      </c>
      <c r="K403" s="29" t="str">
        <f>IF(Analysis!$I403="","",IF(Analysis!$I403="Project-driven",Analysis!$F403,""))</f>
        <v/>
      </c>
      <c r="L403" s="29" t="str">
        <f>IF(Analysis!$I403="","",IF(Analysis!$I403="Drifting",Analysis!$F403,""))</f>
        <v/>
      </c>
      <c r="M403" s="29" t="str">
        <f>IF(Analysis!$I403="","",IF(Analysis!$I403="Embedded",Analysis!$H403,""))</f>
        <v/>
      </c>
      <c r="N403" s="29" t="str">
        <f>IF(Analysis!$I403="","",IF(Analysis!$I403="Loyal but shallow",Analysis!$H403,""))</f>
        <v/>
      </c>
      <c r="O403" s="29" t="str">
        <f>IF(Analysis!$I403="","",IF(Analysis!$I403="Project-driven",Analysis!$H403,""))</f>
        <v/>
      </c>
      <c r="P403" s="29" t="str">
        <f>IF(Analysis!$I403="","",IF(Analysis!$I403="Drifting",Analysis!$H403,""))</f>
        <v/>
      </c>
    </row>
    <row r="404" spans="1:16" x14ac:dyDescent="0.25">
      <c r="A404" s="29" t="str">
        <f>IF(Analysis!$I404="","",IF(Analysis!$I404="Embedded",Analysis!$D404,""))</f>
        <v/>
      </c>
      <c r="B404" s="29" t="str">
        <f>IF(Analysis!$I404="","",IF(Analysis!$I404="Loyal but shallow",Analysis!$D404,""))</f>
        <v/>
      </c>
      <c r="C404" s="29" t="str">
        <f>IF(Analysis!$I404="","",IF(Analysis!$I404="Project-driven",Analysis!$D404,""))</f>
        <v/>
      </c>
      <c r="D404" s="29" t="str">
        <f>IF(Analysis!$I404="","",IF(Analysis!$I404="Drifting",Analysis!$D404,""))</f>
        <v/>
      </c>
      <c r="E404" s="29" t="str">
        <f>IF(Analysis!$I404="","",IF(Analysis!$I404="Embedded",Analysis!$C404,""))</f>
        <v/>
      </c>
      <c r="F404" s="29" t="str">
        <f>IF(Analysis!$I404="","",IF(Analysis!$I404="Loyal but shallow",Analysis!$C404,""))</f>
        <v/>
      </c>
      <c r="G404" s="29" t="str">
        <f>IF(Analysis!$I404="","",IF(Analysis!$I404="Project-driven",Analysis!$C404,""))</f>
        <v/>
      </c>
      <c r="H404" s="29" t="str">
        <f>IF(Analysis!$I404="","",IF(Analysis!$I404="Drifting",Analysis!$C404,""))</f>
        <v/>
      </c>
      <c r="I404" s="29" t="str">
        <f>IF(Analysis!$I404="","",IF(Analysis!$I404="Embedded",Analysis!$F404,""))</f>
        <v/>
      </c>
      <c r="J404" s="29" t="str">
        <f>IF(Analysis!$I404="","",IF(Analysis!$I404="Loyal but shallow",Analysis!$F404,""))</f>
        <v/>
      </c>
      <c r="K404" s="29" t="str">
        <f>IF(Analysis!$I404="","",IF(Analysis!$I404="Project-driven",Analysis!$F404,""))</f>
        <v/>
      </c>
      <c r="L404" s="29" t="str">
        <f>IF(Analysis!$I404="","",IF(Analysis!$I404="Drifting",Analysis!$F404,""))</f>
        <v/>
      </c>
      <c r="M404" s="29" t="str">
        <f>IF(Analysis!$I404="","",IF(Analysis!$I404="Embedded",Analysis!$H404,""))</f>
        <v/>
      </c>
      <c r="N404" s="29" t="str">
        <f>IF(Analysis!$I404="","",IF(Analysis!$I404="Loyal but shallow",Analysis!$H404,""))</f>
        <v/>
      </c>
      <c r="O404" s="29" t="str">
        <f>IF(Analysis!$I404="","",IF(Analysis!$I404="Project-driven",Analysis!$H404,""))</f>
        <v/>
      </c>
      <c r="P404" s="29" t="str">
        <f>IF(Analysis!$I404="","",IF(Analysis!$I404="Drifting",Analysis!$H404,""))</f>
        <v/>
      </c>
    </row>
    <row r="405" spans="1:16" x14ac:dyDescent="0.25">
      <c r="A405" s="29" t="str">
        <f>IF(Analysis!$I405="","",IF(Analysis!$I405="Embedded",Analysis!$D405,""))</f>
        <v/>
      </c>
      <c r="B405" s="29" t="str">
        <f>IF(Analysis!$I405="","",IF(Analysis!$I405="Loyal but shallow",Analysis!$D405,""))</f>
        <v/>
      </c>
      <c r="C405" s="29" t="str">
        <f>IF(Analysis!$I405="","",IF(Analysis!$I405="Project-driven",Analysis!$D405,""))</f>
        <v/>
      </c>
      <c r="D405" s="29" t="str">
        <f>IF(Analysis!$I405="","",IF(Analysis!$I405="Drifting",Analysis!$D405,""))</f>
        <v/>
      </c>
      <c r="E405" s="29" t="str">
        <f>IF(Analysis!$I405="","",IF(Analysis!$I405="Embedded",Analysis!$C405,""))</f>
        <v/>
      </c>
      <c r="F405" s="29" t="str">
        <f>IF(Analysis!$I405="","",IF(Analysis!$I405="Loyal but shallow",Analysis!$C405,""))</f>
        <v/>
      </c>
      <c r="G405" s="29" t="str">
        <f>IF(Analysis!$I405="","",IF(Analysis!$I405="Project-driven",Analysis!$C405,""))</f>
        <v/>
      </c>
      <c r="H405" s="29" t="str">
        <f>IF(Analysis!$I405="","",IF(Analysis!$I405="Drifting",Analysis!$C405,""))</f>
        <v/>
      </c>
      <c r="I405" s="29" t="str">
        <f>IF(Analysis!$I405="","",IF(Analysis!$I405="Embedded",Analysis!$F405,""))</f>
        <v/>
      </c>
      <c r="J405" s="29" t="str">
        <f>IF(Analysis!$I405="","",IF(Analysis!$I405="Loyal but shallow",Analysis!$F405,""))</f>
        <v/>
      </c>
      <c r="K405" s="29" t="str">
        <f>IF(Analysis!$I405="","",IF(Analysis!$I405="Project-driven",Analysis!$F405,""))</f>
        <v/>
      </c>
      <c r="L405" s="29" t="str">
        <f>IF(Analysis!$I405="","",IF(Analysis!$I405="Drifting",Analysis!$F405,""))</f>
        <v/>
      </c>
      <c r="M405" s="29" t="str">
        <f>IF(Analysis!$I405="","",IF(Analysis!$I405="Embedded",Analysis!$H405,""))</f>
        <v/>
      </c>
      <c r="N405" s="29" t="str">
        <f>IF(Analysis!$I405="","",IF(Analysis!$I405="Loyal but shallow",Analysis!$H405,""))</f>
        <v/>
      </c>
      <c r="O405" s="29" t="str">
        <f>IF(Analysis!$I405="","",IF(Analysis!$I405="Project-driven",Analysis!$H405,""))</f>
        <v/>
      </c>
      <c r="P405" s="29" t="str">
        <f>IF(Analysis!$I405="","",IF(Analysis!$I405="Drifting",Analysis!$H405,""))</f>
        <v/>
      </c>
    </row>
    <row r="406" spans="1:16" x14ac:dyDescent="0.25">
      <c r="A406" s="29" t="str">
        <f>IF(Analysis!$I406="","",IF(Analysis!$I406="Embedded",Analysis!$D406,""))</f>
        <v/>
      </c>
      <c r="B406" s="29" t="str">
        <f>IF(Analysis!$I406="","",IF(Analysis!$I406="Loyal but shallow",Analysis!$D406,""))</f>
        <v/>
      </c>
      <c r="C406" s="29" t="str">
        <f>IF(Analysis!$I406="","",IF(Analysis!$I406="Project-driven",Analysis!$D406,""))</f>
        <v/>
      </c>
      <c r="D406" s="29" t="str">
        <f>IF(Analysis!$I406="","",IF(Analysis!$I406="Drifting",Analysis!$D406,""))</f>
        <v/>
      </c>
      <c r="E406" s="29" t="str">
        <f>IF(Analysis!$I406="","",IF(Analysis!$I406="Embedded",Analysis!$C406,""))</f>
        <v/>
      </c>
      <c r="F406" s="29" t="str">
        <f>IF(Analysis!$I406="","",IF(Analysis!$I406="Loyal but shallow",Analysis!$C406,""))</f>
        <v/>
      </c>
      <c r="G406" s="29" t="str">
        <f>IF(Analysis!$I406="","",IF(Analysis!$I406="Project-driven",Analysis!$C406,""))</f>
        <v/>
      </c>
      <c r="H406" s="29" t="str">
        <f>IF(Analysis!$I406="","",IF(Analysis!$I406="Drifting",Analysis!$C406,""))</f>
        <v/>
      </c>
      <c r="I406" s="29" t="str">
        <f>IF(Analysis!$I406="","",IF(Analysis!$I406="Embedded",Analysis!$F406,""))</f>
        <v/>
      </c>
      <c r="J406" s="29" t="str">
        <f>IF(Analysis!$I406="","",IF(Analysis!$I406="Loyal but shallow",Analysis!$F406,""))</f>
        <v/>
      </c>
      <c r="K406" s="29" t="str">
        <f>IF(Analysis!$I406="","",IF(Analysis!$I406="Project-driven",Analysis!$F406,""))</f>
        <v/>
      </c>
      <c r="L406" s="29" t="str">
        <f>IF(Analysis!$I406="","",IF(Analysis!$I406="Drifting",Analysis!$F406,""))</f>
        <v/>
      </c>
      <c r="M406" s="29" t="str">
        <f>IF(Analysis!$I406="","",IF(Analysis!$I406="Embedded",Analysis!$H406,""))</f>
        <v/>
      </c>
      <c r="N406" s="29" t="str">
        <f>IF(Analysis!$I406="","",IF(Analysis!$I406="Loyal but shallow",Analysis!$H406,""))</f>
        <v/>
      </c>
      <c r="O406" s="29" t="str">
        <f>IF(Analysis!$I406="","",IF(Analysis!$I406="Project-driven",Analysis!$H406,""))</f>
        <v/>
      </c>
      <c r="P406" s="29" t="str">
        <f>IF(Analysis!$I406="","",IF(Analysis!$I406="Drifting",Analysis!$H406,""))</f>
        <v/>
      </c>
    </row>
    <row r="407" spans="1:16" x14ac:dyDescent="0.25">
      <c r="A407" s="29" t="str">
        <f>IF(Analysis!$I407="","",IF(Analysis!$I407="Embedded",Analysis!$D407,""))</f>
        <v/>
      </c>
      <c r="B407" s="29" t="str">
        <f>IF(Analysis!$I407="","",IF(Analysis!$I407="Loyal but shallow",Analysis!$D407,""))</f>
        <v/>
      </c>
      <c r="C407" s="29" t="str">
        <f>IF(Analysis!$I407="","",IF(Analysis!$I407="Project-driven",Analysis!$D407,""))</f>
        <v/>
      </c>
      <c r="D407" s="29" t="str">
        <f>IF(Analysis!$I407="","",IF(Analysis!$I407="Drifting",Analysis!$D407,""))</f>
        <v/>
      </c>
      <c r="E407" s="29" t="str">
        <f>IF(Analysis!$I407="","",IF(Analysis!$I407="Embedded",Analysis!$C407,""))</f>
        <v/>
      </c>
      <c r="F407" s="29" t="str">
        <f>IF(Analysis!$I407="","",IF(Analysis!$I407="Loyal but shallow",Analysis!$C407,""))</f>
        <v/>
      </c>
      <c r="G407" s="29" t="str">
        <f>IF(Analysis!$I407="","",IF(Analysis!$I407="Project-driven",Analysis!$C407,""))</f>
        <v/>
      </c>
      <c r="H407" s="29" t="str">
        <f>IF(Analysis!$I407="","",IF(Analysis!$I407="Drifting",Analysis!$C407,""))</f>
        <v/>
      </c>
      <c r="I407" s="29" t="str">
        <f>IF(Analysis!$I407="","",IF(Analysis!$I407="Embedded",Analysis!$F407,""))</f>
        <v/>
      </c>
      <c r="J407" s="29" t="str">
        <f>IF(Analysis!$I407="","",IF(Analysis!$I407="Loyal but shallow",Analysis!$F407,""))</f>
        <v/>
      </c>
      <c r="K407" s="29" t="str">
        <f>IF(Analysis!$I407="","",IF(Analysis!$I407="Project-driven",Analysis!$F407,""))</f>
        <v/>
      </c>
      <c r="L407" s="29" t="str">
        <f>IF(Analysis!$I407="","",IF(Analysis!$I407="Drifting",Analysis!$F407,""))</f>
        <v/>
      </c>
      <c r="M407" s="29" t="str">
        <f>IF(Analysis!$I407="","",IF(Analysis!$I407="Embedded",Analysis!$H407,""))</f>
        <v/>
      </c>
      <c r="N407" s="29" t="str">
        <f>IF(Analysis!$I407="","",IF(Analysis!$I407="Loyal but shallow",Analysis!$H407,""))</f>
        <v/>
      </c>
      <c r="O407" s="29" t="str">
        <f>IF(Analysis!$I407="","",IF(Analysis!$I407="Project-driven",Analysis!$H407,""))</f>
        <v/>
      </c>
      <c r="P407" s="29" t="str">
        <f>IF(Analysis!$I407="","",IF(Analysis!$I407="Drifting",Analysis!$H407,""))</f>
        <v/>
      </c>
    </row>
    <row r="408" spans="1:16" x14ac:dyDescent="0.25">
      <c r="A408" s="29" t="str">
        <f>IF(Analysis!$I408="","",IF(Analysis!$I408="Embedded",Analysis!$D408,""))</f>
        <v/>
      </c>
      <c r="B408" s="29" t="str">
        <f>IF(Analysis!$I408="","",IF(Analysis!$I408="Loyal but shallow",Analysis!$D408,""))</f>
        <v/>
      </c>
      <c r="C408" s="29" t="str">
        <f>IF(Analysis!$I408="","",IF(Analysis!$I408="Project-driven",Analysis!$D408,""))</f>
        <v/>
      </c>
      <c r="D408" s="29" t="str">
        <f>IF(Analysis!$I408="","",IF(Analysis!$I408="Drifting",Analysis!$D408,""))</f>
        <v/>
      </c>
      <c r="E408" s="29" t="str">
        <f>IF(Analysis!$I408="","",IF(Analysis!$I408="Embedded",Analysis!$C408,""))</f>
        <v/>
      </c>
      <c r="F408" s="29" t="str">
        <f>IF(Analysis!$I408="","",IF(Analysis!$I408="Loyal but shallow",Analysis!$C408,""))</f>
        <v/>
      </c>
      <c r="G408" s="29" t="str">
        <f>IF(Analysis!$I408="","",IF(Analysis!$I408="Project-driven",Analysis!$C408,""))</f>
        <v/>
      </c>
      <c r="H408" s="29" t="str">
        <f>IF(Analysis!$I408="","",IF(Analysis!$I408="Drifting",Analysis!$C408,""))</f>
        <v/>
      </c>
      <c r="I408" s="29" t="str">
        <f>IF(Analysis!$I408="","",IF(Analysis!$I408="Embedded",Analysis!$F408,""))</f>
        <v/>
      </c>
      <c r="J408" s="29" t="str">
        <f>IF(Analysis!$I408="","",IF(Analysis!$I408="Loyal but shallow",Analysis!$F408,""))</f>
        <v/>
      </c>
      <c r="K408" s="29" t="str">
        <f>IF(Analysis!$I408="","",IF(Analysis!$I408="Project-driven",Analysis!$F408,""))</f>
        <v/>
      </c>
      <c r="L408" s="29" t="str">
        <f>IF(Analysis!$I408="","",IF(Analysis!$I408="Drifting",Analysis!$F408,""))</f>
        <v/>
      </c>
      <c r="M408" s="29" t="str">
        <f>IF(Analysis!$I408="","",IF(Analysis!$I408="Embedded",Analysis!$H408,""))</f>
        <v/>
      </c>
      <c r="N408" s="29" t="str">
        <f>IF(Analysis!$I408="","",IF(Analysis!$I408="Loyal but shallow",Analysis!$H408,""))</f>
        <v/>
      </c>
      <c r="O408" s="29" t="str">
        <f>IF(Analysis!$I408="","",IF(Analysis!$I408="Project-driven",Analysis!$H408,""))</f>
        <v/>
      </c>
      <c r="P408" s="29" t="str">
        <f>IF(Analysis!$I408="","",IF(Analysis!$I408="Drifting",Analysis!$H408,""))</f>
        <v/>
      </c>
    </row>
    <row r="409" spans="1:16" x14ac:dyDescent="0.25">
      <c r="A409" s="29" t="str">
        <f>IF(Analysis!$I409="","",IF(Analysis!$I409="Embedded",Analysis!$D409,""))</f>
        <v/>
      </c>
      <c r="B409" s="29" t="str">
        <f>IF(Analysis!$I409="","",IF(Analysis!$I409="Loyal but shallow",Analysis!$D409,""))</f>
        <v/>
      </c>
      <c r="C409" s="29" t="str">
        <f>IF(Analysis!$I409="","",IF(Analysis!$I409="Project-driven",Analysis!$D409,""))</f>
        <v/>
      </c>
      <c r="D409" s="29" t="str">
        <f>IF(Analysis!$I409="","",IF(Analysis!$I409="Drifting",Analysis!$D409,""))</f>
        <v/>
      </c>
      <c r="E409" s="29" t="str">
        <f>IF(Analysis!$I409="","",IF(Analysis!$I409="Embedded",Analysis!$C409,""))</f>
        <v/>
      </c>
      <c r="F409" s="29" t="str">
        <f>IF(Analysis!$I409="","",IF(Analysis!$I409="Loyal but shallow",Analysis!$C409,""))</f>
        <v/>
      </c>
      <c r="G409" s="29" t="str">
        <f>IF(Analysis!$I409="","",IF(Analysis!$I409="Project-driven",Analysis!$C409,""))</f>
        <v/>
      </c>
      <c r="H409" s="29" t="str">
        <f>IF(Analysis!$I409="","",IF(Analysis!$I409="Drifting",Analysis!$C409,""))</f>
        <v/>
      </c>
      <c r="I409" s="29" t="str">
        <f>IF(Analysis!$I409="","",IF(Analysis!$I409="Embedded",Analysis!$F409,""))</f>
        <v/>
      </c>
      <c r="J409" s="29" t="str">
        <f>IF(Analysis!$I409="","",IF(Analysis!$I409="Loyal but shallow",Analysis!$F409,""))</f>
        <v/>
      </c>
      <c r="K409" s="29" t="str">
        <f>IF(Analysis!$I409="","",IF(Analysis!$I409="Project-driven",Analysis!$F409,""))</f>
        <v/>
      </c>
      <c r="L409" s="29" t="str">
        <f>IF(Analysis!$I409="","",IF(Analysis!$I409="Drifting",Analysis!$F409,""))</f>
        <v/>
      </c>
      <c r="M409" s="29" t="str">
        <f>IF(Analysis!$I409="","",IF(Analysis!$I409="Embedded",Analysis!$H409,""))</f>
        <v/>
      </c>
      <c r="N409" s="29" t="str">
        <f>IF(Analysis!$I409="","",IF(Analysis!$I409="Loyal but shallow",Analysis!$H409,""))</f>
        <v/>
      </c>
      <c r="O409" s="29" t="str">
        <f>IF(Analysis!$I409="","",IF(Analysis!$I409="Project-driven",Analysis!$H409,""))</f>
        <v/>
      </c>
      <c r="P409" s="29" t="str">
        <f>IF(Analysis!$I409="","",IF(Analysis!$I409="Drifting",Analysis!$H409,""))</f>
        <v/>
      </c>
    </row>
    <row r="410" spans="1:16" x14ac:dyDescent="0.25">
      <c r="A410" s="29" t="str">
        <f>IF(Analysis!$I410="","",IF(Analysis!$I410="Embedded",Analysis!$D410,""))</f>
        <v/>
      </c>
      <c r="B410" s="29" t="str">
        <f>IF(Analysis!$I410="","",IF(Analysis!$I410="Loyal but shallow",Analysis!$D410,""))</f>
        <v/>
      </c>
      <c r="C410" s="29" t="str">
        <f>IF(Analysis!$I410="","",IF(Analysis!$I410="Project-driven",Analysis!$D410,""))</f>
        <v/>
      </c>
      <c r="D410" s="29" t="str">
        <f>IF(Analysis!$I410="","",IF(Analysis!$I410="Drifting",Analysis!$D410,""))</f>
        <v/>
      </c>
      <c r="E410" s="29" t="str">
        <f>IF(Analysis!$I410="","",IF(Analysis!$I410="Embedded",Analysis!$C410,""))</f>
        <v/>
      </c>
      <c r="F410" s="29" t="str">
        <f>IF(Analysis!$I410="","",IF(Analysis!$I410="Loyal but shallow",Analysis!$C410,""))</f>
        <v/>
      </c>
      <c r="G410" s="29" t="str">
        <f>IF(Analysis!$I410="","",IF(Analysis!$I410="Project-driven",Analysis!$C410,""))</f>
        <v/>
      </c>
      <c r="H410" s="29" t="str">
        <f>IF(Analysis!$I410="","",IF(Analysis!$I410="Drifting",Analysis!$C410,""))</f>
        <v/>
      </c>
      <c r="I410" s="29" t="str">
        <f>IF(Analysis!$I410="","",IF(Analysis!$I410="Embedded",Analysis!$F410,""))</f>
        <v/>
      </c>
      <c r="J410" s="29" t="str">
        <f>IF(Analysis!$I410="","",IF(Analysis!$I410="Loyal but shallow",Analysis!$F410,""))</f>
        <v/>
      </c>
      <c r="K410" s="29" t="str">
        <f>IF(Analysis!$I410="","",IF(Analysis!$I410="Project-driven",Analysis!$F410,""))</f>
        <v/>
      </c>
      <c r="L410" s="29" t="str">
        <f>IF(Analysis!$I410="","",IF(Analysis!$I410="Drifting",Analysis!$F410,""))</f>
        <v/>
      </c>
      <c r="M410" s="29" t="str">
        <f>IF(Analysis!$I410="","",IF(Analysis!$I410="Embedded",Analysis!$H410,""))</f>
        <v/>
      </c>
      <c r="N410" s="29" t="str">
        <f>IF(Analysis!$I410="","",IF(Analysis!$I410="Loyal but shallow",Analysis!$H410,""))</f>
        <v/>
      </c>
      <c r="O410" s="29" t="str">
        <f>IF(Analysis!$I410="","",IF(Analysis!$I410="Project-driven",Analysis!$H410,""))</f>
        <v/>
      </c>
      <c r="P410" s="29" t="str">
        <f>IF(Analysis!$I410="","",IF(Analysis!$I410="Drifting",Analysis!$H410,""))</f>
        <v/>
      </c>
    </row>
    <row r="411" spans="1:16" x14ac:dyDescent="0.25">
      <c r="A411" s="29" t="str">
        <f>IF(Analysis!$I411="","",IF(Analysis!$I411="Embedded",Analysis!$D411,""))</f>
        <v/>
      </c>
      <c r="B411" s="29" t="str">
        <f>IF(Analysis!$I411="","",IF(Analysis!$I411="Loyal but shallow",Analysis!$D411,""))</f>
        <v/>
      </c>
      <c r="C411" s="29" t="str">
        <f>IF(Analysis!$I411="","",IF(Analysis!$I411="Project-driven",Analysis!$D411,""))</f>
        <v/>
      </c>
      <c r="D411" s="29" t="str">
        <f>IF(Analysis!$I411="","",IF(Analysis!$I411="Drifting",Analysis!$D411,""))</f>
        <v/>
      </c>
      <c r="E411" s="29" t="str">
        <f>IF(Analysis!$I411="","",IF(Analysis!$I411="Embedded",Analysis!$C411,""))</f>
        <v/>
      </c>
      <c r="F411" s="29" t="str">
        <f>IF(Analysis!$I411="","",IF(Analysis!$I411="Loyal but shallow",Analysis!$C411,""))</f>
        <v/>
      </c>
      <c r="G411" s="29" t="str">
        <f>IF(Analysis!$I411="","",IF(Analysis!$I411="Project-driven",Analysis!$C411,""))</f>
        <v/>
      </c>
      <c r="H411" s="29" t="str">
        <f>IF(Analysis!$I411="","",IF(Analysis!$I411="Drifting",Analysis!$C411,""))</f>
        <v/>
      </c>
      <c r="I411" s="29" t="str">
        <f>IF(Analysis!$I411="","",IF(Analysis!$I411="Embedded",Analysis!$F411,""))</f>
        <v/>
      </c>
      <c r="J411" s="29" t="str">
        <f>IF(Analysis!$I411="","",IF(Analysis!$I411="Loyal but shallow",Analysis!$F411,""))</f>
        <v/>
      </c>
      <c r="K411" s="29" t="str">
        <f>IF(Analysis!$I411="","",IF(Analysis!$I411="Project-driven",Analysis!$F411,""))</f>
        <v/>
      </c>
      <c r="L411" s="29" t="str">
        <f>IF(Analysis!$I411="","",IF(Analysis!$I411="Drifting",Analysis!$F411,""))</f>
        <v/>
      </c>
      <c r="M411" s="29" t="str">
        <f>IF(Analysis!$I411="","",IF(Analysis!$I411="Embedded",Analysis!$H411,""))</f>
        <v/>
      </c>
      <c r="N411" s="29" t="str">
        <f>IF(Analysis!$I411="","",IF(Analysis!$I411="Loyal but shallow",Analysis!$H411,""))</f>
        <v/>
      </c>
      <c r="O411" s="29" t="str">
        <f>IF(Analysis!$I411="","",IF(Analysis!$I411="Project-driven",Analysis!$H411,""))</f>
        <v/>
      </c>
      <c r="P411" s="29" t="str">
        <f>IF(Analysis!$I411="","",IF(Analysis!$I411="Drifting",Analysis!$H411,""))</f>
        <v/>
      </c>
    </row>
    <row r="412" spans="1:16" x14ac:dyDescent="0.25">
      <c r="A412" s="29" t="str">
        <f>IF(Analysis!$I412="","",IF(Analysis!$I412="Embedded",Analysis!$D412,""))</f>
        <v/>
      </c>
      <c r="B412" s="29" t="str">
        <f>IF(Analysis!$I412="","",IF(Analysis!$I412="Loyal but shallow",Analysis!$D412,""))</f>
        <v/>
      </c>
      <c r="C412" s="29" t="str">
        <f>IF(Analysis!$I412="","",IF(Analysis!$I412="Project-driven",Analysis!$D412,""))</f>
        <v/>
      </c>
      <c r="D412" s="29" t="str">
        <f>IF(Analysis!$I412="","",IF(Analysis!$I412="Drifting",Analysis!$D412,""))</f>
        <v/>
      </c>
      <c r="E412" s="29" t="str">
        <f>IF(Analysis!$I412="","",IF(Analysis!$I412="Embedded",Analysis!$C412,""))</f>
        <v/>
      </c>
      <c r="F412" s="29" t="str">
        <f>IF(Analysis!$I412="","",IF(Analysis!$I412="Loyal but shallow",Analysis!$C412,""))</f>
        <v/>
      </c>
      <c r="G412" s="29" t="str">
        <f>IF(Analysis!$I412="","",IF(Analysis!$I412="Project-driven",Analysis!$C412,""))</f>
        <v/>
      </c>
      <c r="H412" s="29" t="str">
        <f>IF(Analysis!$I412="","",IF(Analysis!$I412="Drifting",Analysis!$C412,""))</f>
        <v/>
      </c>
      <c r="I412" s="29" t="str">
        <f>IF(Analysis!$I412="","",IF(Analysis!$I412="Embedded",Analysis!$F412,""))</f>
        <v/>
      </c>
      <c r="J412" s="29" t="str">
        <f>IF(Analysis!$I412="","",IF(Analysis!$I412="Loyal but shallow",Analysis!$F412,""))</f>
        <v/>
      </c>
      <c r="K412" s="29" t="str">
        <f>IF(Analysis!$I412="","",IF(Analysis!$I412="Project-driven",Analysis!$F412,""))</f>
        <v/>
      </c>
      <c r="L412" s="29" t="str">
        <f>IF(Analysis!$I412="","",IF(Analysis!$I412="Drifting",Analysis!$F412,""))</f>
        <v/>
      </c>
      <c r="M412" s="29" t="str">
        <f>IF(Analysis!$I412="","",IF(Analysis!$I412="Embedded",Analysis!$H412,""))</f>
        <v/>
      </c>
      <c r="N412" s="29" t="str">
        <f>IF(Analysis!$I412="","",IF(Analysis!$I412="Loyal but shallow",Analysis!$H412,""))</f>
        <v/>
      </c>
      <c r="O412" s="29" t="str">
        <f>IF(Analysis!$I412="","",IF(Analysis!$I412="Project-driven",Analysis!$H412,""))</f>
        <v/>
      </c>
      <c r="P412" s="29" t="str">
        <f>IF(Analysis!$I412="","",IF(Analysis!$I412="Drifting",Analysis!$H412,""))</f>
        <v/>
      </c>
    </row>
    <row r="413" spans="1:16" x14ac:dyDescent="0.25">
      <c r="A413" s="29" t="str">
        <f>IF(Analysis!$I413="","",IF(Analysis!$I413="Embedded",Analysis!$D413,""))</f>
        <v/>
      </c>
      <c r="B413" s="29" t="str">
        <f>IF(Analysis!$I413="","",IF(Analysis!$I413="Loyal but shallow",Analysis!$D413,""))</f>
        <v/>
      </c>
      <c r="C413" s="29" t="str">
        <f>IF(Analysis!$I413="","",IF(Analysis!$I413="Project-driven",Analysis!$D413,""))</f>
        <v/>
      </c>
      <c r="D413" s="29" t="str">
        <f>IF(Analysis!$I413="","",IF(Analysis!$I413="Drifting",Analysis!$D413,""))</f>
        <v/>
      </c>
      <c r="E413" s="29" t="str">
        <f>IF(Analysis!$I413="","",IF(Analysis!$I413="Embedded",Analysis!$C413,""))</f>
        <v/>
      </c>
      <c r="F413" s="29" t="str">
        <f>IF(Analysis!$I413="","",IF(Analysis!$I413="Loyal but shallow",Analysis!$C413,""))</f>
        <v/>
      </c>
      <c r="G413" s="29" t="str">
        <f>IF(Analysis!$I413="","",IF(Analysis!$I413="Project-driven",Analysis!$C413,""))</f>
        <v/>
      </c>
      <c r="H413" s="29" t="str">
        <f>IF(Analysis!$I413="","",IF(Analysis!$I413="Drifting",Analysis!$C413,""))</f>
        <v/>
      </c>
      <c r="I413" s="29" t="str">
        <f>IF(Analysis!$I413="","",IF(Analysis!$I413="Embedded",Analysis!$F413,""))</f>
        <v/>
      </c>
      <c r="J413" s="29" t="str">
        <f>IF(Analysis!$I413="","",IF(Analysis!$I413="Loyal but shallow",Analysis!$F413,""))</f>
        <v/>
      </c>
      <c r="K413" s="29" t="str">
        <f>IF(Analysis!$I413="","",IF(Analysis!$I413="Project-driven",Analysis!$F413,""))</f>
        <v/>
      </c>
      <c r="L413" s="29" t="str">
        <f>IF(Analysis!$I413="","",IF(Analysis!$I413="Drifting",Analysis!$F413,""))</f>
        <v/>
      </c>
      <c r="M413" s="29" t="str">
        <f>IF(Analysis!$I413="","",IF(Analysis!$I413="Embedded",Analysis!$H413,""))</f>
        <v/>
      </c>
      <c r="N413" s="29" t="str">
        <f>IF(Analysis!$I413="","",IF(Analysis!$I413="Loyal but shallow",Analysis!$H413,""))</f>
        <v/>
      </c>
      <c r="O413" s="29" t="str">
        <f>IF(Analysis!$I413="","",IF(Analysis!$I413="Project-driven",Analysis!$H413,""))</f>
        <v/>
      </c>
      <c r="P413" s="29" t="str">
        <f>IF(Analysis!$I413="","",IF(Analysis!$I413="Drifting",Analysis!$H413,""))</f>
        <v/>
      </c>
    </row>
    <row r="414" spans="1:16" x14ac:dyDescent="0.25">
      <c r="A414" s="29" t="str">
        <f>IF(Analysis!$I414="","",IF(Analysis!$I414="Embedded",Analysis!$D414,""))</f>
        <v/>
      </c>
      <c r="B414" s="29" t="str">
        <f>IF(Analysis!$I414="","",IF(Analysis!$I414="Loyal but shallow",Analysis!$D414,""))</f>
        <v/>
      </c>
      <c r="C414" s="29" t="str">
        <f>IF(Analysis!$I414="","",IF(Analysis!$I414="Project-driven",Analysis!$D414,""))</f>
        <v/>
      </c>
      <c r="D414" s="29" t="str">
        <f>IF(Analysis!$I414="","",IF(Analysis!$I414="Drifting",Analysis!$D414,""))</f>
        <v/>
      </c>
      <c r="E414" s="29" t="str">
        <f>IF(Analysis!$I414="","",IF(Analysis!$I414="Embedded",Analysis!$C414,""))</f>
        <v/>
      </c>
      <c r="F414" s="29" t="str">
        <f>IF(Analysis!$I414="","",IF(Analysis!$I414="Loyal but shallow",Analysis!$C414,""))</f>
        <v/>
      </c>
      <c r="G414" s="29" t="str">
        <f>IF(Analysis!$I414="","",IF(Analysis!$I414="Project-driven",Analysis!$C414,""))</f>
        <v/>
      </c>
      <c r="H414" s="29" t="str">
        <f>IF(Analysis!$I414="","",IF(Analysis!$I414="Drifting",Analysis!$C414,""))</f>
        <v/>
      </c>
      <c r="I414" s="29" t="str">
        <f>IF(Analysis!$I414="","",IF(Analysis!$I414="Embedded",Analysis!$F414,""))</f>
        <v/>
      </c>
      <c r="J414" s="29" t="str">
        <f>IF(Analysis!$I414="","",IF(Analysis!$I414="Loyal but shallow",Analysis!$F414,""))</f>
        <v/>
      </c>
      <c r="K414" s="29" t="str">
        <f>IF(Analysis!$I414="","",IF(Analysis!$I414="Project-driven",Analysis!$F414,""))</f>
        <v/>
      </c>
      <c r="L414" s="29" t="str">
        <f>IF(Analysis!$I414="","",IF(Analysis!$I414="Drifting",Analysis!$F414,""))</f>
        <v/>
      </c>
      <c r="M414" s="29" t="str">
        <f>IF(Analysis!$I414="","",IF(Analysis!$I414="Embedded",Analysis!$H414,""))</f>
        <v/>
      </c>
      <c r="N414" s="29" t="str">
        <f>IF(Analysis!$I414="","",IF(Analysis!$I414="Loyal but shallow",Analysis!$H414,""))</f>
        <v/>
      </c>
      <c r="O414" s="29" t="str">
        <f>IF(Analysis!$I414="","",IF(Analysis!$I414="Project-driven",Analysis!$H414,""))</f>
        <v/>
      </c>
      <c r="P414" s="29" t="str">
        <f>IF(Analysis!$I414="","",IF(Analysis!$I414="Drifting",Analysis!$H414,""))</f>
        <v/>
      </c>
    </row>
    <row r="415" spans="1:16" x14ac:dyDescent="0.25">
      <c r="A415" s="29" t="str">
        <f>IF(Analysis!$I415="","",IF(Analysis!$I415="Embedded",Analysis!$D415,""))</f>
        <v/>
      </c>
      <c r="B415" s="29" t="str">
        <f>IF(Analysis!$I415="","",IF(Analysis!$I415="Loyal but shallow",Analysis!$D415,""))</f>
        <v/>
      </c>
      <c r="C415" s="29" t="str">
        <f>IF(Analysis!$I415="","",IF(Analysis!$I415="Project-driven",Analysis!$D415,""))</f>
        <v/>
      </c>
      <c r="D415" s="29" t="str">
        <f>IF(Analysis!$I415="","",IF(Analysis!$I415="Drifting",Analysis!$D415,""))</f>
        <v/>
      </c>
      <c r="E415" s="29" t="str">
        <f>IF(Analysis!$I415="","",IF(Analysis!$I415="Embedded",Analysis!$C415,""))</f>
        <v/>
      </c>
      <c r="F415" s="29" t="str">
        <f>IF(Analysis!$I415="","",IF(Analysis!$I415="Loyal but shallow",Analysis!$C415,""))</f>
        <v/>
      </c>
      <c r="G415" s="29" t="str">
        <f>IF(Analysis!$I415="","",IF(Analysis!$I415="Project-driven",Analysis!$C415,""))</f>
        <v/>
      </c>
      <c r="H415" s="29" t="str">
        <f>IF(Analysis!$I415="","",IF(Analysis!$I415="Drifting",Analysis!$C415,""))</f>
        <v/>
      </c>
      <c r="I415" s="29" t="str">
        <f>IF(Analysis!$I415="","",IF(Analysis!$I415="Embedded",Analysis!$F415,""))</f>
        <v/>
      </c>
      <c r="J415" s="29" t="str">
        <f>IF(Analysis!$I415="","",IF(Analysis!$I415="Loyal but shallow",Analysis!$F415,""))</f>
        <v/>
      </c>
      <c r="K415" s="29" t="str">
        <f>IF(Analysis!$I415="","",IF(Analysis!$I415="Project-driven",Analysis!$F415,""))</f>
        <v/>
      </c>
      <c r="L415" s="29" t="str">
        <f>IF(Analysis!$I415="","",IF(Analysis!$I415="Drifting",Analysis!$F415,""))</f>
        <v/>
      </c>
      <c r="M415" s="29" t="str">
        <f>IF(Analysis!$I415="","",IF(Analysis!$I415="Embedded",Analysis!$H415,""))</f>
        <v/>
      </c>
      <c r="N415" s="29" t="str">
        <f>IF(Analysis!$I415="","",IF(Analysis!$I415="Loyal but shallow",Analysis!$H415,""))</f>
        <v/>
      </c>
      <c r="O415" s="29" t="str">
        <f>IF(Analysis!$I415="","",IF(Analysis!$I415="Project-driven",Analysis!$H415,""))</f>
        <v/>
      </c>
      <c r="P415" s="29" t="str">
        <f>IF(Analysis!$I415="","",IF(Analysis!$I415="Drifting",Analysis!$H415,""))</f>
        <v/>
      </c>
    </row>
    <row r="416" spans="1:16" x14ac:dyDescent="0.25">
      <c r="A416" s="29" t="str">
        <f>IF(Analysis!$I416="","",IF(Analysis!$I416="Embedded",Analysis!$D416,""))</f>
        <v/>
      </c>
      <c r="B416" s="29" t="str">
        <f>IF(Analysis!$I416="","",IF(Analysis!$I416="Loyal but shallow",Analysis!$D416,""))</f>
        <v/>
      </c>
      <c r="C416" s="29" t="str">
        <f>IF(Analysis!$I416="","",IF(Analysis!$I416="Project-driven",Analysis!$D416,""))</f>
        <v/>
      </c>
      <c r="D416" s="29" t="str">
        <f>IF(Analysis!$I416="","",IF(Analysis!$I416="Drifting",Analysis!$D416,""))</f>
        <v/>
      </c>
      <c r="E416" s="29" t="str">
        <f>IF(Analysis!$I416="","",IF(Analysis!$I416="Embedded",Analysis!$C416,""))</f>
        <v/>
      </c>
      <c r="F416" s="29" t="str">
        <f>IF(Analysis!$I416="","",IF(Analysis!$I416="Loyal but shallow",Analysis!$C416,""))</f>
        <v/>
      </c>
      <c r="G416" s="29" t="str">
        <f>IF(Analysis!$I416="","",IF(Analysis!$I416="Project-driven",Analysis!$C416,""))</f>
        <v/>
      </c>
      <c r="H416" s="29" t="str">
        <f>IF(Analysis!$I416="","",IF(Analysis!$I416="Drifting",Analysis!$C416,""))</f>
        <v/>
      </c>
      <c r="I416" s="29" t="str">
        <f>IF(Analysis!$I416="","",IF(Analysis!$I416="Embedded",Analysis!$F416,""))</f>
        <v/>
      </c>
      <c r="J416" s="29" t="str">
        <f>IF(Analysis!$I416="","",IF(Analysis!$I416="Loyal but shallow",Analysis!$F416,""))</f>
        <v/>
      </c>
      <c r="K416" s="29" t="str">
        <f>IF(Analysis!$I416="","",IF(Analysis!$I416="Project-driven",Analysis!$F416,""))</f>
        <v/>
      </c>
      <c r="L416" s="29" t="str">
        <f>IF(Analysis!$I416="","",IF(Analysis!$I416="Drifting",Analysis!$F416,""))</f>
        <v/>
      </c>
      <c r="M416" s="29" t="str">
        <f>IF(Analysis!$I416="","",IF(Analysis!$I416="Embedded",Analysis!$H416,""))</f>
        <v/>
      </c>
      <c r="N416" s="29" t="str">
        <f>IF(Analysis!$I416="","",IF(Analysis!$I416="Loyal but shallow",Analysis!$H416,""))</f>
        <v/>
      </c>
      <c r="O416" s="29" t="str">
        <f>IF(Analysis!$I416="","",IF(Analysis!$I416="Project-driven",Analysis!$H416,""))</f>
        <v/>
      </c>
      <c r="P416" s="29" t="str">
        <f>IF(Analysis!$I416="","",IF(Analysis!$I416="Drifting",Analysis!$H416,""))</f>
        <v/>
      </c>
    </row>
    <row r="417" spans="1:16" x14ac:dyDescent="0.25">
      <c r="A417" s="29" t="str">
        <f>IF(Analysis!$I417="","",IF(Analysis!$I417="Embedded",Analysis!$D417,""))</f>
        <v/>
      </c>
      <c r="B417" s="29" t="str">
        <f>IF(Analysis!$I417="","",IF(Analysis!$I417="Loyal but shallow",Analysis!$D417,""))</f>
        <v/>
      </c>
      <c r="C417" s="29" t="str">
        <f>IF(Analysis!$I417="","",IF(Analysis!$I417="Project-driven",Analysis!$D417,""))</f>
        <v/>
      </c>
      <c r="D417" s="29" t="str">
        <f>IF(Analysis!$I417="","",IF(Analysis!$I417="Drifting",Analysis!$D417,""))</f>
        <v/>
      </c>
      <c r="E417" s="29" t="str">
        <f>IF(Analysis!$I417="","",IF(Analysis!$I417="Embedded",Analysis!$C417,""))</f>
        <v/>
      </c>
      <c r="F417" s="29" t="str">
        <f>IF(Analysis!$I417="","",IF(Analysis!$I417="Loyal but shallow",Analysis!$C417,""))</f>
        <v/>
      </c>
      <c r="G417" s="29" t="str">
        <f>IF(Analysis!$I417="","",IF(Analysis!$I417="Project-driven",Analysis!$C417,""))</f>
        <v/>
      </c>
      <c r="H417" s="29" t="str">
        <f>IF(Analysis!$I417="","",IF(Analysis!$I417="Drifting",Analysis!$C417,""))</f>
        <v/>
      </c>
      <c r="I417" s="29" t="str">
        <f>IF(Analysis!$I417="","",IF(Analysis!$I417="Embedded",Analysis!$F417,""))</f>
        <v/>
      </c>
      <c r="J417" s="29" t="str">
        <f>IF(Analysis!$I417="","",IF(Analysis!$I417="Loyal but shallow",Analysis!$F417,""))</f>
        <v/>
      </c>
      <c r="K417" s="29" t="str">
        <f>IF(Analysis!$I417="","",IF(Analysis!$I417="Project-driven",Analysis!$F417,""))</f>
        <v/>
      </c>
      <c r="L417" s="29" t="str">
        <f>IF(Analysis!$I417="","",IF(Analysis!$I417="Drifting",Analysis!$F417,""))</f>
        <v/>
      </c>
      <c r="M417" s="29" t="str">
        <f>IF(Analysis!$I417="","",IF(Analysis!$I417="Embedded",Analysis!$H417,""))</f>
        <v/>
      </c>
      <c r="N417" s="29" t="str">
        <f>IF(Analysis!$I417="","",IF(Analysis!$I417="Loyal but shallow",Analysis!$H417,""))</f>
        <v/>
      </c>
      <c r="O417" s="29" t="str">
        <f>IF(Analysis!$I417="","",IF(Analysis!$I417="Project-driven",Analysis!$H417,""))</f>
        <v/>
      </c>
      <c r="P417" s="29" t="str">
        <f>IF(Analysis!$I417="","",IF(Analysis!$I417="Drifting",Analysis!$H417,""))</f>
        <v/>
      </c>
    </row>
    <row r="418" spans="1:16" x14ac:dyDescent="0.25">
      <c r="A418" s="29" t="str">
        <f>IF(Analysis!$I418="","",IF(Analysis!$I418="Embedded",Analysis!$D418,""))</f>
        <v/>
      </c>
      <c r="B418" s="29" t="str">
        <f>IF(Analysis!$I418="","",IF(Analysis!$I418="Loyal but shallow",Analysis!$D418,""))</f>
        <v/>
      </c>
      <c r="C418" s="29" t="str">
        <f>IF(Analysis!$I418="","",IF(Analysis!$I418="Project-driven",Analysis!$D418,""))</f>
        <v/>
      </c>
      <c r="D418" s="29" t="str">
        <f>IF(Analysis!$I418="","",IF(Analysis!$I418="Drifting",Analysis!$D418,""))</f>
        <v/>
      </c>
      <c r="E418" s="29" t="str">
        <f>IF(Analysis!$I418="","",IF(Analysis!$I418="Embedded",Analysis!$C418,""))</f>
        <v/>
      </c>
      <c r="F418" s="29" t="str">
        <f>IF(Analysis!$I418="","",IF(Analysis!$I418="Loyal but shallow",Analysis!$C418,""))</f>
        <v/>
      </c>
      <c r="G418" s="29" t="str">
        <f>IF(Analysis!$I418="","",IF(Analysis!$I418="Project-driven",Analysis!$C418,""))</f>
        <v/>
      </c>
      <c r="H418" s="29" t="str">
        <f>IF(Analysis!$I418="","",IF(Analysis!$I418="Drifting",Analysis!$C418,""))</f>
        <v/>
      </c>
      <c r="I418" s="29" t="str">
        <f>IF(Analysis!$I418="","",IF(Analysis!$I418="Embedded",Analysis!$F418,""))</f>
        <v/>
      </c>
      <c r="J418" s="29" t="str">
        <f>IF(Analysis!$I418="","",IF(Analysis!$I418="Loyal but shallow",Analysis!$F418,""))</f>
        <v/>
      </c>
      <c r="K418" s="29" t="str">
        <f>IF(Analysis!$I418="","",IF(Analysis!$I418="Project-driven",Analysis!$F418,""))</f>
        <v/>
      </c>
      <c r="L418" s="29" t="str">
        <f>IF(Analysis!$I418="","",IF(Analysis!$I418="Drifting",Analysis!$F418,""))</f>
        <v/>
      </c>
      <c r="M418" s="29" t="str">
        <f>IF(Analysis!$I418="","",IF(Analysis!$I418="Embedded",Analysis!$H418,""))</f>
        <v/>
      </c>
      <c r="N418" s="29" t="str">
        <f>IF(Analysis!$I418="","",IF(Analysis!$I418="Loyal but shallow",Analysis!$H418,""))</f>
        <v/>
      </c>
      <c r="O418" s="29" t="str">
        <f>IF(Analysis!$I418="","",IF(Analysis!$I418="Project-driven",Analysis!$H418,""))</f>
        <v/>
      </c>
      <c r="P418" s="29" t="str">
        <f>IF(Analysis!$I418="","",IF(Analysis!$I418="Drifting",Analysis!$H418,""))</f>
        <v/>
      </c>
    </row>
    <row r="419" spans="1:16" x14ac:dyDescent="0.25">
      <c r="A419" s="29" t="str">
        <f>IF(Analysis!$I419="","",IF(Analysis!$I419="Embedded",Analysis!$D419,""))</f>
        <v/>
      </c>
      <c r="B419" s="29" t="str">
        <f>IF(Analysis!$I419="","",IF(Analysis!$I419="Loyal but shallow",Analysis!$D419,""))</f>
        <v/>
      </c>
      <c r="C419" s="29" t="str">
        <f>IF(Analysis!$I419="","",IF(Analysis!$I419="Project-driven",Analysis!$D419,""))</f>
        <v/>
      </c>
      <c r="D419" s="29" t="str">
        <f>IF(Analysis!$I419="","",IF(Analysis!$I419="Drifting",Analysis!$D419,""))</f>
        <v/>
      </c>
      <c r="E419" s="29" t="str">
        <f>IF(Analysis!$I419="","",IF(Analysis!$I419="Embedded",Analysis!$C419,""))</f>
        <v/>
      </c>
      <c r="F419" s="29" t="str">
        <f>IF(Analysis!$I419="","",IF(Analysis!$I419="Loyal but shallow",Analysis!$C419,""))</f>
        <v/>
      </c>
      <c r="G419" s="29" t="str">
        <f>IF(Analysis!$I419="","",IF(Analysis!$I419="Project-driven",Analysis!$C419,""))</f>
        <v/>
      </c>
      <c r="H419" s="29" t="str">
        <f>IF(Analysis!$I419="","",IF(Analysis!$I419="Drifting",Analysis!$C419,""))</f>
        <v/>
      </c>
      <c r="I419" s="29" t="str">
        <f>IF(Analysis!$I419="","",IF(Analysis!$I419="Embedded",Analysis!$F419,""))</f>
        <v/>
      </c>
      <c r="J419" s="29" t="str">
        <f>IF(Analysis!$I419="","",IF(Analysis!$I419="Loyal but shallow",Analysis!$F419,""))</f>
        <v/>
      </c>
      <c r="K419" s="29" t="str">
        <f>IF(Analysis!$I419="","",IF(Analysis!$I419="Project-driven",Analysis!$F419,""))</f>
        <v/>
      </c>
      <c r="L419" s="29" t="str">
        <f>IF(Analysis!$I419="","",IF(Analysis!$I419="Drifting",Analysis!$F419,""))</f>
        <v/>
      </c>
      <c r="M419" s="29" t="str">
        <f>IF(Analysis!$I419="","",IF(Analysis!$I419="Embedded",Analysis!$H419,""))</f>
        <v/>
      </c>
      <c r="N419" s="29" t="str">
        <f>IF(Analysis!$I419="","",IF(Analysis!$I419="Loyal but shallow",Analysis!$H419,""))</f>
        <v/>
      </c>
      <c r="O419" s="29" t="str">
        <f>IF(Analysis!$I419="","",IF(Analysis!$I419="Project-driven",Analysis!$H419,""))</f>
        <v/>
      </c>
      <c r="P419" s="29" t="str">
        <f>IF(Analysis!$I419="","",IF(Analysis!$I419="Drifting",Analysis!$H419,""))</f>
        <v/>
      </c>
    </row>
    <row r="420" spans="1:16" x14ac:dyDescent="0.25">
      <c r="A420" s="29" t="str">
        <f>IF(Analysis!$I420="","",IF(Analysis!$I420="Embedded",Analysis!$D420,""))</f>
        <v/>
      </c>
      <c r="B420" s="29" t="str">
        <f>IF(Analysis!$I420="","",IF(Analysis!$I420="Loyal but shallow",Analysis!$D420,""))</f>
        <v/>
      </c>
      <c r="C420" s="29" t="str">
        <f>IF(Analysis!$I420="","",IF(Analysis!$I420="Project-driven",Analysis!$D420,""))</f>
        <v/>
      </c>
      <c r="D420" s="29" t="str">
        <f>IF(Analysis!$I420="","",IF(Analysis!$I420="Drifting",Analysis!$D420,""))</f>
        <v/>
      </c>
      <c r="E420" s="29" t="str">
        <f>IF(Analysis!$I420="","",IF(Analysis!$I420="Embedded",Analysis!$C420,""))</f>
        <v/>
      </c>
      <c r="F420" s="29" t="str">
        <f>IF(Analysis!$I420="","",IF(Analysis!$I420="Loyal but shallow",Analysis!$C420,""))</f>
        <v/>
      </c>
      <c r="G420" s="29" t="str">
        <f>IF(Analysis!$I420="","",IF(Analysis!$I420="Project-driven",Analysis!$C420,""))</f>
        <v/>
      </c>
      <c r="H420" s="29" t="str">
        <f>IF(Analysis!$I420="","",IF(Analysis!$I420="Drifting",Analysis!$C420,""))</f>
        <v/>
      </c>
      <c r="I420" s="29" t="str">
        <f>IF(Analysis!$I420="","",IF(Analysis!$I420="Embedded",Analysis!$F420,""))</f>
        <v/>
      </c>
      <c r="J420" s="29" t="str">
        <f>IF(Analysis!$I420="","",IF(Analysis!$I420="Loyal but shallow",Analysis!$F420,""))</f>
        <v/>
      </c>
      <c r="K420" s="29" t="str">
        <f>IF(Analysis!$I420="","",IF(Analysis!$I420="Project-driven",Analysis!$F420,""))</f>
        <v/>
      </c>
      <c r="L420" s="29" t="str">
        <f>IF(Analysis!$I420="","",IF(Analysis!$I420="Drifting",Analysis!$F420,""))</f>
        <v/>
      </c>
      <c r="M420" s="29" t="str">
        <f>IF(Analysis!$I420="","",IF(Analysis!$I420="Embedded",Analysis!$H420,""))</f>
        <v/>
      </c>
      <c r="N420" s="29" t="str">
        <f>IF(Analysis!$I420="","",IF(Analysis!$I420="Loyal but shallow",Analysis!$H420,""))</f>
        <v/>
      </c>
      <c r="O420" s="29" t="str">
        <f>IF(Analysis!$I420="","",IF(Analysis!$I420="Project-driven",Analysis!$H420,""))</f>
        <v/>
      </c>
      <c r="P420" s="29" t="str">
        <f>IF(Analysis!$I420="","",IF(Analysis!$I420="Drifting",Analysis!$H420,""))</f>
        <v/>
      </c>
    </row>
    <row r="421" spans="1:16" x14ac:dyDescent="0.25">
      <c r="A421" s="29" t="str">
        <f>IF(Analysis!$I421="","",IF(Analysis!$I421="Embedded",Analysis!$D421,""))</f>
        <v/>
      </c>
      <c r="B421" s="29" t="str">
        <f>IF(Analysis!$I421="","",IF(Analysis!$I421="Loyal but shallow",Analysis!$D421,""))</f>
        <v/>
      </c>
      <c r="C421" s="29" t="str">
        <f>IF(Analysis!$I421="","",IF(Analysis!$I421="Project-driven",Analysis!$D421,""))</f>
        <v/>
      </c>
      <c r="D421" s="29" t="str">
        <f>IF(Analysis!$I421="","",IF(Analysis!$I421="Drifting",Analysis!$D421,""))</f>
        <v/>
      </c>
      <c r="E421" s="29" t="str">
        <f>IF(Analysis!$I421="","",IF(Analysis!$I421="Embedded",Analysis!$C421,""))</f>
        <v/>
      </c>
      <c r="F421" s="29" t="str">
        <f>IF(Analysis!$I421="","",IF(Analysis!$I421="Loyal but shallow",Analysis!$C421,""))</f>
        <v/>
      </c>
      <c r="G421" s="29" t="str">
        <f>IF(Analysis!$I421="","",IF(Analysis!$I421="Project-driven",Analysis!$C421,""))</f>
        <v/>
      </c>
      <c r="H421" s="29" t="str">
        <f>IF(Analysis!$I421="","",IF(Analysis!$I421="Drifting",Analysis!$C421,""))</f>
        <v/>
      </c>
      <c r="I421" s="29" t="str">
        <f>IF(Analysis!$I421="","",IF(Analysis!$I421="Embedded",Analysis!$F421,""))</f>
        <v/>
      </c>
      <c r="J421" s="29" t="str">
        <f>IF(Analysis!$I421="","",IF(Analysis!$I421="Loyal but shallow",Analysis!$F421,""))</f>
        <v/>
      </c>
      <c r="K421" s="29" t="str">
        <f>IF(Analysis!$I421="","",IF(Analysis!$I421="Project-driven",Analysis!$F421,""))</f>
        <v/>
      </c>
      <c r="L421" s="29" t="str">
        <f>IF(Analysis!$I421="","",IF(Analysis!$I421="Drifting",Analysis!$F421,""))</f>
        <v/>
      </c>
      <c r="M421" s="29" t="str">
        <f>IF(Analysis!$I421="","",IF(Analysis!$I421="Embedded",Analysis!$H421,""))</f>
        <v/>
      </c>
      <c r="N421" s="29" t="str">
        <f>IF(Analysis!$I421="","",IF(Analysis!$I421="Loyal but shallow",Analysis!$H421,""))</f>
        <v/>
      </c>
      <c r="O421" s="29" t="str">
        <f>IF(Analysis!$I421="","",IF(Analysis!$I421="Project-driven",Analysis!$H421,""))</f>
        <v/>
      </c>
      <c r="P421" s="29" t="str">
        <f>IF(Analysis!$I421="","",IF(Analysis!$I421="Drifting",Analysis!$H421,""))</f>
        <v/>
      </c>
    </row>
    <row r="422" spans="1:16" x14ac:dyDescent="0.25">
      <c r="A422" s="29" t="str">
        <f>IF(Analysis!$I422="","",IF(Analysis!$I422="Embedded",Analysis!$D422,""))</f>
        <v/>
      </c>
      <c r="B422" s="29" t="str">
        <f>IF(Analysis!$I422="","",IF(Analysis!$I422="Loyal but shallow",Analysis!$D422,""))</f>
        <v/>
      </c>
      <c r="C422" s="29" t="str">
        <f>IF(Analysis!$I422="","",IF(Analysis!$I422="Project-driven",Analysis!$D422,""))</f>
        <v/>
      </c>
      <c r="D422" s="29" t="str">
        <f>IF(Analysis!$I422="","",IF(Analysis!$I422="Drifting",Analysis!$D422,""))</f>
        <v/>
      </c>
      <c r="E422" s="29" t="str">
        <f>IF(Analysis!$I422="","",IF(Analysis!$I422="Embedded",Analysis!$C422,""))</f>
        <v/>
      </c>
      <c r="F422" s="29" t="str">
        <f>IF(Analysis!$I422="","",IF(Analysis!$I422="Loyal but shallow",Analysis!$C422,""))</f>
        <v/>
      </c>
      <c r="G422" s="29" t="str">
        <f>IF(Analysis!$I422="","",IF(Analysis!$I422="Project-driven",Analysis!$C422,""))</f>
        <v/>
      </c>
      <c r="H422" s="29" t="str">
        <f>IF(Analysis!$I422="","",IF(Analysis!$I422="Drifting",Analysis!$C422,""))</f>
        <v/>
      </c>
      <c r="I422" s="29" t="str">
        <f>IF(Analysis!$I422="","",IF(Analysis!$I422="Embedded",Analysis!$F422,""))</f>
        <v/>
      </c>
      <c r="J422" s="29" t="str">
        <f>IF(Analysis!$I422="","",IF(Analysis!$I422="Loyal but shallow",Analysis!$F422,""))</f>
        <v/>
      </c>
      <c r="K422" s="29" t="str">
        <f>IF(Analysis!$I422="","",IF(Analysis!$I422="Project-driven",Analysis!$F422,""))</f>
        <v/>
      </c>
      <c r="L422" s="29" t="str">
        <f>IF(Analysis!$I422="","",IF(Analysis!$I422="Drifting",Analysis!$F422,""))</f>
        <v/>
      </c>
      <c r="M422" s="29" t="str">
        <f>IF(Analysis!$I422="","",IF(Analysis!$I422="Embedded",Analysis!$H422,""))</f>
        <v/>
      </c>
      <c r="N422" s="29" t="str">
        <f>IF(Analysis!$I422="","",IF(Analysis!$I422="Loyal but shallow",Analysis!$H422,""))</f>
        <v/>
      </c>
      <c r="O422" s="29" t="str">
        <f>IF(Analysis!$I422="","",IF(Analysis!$I422="Project-driven",Analysis!$H422,""))</f>
        <v/>
      </c>
      <c r="P422" s="29" t="str">
        <f>IF(Analysis!$I422="","",IF(Analysis!$I422="Drifting",Analysis!$H422,""))</f>
        <v/>
      </c>
    </row>
    <row r="423" spans="1:16" x14ac:dyDescent="0.25">
      <c r="A423" s="29" t="str">
        <f>IF(Analysis!$I423="","",IF(Analysis!$I423="Embedded",Analysis!$D423,""))</f>
        <v/>
      </c>
      <c r="B423" s="29" t="str">
        <f>IF(Analysis!$I423="","",IF(Analysis!$I423="Loyal but shallow",Analysis!$D423,""))</f>
        <v/>
      </c>
      <c r="C423" s="29" t="str">
        <f>IF(Analysis!$I423="","",IF(Analysis!$I423="Project-driven",Analysis!$D423,""))</f>
        <v/>
      </c>
      <c r="D423" s="29" t="str">
        <f>IF(Analysis!$I423="","",IF(Analysis!$I423="Drifting",Analysis!$D423,""))</f>
        <v/>
      </c>
      <c r="E423" s="29" t="str">
        <f>IF(Analysis!$I423="","",IF(Analysis!$I423="Embedded",Analysis!$C423,""))</f>
        <v/>
      </c>
      <c r="F423" s="29" t="str">
        <f>IF(Analysis!$I423="","",IF(Analysis!$I423="Loyal but shallow",Analysis!$C423,""))</f>
        <v/>
      </c>
      <c r="G423" s="29" t="str">
        <f>IF(Analysis!$I423="","",IF(Analysis!$I423="Project-driven",Analysis!$C423,""))</f>
        <v/>
      </c>
      <c r="H423" s="29" t="str">
        <f>IF(Analysis!$I423="","",IF(Analysis!$I423="Drifting",Analysis!$C423,""))</f>
        <v/>
      </c>
      <c r="I423" s="29" t="str">
        <f>IF(Analysis!$I423="","",IF(Analysis!$I423="Embedded",Analysis!$F423,""))</f>
        <v/>
      </c>
      <c r="J423" s="29" t="str">
        <f>IF(Analysis!$I423="","",IF(Analysis!$I423="Loyal but shallow",Analysis!$F423,""))</f>
        <v/>
      </c>
      <c r="K423" s="29" t="str">
        <f>IF(Analysis!$I423="","",IF(Analysis!$I423="Project-driven",Analysis!$F423,""))</f>
        <v/>
      </c>
      <c r="L423" s="29" t="str">
        <f>IF(Analysis!$I423="","",IF(Analysis!$I423="Drifting",Analysis!$F423,""))</f>
        <v/>
      </c>
      <c r="M423" s="29" t="str">
        <f>IF(Analysis!$I423="","",IF(Analysis!$I423="Embedded",Analysis!$H423,""))</f>
        <v/>
      </c>
      <c r="N423" s="29" t="str">
        <f>IF(Analysis!$I423="","",IF(Analysis!$I423="Loyal but shallow",Analysis!$H423,""))</f>
        <v/>
      </c>
      <c r="O423" s="29" t="str">
        <f>IF(Analysis!$I423="","",IF(Analysis!$I423="Project-driven",Analysis!$H423,""))</f>
        <v/>
      </c>
      <c r="P423" s="29" t="str">
        <f>IF(Analysis!$I423="","",IF(Analysis!$I423="Drifting",Analysis!$H423,""))</f>
        <v/>
      </c>
    </row>
    <row r="424" spans="1:16" x14ac:dyDescent="0.25">
      <c r="A424" s="29" t="str">
        <f>IF(Analysis!$I424="","",IF(Analysis!$I424="Embedded",Analysis!$D424,""))</f>
        <v/>
      </c>
      <c r="B424" s="29" t="str">
        <f>IF(Analysis!$I424="","",IF(Analysis!$I424="Loyal but shallow",Analysis!$D424,""))</f>
        <v/>
      </c>
      <c r="C424" s="29" t="str">
        <f>IF(Analysis!$I424="","",IF(Analysis!$I424="Project-driven",Analysis!$D424,""))</f>
        <v/>
      </c>
      <c r="D424" s="29" t="str">
        <f>IF(Analysis!$I424="","",IF(Analysis!$I424="Drifting",Analysis!$D424,""))</f>
        <v/>
      </c>
      <c r="E424" s="29" t="str">
        <f>IF(Analysis!$I424="","",IF(Analysis!$I424="Embedded",Analysis!$C424,""))</f>
        <v/>
      </c>
      <c r="F424" s="29" t="str">
        <f>IF(Analysis!$I424="","",IF(Analysis!$I424="Loyal but shallow",Analysis!$C424,""))</f>
        <v/>
      </c>
      <c r="G424" s="29" t="str">
        <f>IF(Analysis!$I424="","",IF(Analysis!$I424="Project-driven",Analysis!$C424,""))</f>
        <v/>
      </c>
      <c r="H424" s="29" t="str">
        <f>IF(Analysis!$I424="","",IF(Analysis!$I424="Drifting",Analysis!$C424,""))</f>
        <v/>
      </c>
      <c r="I424" s="29" t="str">
        <f>IF(Analysis!$I424="","",IF(Analysis!$I424="Embedded",Analysis!$F424,""))</f>
        <v/>
      </c>
      <c r="J424" s="29" t="str">
        <f>IF(Analysis!$I424="","",IF(Analysis!$I424="Loyal but shallow",Analysis!$F424,""))</f>
        <v/>
      </c>
      <c r="K424" s="29" t="str">
        <f>IF(Analysis!$I424="","",IF(Analysis!$I424="Project-driven",Analysis!$F424,""))</f>
        <v/>
      </c>
      <c r="L424" s="29" t="str">
        <f>IF(Analysis!$I424="","",IF(Analysis!$I424="Drifting",Analysis!$F424,""))</f>
        <v/>
      </c>
      <c r="M424" s="29" t="str">
        <f>IF(Analysis!$I424="","",IF(Analysis!$I424="Embedded",Analysis!$H424,""))</f>
        <v/>
      </c>
      <c r="N424" s="29" t="str">
        <f>IF(Analysis!$I424="","",IF(Analysis!$I424="Loyal but shallow",Analysis!$H424,""))</f>
        <v/>
      </c>
      <c r="O424" s="29" t="str">
        <f>IF(Analysis!$I424="","",IF(Analysis!$I424="Project-driven",Analysis!$H424,""))</f>
        <v/>
      </c>
      <c r="P424" s="29" t="str">
        <f>IF(Analysis!$I424="","",IF(Analysis!$I424="Drifting",Analysis!$H424,""))</f>
        <v/>
      </c>
    </row>
    <row r="425" spans="1:16" x14ac:dyDescent="0.25">
      <c r="A425" s="29" t="str">
        <f>IF(Analysis!$I425="","",IF(Analysis!$I425="Embedded",Analysis!$D425,""))</f>
        <v/>
      </c>
      <c r="B425" s="29" t="str">
        <f>IF(Analysis!$I425="","",IF(Analysis!$I425="Loyal but shallow",Analysis!$D425,""))</f>
        <v/>
      </c>
      <c r="C425" s="29" t="str">
        <f>IF(Analysis!$I425="","",IF(Analysis!$I425="Project-driven",Analysis!$D425,""))</f>
        <v/>
      </c>
      <c r="D425" s="29" t="str">
        <f>IF(Analysis!$I425="","",IF(Analysis!$I425="Drifting",Analysis!$D425,""))</f>
        <v/>
      </c>
      <c r="E425" s="29" t="str">
        <f>IF(Analysis!$I425="","",IF(Analysis!$I425="Embedded",Analysis!$C425,""))</f>
        <v/>
      </c>
      <c r="F425" s="29" t="str">
        <f>IF(Analysis!$I425="","",IF(Analysis!$I425="Loyal but shallow",Analysis!$C425,""))</f>
        <v/>
      </c>
      <c r="G425" s="29" t="str">
        <f>IF(Analysis!$I425="","",IF(Analysis!$I425="Project-driven",Analysis!$C425,""))</f>
        <v/>
      </c>
      <c r="H425" s="29" t="str">
        <f>IF(Analysis!$I425="","",IF(Analysis!$I425="Drifting",Analysis!$C425,""))</f>
        <v/>
      </c>
      <c r="I425" s="29" t="str">
        <f>IF(Analysis!$I425="","",IF(Analysis!$I425="Embedded",Analysis!$F425,""))</f>
        <v/>
      </c>
      <c r="J425" s="29" t="str">
        <f>IF(Analysis!$I425="","",IF(Analysis!$I425="Loyal but shallow",Analysis!$F425,""))</f>
        <v/>
      </c>
      <c r="K425" s="29" t="str">
        <f>IF(Analysis!$I425="","",IF(Analysis!$I425="Project-driven",Analysis!$F425,""))</f>
        <v/>
      </c>
      <c r="L425" s="29" t="str">
        <f>IF(Analysis!$I425="","",IF(Analysis!$I425="Drifting",Analysis!$F425,""))</f>
        <v/>
      </c>
      <c r="M425" s="29" t="str">
        <f>IF(Analysis!$I425="","",IF(Analysis!$I425="Embedded",Analysis!$H425,""))</f>
        <v/>
      </c>
      <c r="N425" s="29" t="str">
        <f>IF(Analysis!$I425="","",IF(Analysis!$I425="Loyal but shallow",Analysis!$H425,""))</f>
        <v/>
      </c>
      <c r="O425" s="29" t="str">
        <f>IF(Analysis!$I425="","",IF(Analysis!$I425="Project-driven",Analysis!$H425,""))</f>
        <v/>
      </c>
      <c r="P425" s="29" t="str">
        <f>IF(Analysis!$I425="","",IF(Analysis!$I425="Drifting",Analysis!$H425,""))</f>
        <v/>
      </c>
    </row>
    <row r="426" spans="1:16" x14ac:dyDescent="0.25">
      <c r="A426" s="29" t="str">
        <f>IF(Analysis!$I426="","",IF(Analysis!$I426="Embedded",Analysis!$D426,""))</f>
        <v/>
      </c>
      <c r="B426" s="29" t="str">
        <f>IF(Analysis!$I426="","",IF(Analysis!$I426="Loyal but shallow",Analysis!$D426,""))</f>
        <v/>
      </c>
      <c r="C426" s="29" t="str">
        <f>IF(Analysis!$I426="","",IF(Analysis!$I426="Project-driven",Analysis!$D426,""))</f>
        <v/>
      </c>
      <c r="D426" s="29" t="str">
        <f>IF(Analysis!$I426="","",IF(Analysis!$I426="Drifting",Analysis!$D426,""))</f>
        <v/>
      </c>
      <c r="E426" s="29" t="str">
        <f>IF(Analysis!$I426="","",IF(Analysis!$I426="Embedded",Analysis!$C426,""))</f>
        <v/>
      </c>
      <c r="F426" s="29" t="str">
        <f>IF(Analysis!$I426="","",IF(Analysis!$I426="Loyal but shallow",Analysis!$C426,""))</f>
        <v/>
      </c>
      <c r="G426" s="29" t="str">
        <f>IF(Analysis!$I426="","",IF(Analysis!$I426="Project-driven",Analysis!$C426,""))</f>
        <v/>
      </c>
      <c r="H426" s="29" t="str">
        <f>IF(Analysis!$I426="","",IF(Analysis!$I426="Drifting",Analysis!$C426,""))</f>
        <v/>
      </c>
      <c r="I426" s="29" t="str">
        <f>IF(Analysis!$I426="","",IF(Analysis!$I426="Embedded",Analysis!$F426,""))</f>
        <v/>
      </c>
      <c r="J426" s="29" t="str">
        <f>IF(Analysis!$I426="","",IF(Analysis!$I426="Loyal but shallow",Analysis!$F426,""))</f>
        <v/>
      </c>
      <c r="K426" s="29" t="str">
        <f>IF(Analysis!$I426="","",IF(Analysis!$I426="Project-driven",Analysis!$F426,""))</f>
        <v/>
      </c>
      <c r="L426" s="29" t="str">
        <f>IF(Analysis!$I426="","",IF(Analysis!$I426="Drifting",Analysis!$F426,""))</f>
        <v/>
      </c>
      <c r="M426" s="29" t="str">
        <f>IF(Analysis!$I426="","",IF(Analysis!$I426="Embedded",Analysis!$H426,""))</f>
        <v/>
      </c>
      <c r="N426" s="29" t="str">
        <f>IF(Analysis!$I426="","",IF(Analysis!$I426="Loyal but shallow",Analysis!$H426,""))</f>
        <v/>
      </c>
      <c r="O426" s="29" t="str">
        <f>IF(Analysis!$I426="","",IF(Analysis!$I426="Project-driven",Analysis!$H426,""))</f>
        <v/>
      </c>
      <c r="P426" s="29" t="str">
        <f>IF(Analysis!$I426="","",IF(Analysis!$I426="Drifting",Analysis!$H426,""))</f>
        <v/>
      </c>
    </row>
    <row r="427" spans="1:16" x14ac:dyDescent="0.25">
      <c r="A427" s="29" t="str">
        <f>IF(Analysis!$I427="","",IF(Analysis!$I427="Embedded",Analysis!$D427,""))</f>
        <v/>
      </c>
      <c r="B427" s="29" t="str">
        <f>IF(Analysis!$I427="","",IF(Analysis!$I427="Loyal but shallow",Analysis!$D427,""))</f>
        <v/>
      </c>
      <c r="C427" s="29" t="str">
        <f>IF(Analysis!$I427="","",IF(Analysis!$I427="Project-driven",Analysis!$D427,""))</f>
        <v/>
      </c>
      <c r="D427" s="29" t="str">
        <f>IF(Analysis!$I427="","",IF(Analysis!$I427="Drifting",Analysis!$D427,""))</f>
        <v/>
      </c>
      <c r="E427" s="29" t="str">
        <f>IF(Analysis!$I427="","",IF(Analysis!$I427="Embedded",Analysis!$C427,""))</f>
        <v/>
      </c>
      <c r="F427" s="29" t="str">
        <f>IF(Analysis!$I427="","",IF(Analysis!$I427="Loyal but shallow",Analysis!$C427,""))</f>
        <v/>
      </c>
      <c r="G427" s="29" t="str">
        <f>IF(Analysis!$I427="","",IF(Analysis!$I427="Project-driven",Analysis!$C427,""))</f>
        <v/>
      </c>
      <c r="H427" s="29" t="str">
        <f>IF(Analysis!$I427="","",IF(Analysis!$I427="Drifting",Analysis!$C427,""))</f>
        <v/>
      </c>
      <c r="I427" s="29" t="str">
        <f>IF(Analysis!$I427="","",IF(Analysis!$I427="Embedded",Analysis!$F427,""))</f>
        <v/>
      </c>
      <c r="J427" s="29" t="str">
        <f>IF(Analysis!$I427="","",IF(Analysis!$I427="Loyal but shallow",Analysis!$F427,""))</f>
        <v/>
      </c>
      <c r="K427" s="29" t="str">
        <f>IF(Analysis!$I427="","",IF(Analysis!$I427="Project-driven",Analysis!$F427,""))</f>
        <v/>
      </c>
      <c r="L427" s="29" t="str">
        <f>IF(Analysis!$I427="","",IF(Analysis!$I427="Drifting",Analysis!$F427,""))</f>
        <v/>
      </c>
      <c r="M427" s="29" t="str">
        <f>IF(Analysis!$I427="","",IF(Analysis!$I427="Embedded",Analysis!$H427,""))</f>
        <v/>
      </c>
      <c r="N427" s="29" t="str">
        <f>IF(Analysis!$I427="","",IF(Analysis!$I427="Loyal but shallow",Analysis!$H427,""))</f>
        <v/>
      </c>
      <c r="O427" s="29" t="str">
        <f>IF(Analysis!$I427="","",IF(Analysis!$I427="Project-driven",Analysis!$H427,""))</f>
        <v/>
      </c>
      <c r="P427" s="29" t="str">
        <f>IF(Analysis!$I427="","",IF(Analysis!$I427="Drifting",Analysis!$H427,""))</f>
        <v/>
      </c>
    </row>
    <row r="428" spans="1:16" x14ac:dyDescent="0.25">
      <c r="A428" s="29" t="str">
        <f>IF(Analysis!$I428="","",IF(Analysis!$I428="Embedded",Analysis!$D428,""))</f>
        <v/>
      </c>
      <c r="B428" s="29" t="str">
        <f>IF(Analysis!$I428="","",IF(Analysis!$I428="Loyal but shallow",Analysis!$D428,""))</f>
        <v/>
      </c>
      <c r="C428" s="29" t="str">
        <f>IF(Analysis!$I428="","",IF(Analysis!$I428="Project-driven",Analysis!$D428,""))</f>
        <v/>
      </c>
      <c r="D428" s="29" t="str">
        <f>IF(Analysis!$I428="","",IF(Analysis!$I428="Drifting",Analysis!$D428,""))</f>
        <v/>
      </c>
      <c r="E428" s="29" t="str">
        <f>IF(Analysis!$I428="","",IF(Analysis!$I428="Embedded",Analysis!$C428,""))</f>
        <v/>
      </c>
      <c r="F428" s="29" t="str">
        <f>IF(Analysis!$I428="","",IF(Analysis!$I428="Loyal but shallow",Analysis!$C428,""))</f>
        <v/>
      </c>
      <c r="G428" s="29" t="str">
        <f>IF(Analysis!$I428="","",IF(Analysis!$I428="Project-driven",Analysis!$C428,""))</f>
        <v/>
      </c>
      <c r="H428" s="29" t="str">
        <f>IF(Analysis!$I428="","",IF(Analysis!$I428="Drifting",Analysis!$C428,""))</f>
        <v/>
      </c>
      <c r="I428" s="29" t="str">
        <f>IF(Analysis!$I428="","",IF(Analysis!$I428="Embedded",Analysis!$F428,""))</f>
        <v/>
      </c>
      <c r="J428" s="29" t="str">
        <f>IF(Analysis!$I428="","",IF(Analysis!$I428="Loyal but shallow",Analysis!$F428,""))</f>
        <v/>
      </c>
      <c r="K428" s="29" t="str">
        <f>IF(Analysis!$I428="","",IF(Analysis!$I428="Project-driven",Analysis!$F428,""))</f>
        <v/>
      </c>
      <c r="L428" s="29" t="str">
        <f>IF(Analysis!$I428="","",IF(Analysis!$I428="Drifting",Analysis!$F428,""))</f>
        <v/>
      </c>
      <c r="M428" s="29" t="str">
        <f>IF(Analysis!$I428="","",IF(Analysis!$I428="Embedded",Analysis!$H428,""))</f>
        <v/>
      </c>
      <c r="N428" s="29" t="str">
        <f>IF(Analysis!$I428="","",IF(Analysis!$I428="Loyal but shallow",Analysis!$H428,""))</f>
        <v/>
      </c>
      <c r="O428" s="29" t="str">
        <f>IF(Analysis!$I428="","",IF(Analysis!$I428="Project-driven",Analysis!$H428,""))</f>
        <v/>
      </c>
      <c r="P428" s="29" t="str">
        <f>IF(Analysis!$I428="","",IF(Analysis!$I428="Drifting",Analysis!$H428,""))</f>
        <v/>
      </c>
    </row>
    <row r="429" spans="1:16" x14ac:dyDescent="0.25">
      <c r="A429" s="29" t="str">
        <f>IF(Analysis!$I429="","",IF(Analysis!$I429="Embedded",Analysis!$D429,""))</f>
        <v/>
      </c>
      <c r="B429" s="29" t="str">
        <f>IF(Analysis!$I429="","",IF(Analysis!$I429="Loyal but shallow",Analysis!$D429,""))</f>
        <v/>
      </c>
      <c r="C429" s="29" t="str">
        <f>IF(Analysis!$I429="","",IF(Analysis!$I429="Project-driven",Analysis!$D429,""))</f>
        <v/>
      </c>
      <c r="D429" s="29" t="str">
        <f>IF(Analysis!$I429="","",IF(Analysis!$I429="Drifting",Analysis!$D429,""))</f>
        <v/>
      </c>
      <c r="E429" s="29" t="str">
        <f>IF(Analysis!$I429="","",IF(Analysis!$I429="Embedded",Analysis!$C429,""))</f>
        <v/>
      </c>
      <c r="F429" s="29" t="str">
        <f>IF(Analysis!$I429="","",IF(Analysis!$I429="Loyal but shallow",Analysis!$C429,""))</f>
        <v/>
      </c>
      <c r="G429" s="29" t="str">
        <f>IF(Analysis!$I429="","",IF(Analysis!$I429="Project-driven",Analysis!$C429,""))</f>
        <v/>
      </c>
      <c r="H429" s="29" t="str">
        <f>IF(Analysis!$I429="","",IF(Analysis!$I429="Drifting",Analysis!$C429,""))</f>
        <v/>
      </c>
      <c r="I429" s="29" t="str">
        <f>IF(Analysis!$I429="","",IF(Analysis!$I429="Embedded",Analysis!$F429,""))</f>
        <v/>
      </c>
      <c r="J429" s="29" t="str">
        <f>IF(Analysis!$I429="","",IF(Analysis!$I429="Loyal but shallow",Analysis!$F429,""))</f>
        <v/>
      </c>
      <c r="K429" s="29" t="str">
        <f>IF(Analysis!$I429="","",IF(Analysis!$I429="Project-driven",Analysis!$F429,""))</f>
        <v/>
      </c>
      <c r="L429" s="29" t="str">
        <f>IF(Analysis!$I429="","",IF(Analysis!$I429="Drifting",Analysis!$F429,""))</f>
        <v/>
      </c>
      <c r="M429" s="29" t="str">
        <f>IF(Analysis!$I429="","",IF(Analysis!$I429="Embedded",Analysis!$H429,""))</f>
        <v/>
      </c>
      <c r="N429" s="29" t="str">
        <f>IF(Analysis!$I429="","",IF(Analysis!$I429="Loyal but shallow",Analysis!$H429,""))</f>
        <v/>
      </c>
      <c r="O429" s="29" t="str">
        <f>IF(Analysis!$I429="","",IF(Analysis!$I429="Project-driven",Analysis!$H429,""))</f>
        <v/>
      </c>
      <c r="P429" s="29" t="str">
        <f>IF(Analysis!$I429="","",IF(Analysis!$I429="Drifting",Analysis!$H429,""))</f>
        <v/>
      </c>
    </row>
    <row r="430" spans="1:16" x14ac:dyDescent="0.25">
      <c r="A430" s="29" t="str">
        <f>IF(Analysis!$I430="","",IF(Analysis!$I430="Embedded",Analysis!$D430,""))</f>
        <v/>
      </c>
      <c r="B430" s="29" t="str">
        <f>IF(Analysis!$I430="","",IF(Analysis!$I430="Loyal but shallow",Analysis!$D430,""))</f>
        <v/>
      </c>
      <c r="C430" s="29" t="str">
        <f>IF(Analysis!$I430="","",IF(Analysis!$I430="Project-driven",Analysis!$D430,""))</f>
        <v/>
      </c>
      <c r="D430" s="29" t="str">
        <f>IF(Analysis!$I430="","",IF(Analysis!$I430="Drifting",Analysis!$D430,""))</f>
        <v/>
      </c>
      <c r="E430" s="29" t="str">
        <f>IF(Analysis!$I430="","",IF(Analysis!$I430="Embedded",Analysis!$C430,""))</f>
        <v/>
      </c>
      <c r="F430" s="29" t="str">
        <f>IF(Analysis!$I430="","",IF(Analysis!$I430="Loyal but shallow",Analysis!$C430,""))</f>
        <v/>
      </c>
      <c r="G430" s="29" t="str">
        <f>IF(Analysis!$I430="","",IF(Analysis!$I430="Project-driven",Analysis!$C430,""))</f>
        <v/>
      </c>
      <c r="H430" s="29" t="str">
        <f>IF(Analysis!$I430="","",IF(Analysis!$I430="Drifting",Analysis!$C430,""))</f>
        <v/>
      </c>
      <c r="I430" s="29" t="str">
        <f>IF(Analysis!$I430="","",IF(Analysis!$I430="Embedded",Analysis!$F430,""))</f>
        <v/>
      </c>
      <c r="J430" s="29" t="str">
        <f>IF(Analysis!$I430="","",IF(Analysis!$I430="Loyal but shallow",Analysis!$F430,""))</f>
        <v/>
      </c>
      <c r="K430" s="29" t="str">
        <f>IF(Analysis!$I430="","",IF(Analysis!$I430="Project-driven",Analysis!$F430,""))</f>
        <v/>
      </c>
      <c r="L430" s="29" t="str">
        <f>IF(Analysis!$I430="","",IF(Analysis!$I430="Drifting",Analysis!$F430,""))</f>
        <v/>
      </c>
      <c r="M430" s="29" t="str">
        <f>IF(Analysis!$I430="","",IF(Analysis!$I430="Embedded",Analysis!$H430,""))</f>
        <v/>
      </c>
      <c r="N430" s="29" t="str">
        <f>IF(Analysis!$I430="","",IF(Analysis!$I430="Loyal but shallow",Analysis!$H430,""))</f>
        <v/>
      </c>
      <c r="O430" s="29" t="str">
        <f>IF(Analysis!$I430="","",IF(Analysis!$I430="Project-driven",Analysis!$H430,""))</f>
        <v/>
      </c>
      <c r="P430" s="29" t="str">
        <f>IF(Analysis!$I430="","",IF(Analysis!$I430="Drifting",Analysis!$H430,""))</f>
        <v/>
      </c>
    </row>
    <row r="431" spans="1:16" x14ac:dyDescent="0.25">
      <c r="A431" s="29" t="str">
        <f>IF(Analysis!$I431="","",IF(Analysis!$I431="Embedded",Analysis!$D431,""))</f>
        <v/>
      </c>
      <c r="B431" s="29" t="str">
        <f>IF(Analysis!$I431="","",IF(Analysis!$I431="Loyal but shallow",Analysis!$D431,""))</f>
        <v/>
      </c>
      <c r="C431" s="29" t="str">
        <f>IF(Analysis!$I431="","",IF(Analysis!$I431="Project-driven",Analysis!$D431,""))</f>
        <v/>
      </c>
      <c r="D431" s="29" t="str">
        <f>IF(Analysis!$I431="","",IF(Analysis!$I431="Drifting",Analysis!$D431,""))</f>
        <v/>
      </c>
      <c r="E431" s="29" t="str">
        <f>IF(Analysis!$I431="","",IF(Analysis!$I431="Embedded",Analysis!$C431,""))</f>
        <v/>
      </c>
      <c r="F431" s="29" t="str">
        <f>IF(Analysis!$I431="","",IF(Analysis!$I431="Loyal but shallow",Analysis!$C431,""))</f>
        <v/>
      </c>
      <c r="G431" s="29" t="str">
        <f>IF(Analysis!$I431="","",IF(Analysis!$I431="Project-driven",Analysis!$C431,""))</f>
        <v/>
      </c>
      <c r="H431" s="29" t="str">
        <f>IF(Analysis!$I431="","",IF(Analysis!$I431="Drifting",Analysis!$C431,""))</f>
        <v/>
      </c>
      <c r="I431" s="29" t="str">
        <f>IF(Analysis!$I431="","",IF(Analysis!$I431="Embedded",Analysis!$F431,""))</f>
        <v/>
      </c>
      <c r="J431" s="29" t="str">
        <f>IF(Analysis!$I431="","",IF(Analysis!$I431="Loyal but shallow",Analysis!$F431,""))</f>
        <v/>
      </c>
      <c r="K431" s="29" t="str">
        <f>IF(Analysis!$I431="","",IF(Analysis!$I431="Project-driven",Analysis!$F431,""))</f>
        <v/>
      </c>
      <c r="L431" s="29" t="str">
        <f>IF(Analysis!$I431="","",IF(Analysis!$I431="Drifting",Analysis!$F431,""))</f>
        <v/>
      </c>
      <c r="M431" s="29" t="str">
        <f>IF(Analysis!$I431="","",IF(Analysis!$I431="Embedded",Analysis!$H431,""))</f>
        <v/>
      </c>
      <c r="N431" s="29" t="str">
        <f>IF(Analysis!$I431="","",IF(Analysis!$I431="Loyal but shallow",Analysis!$H431,""))</f>
        <v/>
      </c>
      <c r="O431" s="29" t="str">
        <f>IF(Analysis!$I431="","",IF(Analysis!$I431="Project-driven",Analysis!$H431,""))</f>
        <v/>
      </c>
      <c r="P431" s="29" t="str">
        <f>IF(Analysis!$I431="","",IF(Analysis!$I431="Drifting",Analysis!$H431,""))</f>
        <v/>
      </c>
    </row>
    <row r="432" spans="1:16" x14ac:dyDescent="0.25">
      <c r="A432" s="29" t="str">
        <f>IF(Analysis!$I432="","",IF(Analysis!$I432="Embedded",Analysis!$D432,""))</f>
        <v/>
      </c>
      <c r="B432" s="29" t="str">
        <f>IF(Analysis!$I432="","",IF(Analysis!$I432="Loyal but shallow",Analysis!$D432,""))</f>
        <v/>
      </c>
      <c r="C432" s="29" t="str">
        <f>IF(Analysis!$I432="","",IF(Analysis!$I432="Project-driven",Analysis!$D432,""))</f>
        <v/>
      </c>
      <c r="D432" s="29" t="str">
        <f>IF(Analysis!$I432="","",IF(Analysis!$I432="Drifting",Analysis!$D432,""))</f>
        <v/>
      </c>
      <c r="E432" s="29" t="str">
        <f>IF(Analysis!$I432="","",IF(Analysis!$I432="Embedded",Analysis!$C432,""))</f>
        <v/>
      </c>
      <c r="F432" s="29" t="str">
        <f>IF(Analysis!$I432="","",IF(Analysis!$I432="Loyal but shallow",Analysis!$C432,""))</f>
        <v/>
      </c>
      <c r="G432" s="29" t="str">
        <f>IF(Analysis!$I432="","",IF(Analysis!$I432="Project-driven",Analysis!$C432,""))</f>
        <v/>
      </c>
      <c r="H432" s="29" t="str">
        <f>IF(Analysis!$I432="","",IF(Analysis!$I432="Drifting",Analysis!$C432,""))</f>
        <v/>
      </c>
      <c r="I432" s="29" t="str">
        <f>IF(Analysis!$I432="","",IF(Analysis!$I432="Embedded",Analysis!$F432,""))</f>
        <v/>
      </c>
      <c r="J432" s="29" t="str">
        <f>IF(Analysis!$I432="","",IF(Analysis!$I432="Loyal but shallow",Analysis!$F432,""))</f>
        <v/>
      </c>
      <c r="K432" s="29" t="str">
        <f>IF(Analysis!$I432="","",IF(Analysis!$I432="Project-driven",Analysis!$F432,""))</f>
        <v/>
      </c>
      <c r="L432" s="29" t="str">
        <f>IF(Analysis!$I432="","",IF(Analysis!$I432="Drifting",Analysis!$F432,""))</f>
        <v/>
      </c>
      <c r="M432" s="29" t="str">
        <f>IF(Analysis!$I432="","",IF(Analysis!$I432="Embedded",Analysis!$H432,""))</f>
        <v/>
      </c>
      <c r="N432" s="29" t="str">
        <f>IF(Analysis!$I432="","",IF(Analysis!$I432="Loyal but shallow",Analysis!$H432,""))</f>
        <v/>
      </c>
      <c r="O432" s="29" t="str">
        <f>IF(Analysis!$I432="","",IF(Analysis!$I432="Project-driven",Analysis!$H432,""))</f>
        <v/>
      </c>
      <c r="P432" s="29" t="str">
        <f>IF(Analysis!$I432="","",IF(Analysis!$I432="Drifting",Analysis!$H432,""))</f>
        <v/>
      </c>
    </row>
    <row r="433" spans="1:16" x14ac:dyDescent="0.25">
      <c r="A433" s="29" t="str">
        <f>IF(Analysis!$I433="","",IF(Analysis!$I433="Embedded",Analysis!$D433,""))</f>
        <v/>
      </c>
      <c r="B433" s="29" t="str">
        <f>IF(Analysis!$I433="","",IF(Analysis!$I433="Loyal but shallow",Analysis!$D433,""))</f>
        <v/>
      </c>
      <c r="C433" s="29" t="str">
        <f>IF(Analysis!$I433="","",IF(Analysis!$I433="Project-driven",Analysis!$D433,""))</f>
        <v/>
      </c>
      <c r="D433" s="29" t="str">
        <f>IF(Analysis!$I433="","",IF(Analysis!$I433="Drifting",Analysis!$D433,""))</f>
        <v/>
      </c>
      <c r="E433" s="29" t="str">
        <f>IF(Analysis!$I433="","",IF(Analysis!$I433="Embedded",Analysis!$C433,""))</f>
        <v/>
      </c>
      <c r="F433" s="29" t="str">
        <f>IF(Analysis!$I433="","",IF(Analysis!$I433="Loyal but shallow",Analysis!$C433,""))</f>
        <v/>
      </c>
      <c r="G433" s="29" t="str">
        <f>IF(Analysis!$I433="","",IF(Analysis!$I433="Project-driven",Analysis!$C433,""))</f>
        <v/>
      </c>
      <c r="H433" s="29" t="str">
        <f>IF(Analysis!$I433="","",IF(Analysis!$I433="Drifting",Analysis!$C433,""))</f>
        <v/>
      </c>
      <c r="I433" s="29" t="str">
        <f>IF(Analysis!$I433="","",IF(Analysis!$I433="Embedded",Analysis!$F433,""))</f>
        <v/>
      </c>
      <c r="J433" s="29" t="str">
        <f>IF(Analysis!$I433="","",IF(Analysis!$I433="Loyal but shallow",Analysis!$F433,""))</f>
        <v/>
      </c>
      <c r="K433" s="29" t="str">
        <f>IF(Analysis!$I433="","",IF(Analysis!$I433="Project-driven",Analysis!$F433,""))</f>
        <v/>
      </c>
      <c r="L433" s="29" t="str">
        <f>IF(Analysis!$I433="","",IF(Analysis!$I433="Drifting",Analysis!$F433,""))</f>
        <v/>
      </c>
      <c r="M433" s="29" t="str">
        <f>IF(Analysis!$I433="","",IF(Analysis!$I433="Embedded",Analysis!$H433,""))</f>
        <v/>
      </c>
      <c r="N433" s="29" t="str">
        <f>IF(Analysis!$I433="","",IF(Analysis!$I433="Loyal but shallow",Analysis!$H433,""))</f>
        <v/>
      </c>
      <c r="O433" s="29" t="str">
        <f>IF(Analysis!$I433="","",IF(Analysis!$I433="Project-driven",Analysis!$H433,""))</f>
        <v/>
      </c>
      <c r="P433" s="29" t="str">
        <f>IF(Analysis!$I433="","",IF(Analysis!$I433="Drifting",Analysis!$H433,""))</f>
        <v/>
      </c>
    </row>
    <row r="434" spans="1:16" x14ac:dyDescent="0.25">
      <c r="A434" s="29" t="str">
        <f>IF(Analysis!$I434="","",IF(Analysis!$I434="Embedded",Analysis!$D434,""))</f>
        <v/>
      </c>
      <c r="B434" s="29" t="str">
        <f>IF(Analysis!$I434="","",IF(Analysis!$I434="Loyal but shallow",Analysis!$D434,""))</f>
        <v/>
      </c>
      <c r="C434" s="29" t="str">
        <f>IF(Analysis!$I434="","",IF(Analysis!$I434="Project-driven",Analysis!$D434,""))</f>
        <v/>
      </c>
      <c r="D434" s="29" t="str">
        <f>IF(Analysis!$I434="","",IF(Analysis!$I434="Drifting",Analysis!$D434,""))</f>
        <v/>
      </c>
      <c r="E434" s="29" t="str">
        <f>IF(Analysis!$I434="","",IF(Analysis!$I434="Embedded",Analysis!$C434,""))</f>
        <v/>
      </c>
      <c r="F434" s="29" t="str">
        <f>IF(Analysis!$I434="","",IF(Analysis!$I434="Loyal but shallow",Analysis!$C434,""))</f>
        <v/>
      </c>
      <c r="G434" s="29" t="str">
        <f>IF(Analysis!$I434="","",IF(Analysis!$I434="Project-driven",Analysis!$C434,""))</f>
        <v/>
      </c>
      <c r="H434" s="29" t="str">
        <f>IF(Analysis!$I434="","",IF(Analysis!$I434="Drifting",Analysis!$C434,""))</f>
        <v/>
      </c>
      <c r="I434" s="29" t="str">
        <f>IF(Analysis!$I434="","",IF(Analysis!$I434="Embedded",Analysis!$F434,""))</f>
        <v/>
      </c>
      <c r="J434" s="29" t="str">
        <f>IF(Analysis!$I434="","",IF(Analysis!$I434="Loyal but shallow",Analysis!$F434,""))</f>
        <v/>
      </c>
      <c r="K434" s="29" t="str">
        <f>IF(Analysis!$I434="","",IF(Analysis!$I434="Project-driven",Analysis!$F434,""))</f>
        <v/>
      </c>
      <c r="L434" s="29" t="str">
        <f>IF(Analysis!$I434="","",IF(Analysis!$I434="Drifting",Analysis!$F434,""))</f>
        <v/>
      </c>
      <c r="M434" s="29" t="str">
        <f>IF(Analysis!$I434="","",IF(Analysis!$I434="Embedded",Analysis!$H434,""))</f>
        <v/>
      </c>
      <c r="N434" s="29" t="str">
        <f>IF(Analysis!$I434="","",IF(Analysis!$I434="Loyal but shallow",Analysis!$H434,""))</f>
        <v/>
      </c>
      <c r="O434" s="29" t="str">
        <f>IF(Analysis!$I434="","",IF(Analysis!$I434="Project-driven",Analysis!$H434,""))</f>
        <v/>
      </c>
      <c r="P434" s="29" t="str">
        <f>IF(Analysis!$I434="","",IF(Analysis!$I434="Drifting",Analysis!$H434,""))</f>
        <v/>
      </c>
    </row>
    <row r="435" spans="1:16" x14ac:dyDescent="0.25">
      <c r="A435" s="29" t="str">
        <f>IF(Analysis!$I435="","",IF(Analysis!$I435="Embedded",Analysis!$D435,""))</f>
        <v/>
      </c>
      <c r="B435" s="29" t="str">
        <f>IF(Analysis!$I435="","",IF(Analysis!$I435="Loyal but shallow",Analysis!$D435,""))</f>
        <v/>
      </c>
      <c r="C435" s="29" t="str">
        <f>IF(Analysis!$I435="","",IF(Analysis!$I435="Project-driven",Analysis!$D435,""))</f>
        <v/>
      </c>
      <c r="D435" s="29" t="str">
        <f>IF(Analysis!$I435="","",IF(Analysis!$I435="Drifting",Analysis!$D435,""))</f>
        <v/>
      </c>
      <c r="E435" s="29" t="str">
        <f>IF(Analysis!$I435="","",IF(Analysis!$I435="Embedded",Analysis!$C435,""))</f>
        <v/>
      </c>
      <c r="F435" s="29" t="str">
        <f>IF(Analysis!$I435="","",IF(Analysis!$I435="Loyal but shallow",Analysis!$C435,""))</f>
        <v/>
      </c>
      <c r="G435" s="29" t="str">
        <f>IF(Analysis!$I435="","",IF(Analysis!$I435="Project-driven",Analysis!$C435,""))</f>
        <v/>
      </c>
      <c r="H435" s="29" t="str">
        <f>IF(Analysis!$I435="","",IF(Analysis!$I435="Drifting",Analysis!$C435,""))</f>
        <v/>
      </c>
      <c r="I435" s="29" t="str">
        <f>IF(Analysis!$I435="","",IF(Analysis!$I435="Embedded",Analysis!$F435,""))</f>
        <v/>
      </c>
      <c r="J435" s="29" t="str">
        <f>IF(Analysis!$I435="","",IF(Analysis!$I435="Loyal but shallow",Analysis!$F435,""))</f>
        <v/>
      </c>
      <c r="K435" s="29" t="str">
        <f>IF(Analysis!$I435="","",IF(Analysis!$I435="Project-driven",Analysis!$F435,""))</f>
        <v/>
      </c>
      <c r="L435" s="29" t="str">
        <f>IF(Analysis!$I435="","",IF(Analysis!$I435="Drifting",Analysis!$F435,""))</f>
        <v/>
      </c>
      <c r="M435" s="29" t="str">
        <f>IF(Analysis!$I435="","",IF(Analysis!$I435="Embedded",Analysis!$H435,""))</f>
        <v/>
      </c>
      <c r="N435" s="29" t="str">
        <f>IF(Analysis!$I435="","",IF(Analysis!$I435="Loyal but shallow",Analysis!$H435,""))</f>
        <v/>
      </c>
      <c r="O435" s="29" t="str">
        <f>IF(Analysis!$I435="","",IF(Analysis!$I435="Project-driven",Analysis!$H435,""))</f>
        <v/>
      </c>
      <c r="P435" s="29" t="str">
        <f>IF(Analysis!$I435="","",IF(Analysis!$I435="Drifting",Analysis!$H435,""))</f>
        <v/>
      </c>
    </row>
    <row r="436" spans="1:16" x14ac:dyDescent="0.25">
      <c r="A436" s="29" t="str">
        <f>IF(Analysis!$I436="","",IF(Analysis!$I436="Embedded",Analysis!$D436,""))</f>
        <v/>
      </c>
      <c r="B436" s="29" t="str">
        <f>IF(Analysis!$I436="","",IF(Analysis!$I436="Loyal but shallow",Analysis!$D436,""))</f>
        <v/>
      </c>
      <c r="C436" s="29" t="str">
        <f>IF(Analysis!$I436="","",IF(Analysis!$I436="Project-driven",Analysis!$D436,""))</f>
        <v/>
      </c>
      <c r="D436" s="29" t="str">
        <f>IF(Analysis!$I436="","",IF(Analysis!$I436="Drifting",Analysis!$D436,""))</f>
        <v/>
      </c>
      <c r="E436" s="29" t="str">
        <f>IF(Analysis!$I436="","",IF(Analysis!$I436="Embedded",Analysis!$C436,""))</f>
        <v/>
      </c>
      <c r="F436" s="29" t="str">
        <f>IF(Analysis!$I436="","",IF(Analysis!$I436="Loyal but shallow",Analysis!$C436,""))</f>
        <v/>
      </c>
      <c r="G436" s="29" t="str">
        <f>IF(Analysis!$I436="","",IF(Analysis!$I436="Project-driven",Analysis!$C436,""))</f>
        <v/>
      </c>
      <c r="H436" s="29" t="str">
        <f>IF(Analysis!$I436="","",IF(Analysis!$I436="Drifting",Analysis!$C436,""))</f>
        <v/>
      </c>
      <c r="I436" s="29" t="str">
        <f>IF(Analysis!$I436="","",IF(Analysis!$I436="Embedded",Analysis!$F436,""))</f>
        <v/>
      </c>
      <c r="J436" s="29" t="str">
        <f>IF(Analysis!$I436="","",IF(Analysis!$I436="Loyal but shallow",Analysis!$F436,""))</f>
        <v/>
      </c>
      <c r="K436" s="29" t="str">
        <f>IF(Analysis!$I436="","",IF(Analysis!$I436="Project-driven",Analysis!$F436,""))</f>
        <v/>
      </c>
      <c r="L436" s="29" t="str">
        <f>IF(Analysis!$I436="","",IF(Analysis!$I436="Drifting",Analysis!$F436,""))</f>
        <v/>
      </c>
      <c r="M436" s="29" t="str">
        <f>IF(Analysis!$I436="","",IF(Analysis!$I436="Embedded",Analysis!$H436,""))</f>
        <v/>
      </c>
      <c r="N436" s="29" t="str">
        <f>IF(Analysis!$I436="","",IF(Analysis!$I436="Loyal but shallow",Analysis!$H436,""))</f>
        <v/>
      </c>
      <c r="O436" s="29" t="str">
        <f>IF(Analysis!$I436="","",IF(Analysis!$I436="Project-driven",Analysis!$H436,""))</f>
        <v/>
      </c>
      <c r="P436" s="29" t="str">
        <f>IF(Analysis!$I436="","",IF(Analysis!$I436="Drifting",Analysis!$H436,""))</f>
        <v/>
      </c>
    </row>
    <row r="437" spans="1:16" x14ac:dyDescent="0.25">
      <c r="A437" s="29" t="str">
        <f>IF(Analysis!$I437="","",IF(Analysis!$I437="Embedded",Analysis!$D437,""))</f>
        <v/>
      </c>
      <c r="B437" s="29" t="str">
        <f>IF(Analysis!$I437="","",IF(Analysis!$I437="Loyal but shallow",Analysis!$D437,""))</f>
        <v/>
      </c>
      <c r="C437" s="29" t="str">
        <f>IF(Analysis!$I437="","",IF(Analysis!$I437="Project-driven",Analysis!$D437,""))</f>
        <v/>
      </c>
      <c r="D437" s="29" t="str">
        <f>IF(Analysis!$I437="","",IF(Analysis!$I437="Drifting",Analysis!$D437,""))</f>
        <v/>
      </c>
      <c r="E437" s="29" t="str">
        <f>IF(Analysis!$I437="","",IF(Analysis!$I437="Embedded",Analysis!$C437,""))</f>
        <v/>
      </c>
      <c r="F437" s="29" t="str">
        <f>IF(Analysis!$I437="","",IF(Analysis!$I437="Loyal but shallow",Analysis!$C437,""))</f>
        <v/>
      </c>
      <c r="G437" s="29" t="str">
        <f>IF(Analysis!$I437="","",IF(Analysis!$I437="Project-driven",Analysis!$C437,""))</f>
        <v/>
      </c>
      <c r="H437" s="29" t="str">
        <f>IF(Analysis!$I437="","",IF(Analysis!$I437="Drifting",Analysis!$C437,""))</f>
        <v/>
      </c>
      <c r="I437" s="29" t="str">
        <f>IF(Analysis!$I437="","",IF(Analysis!$I437="Embedded",Analysis!$F437,""))</f>
        <v/>
      </c>
      <c r="J437" s="29" t="str">
        <f>IF(Analysis!$I437="","",IF(Analysis!$I437="Loyal but shallow",Analysis!$F437,""))</f>
        <v/>
      </c>
      <c r="K437" s="29" t="str">
        <f>IF(Analysis!$I437="","",IF(Analysis!$I437="Project-driven",Analysis!$F437,""))</f>
        <v/>
      </c>
      <c r="L437" s="29" t="str">
        <f>IF(Analysis!$I437="","",IF(Analysis!$I437="Drifting",Analysis!$F437,""))</f>
        <v/>
      </c>
      <c r="M437" s="29" t="str">
        <f>IF(Analysis!$I437="","",IF(Analysis!$I437="Embedded",Analysis!$H437,""))</f>
        <v/>
      </c>
      <c r="N437" s="29" t="str">
        <f>IF(Analysis!$I437="","",IF(Analysis!$I437="Loyal but shallow",Analysis!$H437,""))</f>
        <v/>
      </c>
      <c r="O437" s="29" t="str">
        <f>IF(Analysis!$I437="","",IF(Analysis!$I437="Project-driven",Analysis!$H437,""))</f>
        <v/>
      </c>
      <c r="P437" s="29" t="str">
        <f>IF(Analysis!$I437="","",IF(Analysis!$I437="Drifting",Analysis!$H437,""))</f>
        <v/>
      </c>
    </row>
    <row r="438" spans="1:16" x14ac:dyDescent="0.25">
      <c r="A438" s="29" t="str">
        <f>IF(Analysis!$I438="","",IF(Analysis!$I438="Embedded",Analysis!$D438,""))</f>
        <v/>
      </c>
      <c r="B438" s="29" t="str">
        <f>IF(Analysis!$I438="","",IF(Analysis!$I438="Loyal but shallow",Analysis!$D438,""))</f>
        <v/>
      </c>
      <c r="C438" s="29" t="str">
        <f>IF(Analysis!$I438="","",IF(Analysis!$I438="Project-driven",Analysis!$D438,""))</f>
        <v/>
      </c>
      <c r="D438" s="29" t="str">
        <f>IF(Analysis!$I438="","",IF(Analysis!$I438="Drifting",Analysis!$D438,""))</f>
        <v/>
      </c>
      <c r="E438" s="29" t="str">
        <f>IF(Analysis!$I438="","",IF(Analysis!$I438="Embedded",Analysis!$C438,""))</f>
        <v/>
      </c>
      <c r="F438" s="29" t="str">
        <f>IF(Analysis!$I438="","",IF(Analysis!$I438="Loyal but shallow",Analysis!$C438,""))</f>
        <v/>
      </c>
      <c r="G438" s="29" t="str">
        <f>IF(Analysis!$I438="","",IF(Analysis!$I438="Project-driven",Analysis!$C438,""))</f>
        <v/>
      </c>
      <c r="H438" s="29" t="str">
        <f>IF(Analysis!$I438="","",IF(Analysis!$I438="Drifting",Analysis!$C438,""))</f>
        <v/>
      </c>
      <c r="I438" s="29" t="str">
        <f>IF(Analysis!$I438="","",IF(Analysis!$I438="Embedded",Analysis!$F438,""))</f>
        <v/>
      </c>
      <c r="J438" s="29" t="str">
        <f>IF(Analysis!$I438="","",IF(Analysis!$I438="Loyal but shallow",Analysis!$F438,""))</f>
        <v/>
      </c>
      <c r="K438" s="29" t="str">
        <f>IF(Analysis!$I438="","",IF(Analysis!$I438="Project-driven",Analysis!$F438,""))</f>
        <v/>
      </c>
      <c r="L438" s="29" t="str">
        <f>IF(Analysis!$I438="","",IF(Analysis!$I438="Drifting",Analysis!$F438,""))</f>
        <v/>
      </c>
      <c r="M438" s="29" t="str">
        <f>IF(Analysis!$I438="","",IF(Analysis!$I438="Embedded",Analysis!$H438,""))</f>
        <v/>
      </c>
      <c r="N438" s="29" t="str">
        <f>IF(Analysis!$I438="","",IF(Analysis!$I438="Loyal but shallow",Analysis!$H438,""))</f>
        <v/>
      </c>
      <c r="O438" s="29" t="str">
        <f>IF(Analysis!$I438="","",IF(Analysis!$I438="Project-driven",Analysis!$H438,""))</f>
        <v/>
      </c>
      <c r="P438" s="29" t="str">
        <f>IF(Analysis!$I438="","",IF(Analysis!$I438="Drifting",Analysis!$H438,""))</f>
        <v/>
      </c>
    </row>
    <row r="439" spans="1:16" x14ac:dyDescent="0.25">
      <c r="A439" s="29" t="str">
        <f>IF(Analysis!$I439="","",IF(Analysis!$I439="Embedded",Analysis!$D439,""))</f>
        <v/>
      </c>
      <c r="B439" s="29" t="str">
        <f>IF(Analysis!$I439="","",IF(Analysis!$I439="Loyal but shallow",Analysis!$D439,""))</f>
        <v/>
      </c>
      <c r="C439" s="29" t="str">
        <f>IF(Analysis!$I439="","",IF(Analysis!$I439="Project-driven",Analysis!$D439,""))</f>
        <v/>
      </c>
      <c r="D439" s="29" t="str">
        <f>IF(Analysis!$I439="","",IF(Analysis!$I439="Drifting",Analysis!$D439,""))</f>
        <v/>
      </c>
      <c r="E439" s="29" t="str">
        <f>IF(Analysis!$I439="","",IF(Analysis!$I439="Embedded",Analysis!$C439,""))</f>
        <v/>
      </c>
      <c r="F439" s="29" t="str">
        <f>IF(Analysis!$I439="","",IF(Analysis!$I439="Loyal but shallow",Analysis!$C439,""))</f>
        <v/>
      </c>
      <c r="G439" s="29" t="str">
        <f>IF(Analysis!$I439="","",IF(Analysis!$I439="Project-driven",Analysis!$C439,""))</f>
        <v/>
      </c>
      <c r="H439" s="29" t="str">
        <f>IF(Analysis!$I439="","",IF(Analysis!$I439="Drifting",Analysis!$C439,""))</f>
        <v/>
      </c>
      <c r="I439" s="29" t="str">
        <f>IF(Analysis!$I439="","",IF(Analysis!$I439="Embedded",Analysis!$F439,""))</f>
        <v/>
      </c>
      <c r="J439" s="29" t="str">
        <f>IF(Analysis!$I439="","",IF(Analysis!$I439="Loyal but shallow",Analysis!$F439,""))</f>
        <v/>
      </c>
      <c r="K439" s="29" t="str">
        <f>IF(Analysis!$I439="","",IF(Analysis!$I439="Project-driven",Analysis!$F439,""))</f>
        <v/>
      </c>
      <c r="L439" s="29" t="str">
        <f>IF(Analysis!$I439="","",IF(Analysis!$I439="Drifting",Analysis!$F439,""))</f>
        <v/>
      </c>
      <c r="M439" s="29" t="str">
        <f>IF(Analysis!$I439="","",IF(Analysis!$I439="Embedded",Analysis!$H439,""))</f>
        <v/>
      </c>
      <c r="N439" s="29" t="str">
        <f>IF(Analysis!$I439="","",IF(Analysis!$I439="Loyal but shallow",Analysis!$H439,""))</f>
        <v/>
      </c>
      <c r="O439" s="29" t="str">
        <f>IF(Analysis!$I439="","",IF(Analysis!$I439="Project-driven",Analysis!$H439,""))</f>
        <v/>
      </c>
      <c r="P439" s="29" t="str">
        <f>IF(Analysis!$I439="","",IF(Analysis!$I439="Drifting",Analysis!$H439,""))</f>
        <v/>
      </c>
    </row>
    <row r="440" spans="1:16" x14ac:dyDescent="0.25">
      <c r="A440" s="29" t="str">
        <f>IF(Analysis!$I440="","",IF(Analysis!$I440="Embedded",Analysis!$D440,""))</f>
        <v/>
      </c>
      <c r="B440" s="29" t="str">
        <f>IF(Analysis!$I440="","",IF(Analysis!$I440="Loyal but shallow",Analysis!$D440,""))</f>
        <v/>
      </c>
      <c r="C440" s="29" t="str">
        <f>IF(Analysis!$I440="","",IF(Analysis!$I440="Project-driven",Analysis!$D440,""))</f>
        <v/>
      </c>
      <c r="D440" s="29" t="str">
        <f>IF(Analysis!$I440="","",IF(Analysis!$I440="Drifting",Analysis!$D440,""))</f>
        <v/>
      </c>
      <c r="E440" s="29" t="str">
        <f>IF(Analysis!$I440="","",IF(Analysis!$I440="Embedded",Analysis!$C440,""))</f>
        <v/>
      </c>
      <c r="F440" s="29" t="str">
        <f>IF(Analysis!$I440="","",IF(Analysis!$I440="Loyal but shallow",Analysis!$C440,""))</f>
        <v/>
      </c>
      <c r="G440" s="29" t="str">
        <f>IF(Analysis!$I440="","",IF(Analysis!$I440="Project-driven",Analysis!$C440,""))</f>
        <v/>
      </c>
      <c r="H440" s="29" t="str">
        <f>IF(Analysis!$I440="","",IF(Analysis!$I440="Drifting",Analysis!$C440,""))</f>
        <v/>
      </c>
      <c r="I440" s="29" t="str">
        <f>IF(Analysis!$I440="","",IF(Analysis!$I440="Embedded",Analysis!$F440,""))</f>
        <v/>
      </c>
      <c r="J440" s="29" t="str">
        <f>IF(Analysis!$I440="","",IF(Analysis!$I440="Loyal but shallow",Analysis!$F440,""))</f>
        <v/>
      </c>
      <c r="K440" s="29" t="str">
        <f>IF(Analysis!$I440="","",IF(Analysis!$I440="Project-driven",Analysis!$F440,""))</f>
        <v/>
      </c>
      <c r="L440" s="29" t="str">
        <f>IF(Analysis!$I440="","",IF(Analysis!$I440="Drifting",Analysis!$F440,""))</f>
        <v/>
      </c>
      <c r="M440" s="29" t="str">
        <f>IF(Analysis!$I440="","",IF(Analysis!$I440="Embedded",Analysis!$H440,""))</f>
        <v/>
      </c>
      <c r="N440" s="29" t="str">
        <f>IF(Analysis!$I440="","",IF(Analysis!$I440="Loyal but shallow",Analysis!$H440,""))</f>
        <v/>
      </c>
      <c r="O440" s="29" t="str">
        <f>IF(Analysis!$I440="","",IF(Analysis!$I440="Project-driven",Analysis!$H440,""))</f>
        <v/>
      </c>
      <c r="P440" s="29" t="str">
        <f>IF(Analysis!$I440="","",IF(Analysis!$I440="Drifting",Analysis!$H440,""))</f>
        <v/>
      </c>
    </row>
    <row r="441" spans="1:16" x14ac:dyDescent="0.25">
      <c r="A441" s="29" t="str">
        <f>IF(Analysis!$I441="","",IF(Analysis!$I441="Embedded",Analysis!$D441,""))</f>
        <v/>
      </c>
      <c r="B441" s="29" t="str">
        <f>IF(Analysis!$I441="","",IF(Analysis!$I441="Loyal but shallow",Analysis!$D441,""))</f>
        <v/>
      </c>
      <c r="C441" s="29" t="str">
        <f>IF(Analysis!$I441="","",IF(Analysis!$I441="Project-driven",Analysis!$D441,""))</f>
        <v/>
      </c>
      <c r="D441" s="29" t="str">
        <f>IF(Analysis!$I441="","",IF(Analysis!$I441="Drifting",Analysis!$D441,""))</f>
        <v/>
      </c>
      <c r="E441" s="29" t="str">
        <f>IF(Analysis!$I441="","",IF(Analysis!$I441="Embedded",Analysis!$C441,""))</f>
        <v/>
      </c>
      <c r="F441" s="29" t="str">
        <f>IF(Analysis!$I441="","",IF(Analysis!$I441="Loyal but shallow",Analysis!$C441,""))</f>
        <v/>
      </c>
      <c r="G441" s="29" t="str">
        <f>IF(Analysis!$I441="","",IF(Analysis!$I441="Project-driven",Analysis!$C441,""))</f>
        <v/>
      </c>
      <c r="H441" s="29" t="str">
        <f>IF(Analysis!$I441="","",IF(Analysis!$I441="Drifting",Analysis!$C441,""))</f>
        <v/>
      </c>
      <c r="I441" s="29" t="str">
        <f>IF(Analysis!$I441="","",IF(Analysis!$I441="Embedded",Analysis!$F441,""))</f>
        <v/>
      </c>
      <c r="J441" s="29" t="str">
        <f>IF(Analysis!$I441="","",IF(Analysis!$I441="Loyal but shallow",Analysis!$F441,""))</f>
        <v/>
      </c>
      <c r="K441" s="29" t="str">
        <f>IF(Analysis!$I441="","",IF(Analysis!$I441="Project-driven",Analysis!$F441,""))</f>
        <v/>
      </c>
      <c r="L441" s="29" t="str">
        <f>IF(Analysis!$I441="","",IF(Analysis!$I441="Drifting",Analysis!$F441,""))</f>
        <v/>
      </c>
      <c r="M441" s="29" t="str">
        <f>IF(Analysis!$I441="","",IF(Analysis!$I441="Embedded",Analysis!$H441,""))</f>
        <v/>
      </c>
      <c r="N441" s="29" t="str">
        <f>IF(Analysis!$I441="","",IF(Analysis!$I441="Loyal but shallow",Analysis!$H441,""))</f>
        <v/>
      </c>
      <c r="O441" s="29" t="str">
        <f>IF(Analysis!$I441="","",IF(Analysis!$I441="Project-driven",Analysis!$H441,""))</f>
        <v/>
      </c>
      <c r="P441" s="29" t="str">
        <f>IF(Analysis!$I441="","",IF(Analysis!$I441="Drifting",Analysis!$H441,""))</f>
        <v/>
      </c>
    </row>
    <row r="442" spans="1:16" x14ac:dyDescent="0.25">
      <c r="A442" s="29" t="str">
        <f>IF(Analysis!$I442="","",IF(Analysis!$I442="Embedded",Analysis!$D442,""))</f>
        <v/>
      </c>
      <c r="B442" s="29" t="str">
        <f>IF(Analysis!$I442="","",IF(Analysis!$I442="Loyal but shallow",Analysis!$D442,""))</f>
        <v/>
      </c>
      <c r="C442" s="29" t="str">
        <f>IF(Analysis!$I442="","",IF(Analysis!$I442="Project-driven",Analysis!$D442,""))</f>
        <v/>
      </c>
      <c r="D442" s="29" t="str">
        <f>IF(Analysis!$I442="","",IF(Analysis!$I442="Drifting",Analysis!$D442,""))</f>
        <v/>
      </c>
      <c r="E442" s="29" t="str">
        <f>IF(Analysis!$I442="","",IF(Analysis!$I442="Embedded",Analysis!$C442,""))</f>
        <v/>
      </c>
      <c r="F442" s="29" t="str">
        <f>IF(Analysis!$I442="","",IF(Analysis!$I442="Loyal but shallow",Analysis!$C442,""))</f>
        <v/>
      </c>
      <c r="G442" s="29" t="str">
        <f>IF(Analysis!$I442="","",IF(Analysis!$I442="Project-driven",Analysis!$C442,""))</f>
        <v/>
      </c>
      <c r="H442" s="29" t="str">
        <f>IF(Analysis!$I442="","",IF(Analysis!$I442="Drifting",Analysis!$C442,""))</f>
        <v/>
      </c>
      <c r="I442" s="29" t="str">
        <f>IF(Analysis!$I442="","",IF(Analysis!$I442="Embedded",Analysis!$F442,""))</f>
        <v/>
      </c>
      <c r="J442" s="29" t="str">
        <f>IF(Analysis!$I442="","",IF(Analysis!$I442="Loyal but shallow",Analysis!$F442,""))</f>
        <v/>
      </c>
      <c r="K442" s="29" t="str">
        <f>IF(Analysis!$I442="","",IF(Analysis!$I442="Project-driven",Analysis!$F442,""))</f>
        <v/>
      </c>
      <c r="L442" s="29" t="str">
        <f>IF(Analysis!$I442="","",IF(Analysis!$I442="Drifting",Analysis!$F442,""))</f>
        <v/>
      </c>
      <c r="M442" s="29" t="str">
        <f>IF(Analysis!$I442="","",IF(Analysis!$I442="Embedded",Analysis!$H442,""))</f>
        <v/>
      </c>
      <c r="N442" s="29" t="str">
        <f>IF(Analysis!$I442="","",IF(Analysis!$I442="Loyal but shallow",Analysis!$H442,""))</f>
        <v/>
      </c>
      <c r="O442" s="29" t="str">
        <f>IF(Analysis!$I442="","",IF(Analysis!$I442="Project-driven",Analysis!$H442,""))</f>
        <v/>
      </c>
      <c r="P442" s="29" t="str">
        <f>IF(Analysis!$I442="","",IF(Analysis!$I442="Drifting",Analysis!$H442,""))</f>
        <v/>
      </c>
    </row>
    <row r="443" spans="1:16" x14ac:dyDescent="0.25">
      <c r="A443" s="29" t="str">
        <f>IF(Analysis!$I443="","",IF(Analysis!$I443="Embedded",Analysis!$D443,""))</f>
        <v/>
      </c>
      <c r="B443" s="29" t="str">
        <f>IF(Analysis!$I443="","",IF(Analysis!$I443="Loyal but shallow",Analysis!$D443,""))</f>
        <v/>
      </c>
      <c r="C443" s="29" t="str">
        <f>IF(Analysis!$I443="","",IF(Analysis!$I443="Project-driven",Analysis!$D443,""))</f>
        <v/>
      </c>
      <c r="D443" s="29" t="str">
        <f>IF(Analysis!$I443="","",IF(Analysis!$I443="Drifting",Analysis!$D443,""))</f>
        <v/>
      </c>
      <c r="E443" s="29" t="str">
        <f>IF(Analysis!$I443="","",IF(Analysis!$I443="Embedded",Analysis!$C443,""))</f>
        <v/>
      </c>
      <c r="F443" s="29" t="str">
        <f>IF(Analysis!$I443="","",IF(Analysis!$I443="Loyal but shallow",Analysis!$C443,""))</f>
        <v/>
      </c>
      <c r="G443" s="29" t="str">
        <f>IF(Analysis!$I443="","",IF(Analysis!$I443="Project-driven",Analysis!$C443,""))</f>
        <v/>
      </c>
      <c r="H443" s="29" t="str">
        <f>IF(Analysis!$I443="","",IF(Analysis!$I443="Drifting",Analysis!$C443,""))</f>
        <v/>
      </c>
      <c r="I443" s="29" t="str">
        <f>IF(Analysis!$I443="","",IF(Analysis!$I443="Embedded",Analysis!$F443,""))</f>
        <v/>
      </c>
      <c r="J443" s="29" t="str">
        <f>IF(Analysis!$I443="","",IF(Analysis!$I443="Loyal but shallow",Analysis!$F443,""))</f>
        <v/>
      </c>
      <c r="K443" s="29" t="str">
        <f>IF(Analysis!$I443="","",IF(Analysis!$I443="Project-driven",Analysis!$F443,""))</f>
        <v/>
      </c>
      <c r="L443" s="29" t="str">
        <f>IF(Analysis!$I443="","",IF(Analysis!$I443="Drifting",Analysis!$F443,""))</f>
        <v/>
      </c>
      <c r="M443" s="29" t="str">
        <f>IF(Analysis!$I443="","",IF(Analysis!$I443="Embedded",Analysis!$H443,""))</f>
        <v/>
      </c>
      <c r="N443" s="29" t="str">
        <f>IF(Analysis!$I443="","",IF(Analysis!$I443="Loyal but shallow",Analysis!$H443,""))</f>
        <v/>
      </c>
      <c r="O443" s="29" t="str">
        <f>IF(Analysis!$I443="","",IF(Analysis!$I443="Project-driven",Analysis!$H443,""))</f>
        <v/>
      </c>
      <c r="P443" s="29" t="str">
        <f>IF(Analysis!$I443="","",IF(Analysis!$I443="Drifting",Analysis!$H443,""))</f>
        <v/>
      </c>
    </row>
    <row r="444" spans="1:16" x14ac:dyDescent="0.25">
      <c r="A444" s="29" t="str">
        <f>IF(Analysis!$I444="","",IF(Analysis!$I444="Embedded",Analysis!$D444,""))</f>
        <v/>
      </c>
      <c r="B444" s="29" t="str">
        <f>IF(Analysis!$I444="","",IF(Analysis!$I444="Loyal but shallow",Analysis!$D444,""))</f>
        <v/>
      </c>
      <c r="C444" s="29" t="str">
        <f>IF(Analysis!$I444="","",IF(Analysis!$I444="Project-driven",Analysis!$D444,""))</f>
        <v/>
      </c>
      <c r="D444" s="29" t="str">
        <f>IF(Analysis!$I444="","",IF(Analysis!$I444="Drifting",Analysis!$D444,""))</f>
        <v/>
      </c>
      <c r="E444" s="29" t="str">
        <f>IF(Analysis!$I444="","",IF(Analysis!$I444="Embedded",Analysis!$C444,""))</f>
        <v/>
      </c>
      <c r="F444" s="29" t="str">
        <f>IF(Analysis!$I444="","",IF(Analysis!$I444="Loyal but shallow",Analysis!$C444,""))</f>
        <v/>
      </c>
      <c r="G444" s="29" t="str">
        <f>IF(Analysis!$I444="","",IF(Analysis!$I444="Project-driven",Analysis!$C444,""))</f>
        <v/>
      </c>
      <c r="H444" s="29" t="str">
        <f>IF(Analysis!$I444="","",IF(Analysis!$I444="Drifting",Analysis!$C444,""))</f>
        <v/>
      </c>
      <c r="I444" s="29" t="str">
        <f>IF(Analysis!$I444="","",IF(Analysis!$I444="Embedded",Analysis!$F444,""))</f>
        <v/>
      </c>
      <c r="J444" s="29" t="str">
        <f>IF(Analysis!$I444="","",IF(Analysis!$I444="Loyal but shallow",Analysis!$F444,""))</f>
        <v/>
      </c>
      <c r="K444" s="29" t="str">
        <f>IF(Analysis!$I444="","",IF(Analysis!$I444="Project-driven",Analysis!$F444,""))</f>
        <v/>
      </c>
      <c r="L444" s="29" t="str">
        <f>IF(Analysis!$I444="","",IF(Analysis!$I444="Drifting",Analysis!$F444,""))</f>
        <v/>
      </c>
      <c r="M444" s="29" t="str">
        <f>IF(Analysis!$I444="","",IF(Analysis!$I444="Embedded",Analysis!$H444,""))</f>
        <v/>
      </c>
      <c r="N444" s="29" t="str">
        <f>IF(Analysis!$I444="","",IF(Analysis!$I444="Loyal but shallow",Analysis!$H444,""))</f>
        <v/>
      </c>
      <c r="O444" s="29" t="str">
        <f>IF(Analysis!$I444="","",IF(Analysis!$I444="Project-driven",Analysis!$H444,""))</f>
        <v/>
      </c>
      <c r="P444" s="29" t="str">
        <f>IF(Analysis!$I444="","",IF(Analysis!$I444="Drifting",Analysis!$H444,""))</f>
        <v/>
      </c>
    </row>
    <row r="445" spans="1:16" x14ac:dyDescent="0.25">
      <c r="A445" s="29" t="str">
        <f>IF(Analysis!$I445="","",IF(Analysis!$I445="Embedded",Analysis!$D445,""))</f>
        <v/>
      </c>
      <c r="B445" s="29" t="str">
        <f>IF(Analysis!$I445="","",IF(Analysis!$I445="Loyal but shallow",Analysis!$D445,""))</f>
        <v/>
      </c>
      <c r="C445" s="29" t="str">
        <f>IF(Analysis!$I445="","",IF(Analysis!$I445="Project-driven",Analysis!$D445,""))</f>
        <v/>
      </c>
      <c r="D445" s="29" t="str">
        <f>IF(Analysis!$I445="","",IF(Analysis!$I445="Drifting",Analysis!$D445,""))</f>
        <v/>
      </c>
      <c r="E445" s="29" t="str">
        <f>IF(Analysis!$I445="","",IF(Analysis!$I445="Embedded",Analysis!$C445,""))</f>
        <v/>
      </c>
      <c r="F445" s="29" t="str">
        <f>IF(Analysis!$I445="","",IF(Analysis!$I445="Loyal but shallow",Analysis!$C445,""))</f>
        <v/>
      </c>
      <c r="G445" s="29" t="str">
        <f>IF(Analysis!$I445="","",IF(Analysis!$I445="Project-driven",Analysis!$C445,""))</f>
        <v/>
      </c>
      <c r="H445" s="29" t="str">
        <f>IF(Analysis!$I445="","",IF(Analysis!$I445="Drifting",Analysis!$C445,""))</f>
        <v/>
      </c>
      <c r="I445" s="29" t="str">
        <f>IF(Analysis!$I445="","",IF(Analysis!$I445="Embedded",Analysis!$F445,""))</f>
        <v/>
      </c>
      <c r="J445" s="29" t="str">
        <f>IF(Analysis!$I445="","",IF(Analysis!$I445="Loyal but shallow",Analysis!$F445,""))</f>
        <v/>
      </c>
      <c r="K445" s="29" t="str">
        <f>IF(Analysis!$I445="","",IF(Analysis!$I445="Project-driven",Analysis!$F445,""))</f>
        <v/>
      </c>
      <c r="L445" s="29" t="str">
        <f>IF(Analysis!$I445="","",IF(Analysis!$I445="Drifting",Analysis!$F445,""))</f>
        <v/>
      </c>
      <c r="M445" s="29" t="str">
        <f>IF(Analysis!$I445="","",IF(Analysis!$I445="Embedded",Analysis!$H445,""))</f>
        <v/>
      </c>
      <c r="N445" s="29" t="str">
        <f>IF(Analysis!$I445="","",IF(Analysis!$I445="Loyal but shallow",Analysis!$H445,""))</f>
        <v/>
      </c>
      <c r="O445" s="29" t="str">
        <f>IF(Analysis!$I445="","",IF(Analysis!$I445="Project-driven",Analysis!$H445,""))</f>
        <v/>
      </c>
      <c r="P445" s="29" t="str">
        <f>IF(Analysis!$I445="","",IF(Analysis!$I445="Drifting",Analysis!$H445,""))</f>
        <v/>
      </c>
    </row>
    <row r="446" spans="1:16" x14ac:dyDescent="0.25">
      <c r="A446" s="29" t="str">
        <f>IF(Analysis!$I446="","",IF(Analysis!$I446="Embedded",Analysis!$D446,""))</f>
        <v/>
      </c>
      <c r="B446" s="29" t="str">
        <f>IF(Analysis!$I446="","",IF(Analysis!$I446="Loyal but shallow",Analysis!$D446,""))</f>
        <v/>
      </c>
      <c r="C446" s="29" t="str">
        <f>IF(Analysis!$I446="","",IF(Analysis!$I446="Project-driven",Analysis!$D446,""))</f>
        <v/>
      </c>
      <c r="D446" s="29" t="str">
        <f>IF(Analysis!$I446="","",IF(Analysis!$I446="Drifting",Analysis!$D446,""))</f>
        <v/>
      </c>
      <c r="E446" s="29" t="str">
        <f>IF(Analysis!$I446="","",IF(Analysis!$I446="Embedded",Analysis!$C446,""))</f>
        <v/>
      </c>
      <c r="F446" s="29" t="str">
        <f>IF(Analysis!$I446="","",IF(Analysis!$I446="Loyal but shallow",Analysis!$C446,""))</f>
        <v/>
      </c>
      <c r="G446" s="29" t="str">
        <f>IF(Analysis!$I446="","",IF(Analysis!$I446="Project-driven",Analysis!$C446,""))</f>
        <v/>
      </c>
      <c r="H446" s="29" t="str">
        <f>IF(Analysis!$I446="","",IF(Analysis!$I446="Drifting",Analysis!$C446,""))</f>
        <v/>
      </c>
      <c r="I446" s="29" t="str">
        <f>IF(Analysis!$I446="","",IF(Analysis!$I446="Embedded",Analysis!$F446,""))</f>
        <v/>
      </c>
      <c r="J446" s="29" t="str">
        <f>IF(Analysis!$I446="","",IF(Analysis!$I446="Loyal but shallow",Analysis!$F446,""))</f>
        <v/>
      </c>
      <c r="K446" s="29" t="str">
        <f>IF(Analysis!$I446="","",IF(Analysis!$I446="Project-driven",Analysis!$F446,""))</f>
        <v/>
      </c>
      <c r="L446" s="29" t="str">
        <f>IF(Analysis!$I446="","",IF(Analysis!$I446="Drifting",Analysis!$F446,""))</f>
        <v/>
      </c>
      <c r="M446" s="29" t="str">
        <f>IF(Analysis!$I446="","",IF(Analysis!$I446="Embedded",Analysis!$H446,""))</f>
        <v/>
      </c>
      <c r="N446" s="29" t="str">
        <f>IF(Analysis!$I446="","",IF(Analysis!$I446="Loyal but shallow",Analysis!$H446,""))</f>
        <v/>
      </c>
      <c r="O446" s="29" t="str">
        <f>IF(Analysis!$I446="","",IF(Analysis!$I446="Project-driven",Analysis!$H446,""))</f>
        <v/>
      </c>
      <c r="P446" s="29" t="str">
        <f>IF(Analysis!$I446="","",IF(Analysis!$I446="Drifting",Analysis!$H446,""))</f>
        <v/>
      </c>
    </row>
    <row r="447" spans="1:16" x14ac:dyDescent="0.25">
      <c r="A447" s="29" t="str">
        <f>IF(Analysis!$I447="","",IF(Analysis!$I447="Embedded",Analysis!$D447,""))</f>
        <v/>
      </c>
      <c r="B447" s="29" t="str">
        <f>IF(Analysis!$I447="","",IF(Analysis!$I447="Loyal but shallow",Analysis!$D447,""))</f>
        <v/>
      </c>
      <c r="C447" s="29" t="str">
        <f>IF(Analysis!$I447="","",IF(Analysis!$I447="Project-driven",Analysis!$D447,""))</f>
        <v/>
      </c>
      <c r="D447" s="29" t="str">
        <f>IF(Analysis!$I447="","",IF(Analysis!$I447="Drifting",Analysis!$D447,""))</f>
        <v/>
      </c>
      <c r="E447" s="29" t="str">
        <f>IF(Analysis!$I447="","",IF(Analysis!$I447="Embedded",Analysis!$C447,""))</f>
        <v/>
      </c>
      <c r="F447" s="29" t="str">
        <f>IF(Analysis!$I447="","",IF(Analysis!$I447="Loyal but shallow",Analysis!$C447,""))</f>
        <v/>
      </c>
      <c r="G447" s="29" t="str">
        <f>IF(Analysis!$I447="","",IF(Analysis!$I447="Project-driven",Analysis!$C447,""))</f>
        <v/>
      </c>
      <c r="H447" s="29" t="str">
        <f>IF(Analysis!$I447="","",IF(Analysis!$I447="Drifting",Analysis!$C447,""))</f>
        <v/>
      </c>
      <c r="I447" s="29" t="str">
        <f>IF(Analysis!$I447="","",IF(Analysis!$I447="Embedded",Analysis!$F447,""))</f>
        <v/>
      </c>
      <c r="J447" s="29" t="str">
        <f>IF(Analysis!$I447="","",IF(Analysis!$I447="Loyal but shallow",Analysis!$F447,""))</f>
        <v/>
      </c>
      <c r="K447" s="29" t="str">
        <f>IF(Analysis!$I447="","",IF(Analysis!$I447="Project-driven",Analysis!$F447,""))</f>
        <v/>
      </c>
      <c r="L447" s="29" t="str">
        <f>IF(Analysis!$I447="","",IF(Analysis!$I447="Drifting",Analysis!$F447,""))</f>
        <v/>
      </c>
      <c r="M447" s="29" t="str">
        <f>IF(Analysis!$I447="","",IF(Analysis!$I447="Embedded",Analysis!$H447,""))</f>
        <v/>
      </c>
      <c r="N447" s="29" t="str">
        <f>IF(Analysis!$I447="","",IF(Analysis!$I447="Loyal but shallow",Analysis!$H447,""))</f>
        <v/>
      </c>
      <c r="O447" s="29" t="str">
        <f>IF(Analysis!$I447="","",IF(Analysis!$I447="Project-driven",Analysis!$H447,""))</f>
        <v/>
      </c>
      <c r="P447" s="29" t="str">
        <f>IF(Analysis!$I447="","",IF(Analysis!$I447="Drifting",Analysis!$H447,""))</f>
        <v/>
      </c>
    </row>
    <row r="448" spans="1:16" x14ac:dyDescent="0.25">
      <c r="A448" s="29" t="str">
        <f>IF(Analysis!$I448="","",IF(Analysis!$I448="Embedded",Analysis!$D448,""))</f>
        <v/>
      </c>
      <c r="B448" s="29" t="str">
        <f>IF(Analysis!$I448="","",IF(Analysis!$I448="Loyal but shallow",Analysis!$D448,""))</f>
        <v/>
      </c>
      <c r="C448" s="29" t="str">
        <f>IF(Analysis!$I448="","",IF(Analysis!$I448="Project-driven",Analysis!$D448,""))</f>
        <v/>
      </c>
      <c r="D448" s="29" t="str">
        <f>IF(Analysis!$I448="","",IF(Analysis!$I448="Drifting",Analysis!$D448,""))</f>
        <v/>
      </c>
      <c r="E448" s="29" t="str">
        <f>IF(Analysis!$I448="","",IF(Analysis!$I448="Embedded",Analysis!$C448,""))</f>
        <v/>
      </c>
      <c r="F448" s="29" t="str">
        <f>IF(Analysis!$I448="","",IF(Analysis!$I448="Loyal but shallow",Analysis!$C448,""))</f>
        <v/>
      </c>
      <c r="G448" s="29" t="str">
        <f>IF(Analysis!$I448="","",IF(Analysis!$I448="Project-driven",Analysis!$C448,""))</f>
        <v/>
      </c>
      <c r="H448" s="29" t="str">
        <f>IF(Analysis!$I448="","",IF(Analysis!$I448="Drifting",Analysis!$C448,""))</f>
        <v/>
      </c>
      <c r="I448" s="29" t="str">
        <f>IF(Analysis!$I448="","",IF(Analysis!$I448="Embedded",Analysis!$F448,""))</f>
        <v/>
      </c>
      <c r="J448" s="29" t="str">
        <f>IF(Analysis!$I448="","",IF(Analysis!$I448="Loyal but shallow",Analysis!$F448,""))</f>
        <v/>
      </c>
      <c r="K448" s="29" t="str">
        <f>IF(Analysis!$I448="","",IF(Analysis!$I448="Project-driven",Analysis!$F448,""))</f>
        <v/>
      </c>
      <c r="L448" s="29" t="str">
        <f>IF(Analysis!$I448="","",IF(Analysis!$I448="Drifting",Analysis!$F448,""))</f>
        <v/>
      </c>
      <c r="M448" s="29" t="str">
        <f>IF(Analysis!$I448="","",IF(Analysis!$I448="Embedded",Analysis!$H448,""))</f>
        <v/>
      </c>
      <c r="N448" s="29" t="str">
        <f>IF(Analysis!$I448="","",IF(Analysis!$I448="Loyal but shallow",Analysis!$H448,""))</f>
        <v/>
      </c>
      <c r="O448" s="29" t="str">
        <f>IF(Analysis!$I448="","",IF(Analysis!$I448="Project-driven",Analysis!$H448,""))</f>
        <v/>
      </c>
      <c r="P448" s="29" t="str">
        <f>IF(Analysis!$I448="","",IF(Analysis!$I448="Drifting",Analysis!$H448,""))</f>
        <v/>
      </c>
    </row>
    <row r="449" spans="1:16" x14ac:dyDescent="0.25">
      <c r="A449" s="29" t="str">
        <f>IF(Analysis!$I449="","",IF(Analysis!$I449="Embedded",Analysis!$D449,""))</f>
        <v/>
      </c>
      <c r="B449" s="29" t="str">
        <f>IF(Analysis!$I449="","",IF(Analysis!$I449="Loyal but shallow",Analysis!$D449,""))</f>
        <v/>
      </c>
      <c r="C449" s="29" t="str">
        <f>IF(Analysis!$I449="","",IF(Analysis!$I449="Project-driven",Analysis!$D449,""))</f>
        <v/>
      </c>
      <c r="D449" s="29" t="str">
        <f>IF(Analysis!$I449="","",IF(Analysis!$I449="Drifting",Analysis!$D449,""))</f>
        <v/>
      </c>
      <c r="E449" s="29" t="str">
        <f>IF(Analysis!$I449="","",IF(Analysis!$I449="Embedded",Analysis!$C449,""))</f>
        <v/>
      </c>
      <c r="F449" s="29" t="str">
        <f>IF(Analysis!$I449="","",IF(Analysis!$I449="Loyal but shallow",Analysis!$C449,""))</f>
        <v/>
      </c>
      <c r="G449" s="29" t="str">
        <f>IF(Analysis!$I449="","",IF(Analysis!$I449="Project-driven",Analysis!$C449,""))</f>
        <v/>
      </c>
      <c r="H449" s="29" t="str">
        <f>IF(Analysis!$I449="","",IF(Analysis!$I449="Drifting",Analysis!$C449,""))</f>
        <v/>
      </c>
      <c r="I449" s="29" t="str">
        <f>IF(Analysis!$I449="","",IF(Analysis!$I449="Embedded",Analysis!$F449,""))</f>
        <v/>
      </c>
      <c r="J449" s="29" t="str">
        <f>IF(Analysis!$I449="","",IF(Analysis!$I449="Loyal but shallow",Analysis!$F449,""))</f>
        <v/>
      </c>
      <c r="K449" s="29" t="str">
        <f>IF(Analysis!$I449="","",IF(Analysis!$I449="Project-driven",Analysis!$F449,""))</f>
        <v/>
      </c>
      <c r="L449" s="29" t="str">
        <f>IF(Analysis!$I449="","",IF(Analysis!$I449="Drifting",Analysis!$F449,""))</f>
        <v/>
      </c>
      <c r="M449" s="29" t="str">
        <f>IF(Analysis!$I449="","",IF(Analysis!$I449="Embedded",Analysis!$H449,""))</f>
        <v/>
      </c>
      <c r="N449" s="29" t="str">
        <f>IF(Analysis!$I449="","",IF(Analysis!$I449="Loyal but shallow",Analysis!$H449,""))</f>
        <v/>
      </c>
      <c r="O449" s="29" t="str">
        <f>IF(Analysis!$I449="","",IF(Analysis!$I449="Project-driven",Analysis!$H449,""))</f>
        <v/>
      </c>
      <c r="P449" s="29" t="str">
        <f>IF(Analysis!$I449="","",IF(Analysis!$I449="Drifting",Analysis!$H449,""))</f>
        <v/>
      </c>
    </row>
    <row r="450" spans="1:16" x14ac:dyDescent="0.25">
      <c r="A450" s="29" t="str">
        <f>IF(Analysis!$I450="","",IF(Analysis!$I450="Embedded",Analysis!$D450,""))</f>
        <v/>
      </c>
      <c r="B450" s="29" t="str">
        <f>IF(Analysis!$I450="","",IF(Analysis!$I450="Loyal but shallow",Analysis!$D450,""))</f>
        <v/>
      </c>
      <c r="C450" s="29" t="str">
        <f>IF(Analysis!$I450="","",IF(Analysis!$I450="Project-driven",Analysis!$D450,""))</f>
        <v/>
      </c>
      <c r="D450" s="29" t="str">
        <f>IF(Analysis!$I450="","",IF(Analysis!$I450="Drifting",Analysis!$D450,""))</f>
        <v/>
      </c>
      <c r="E450" s="29" t="str">
        <f>IF(Analysis!$I450="","",IF(Analysis!$I450="Embedded",Analysis!$C450,""))</f>
        <v/>
      </c>
      <c r="F450" s="29" t="str">
        <f>IF(Analysis!$I450="","",IF(Analysis!$I450="Loyal but shallow",Analysis!$C450,""))</f>
        <v/>
      </c>
      <c r="G450" s="29" t="str">
        <f>IF(Analysis!$I450="","",IF(Analysis!$I450="Project-driven",Analysis!$C450,""))</f>
        <v/>
      </c>
      <c r="H450" s="29" t="str">
        <f>IF(Analysis!$I450="","",IF(Analysis!$I450="Drifting",Analysis!$C450,""))</f>
        <v/>
      </c>
      <c r="I450" s="29" t="str">
        <f>IF(Analysis!$I450="","",IF(Analysis!$I450="Embedded",Analysis!$F450,""))</f>
        <v/>
      </c>
      <c r="J450" s="29" t="str">
        <f>IF(Analysis!$I450="","",IF(Analysis!$I450="Loyal but shallow",Analysis!$F450,""))</f>
        <v/>
      </c>
      <c r="K450" s="29" t="str">
        <f>IF(Analysis!$I450="","",IF(Analysis!$I450="Project-driven",Analysis!$F450,""))</f>
        <v/>
      </c>
      <c r="L450" s="29" t="str">
        <f>IF(Analysis!$I450="","",IF(Analysis!$I450="Drifting",Analysis!$F450,""))</f>
        <v/>
      </c>
      <c r="M450" s="29" t="str">
        <f>IF(Analysis!$I450="","",IF(Analysis!$I450="Embedded",Analysis!$H450,""))</f>
        <v/>
      </c>
      <c r="N450" s="29" t="str">
        <f>IF(Analysis!$I450="","",IF(Analysis!$I450="Loyal but shallow",Analysis!$H450,""))</f>
        <v/>
      </c>
      <c r="O450" s="29" t="str">
        <f>IF(Analysis!$I450="","",IF(Analysis!$I450="Project-driven",Analysis!$H450,""))</f>
        <v/>
      </c>
      <c r="P450" s="29" t="str">
        <f>IF(Analysis!$I450="","",IF(Analysis!$I450="Drifting",Analysis!$H450,""))</f>
        <v/>
      </c>
    </row>
    <row r="451" spans="1:16" x14ac:dyDescent="0.25">
      <c r="A451" s="29" t="str">
        <f>IF(Analysis!$I451="","",IF(Analysis!$I451="Embedded",Analysis!$D451,""))</f>
        <v/>
      </c>
      <c r="B451" s="29" t="str">
        <f>IF(Analysis!$I451="","",IF(Analysis!$I451="Loyal but shallow",Analysis!$D451,""))</f>
        <v/>
      </c>
      <c r="C451" s="29" t="str">
        <f>IF(Analysis!$I451="","",IF(Analysis!$I451="Project-driven",Analysis!$D451,""))</f>
        <v/>
      </c>
      <c r="D451" s="29" t="str">
        <f>IF(Analysis!$I451="","",IF(Analysis!$I451="Drifting",Analysis!$D451,""))</f>
        <v/>
      </c>
      <c r="E451" s="29" t="str">
        <f>IF(Analysis!$I451="","",IF(Analysis!$I451="Embedded",Analysis!$C451,""))</f>
        <v/>
      </c>
      <c r="F451" s="29" t="str">
        <f>IF(Analysis!$I451="","",IF(Analysis!$I451="Loyal but shallow",Analysis!$C451,""))</f>
        <v/>
      </c>
      <c r="G451" s="29" t="str">
        <f>IF(Analysis!$I451="","",IF(Analysis!$I451="Project-driven",Analysis!$C451,""))</f>
        <v/>
      </c>
      <c r="H451" s="29" t="str">
        <f>IF(Analysis!$I451="","",IF(Analysis!$I451="Drifting",Analysis!$C451,""))</f>
        <v/>
      </c>
      <c r="I451" s="29" t="str">
        <f>IF(Analysis!$I451="","",IF(Analysis!$I451="Embedded",Analysis!$F451,""))</f>
        <v/>
      </c>
      <c r="J451" s="29" t="str">
        <f>IF(Analysis!$I451="","",IF(Analysis!$I451="Loyal but shallow",Analysis!$F451,""))</f>
        <v/>
      </c>
      <c r="K451" s="29" t="str">
        <f>IF(Analysis!$I451="","",IF(Analysis!$I451="Project-driven",Analysis!$F451,""))</f>
        <v/>
      </c>
      <c r="L451" s="29" t="str">
        <f>IF(Analysis!$I451="","",IF(Analysis!$I451="Drifting",Analysis!$F451,""))</f>
        <v/>
      </c>
      <c r="M451" s="29" t="str">
        <f>IF(Analysis!$I451="","",IF(Analysis!$I451="Embedded",Analysis!$H451,""))</f>
        <v/>
      </c>
      <c r="N451" s="29" t="str">
        <f>IF(Analysis!$I451="","",IF(Analysis!$I451="Loyal but shallow",Analysis!$H451,""))</f>
        <v/>
      </c>
      <c r="O451" s="29" t="str">
        <f>IF(Analysis!$I451="","",IF(Analysis!$I451="Project-driven",Analysis!$H451,""))</f>
        <v/>
      </c>
      <c r="P451" s="29" t="str">
        <f>IF(Analysis!$I451="","",IF(Analysis!$I451="Drifting",Analysis!$H451,""))</f>
        <v/>
      </c>
    </row>
    <row r="452" spans="1:16" x14ac:dyDescent="0.25">
      <c r="A452" s="29" t="str">
        <f>IF(Analysis!$I452="","",IF(Analysis!$I452="Embedded",Analysis!$D452,""))</f>
        <v/>
      </c>
      <c r="B452" s="29" t="str">
        <f>IF(Analysis!$I452="","",IF(Analysis!$I452="Loyal but shallow",Analysis!$D452,""))</f>
        <v/>
      </c>
      <c r="C452" s="29" t="str">
        <f>IF(Analysis!$I452="","",IF(Analysis!$I452="Project-driven",Analysis!$D452,""))</f>
        <v/>
      </c>
      <c r="D452" s="29" t="str">
        <f>IF(Analysis!$I452="","",IF(Analysis!$I452="Drifting",Analysis!$D452,""))</f>
        <v/>
      </c>
      <c r="E452" s="29" t="str">
        <f>IF(Analysis!$I452="","",IF(Analysis!$I452="Embedded",Analysis!$C452,""))</f>
        <v/>
      </c>
      <c r="F452" s="29" t="str">
        <f>IF(Analysis!$I452="","",IF(Analysis!$I452="Loyal but shallow",Analysis!$C452,""))</f>
        <v/>
      </c>
      <c r="G452" s="29" t="str">
        <f>IF(Analysis!$I452="","",IF(Analysis!$I452="Project-driven",Analysis!$C452,""))</f>
        <v/>
      </c>
      <c r="H452" s="29" t="str">
        <f>IF(Analysis!$I452="","",IF(Analysis!$I452="Drifting",Analysis!$C452,""))</f>
        <v/>
      </c>
      <c r="I452" s="29" t="str">
        <f>IF(Analysis!$I452="","",IF(Analysis!$I452="Embedded",Analysis!$F452,""))</f>
        <v/>
      </c>
      <c r="J452" s="29" t="str">
        <f>IF(Analysis!$I452="","",IF(Analysis!$I452="Loyal but shallow",Analysis!$F452,""))</f>
        <v/>
      </c>
      <c r="K452" s="29" t="str">
        <f>IF(Analysis!$I452="","",IF(Analysis!$I452="Project-driven",Analysis!$F452,""))</f>
        <v/>
      </c>
      <c r="L452" s="29" t="str">
        <f>IF(Analysis!$I452="","",IF(Analysis!$I452="Drifting",Analysis!$F452,""))</f>
        <v/>
      </c>
      <c r="M452" s="29" t="str">
        <f>IF(Analysis!$I452="","",IF(Analysis!$I452="Embedded",Analysis!$H452,""))</f>
        <v/>
      </c>
      <c r="N452" s="29" t="str">
        <f>IF(Analysis!$I452="","",IF(Analysis!$I452="Loyal but shallow",Analysis!$H452,""))</f>
        <v/>
      </c>
      <c r="O452" s="29" t="str">
        <f>IF(Analysis!$I452="","",IF(Analysis!$I452="Project-driven",Analysis!$H452,""))</f>
        <v/>
      </c>
      <c r="P452" s="29" t="str">
        <f>IF(Analysis!$I452="","",IF(Analysis!$I452="Drifting",Analysis!$H452,""))</f>
        <v/>
      </c>
    </row>
    <row r="453" spans="1:16" x14ac:dyDescent="0.25">
      <c r="A453" s="29" t="str">
        <f>IF(Analysis!$I453="","",IF(Analysis!$I453="Embedded",Analysis!$D453,""))</f>
        <v/>
      </c>
      <c r="B453" s="29" t="str">
        <f>IF(Analysis!$I453="","",IF(Analysis!$I453="Loyal but shallow",Analysis!$D453,""))</f>
        <v/>
      </c>
      <c r="C453" s="29" t="str">
        <f>IF(Analysis!$I453="","",IF(Analysis!$I453="Project-driven",Analysis!$D453,""))</f>
        <v/>
      </c>
      <c r="D453" s="29" t="str">
        <f>IF(Analysis!$I453="","",IF(Analysis!$I453="Drifting",Analysis!$D453,""))</f>
        <v/>
      </c>
      <c r="E453" s="29" t="str">
        <f>IF(Analysis!$I453="","",IF(Analysis!$I453="Embedded",Analysis!$C453,""))</f>
        <v/>
      </c>
      <c r="F453" s="29" t="str">
        <f>IF(Analysis!$I453="","",IF(Analysis!$I453="Loyal but shallow",Analysis!$C453,""))</f>
        <v/>
      </c>
      <c r="G453" s="29" t="str">
        <f>IF(Analysis!$I453="","",IF(Analysis!$I453="Project-driven",Analysis!$C453,""))</f>
        <v/>
      </c>
      <c r="H453" s="29" t="str">
        <f>IF(Analysis!$I453="","",IF(Analysis!$I453="Drifting",Analysis!$C453,""))</f>
        <v/>
      </c>
      <c r="I453" s="29" t="str">
        <f>IF(Analysis!$I453="","",IF(Analysis!$I453="Embedded",Analysis!$F453,""))</f>
        <v/>
      </c>
      <c r="J453" s="29" t="str">
        <f>IF(Analysis!$I453="","",IF(Analysis!$I453="Loyal but shallow",Analysis!$F453,""))</f>
        <v/>
      </c>
      <c r="K453" s="29" t="str">
        <f>IF(Analysis!$I453="","",IF(Analysis!$I453="Project-driven",Analysis!$F453,""))</f>
        <v/>
      </c>
      <c r="L453" s="29" t="str">
        <f>IF(Analysis!$I453="","",IF(Analysis!$I453="Drifting",Analysis!$F453,""))</f>
        <v/>
      </c>
      <c r="M453" s="29" t="str">
        <f>IF(Analysis!$I453="","",IF(Analysis!$I453="Embedded",Analysis!$H453,""))</f>
        <v/>
      </c>
      <c r="N453" s="29" t="str">
        <f>IF(Analysis!$I453="","",IF(Analysis!$I453="Loyal but shallow",Analysis!$H453,""))</f>
        <v/>
      </c>
      <c r="O453" s="29" t="str">
        <f>IF(Analysis!$I453="","",IF(Analysis!$I453="Project-driven",Analysis!$H453,""))</f>
        <v/>
      </c>
      <c r="P453" s="29" t="str">
        <f>IF(Analysis!$I453="","",IF(Analysis!$I453="Drifting",Analysis!$H453,""))</f>
        <v/>
      </c>
    </row>
    <row r="454" spans="1:16" x14ac:dyDescent="0.25">
      <c r="A454" s="29" t="str">
        <f>IF(Analysis!$I454="","",IF(Analysis!$I454="Embedded",Analysis!$D454,""))</f>
        <v/>
      </c>
      <c r="B454" s="29" t="str">
        <f>IF(Analysis!$I454="","",IF(Analysis!$I454="Loyal but shallow",Analysis!$D454,""))</f>
        <v/>
      </c>
      <c r="C454" s="29" t="str">
        <f>IF(Analysis!$I454="","",IF(Analysis!$I454="Project-driven",Analysis!$D454,""))</f>
        <v/>
      </c>
      <c r="D454" s="29" t="str">
        <f>IF(Analysis!$I454="","",IF(Analysis!$I454="Drifting",Analysis!$D454,""))</f>
        <v/>
      </c>
      <c r="E454" s="29" t="str">
        <f>IF(Analysis!$I454="","",IF(Analysis!$I454="Embedded",Analysis!$C454,""))</f>
        <v/>
      </c>
      <c r="F454" s="29" t="str">
        <f>IF(Analysis!$I454="","",IF(Analysis!$I454="Loyal but shallow",Analysis!$C454,""))</f>
        <v/>
      </c>
      <c r="G454" s="29" t="str">
        <f>IF(Analysis!$I454="","",IF(Analysis!$I454="Project-driven",Analysis!$C454,""))</f>
        <v/>
      </c>
      <c r="H454" s="29" t="str">
        <f>IF(Analysis!$I454="","",IF(Analysis!$I454="Drifting",Analysis!$C454,""))</f>
        <v/>
      </c>
      <c r="I454" s="29" t="str">
        <f>IF(Analysis!$I454="","",IF(Analysis!$I454="Embedded",Analysis!$F454,""))</f>
        <v/>
      </c>
      <c r="J454" s="29" t="str">
        <f>IF(Analysis!$I454="","",IF(Analysis!$I454="Loyal but shallow",Analysis!$F454,""))</f>
        <v/>
      </c>
      <c r="K454" s="29" t="str">
        <f>IF(Analysis!$I454="","",IF(Analysis!$I454="Project-driven",Analysis!$F454,""))</f>
        <v/>
      </c>
      <c r="L454" s="29" t="str">
        <f>IF(Analysis!$I454="","",IF(Analysis!$I454="Drifting",Analysis!$F454,""))</f>
        <v/>
      </c>
      <c r="M454" s="29" t="str">
        <f>IF(Analysis!$I454="","",IF(Analysis!$I454="Embedded",Analysis!$H454,""))</f>
        <v/>
      </c>
      <c r="N454" s="29" t="str">
        <f>IF(Analysis!$I454="","",IF(Analysis!$I454="Loyal but shallow",Analysis!$H454,""))</f>
        <v/>
      </c>
      <c r="O454" s="29" t="str">
        <f>IF(Analysis!$I454="","",IF(Analysis!$I454="Project-driven",Analysis!$H454,""))</f>
        <v/>
      </c>
      <c r="P454" s="29" t="str">
        <f>IF(Analysis!$I454="","",IF(Analysis!$I454="Drifting",Analysis!$H454,""))</f>
        <v/>
      </c>
    </row>
    <row r="455" spans="1:16" x14ac:dyDescent="0.25">
      <c r="A455" s="29" t="str">
        <f>IF(Analysis!$I455="","",IF(Analysis!$I455="Embedded",Analysis!$D455,""))</f>
        <v/>
      </c>
      <c r="B455" s="29" t="str">
        <f>IF(Analysis!$I455="","",IF(Analysis!$I455="Loyal but shallow",Analysis!$D455,""))</f>
        <v/>
      </c>
      <c r="C455" s="29" t="str">
        <f>IF(Analysis!$I455="","",IF(Analysis!$I455="Project-driven",Analysis!$D455,""))</f>
        <v/>
      </c>
      <c r="D455" s="29" t="str">
        <f>IF(Analysis!$I455="","",IF(Analysis!$I455="Drifting",Analysis!$D455,""))</f>
        <v/>
      </c>
      <c r="E455" s="29" t="str">
        <f>IF(Analysis!$I455="","",IF(Analysis!$I455="Embedded",Analysis!$C455,""))</f>
        <v/>
      </c>
      <c r="F455" s="29" t="str">
        <f>IF(Analysis!$I455="","",IF(Analysis!$I455="Loyal but shallow",Analysis!$C455,""))</f>
        <v/>
      </c>
      <c r="G455" s="29" t="str">
        <f>IF(Analysis!$I455="","",IF(Analysis!$I455="Project-driven",Analysis!$C455,""))</f>
        <v/>
      </c>
      <c r="H455" s="29" t="str">
        <f>IF(Analysis!$I455="","",IF(Analysis!$I455="Drifting",Analysis!$C455,""))</f>
        <v/>
      </c>
      <c r="I455" s="29" t="str">
        <f>IF(Analysis!$I455="","",IF(Analysis!$I455="Embedded",Analysis!$F455,""))</f>
        <v/>
      </c>
      <c r="J455" s="29" t="str">
        <f>IF(Analysis!$I455="","",IF(Analysis!$I455="Loyal but shallow",Analysis!$F455,""))</f>
        <v/>
      </c>
      <c r="K455" s="29" t="str">
        <f>IF(Analysis!$I455="","",IF(Analysis!$I455="Project-driven",Analysis!$F455,""))</f>
        <v/>
      </c>
      <c r="L455" s="29" t="str">
        <f>IF(Analysis!$I455="","",IF(Analysis!$I455="Drifting",Analysis!$F455,""))</f>
        <v/>
      </c>
      <c r="M455" s="29" t="str">
        <f>IF(Analysis!$I455="","",IF(Analysis!$I455="Embedded",Analysis!$H455,""))</f>
        <v/>
      </c>
      <c r="N455" s="29" t="str">
        <f>IF(Analysis!$I455="","",IF(Analysis!$I455="Loyal but shallow",Analysis!$H455,""))</f>
        <v/>
      </c>
      <c r="O455" s="29" t="str">
        <f>IF(Analysis!$I455="","",IF(Analysis!$I455="Project-driven",Analysis!$H455,""))</f>
        <v/>
      </c>
      <c r="P455" s="29" t="str">
        <f>IF(Analysis!$I455="","",IF(Analysis!$I455="Drifting",Analysis!$H455,""))</f>
        <v/>
      </c>
    </row>
    <row r="456" spans="1:16" x14ac:dyDescent="0.25">
      <c r="A456" s="29" t="str">
        <f>IF(Analysis!$I456="","",IF(Analysis!$I456="Embedded",Analysis!$D456,""))</f>
        <v/>
      </c>
      <c r="B456" s="29" t="str">
        <f>IF(Analysis!$I456="","",IF(Analysis!$I456="Loyal but shallow",Analysis!$D456,""))</f>
        <v/>
      </c>
      <c r="C456" s="29" t="str">
        <f>IF(Analysis!$I456="","",IF(Analysis!$I456="Project-driven",Analysis!$D456,""))</f>
        <v/>
      </c>
      <c r="D456" s="29" t="str">
        <f>IF(Analysis!$I456="","",IF(Analysis!$I456="Drifting",Analysis!$D456,""))</f>
        <v/>
      </c>
      <c r="E456" s="29" t="str">
        <f>IF(Analysis!$I456="","",IF(Analysis!$I456="Embedded",Analysis!$C456,""))</f>
        <v/>
      </c>
      <c r="F456" s="29" t="str">
        <f>IF(Analysis!$I456="","",IF(Analysis!$I456="Loyal but shallow",Analysis!$C456,""))</f>
        <v/>
      </c>
      <c r="G456" s="29" t="str">
        <f>IF(Analysis!$I456="","",IF(Analysis!$I456="Project-driven",Analysis!$C456,""))</f>
        <v/>
      </c>
      <c r="H456" s="29" t="str">
        <f>IF(Analysis!$I456="","",IF(Analysis!$I456="Drifting",Analysis!$C456,""))</f>
        <v/>
      </c>
      <c r="I456" s="29" t="str">
        <f>IF(Analysis!$I456="","",IF(Analysis!$I456="Embedded",Analysis!$F456,""))</f>
        <v/>
      </c>
      <c r="J456" s="29" t="str">
        <f>IF(Analysis!$I456="","",IF(Analysis!$I456="Loyal but shallow",Analysis!$F456,""))</f>
        <v/>
      </c>
      <c r="K456" s="29" t="str">
        <f>IF(Analysis!$I456="","",IF(Analysis!$I456="Project-driven",Analysis!$F456,""))</f>
        <v/>
      </c>
      <c r="L456" s="29" t="str">
        <f>IF(Analysis!$I456="","",IF(Analysis!$I456="Drifting",Analysis!$F456,""))</f>
        <v/>
      </c>
      <c r="M456" s="29" t="str">
        <f>IF(Analysis!$I456="","",IF(Analysis!$I456="Embedded",Analysis!$H456,""))</f>
        <v/>
      </c>
      <c r="N456" s="29" t="str">
        <f>IF(Analysis!$I456="","",IF(Analysis!$I456="Loyal but shallow",Analysis!$H456,""))</f>
        <v/>
      </c>
      <c r="O456" s="29" t="str">
        <f>IF(Analysis!$I456="","",IF(Analysis!$I456="Project-driven",Analysis!$H456,""))</f>
        <v/>
      </c>
      <c r="P456" s="29" t="str">
        <f>IF(Analysis!$I456="","",IF(Analysis!$I456="Drifting",Analysis!$H456,""))</f>
        <v/>
      </c>
    </row>
    <row r="457" spans="1:16" x14ac:dyDescent="0.25">
      <c r="A457" s="29" t="str">
        <f>IF(Analysis!$I457="","",IF(Analysis!$I457="Embedded",Analysis!$D457,""))</f>
        <v/>
      </c>
      <c r="B457" s="29" t="str">
        <f>IF(Analysis!$I457="","",IF(Analysis!$I457="Loyal but shallow",Analysis!$D457,""))</f>
        <v/>
      </c>
      <c r="C457" s="29" t="str">
        <f>IF(Analysis!$I457="","",IF(Analysis!$I457="Project-driven",Analysis!$D457,""))</f>
        <v/>
      </c>
      <c r="D457" s="29" t="str">
        <f>IF(Analysis!$I457="","",IF(Analysis!$I457="Drifting",Analysis!$D457,""))</f>
        <v/>
      </c>
      <c r="E457" s="29" t="str">
        <f>IF(Analysis!$I457="","",IF(Analysis!$I457="Embedded",Analysis!$C457,""))</f>
        <v/>
      </c>
      <c r="F457" s="29" t="str">
        <f>IF(Analysis!$I457="","",IF(Analysis!$I457="Loyal but shallow",Analysis!$C457,""))</f>
        <v/>
      </c>
      <c r="G457" s="29" t="str">
        <f>IF(Analysis!$I457="","",IF(Analysis!$I457="Project-driven",Analysis!$C457,""))</f>
        <v/>
      </c>
      <c r="H457" s="29" t="str">
        <f>IF(Analysis!$I457="","",IF(Analysis!$I457="Drifting",Analysis!$C457,""))</f>
        <v/>
      </c>
      <c r="I457" s="29" t="str">
        <f>IF(Analysis!$I457="","",IF(Analysis!$I457="Embedded",Analysis!$F457,""))</f>
        <v/>
      </c>
      <c r="J457" s="29" t="str">
        <f>IF(Analysis!$I457="","",IF(Analysis!$I457="Loyal but shallow",Analysis!$F457,""))</f>
        <v/>
      </c>
      <c r="K457" s="29" t="str">
        <f>IF(Analysis!$I457="","",IF(Analysis!$I457="Project-driven",Analysis!$F457,""))</f>
        <v/>
      </c>
      <c r="L457" s="29" t="str">
        <f>IF(Analysis!$I457="","",IF(Analysis!$I457="Drifting",Analysis!$F457,""))</f>
        <v/>
      </c>
      <c r="M457" s="29" t="str">
        <f>IF(Analysis!$I457="","",IF(Analysis!$I457="Embedded",Analysis!$H457,""))</f>
        <v/>
      </c>
      <c r="N457" s="29" t="str">
        <f>IF(Analysis!$I457="","",IF(Analysis!$I457="Loyal but shallow",Analysis!$H457,""))</f>
        <v/>
      </c>
      <c r="O457" s="29" t="str">
        <f>IF(Analysis!$I457="","",IF(Analysis!$I457="Project-driven",Analysis!$H457,""))</f>
        <v/>
      </c>
      <c r="P457" s="29" t="str">
        <f>IF(Analysis!$I457="","",IF(Analysis!$I457="Drifting",Analysis!$H457,""))</f>
        <v/>
      </c>
    </row>
    <row r="458" spans="1:16" x14ac:dyDescent="0.25">
      <c r="A458" s="29" t="str">
        <f>IF(Analysis!$I458="","",IF(Analysis!$I458="Embedded",Analysis!$D458,""))</f>
        <v/>
      </c>
      <c r="B458" s="29" t="str">
        <f>IF(Analysis!$I458="","",IF(Analysis!$I458="Loyal but shallow",Analysis!$D458,""))</f>
        <v/>
      </c>
      <c r="C458" s="29" t="str">
        <f>IF(Analysis!$I458="","",IF(Analysis!$I458="Project-driven",Analysis!$D458,""))</f>
        <v/>
      </c>
      <c r="D458" s="29" t="str">
        <f>IF(Analysis!$I458="","",IF(Analysis!$I458="Drifting",Analysis!$D458,""))</f>
        <v/>
      </c>
      <c r="E458" s="29" t="str">
        <f>IF(Analysis!$I458="","",IF(Analysis!$I458="Embedded",Analysis!$C458,""))</f>
        <v/>
      </c>
      <c r="F458" s="29" t="str">
        <f>IF(Analysis!$I458="","",IF(Analysis!$I458="Loyal but shallow",Analysis!$C458,""))</f>
        <v/>
      </c>
      <c r="G458" s="29" t="str">
        <f>IF(Analysis!$I458="","",IF(Analysis!$I458="Project-driven",Analysis!$C458,""))</f>
        <v/>
      </c>
      <c r="H458" s="29" t="str">
        <f>IF(Analysis!$I458="","",IF(Analysis!$I458="Drifting",Analysis!$C458,""))</f>
        <v/>
      </c>
      <c r="I458" s="29" t="str">
        <f>IF(Analysis!$I458="","",IF(Analysis!$I458="Embedded",Analysis!$F458,""))</f>
        <v/>
      </c>
      <c r="J458" s="29" t="str">
        <f>IF(Analysis!$I458="","",IF(Analysis!$I458="Loyal but shallow",Analysis!$F458,""))</f>
        <v/>
      </c>
      <c r="K458" s="29" t="str">
        <f>IF(Analysis!$I458="","",IF(Analysis!$I458="Project-driven",Analysis!$F458,""))</f>
        <v/>
      </c>
      <c r="L458" s="29" t="str">
        <f>IF(Analysis!$I458="","",IF(Analysis!$I458="Drifting",Analysis!$F458,""))</f>
        <v/>
      </c>
      <c r="M458" s="29" t="str">
        <f>IF(Analysis!$I458="","",IF(Analysis!$I458="Embedded",Analysis!$H458,""))</f>
        <v/>
      </c>
      <c r="N458" s="29" t="str">
        <f>IF(Analysis!$I458="","",IF(Analysis!$I458="Loyal but shallow",Analysis!$H458,""))</f>
        <v/>
      </c>
      <c r="O458" s="29" t="str">
        <f>IF(Analysis!$I458="","",IF(Analysis!$I458="Project-driven",Analysis!$H458,""))</f>
        <v/>
      </c>
      <c r="P458" s="29" t="str">
        <f>IF(Analysis!$I458="","",IF(Analysis!$I458="Drifting",Analysis!$H458,""))</f>
        <v/>
      </c>
    </row>
    <row r="459" spans="1:16" x14ac:dyDescent="0.25">
      <c r="A459" s="29" t="str">
        <f>IF(Analysis!$I459="","",IF(Analysis!$I459="Embedded",Analysis!$D459,""))</f>
        <v/>
      </c>
      <c r="B459" s="29" t="str">
        <f>IF(Analysis!$I459="","",IF(Analysis!$I459="Loyal but shallow",Analysis!$D459,""))</f>
        <v/>
      </c>
      <c r="C459" s="29" t="str">
        <f>IF(Analysis!$I459="","",IF(Analysis!$I459="Project-driven",Analysis!$D459,""))</f>
        <v/>
      </c>
      <c r="D459" s="29" t="str">
        <f>IF(Analysis!$I459="","",IF(Analysis!$I459="Drifting",Analysis!$D459,""))</f>
        <v/>
      </c>
      <c r="E459" s="29" t="str">
        <f>IF(Analysis!$I459="","",IF(Analysis!$I459="Embedded",Analysis!$C459,""))</f>
        <v/>
      </c>
      <c r="F459" s="29" t="str">
        <f>IF(Analysis!$I459="","",IF(Analysis!$I459="Loyal but shallow",Analysis!$C459,""))</f>
        <v/>
      </c>
      <c r="G459" s="29" t="str">
        <f>IF(Analysis!$I459="","",IF(Analysis!$I459="Project-driven",Analysis!$C459,""))</f>
        <v/>
      </c>
      <c r="H459" s="29" t="str">
        <f>IF(Analysis!$I459="","",IF(Analysis!$I459="Drifting",Analysis!$C459,""))</f>
        <v/>
      </c>
      <c r="I459" s="29" t="str">
        <f>IF(Analysis!$I459="","",IF(Analysis!$I459="Embedded",Analysis!$F459,""))</f>
        <v/>
      </c>
      <c r="J459" s="29" t="str">
        <f>IF(Analysis!$I459="","",IF(Analysis!$I459="Loyal but shallow",Analysis!$F459,""))</f>
        <v/>
      </c>
      <c r="K459" s="29" t="str">
        <f>IF(Analysis!$I459="","",IF(Analysis!$I459="Project-driven",Analysis!$F459,""))</f>
        <v/>
      </c>
      <c r="L459" s="29" t="str">
        <f>IF(Analysis!$I459="","",IF(Analysis!$I459="Drifting",Analysis!$F459,""))</f>
        <v/>
      </c>
      <c r="M459" s="29" t="str">
        <f>IF(Analysis!$I459="","",IF(Analysis!$I459="Embedded",Analysis!$H459,""))</f>
        <v/>
      </c>
      <c r="N459" s="29" t="str">
        <f>IF(Analysis!$I459="","",IF(Analysis!$I459="Loyal but shallow",Analysis!$H459,""))</f>
        <v/>
      </c>
      <c r="O459" s="29" t="str">
        <f>IF(Analysis!$I459="","",IF(Analysis!$I459="Project-driven",Analysis!$H459,""))</f>
        <v/>
      </c>
      <c r="P459" s="29" t="str">
        <f>IF(Analysis!$I459="","",IF(Analysis!$I459="Drifting",Analysis!$H459,""))</f>
        <v/>
      </c>
    </row>
    <row r="460" spans="1:16" x14ac:dyDescent="0.25">
      <c r="A460" s="29" t="str">
        <f>IF(Analysis!$I460="","",IF(Analysis!$I460="Embedded",Analysis!$D460,""))</f>
        <v/>
      </c>
      <c r="B460" s="29" t="str">
        <f>IF(Analysis!$I460="","",IF(Analysis!$I460="Loyal but shallow",Analysis!$D460,""))</f>
        <v/>
      </c>
      <c r="C460" s="29" t="str">
        <f>IF(Analysis!$I460="","",IF(Analysis!$I460="Project-driven",Analysis!$D460,""))</f>
        <v/>
      </c>
      <c r="D460" s="29" t="str">
        <f>IF(Analysis!$I460="","",IF(Analysis!$I460="Drifting",Analysis!$D460,""))</f>
        <v/>
      </c>
      <c r="E460" s="29" t="str">
        <f>IF(Analysis!$I460="","",IF(Analysis!$I460="Embedded",Analysis!$C460,""))</f>
        <v/>
      </c>
      <c r="F460" s="29" t="str">
        <f>IF(Analysis!$I460="","",IF(Analysis!$I460="Loyal but shallow",Analysis!$C460,""))</f>
        <v/>
      </c>
      <c r="G460" s="29" t="str">
        <f>IF(Analysis!$I460="","",IF(Analysis!$I460="Project-driven",Analysis!$C460,""))</f>
        <v/>
      </c>
      <c r="H460" s="29" t="str">
        <f>IF(Analysis!$I460="","",IF(Analysis!$I460="Drifting",Analysis!$C460,""))</f>
        <v/>
      </c>
      <c r="I460" s="29" t="str">
        <f>IF(Analysis!$I460="","",IF(Analysis!$I460="Embedded",Analysis!$F460,""))</f>
        <v/>
      </c>
      <c r="J460" s="29" t="str">
        <f>IF(Analysis!$I460="","",IF(Analysis!$I460="Loyal but shallow",Analysis!$F460,""))</f>
        <v/>
      </c>
      <c r="K460" s="29" t="str">
        <f>IF(Analysis!$I460="","",IF(Analysis!$I460="Project-driven",Analysis!$F460,""))</f>
        <v/>
      </c>
      <c r="L460" s="29" t="str">
        <f>IF(Analysis!$I460="","",IF(Analysis!$I460="Drifting",Analysis!$F460,""))</f>
        <v/>
      </c>
      <c r="M460" s="29" t="str">
        <f>IF(Analysis!$I460="","",IF(Analysis!$I460="Embedded",Analysis!$H460,""))</f>
        <v/>
      </c>
      <c r="N460" s="29" t="str">
        <f>IF(Analysis!$I460="","",IF(Analysis!$I460="Loyal but shallow",Analysis!$H460,""))</f>
        <v/>
      </c>
      <c r="O460" s="29" t="str">
        <f>IF(Analysis!$I460="","",IF(Analysis!$I460="Project-driven",Analysis!$H460,""))</f>
        <v/>
      </c>
      <c r="P460" s="29" t="str">
        <f>IF(Analysis!$I460="","",IF(Analysis!$I460="Drifting",Analysis!$H460,""))</f>
        <v/>
      </c>
    </row>
    <row r="461" spans="1:16" x14ac:dyDescent="0.25">
      <c r="A461" s="29" t="str">
        <f>IF(Analysis!$I461="","",IF(Analysis!$I461="Embedded",Analysis!$D461,""))</f>
        <v/>
      </c>
      <c r="B461" s="29" t="str">
        <f>IF(Analysis!$I461="","",IF(Analysis!$I461="Loyal but shallow",Analysis!$D461,""))</f>
        <v/>
      </c>
      <c r="C461" s="29" t="str">
        <f>IF(Analysis!$I461="","",IF(Analysis!$I461="Project-driven",Analysis!$D461,""))</f>
        <v/>
      </c>
      <c r="D461" s="29" t="str">
        <f>IF(Analysis!$I461="","",IF(Analysis!$I461="Drifting",Analysis!$D461,""))</f>
        <v/>
      </c>
      <c r="E461" s="29" t="str">
        <f>IF(Analysis!$I461="","",IF(Analysis!$I461="Embedded",Analysis!$C461,""))</f>
        <v/>
      </c>
      <c r="F461" s="29" t="str">
        <f>IF(Analysis!$I461="","",IF(Analysis!$I461="Loyal but shallow",Analysis!$C461,""))</f>
        <v/>
      </c>
      <c r="G461" s="29" t="str">
        <f>IF(Analysis!$I461="","",IF(Analysis!$I461="Project-driven",Analysis!$C461,""))</f>
        <v/>
      </c>
      <c r="H461" s="29" t="str">
        <f>IF(Analysis!$I461="","",IF(Analysis!$I461="Drifting",Analysis!$C461,""))</f>
        <v/>
      </c>
      <c r="I461" s="29" t="str">
        <f>IF(Analysis!$I461="","",IF(Analysis!$I461="Embedded",Analysis!$F461,""))</f>
        <v/>
      </c>
      <c r="J461" s="29" t="str">
        <f>IF(Analysis!$I461="","",IF(Analysis!$I461="Loyal but shallow",Analysis!$F461,""))</f>
        <v/>
      </c>
      <c r="K461" s="29" t="str">
        <f>IF(Analysis!$I461="","",IF(Analysis!$I461="Project-driven",Analysis!$F461,""))</f>
        <v/>
      </c>
      <c r="L461" s="29" t="str">
        <f>IF(Analysis!$I461="","",IF(Analysis!$I461="Drifting",Analysis!$F461,""))</f>
        <v/>
      </c>
      <c r="M461" s="29" t="str">
        <f>IF(Analysis!$I461="","",IF(Analysis!$I461="Embedded",Analysis!$H461,""))</f>
        <v/>
      </c>
      <c r="N461" s="29" t="str">
        <f>IF(Analysis!$I461="","",IF(Analysis!$I461="Loyal but shallow",Analysis!$H461,""))</f>
        <v/>
      </c>
      <c r="O461" s="29" t="str">
        <f>IF(Analysis!$I461="","",IF(Analysis!$I461="Project-driven",Analysis!$H461,""))</f>
        <v/>
      </c>
      <c r="P461" s="29" t="str">
        <f>IF(Analysis!$I461="","",IF(Analysis!$I461="Drifting",Analysis!$H461,""))</f>
        <v/>
      </c>
    </row>
    <row r="462" spans="1:16" x14ac:dyDescent="0.25">
      <c r="A462" s="29" t="str">
        <f>IF(Analysis!$I462="","",IF(Analysis!$I462="Embedded",Analysis!$D462,""))</f>
        <v/>
      </c>
      <c r="B462" s="29" t="str">
        <f>IF(Analysis!$I462="","",IF(Analysis!$I462="Loyal but shallow",Analysis!$D462,""))</f>
        <v/>
      </c>
      <c r="C462" s="29" t="str">
        <f>IF(Analysis!$I462="","",IF(Analysis!$I462="Project-driven",Analysis!$D462,""))</f>
        <v/>
      </c>
      <c r="D462" s="29" t="str">
        <f>IF(Analysis!$I462="","",IF(Analysis!$I462="Drifting",Analysis!$D462,""))</f>
        <v/>
      </c>
      <c r="E462" s="29" t="str">
        <f>IF(Analysis!$I462="","",IF(Analysis!$I462="Embedded",Analysis!$C462,""))</f>
        <v/>
      </c>
      <c r="F462" s="29" t="str">
        <f>IF(Analysis!$I462="","",IF(Analysis!$I462="Loyal but shallow",Analysis!$C462,""))</f>
        <v/>
      </c>
      <c r="G462" s="29" t="str">
        <f>IF(Analysis!$I462="","",IF(Analysis!$I462="Project-driven",Analysis!$C462,""))</f>
        <v/>
      </c>
      <c r="H462" s="29" t="str">
        <f>IF(Analysis!$I462="","",IF(Analysis!$I462="Drifting",Analysis!$C462,""))</f>
        <v/>
      </c>
      <c r="I462" s="29" t="str">
        <f>IF(Analysis!$I462="","",IF(Analysis!$I462="Embedded",Analysis!$F462,""))</f>
        <v/>
      </c>
      <c r="J462" s="29" t="str">
        <f>IF(Analysis!$I462="","",IF(Analysis!$I462="Loyal but shallow",Analysis!$F462,""))</f>
        <v/>
      </c>
      <c r="K462" s="29" t="str">
        <f>IF(Analysis!$I462="","",IF(Analysis!$I462="Project-driven",Analysis!$F462,""))</f>
        <v/>
      </c>
      <c r="L462" s="29" t="str">
        <f>IF(Analysis!$I462="","",IF(Analysis!$I462="Drifting",Analysis!$F462,""))</f>
        <v/>
      </c>
      <c r="M462" s="29" t="str">
        <f>IF(Analysis!$I462="","",IF(Analysis!$I462="Embedded",Analysis!$H462,""))</f>
        <v/>
      </c>
      <c r="N462" s="29" t="str">
        <f>IF(Analysis!$I462="","",IF(Analysis!$I462="Loyal but shallow",Analysis!$H462,""))</f>
        <v/>
      </c>
      <c r="O462" s="29" t="str">
        <f>IF(Analysis!$I462="","",IF(Analysis!$I462="Project-driven",Analysis!$H462,""))</f>
        <v/>
      </c>
      <c r="P462" s="29" t="str">
        <f>IF(Analysis!$I462="","",IF(Analysis!$I462="Drifting",Analysis!$H462,""))</f>
        <v/>
      </c>
    </row>
    <row r="463" spans="1:16" x14ac:dyDescent="0.25">
      <c r="A463" s="29" t="str">
        <f>IF(Analysis!$I463="","",IF(Analysis!$I463="Embedded",Analysis!$D463,""))</f>
        <v/>
      </c>
      <c r="B463" s="29" t="str">
        <f>IF(Analysis!$I463="","",IF(Analysis!$I463="Loyal but shallow",Analysis!$D463,""))</f>
        <v/>
      </c>
      <c r="C463" s="29" t="str">
        <f>IF(Analysis!$I463="","",IF(Analysis!$I463="Project-driven",Analysis!$D463,""))</f>
        <v/>
      </c>
      <c r="D463" s="29" t="str">
        <f>IF(Analysis!$I463="","",IF(Analysis!$I463="Drifting",Analysis!$D463,""))</f>
        <v/>
      </c>
      <c r="E463" s="29" t="str">
        <f>IF(Analysis!$I463="","",IF(Analysis!$I463="Embedded",Analysis!$C463,""))</f>
        <v/>
      </c>
      <c r="F463" s="29" t="str">
        <f>IF(Analysis!$I463="","",IF(Analysis!$I463="Loyal but shallow",Analysis!$C463,""))</f>
        <v/>
      </c>
      <c r="G463" s="29" t="str">
        <f>IF(Analysis!$I463="","",IF(Analysis!$I463="Project-driven",Analysis!$C463,""))</f>
        <v/>
      </c>
      <c r="H463" s="29" t="str">
        <f>IF(Analysis!$I463="","",IF(Analysis!$I463="Drifting",Analysis!$C463,""))</f>
        <v/>
      </c>
      <c r="I463" s="29" t="str">
        <f>IF(Analysis!$I463="","",IF(Analysis!$I463="Embedded",Analysis!$F463,""))</f>
        <v/>
      </c>
      <c r="J463" s="29" t="str">
        <f>IF(Analysis!$I463="","",IF(Analysis!$I463="Loyal but shallow",Analysis!$F463,""))</f>
        <v/>
      </c>
      <c r="K463" s="29" t="str">
        <f>IF(Analysis!$I463="","",IF(Analysis!$I463="Project-driven",Analysis!$F463,""))</f>
        <v/>
      </c>
      <c r="L463" s="29" t="str">
        <f>IF(Analysis!$I463="","",IF(Analysis!$I463="Drifting",Analysis!$F463,""))</f>
        <v/>
      </c>
      <c r="M463" s="29" t="str">
        <f>IF(Analysis!$I463="","",IF(Analysis!$I463="Embedded",Analysis!$H463,""))</f>
        <v/>
      </c>
      <c r="N463" s="29" t="str">
        <f>IF(Analysis!$I463="","",IF(Analysis!$I463="Loyal but shallow",Analysis!$H463,""))</f>
        <v/>
      </c>
      <c r="O463" s="29" t="str">
        <f>IF(Analysis!$I463="","",IF(Analysis!$I463="Project-driven",Analysis!$H463,""))</f>
        <v/>
      </c>
      <c r="P463" s="29" t="str">
        <f>IF(Analysis!$I463="","",IF(Analysis!$I463="Drifting",Analysis!$H463,""))</f>
        <v/>
      </c>
    </row>
    <row r="464" spans="1:16" x14ac:dyDescent="0.25">
      <c r="A464" s="29" t="str">
        <f>IF(Analysis!$I464="","",IF(Analysis!$I464="Embedded",Analysis!$D464,""))</f>
        <v/>
      </c>
      <c r="B464" s="29" t="str">
        <f>IF(Analysis!$I464="","",IF(Analysis!$I464="Loyal but shallow",Analysis!$D464,""))</f>
        <v/>
      </c>
      <c r="C464" s="29" t="str">
        <f>IF(Analysis!$I464="","",IF(Analysis!$I464="Project-driven",Analysis!$D464,""))</f>
        <v/>
      </c>
      <c r="D464" s="29" t="str">
        <f>IF(Analysis!$I464="","",IF(Analysis!$I464="Drifting",Analysis!$D464,""))</f>
        <v/>
      </c>
      <c r="E464" s="29" t="str">
        <f>IF(Analysis!$I464="","",IF(Analysis!$I464="Embedded",Analysis!$C464,""))</f>
        <v/>
      </c>
      <c r="F464" s="29" t="str">
        <f>IF(Analysis!$I464="","",IF(Analysis!$I464="Loyal but shallow",Analysis!$C464,""))</f>
        <v/>
      </c>
      <c r="G464" s="29" t="str">
        <f>IF(Analysis!$I464="","",IF(Analysis!$I464="Project-driven",Analysis!$C464,""))</f>
        <v/>
      </c>
      <c r="H464" s="29" t="str">
        <f>IF(Analysis!$I464="","",IF(Analysis!$I464="Drifting",Analysis!$C464,""))</f>
        <v/>
      </c>
      <c r="I464" s="29" t="str">
        <f>IF(Analysis!$I464="","",IF(Analysis!$I464="Embedded",Analysis!$F464,""))</f>
        <v/>
      </c>
      <c r="J464" s="29" t="str">
        <f>IF(Analysis!$I464="","",IF(Analysis!$I464="Loyal but shallow",Analysis!$F464,""))</f>
        <v/>
      </c>
      <c r="K464" s="29" t="str">
        <f>IF(Analysis!$I464="","",IF(Analysis!$I464="Project-driven",Analysis!$F464,""))</f>
        <v/>
      </c>
      <c r="L464" s="29" t="str">
        <f>IF(Analysis!$I464="","",IF(Analysis!$I464="Drifting",Analysis!$F464,""))</f>
        <v/>
      </c>
      <c r="M464" s="29" t="str">
        <f>IF(Analysis!$I464="","",IF(Analysis!$I464="Embedded",Analysis!$H464,""))</f>
        <v/>
      </c>
      <c r="N464" s="29" t="str">
        <f>IF(Analysis!$I464="","",IF(Analysis!$I464="Loyal but shallow",Analysis!$H464,""))</f>
        <v/>
      </c>
      <c r="O464" s="29" t="str">
        <f>IF(Analysis!$I464="","",IF(Analysis!$I464="Project-driven",Analysis!$H464,""))</f>
        <v/>
      </c>
      <c r="P464" s="29" t="str">
        <f>IF(Analysis!$I464="","",IF(Analysis!$I464="Drifting",Analysis!$H464,""))</f>
        <v/>
      </c>
    </row>
    <row r="465" spans="1:16" x14ac:dyDescent="0.25">
      <c r="A465" s="29" t="str">
        <f>IF(Analysis!$I465="","",IF(Analysis!$I465="Embedded",Analysis!$D465,""))</f>
        <v/>
      </c>
      <c r="B465" s="29" t="str">
        <f>IF(Analysis!$I465="","",IF(Analysis!$I465="Loyal but shallow",Analysis!$D465,""))</f>
        <v/>
      </c>
      <c r="C465" s="29" t="str">
        <f>IF(Analysis!$I465="","",IF(Analysis!$I465="Project-driven",Analysis!$D465,""))</f>
        <v/>
      </c>
      <c r="D465" s="29" t="str">
        <f>IF(Analysis!$I465="","",IF(Analysis!$I465="Drifting",Analysis!$D465,""))</f>
        <v/>
      </c>
      <c r="E465" s="29" t="str">
        <f>IF(Analysis!$I465="","",IF(Analysis!$I465="Embedded",Analysis!$C465,""))</f>
        <v/>
      </c>
      <c r="F465" s="29" t="str">
        <f>IF(Analysis!$I465="","",IF(Analysis!$I465="Loyal but shallow",Analysis!$C465,""))</f>
        <v/>
      </c>
      <c r="G465" s="29" t="str">
        <f>IF(Analysis!$I465="","",IF(Analysis!$I465="Project-driven",Analysis!$C465,""))</f>
        <v/>
      </c>
      <c r="H465" s="29" t="str">
        <f>IF(Analysis!$I465="","",IF(Analysis!$I465="Drifting",Analysis!$C465,""))</f>
        <v/>
      </c>
      <c r="I465" s="29" t="str">
        <f>IF(Analysis!$I465="","",IF(Analysis!$I465="Embedded",Analysis!$F465,""))</f>
        <v/>
      </c>
      <c r="J465" s="29" t="str">
        <f>IF(Analysis!$I465="","",IF(Analysis!$I465="Loyal but shallow",Analysis!$F465,""))</f>
        <v/>
      </c>
      <c r="K465" s="29" t="str">
        <f>IF(Analysis!$I465="","",IF(Analysis!$I465="Project-driven",Analysis!$F465,""))</f>
        <v/>
      </c>
      <c r="L465" s="29" t="str">
        <f>IF(Analysis!$I465="","",IF(Analysis!$I465="Drifting",Analysis!$F465,""))</f>
        <v/>
      </c>
      <c r="M465" s="29" t="str">
        <f>IF(Analysis!$I465="","",IF(Analysis!$I465="Embedded",Analysis!$H465,""))</f>
        <v/>
      </c>
      <c r="N465" s="29" t="str">
        <f>IF(Analysis!$I465="","",IF(Analysis!$I465="Loyal but shallow",Analysis!$H465,""))</f>
        <v/>
      </c>
      <c r="O465" s="29" t="str">
        <f>IF(Analysis!$I465="","",IF(Analysis!$I465="Project-driven",Analysis!$H465,""))</f>
        <v/>
      </c>
      <c r="P465" s="29" t="str">
        <f>IF(Analysis!$I465="","",IF(Analysis!$I465="Drifting",Analysis!$H465,""))</f>
        <v/>
      </c>
    </row>
    <row r="466" spans="1:16" x14ac:dyDescent="0.25">
      <c r="A466" s="29" t="str">
        <f>IF(Analysis!$I466="","",IF(Analysis!$I466="Embedded",Analysis!$D466,""))</f>
        <v/>
      </c>
      <c r="B466" s="29" t="str">
        <f>IF(Analysis!$I466="","",IF(Analysis!$I466="Loyal but shallow",Analysis!$D466,""))</f>
        <v/>
      </c>
      <c r="C466" s="29" t="str">
        <f>IF(Analysis!$I466="","",IF(Analysis!$I466="Project-driven",Analysis!$D466,""))</f>
        <v/>
      </c>
      <c r="D466" s="29" t="str">
        <f>IF(Analysis!$I466="","",IF(Analysis!$I466="Drifting",Analysis!$D466,""))</f>
        <v/>
      </c>
      <c r="E466" s="29" t="str">
        <f>IF(Analysis!$I466="","",IF(Analysis!$I466="Embedded",Analysis!$C466,""))</f>
        <v/>
      </c>
      <c r="F466" s="29" t="str">
        <f>IF(Analysis!$I466="","",IF(Analysis!$I466="Loyal but shallow",Analysis!$C466,""))</f>
        <v/>
      </c>
      <c r="G466" s="29" t="str">
        <f>IF(Analysis!$I466="","",IF(Analysis!$I466="Project-driven",Analysis!$C466,""))</f>
        <v/>
      </c>
      <c r="H466" s="29" t="str">
        <f>IF(Analysis!$I466="","",IF(Analysis!$I466="Drifting",Analysis!$C466,""))</f>
        <v/>
      </c>
      <c r="I466" s="29" t="str">
        <f>IF(Analysis!$I466="","",IF(Analysis!$I466="Embedded",Analysis!$F466,""))</f>
        <v/>
      </c>
      <c r="J466" s="29" t="str">
        <f>IF(Analysis!$I466="","",IF(Analysis!$I466="Loyal but shallow",Analysis!$F466,""))</f>
        <v/>
      </c>
      <c r="K466" s="29" t="str">
        <f>IF(Analysis!$I466="","",IF(Analysis!$I466="Project-driven",Analysis!$F466,""))</f>
        <v/>
      </c>
      <c r="L466" s="29" t="str">
        <f>IF(Analysis!$I466="","",IF(Analysis!$I466="Drifting",Analysis!$F466,""))</f>
        <v/>
      </c>
      <c r="M466" s="29" t="str">
        <f>IF(Analysis!$I466="","",IF(Analysis!$I466="Embedded",Analysis!$H466,""))</f>
        <v/>
      </c>
      <c r="N466" s="29" t="str">
        <f>IF(Analysis!$I466="","",IF(Analysis!$I466="Loyal but shallow",Analysis!$H466,""))</f>
        <v/>
      </c>
      <c r="O466" s="29" t="str">
        <f>IF(Analysis!$I466="","",IF(Analysis!$I466="Project-driven",Analysis!$H466,""))</f>
        <v/>
      </c>
      <c r="P466" s="29" t="str">
        <f>IF(Analysis!$I466="","",IF(Analysis!$I466="Drifting",Analysis!$H466,""))</f>
        <v/>
      </c>
    </row>
    <row r="467" spans="1:16" x14ac:dyDescent="0.25">
      <c r="A467" s="29" t="str">
        <f>IF(Analysis!$I467="","",IF(Analysis!$I467="Embedded",Analysis!$D467,""))</f>
        <v/>
      </c>
      <c r="B467" s="29" t="str">
        <f>IF(Analysis!$I467="","",IF(Analysis!$I467="Loyal but shallow",Analysis!$D467,""))</f>
        <v/>
      </c>
      <c r="C467" s="29" t="str">
        <f>IF(Analysis!$I467="","",IF(Analysis!$I467="Project-driven",Analysis!$D467,""))</f>
        <v/>
      </c>
      <c r="D467" s="29" t="str">
        <f>IF(Analysis!$I467="","",IF(Analysis!$I467="Drifting",Analysis!$D467,""))</f>
        <v/>
      </c>
      <c r="E467" s="29" t="str">
        <f>IF(Analysis!$I467="","",IF(Analysis!$I467="Embedded",Analysis!$C467,""))</f>
        <v/>
      </c>
      <c r="F467" s="29" t="str">
        <f>IF(Analysis!$I467="","",IF(Analysis!$I467="Loyal but shallow",Analysis!$C467,""))</f>
        <v/>
      </c>
      <c r="G467" s="29" t="str">
        <f>IF(Analysis!$I467="","",IF(Analysis!$I467="Project-driven",Analysis!$C467,""))</f>
        <v/>
      </c>
      <c r="H467" s="29" t="str">
        <f>IF(Analysis!$I467="","",IF(Analysis!$I467="Drifting",Analysis!$C467,""))</f>
        <v/>
      </c>
      <c r="I467" s="29" t="str">
        <f>IF(Analysis!$I467="","",IF(Analysis!$I467="Embedded",Analysis!$F467,""))</f>
        <v/>
      </c>
      <c r="J467" s="29" t="str">
        <f>IF(Analysis!$I467="","",IF(Analysis!$I467="Loyal but shallow",Analysis!$F467,""))</f>
        <v/>
      </c>
      <c r="K467" s="29" t="str">
        <f>IF(Analysis!$I467="","",IF(Analysis!$I467="Project-driven",Analysis!$F467,""))</f>
        <v/>
      </c>
      <c r="L467" s="29" t="str">
        <f>IF(Analysis!$I467="","",IF(Analysis!$I467="Drifting",Analysis!$F467,""))</f>
        <v/>
      </c>
      <c r="M467" s="29" t="str">
        <f>IF(Analysis!$I467="","",IF(Analysis!$I467="Embedded",Analysis!$H467,""))</f>
        <v/>
      </c>
      <c r="N467" s="29" t="str">
        <f>IF(Analysis!$I467="","",IF(Analysis!$I467="Loyal but shallow",Analysis!$H467,""))</f>
        <v/>
      </c>
      <c r="O467" s="29" t="str">
        <f>IF(Analysis!$I467="","",IF(Analysis!$I467="Project-driven",Analysis!$H467,""))</f>
        <v/>
      </c>
      <c r="P467" s="29" t="str">
        <f>IF(Analysis!$I467="","",IF(Analysis!$I467="Drifting",Analysis!$H467,""))</f>
        <v/>
      </c>
    </row>
    <row r="468" spans="1:16" x14ac:dyDescent="0.25">
      <c r="A468" s="29" t="str">
        <f>IF(Analysis!$I468="","",IF(Analysis!$I468="Embedded",Analysis!$D468,""))</f>
        <v/>
      </c>
      <c r="B468" s="29" t="str">
        <f>IF(Analysis!$I468="","",IF(Analysis!$I468="Loyal but shallow",Analysis!$D468,""))</f>
        <v/>
      </c>
      <c r="C468" s="29" t="str">
        <f>IF(Analysis!$I468="","",IF(Analysis!$I468="Project-driven",Analysis!$D468,""))</f>
        <v/>
      </c>
      <c r="D468" s="29" t="str">
        <f>IF(Analysis!$I468="","",IF(Analysis!$I468="Drifting",Analysis!$D468,""))</f>
        <v/>
      </c>
      <c r="E468" s="29" t="str">
        <f>IF(Analysis!$I468="","",IF(Analysis!$I468="Embedded",Analysis!$C468,""))</f>
        <v/>
      </c>
      <c r="F468" s="29" t="str">
        <f>IF(Analysis!$I468="","",IF(Analysis!$I468="Loyal but shallow",Analysis!$C468,""))</f>
        <v/>
      </c>
      <c r="G468" s="29" t="str">
        <f>IF(Analysis!$I468="","",IF(Analysis!$I468="Project-driven",Analysis!$C468,""))</f>
        <v/>
      </c>
      <c r="H468" s="29" t="str">
        <f>IF(Analysis!$I468="","",IF(Analysis!$I468="Drifting",Analysis!$C468,""))</f>
        <v/>
      </c>
      <c r="I468" s="29" t="str">
        <f>IF(Analysis!$I468="","",IF(Analysis!$I468="Embedded",Analysis!$F468,""))</f>
        <v/>
      </c>
      <c r="J468" s="29" t="str">
        <f>IF(Analysis!$I468="","",IF(Analysis!$I468="Loyal but shallow",Analysis!$F468,""))</f>
        <v/>
      </c>
      <c r="K468" s="29" t="str">
        <f>IF(Analysis!$I468="","",IF(Analysis!$I468="Project-driven",Analysis!$F468,""))</f>
        <v/>
      </c>
      <c r="L468" s="29" t="str">
        <f>IF(Analysis!$I468="","",IF(Analysis!$I468="Drifting",Analysis!$F468,""))</f>
        <v/>
      </c>
      <c r="M468" s="29" t="str">
        <f>IF(Analysis!$I468="","",IF(Analysis!$I468="Embedded",Analysis!$H468,""))</f>
        <v/>
      </c>
      <c r="N468" s="29" t="str">
        <f>IF(Analysis!$I468="","",IF(Analysis!$I468="Loyal but shallow",Analysis!$H468,""))</f>
        <v/>
      </c>
      <c r="O468" s="29" t="str">
        <f>IF(Analysis!$I468="","",IF(Analysis!$I468="Project-driven",Analysis!$H468,""))</f>
        <v/>
      </c>
      <c r="P468" s="29" t="str">
        <f>IF(Analysis!$I468="","",IF(Analysis!$I468="Drifting",Analysis!$H468,""))</f>
        <v/>
      </c>
    </row>
    <row r="469" spans="1:16" x14ac:dyDescent="0.25">
      <c r="A469" s="29" t="str">
        <f>IF(Analysis!$I469="","",IF(Analysis!$I469="Embedded",Analysis!$D469,""))</f>
        <v/>
      </c>
      <c r="B469" s="29" t="str">
        <f>IF(Analysis!$I469="","",IF(Analysis!$I469="Loyal but shallow",Analysis!$D469,""))</f>
        <v/>
      </c>
      <c r="C469" s="29" t="str">
        <f>IF(Analysis!$I469="","",IF(Analysis!$I469="Project-driven",Analysis!$D469,""))</f>
        <v/>
      </c>
      <c r="D469" s="29" t="str">
        <f>IF(Analysis!$I469="","",IF(Analysis!$I469="Drifting",Analysis!$D469,""))</f>
        <v/>
      </c>
      <c r="E469" s="29" t="str">
        <f>IF(Analysis!$I469="","",IF(Analysis!$I469="Embedded",Analysis!$C469,""))</f>
        <v/>
      </c>
      <c r="F469" s="29" t="str">
        <f>IF(Analysis!$I469="","",IF(Analysis!$I469="Loyal but shallow",Analysis!$C469,""))</f>
        <v/>
      </c>
      <c r="G469" s="29" t="str">
        <f>IF(Analysis!$I469="","",IF(Analysis!$I469="Project-driven",Analysis!$C469,""))</f>
        <v/>
      </c>
      <c r="H469" s="29" t="str">
        <f>IF(Analysis!$I469="","",IF(Analysis!$I469="Drifting",Analysis!$C469,""))</f>
        <v/>
      </c>
      <c r="I469" s="29" t="str">
        <f>IF(Analysis!$I469="","",IF(Analysis!$I469="Embedded",Analysis!$F469,""))</f>
        <v/>
      </c>
      <c r="J469" s="29" t="str">
        <f>IF(Analysis!$I469="","",IF(Analysis!$I469="Loyal but shallow",Analysis!$F469,""))</f>
        <v/>
      </c>
      <c r="K469" s="29" t="str">
        <f>IF(Analysis!$I469="","",IF(Analysis!$I469="Project-driven",Analysis!$F469,""))</f>
        <v/>
      </c>
      <c r="L469" s="29" t="str">
        <f>IF(Analysis!$I469="","",IF(Analysis!$I469="Drifting",Analysis!$F469,""))</f>
        <v/>
      </c>
      <c r="M469" s="29" t="str">
        <f>IF(Analysis!$I469="","",IF(Analysis!$I469="Embedded",Analysis!$H469,""))</f>
        <v/>
      </c>
      <c r="N469" s="29" t="str">
        <f>IF(Analysis!$I469="","",IF(Analysis!$I469="Loyal but shallow",Analysis!$H469,""))</f>
        <v/>
      </c>
      <c r="O469" s="29" t="str">
        <f>IF(Analysis!$I469="","",IF(Analysis!$I469="Project-driven",Analysis!$H469,""))</f>
        <v/>
      </c>
      <c r="P469" s="29" t="str">
        <f>IF(Analysis!$I469="","",IF(Analysis!$I469="Drifting",Analysis!$H469,""))</f>
        <v/>
      </c>
    </row>
    <row r="470" spans="1:16" x14ac:dyDescent="0.25">
      <c r="A470" s="29" t="str">
        <f>IF(Analysis!$I470="","",IF(Analysis!$I470="Embedded",Analysis!$D470,""))</f>
        <v/>
      </c>
      <c r="B470" s="29" t="str">
        <f>IF(Analysis!$I470="","",IF(Analysis!$I470="Loyal but shallow",Analysis!$D470,""))</f>
        <v/>
      </c>
      <c r="C470" s="29" t="str">
        <f>IF(Analysis!$I470="","",IF(Analysis!$I470="Project-driven",Analysis!$D470,""))</f>
        <v/>
      </c>
      <c r="D470" s="29" t="str">
        <f>IF(Analysis!$I470="","",IF(Analysis!$I470="Drifting",Analysis!$D470,""))</f>
        <v/>
      </c>
      <c r="E470" s="29" t="str">
        <f>IF(Analysis!$I470="","",IF(Analysis!$I470="Embedded",Analysis!$C470,""))</f>
        <v/>
      </c>
      <c r="F470" s="29" t="str">
        <f>IF(Analysis!$I470="","",IF(Analysis!$I470="Loyal but shallow",Analysis!$C470,""))</f>
        <v/>
      </c>
      <c r="G470" s="29" t="str">
        <f>IF(Analysis!$I470="","",IF(Analysis!$I470="Project-driven",Analysis!$C470,""))</f>
        <v/>
      </c>
      <c r="H470" s="29" t="str">
        <f>IF(Analysis!$I470="","",IF(Analysis!$I470="Drifting",Analysis!$C470,""))</f>
        <v/>
      </c>
      <c r="I470" s="29" t="str">
        <f>IF(Analysis!$I470="","",IF(Analysis!$I470="Embedded",Analysis!$F470,""))</f>
        <v/>
      </c>
      <c r="J470" s="29" t="str">
        <f>IF(Analysis!$I470="","",IF(Analysis!$I470="Loyal but shallow",Analysis!$F470,""))</f>
        <v/>
      </c>
      <c r="K470" s="29" t="str">
        <f>IF(Analysis!$I470="","",IF(Analysis!$I470="Project-driven",Analysis!$F470,""))</f>
        <v/>
      </c>
      <c r="L470" s="29" t="str">
        <f>IF(Analysis!$I470="","",IF(Analysis!$I470="Drifting",Analysis!$F470,""))</f>
        <v/>
      </c>
      <c r="M470" s="29" t="str">
        <f>IF(Analysis!$I470="","",IF(Analysis!$I470="Embedded",Analysis!$H470,""))</f>
        <v/>
      </c>
      <c r="N470" s="29" t="str">
        <f>IF(Analysis!$I470="","",IF(Analysis!$I470="Loyal but shallow",Analysis!$H470,""))</f>
        <v/>
      </c>
      <c r="O470" s="29" t="str">
        <f>IF(Analysis!$I470="","",IF(Analysis!$I470="Project-driven",Analysis!$H470,""))</f>
        <v/>
      </c>
      <c r="P470" s="29" t="str">
        <f>IF(Analysis!$I470="","",IF(Analysis!$I470="Drifting",Analysis!$H470,""))</f>
        <v/>
      </c>
    </row>
    <row r="471" spans="1:16" x14ac:dyDescent="0.25">
      <c r="A471" s="29" t="str">
        <f>IF(Analysis!$I471="","",IF(Analysis!$I471="Embedded",Analysis!$D471,""))</f>
        <v/>
      </c>
      <c r="B471" s="29" t="str">
        <f>IF(Analysis!$I471="","",IF(Analysis!$I471="Loyal but shallow",Analysis!$D471,""))</f>
        <v/>
      </c>
      <c r="C471" s="29" t="str">
        <f>IF(Analysis!$I471="","",IF(Analysis!$I471="Project-driven",Analysis!$D471,""))</f>
        <v/>
      </c>
      <c r="D471" s="29" t="str">
        <f>IF(Analysis!$I471="","",IF(Analysis!$I471="Drifting",Analysis!$D471,""))</f>
        <v/>
      </c>
      <c r="E471" s="29" t="str">
        <f>IF(Analysis!$I471="","",IF(Analysis!$I471="Embedded",Analysis!$C471,""))</f>
        <v/>
      </c>
      <c r="F471" s="29" t="str">
        <f>IF(Analysis!$I471="","",IF(Analysis!$I471="Loyal but shallow",Analysis!$C471,""))</f>
        <v/>
      </c>
      <c r="G471" s="29" t="str">
        <f>IF(Analysis!$I471="","",IF(Analysis!$I471="Project-driven",Analysis!$C471,""))</f>
        <v/>
      </c>
      <c r="H471" s="29" t="str">
        <f>IF(Analysis!$I471="","",IF(Analysis!$I471="Drifting",Analysis!$C471,""))</f>
        <v/>
      </c>
      <c r="I471" s="29" t="str">
        <f>IF(Analysis!$I471="","",IF(Analysis!$I471="Embedded",Analysis!$F471,""))</f>
        <v/>
      </c>
      <c r="J471" s="29" t="str">
        <f>IF(Analysis!$I471="","",IF(Analysis!$I471="Loyal but shallow",Analysis!$F471,""))</f>
        <v/>
      </c>
      <c r="K471" s="29" t="str">
        <f>IF(Analysis!$I471="","",IF(Analysis!$I471="Project-driven",Analysis!$F471,""))</f>
        <v/>
      </c>
      <c r="L471" s="29" t="str">
        <f>IF(Analysis!$I471="","",IF(Analysis!$I471="Drifting",Analysis!$F471,""))</f>
        <v/>
      </c>
      <c r="M471" s="29" t="str">
        <f>IF(Analysis!$I471="","",IF(Analysis!$I471="Embedded",Analysis!$H471,""))</f>
        <v/>
      </c>
      <c r="N471" s="29" t="str">
        <f>IF(Analysis!$I471="","",IF(Analysis!$I471="Loyal but shallow",Analysis!$H471,""))</f>
        <v/>
      </c>
      <c r="O471" s="29" t="str">
        <f>IF(Analysis!$I471="","",IF(Analysis!$I471="Project-driven",Analysis!$H471,""))</f>
        <v/>
      </c>
      <c r="P471" s="29" t="str">
        <f>IF(Analysis!$I471="","",IF(Analysis!$I471="Drifting",Analysis!$H471,""))</f>
        <v/>
      </c>
    </row>
    <row r="472" spans="1:16" x14ac:dyDescent="0.25">
      <c r="A472" s="29" t="str">
        <f>IF(Analysis!$I472="","",IF(Analysis!$I472="Embedded",Analysis!$D472,""))</f>
        <v/>
      </c>
      <c r="B472" s="29" t="str">
        <f>IF(Analysis!$I472="","",IF(Analysis!$I472="Loyal but shallow",Analysis!$D472,""))</f>
        <v/>
      </c>
      <c r="C472" s="29" t="str">
        <f>IF(Analysis!$I472="","",IF(Analysis!$I472="Project-driven",Analysis!$D472,""))</f>
        <v/>
      </c>
      <c r="D472" s="29" t="str">
        <f>IF(Analysis!$I472="","",IF(Analysis!$I472="Drifting",Analysis!$D472,""))</f>
        <v/>
      </c>
      <c r="E472" s="29" t="str">
        <f>IF(Analysis!$I472="","",IF(Analysis!$I472="Embedded",Analysis!$C472,""))</f>
        <v/>
      </c>
      <c r="F472" s="29" t="str">
        <f>IF(Analysis!$I472="","",IF(Analysis!$I472="Loyal but shallow",Analysis!$C472,""))</f>
        <v/>
      </c>
      <c r="G472" s="29" t="str">
        <f>IF(Analysis!$I472="","",IF(Analysis!$I472="Project-driven",Analysis!$C472,""))</f>
        <v/>
      </c>
      <c r="H472" s="29" t="str">
        <f>IF(Analysis!$I472="","",IF(Analysis!$I472="Drifting",Analysis!$C472,""))</f>
        <v/>
      </c>
      <c r="I472" s="29" t="str">
        <f>IF(Analysis!$I472="","",IF(Analysis!$I472="Embedded",Analysis!$F472,""))</f>
        <v/>
      </c>
      <c r="J472" s="29" t="str">
        <f>IF(Analysis!$I472="","",IF(Analysis!$I472="Loyal but shallow",Analysis!$F472,""))</f>
        <v/>
      </c>
      <c r="K472" s="29" t="str">
        <f>IF(Analysis!$I472="","",IF(Analysis!$I472="Project-driven",Analysis!$F472,""))</f>
        <v/>
      </c>
      <c r="L472" s="29" t="str">
        <f>IF(Analysis!$I472="","",IF(Analysis!$I472="Drifting",Analysis!$F472,""))</f>
        <v/>
      </c>
      <c r="M472" s="29" t="str">
        <f>IF(Analysis!$I472="","",IF(Analysis!$I472="Embedded",Analysis!$H472,""))</f>
        <v/>
      </c>
      <c r="N472" s="29" t="str">
        <f>IF(Analysis!$I472="","",IF(Analysis!$I472="Loyal but shallow",Analysis!$H472,""))</f>
        <v/>
      </c>
      <c r="O472" s="29" t="str">
        <f>IF(Analysis!$I472="","",IF(Analysis!$I472="Project-driven",Analysis!$H472,""))</f>
        <v/>
      </c>
      <c r="P472" s="29" t="str">
        <f>IF(Analysis!$I472="","",IF(Analysis!$I472="Drifting",Analysis!$H472,""))</f>
        <v/>
      </c>
    </row>
    <row r="473" spans="1:16" x14ac:dyDescent="0.25">
      <c r="A473" s="29" t="str">
        <f>IF(Analysis!$I473="","",IF(Analysis!$I473="Embedded",Analysis!$D473,""))</f>
        <v/>
      </c>
      <c r="B473" s="29" t="str">
        <f>IF(Analysis!$I473="","",IF(Analysis!$I473="Loyal but shallow",Analysis!$D473,""))</f>
        <v/>
      </c>
      <c r="C473" s="29" t="str">
        <f>IF(Analysis!$I473="","",IF(Analysis!$I473="Project-driven",Analysis!$D473,""))</f>
        <v/>
      </c>
      <c r="D473" s="29" t="str">
        <f>IF(Analysis!$I473="","",IF(Analysis!$I473="Drifting",Analysis!$D473,""))</f>
        <v/>
      </c>
      <c r="E473" s="29" t="str">
        <f>IF(Analysis!$I473="","",IF(Analysis!$I473="Embedded",Analysis!$C473,""))</f>
        <v/>
      </c>
      <c r="F473" s="29" t="str">
        <f>IF(Analysis!$I473="","",IF(Analysis!$I473="Loyal but shallow",Analysis!$C473,""))</f>
        <v/>
      </c>
      <c r="G473" s="29" t="str">
        <f>IF(Analysis!$I473="","",IF(Analysis!$I473="Project-driven",Analysis!$C473,""))</f>
        <v/>
      </c>
      <c r="H473" s="29" t="str">
        <f>IF(Analysis!$I473="","",IF(Analysis!$I473="Drifting",Analysis!$C473,""))</f>
        <v/>
      </c>
      <c r="I473" s="29" t="str">
        <f>IF(Analysis!$I473="","",IF(Analysis!$I473="Embedded",Analysis!$F473,""))</f>
        <v/>
      </c>
      <c r="J473" s="29" t="str">
        <f>IF(Analysis!$I473="","",IF(Analysis!$I473="Loyal but shallow",Analysis!$F473,""))</f>
        <v/>
      </c>
      <c r="K473" s="29" t="str">
        <f>IF(Analysis!$I473="","",IF(Analysis!$I473="Project-driven",Analysis!$F473,""))</f>
        <v/>
      </c>
      <c r="L473" s="29" t="str">
        <f>IF(Analysis!$I473="","",IF(Analysis!$I473="Drifting",Analysis!$F473,""))</f>
        <v/>
      </c>
      <c r="M473" s="29" t="str">
        <f>IF(Analysis!$I473="","",IF(Analysis!$I473="Embedded",Analysis!$H473,""))</f>
        <v/>
      </c>
      <c r="N473" s="29" t="str">
        <f>IF(Analysis!$I473="","",IF(Analysis!$I473="Loyal but shallow",Analysis!$H473,""))</f>
        <v/>
      </c>
      <c r="O473" s="29" t="str">
        <f>IF(Analysis!$I473="","",IF(Analysis!$I473="Project-driven",Analysis!$H473,""))</f>
        <v/>
      </c>
      <c r="P473" s="29" t="str">
        <f>IF(Analysis!$I473="","",IF(Analysis!$I473="Drifting",Analysis!$H473,""))</f>
        <v/>
      </c>
    </row>
    <row r="474" spans="1:16" x14ac:dyDescent="0.25">
      <c r="A474" s="29" t="str">
        <f>IF(Analysis!$I474="","",IF(Analysis!$I474="Embedded",Analysis!$D474,""))</f>
        <v/>
      </c>
      <c r="B474" s="29" t="str">
        <f>IF(Analysis!$I474="","",IF(Analysis!$I474="Loyal but shallow",Analysis!$D474,""))</f>
        <v/>
      </c>
      <c r="C474" s="29" t="str">
        <f>IF(Analysis!$I474="","",IF(Analysis!$I474="Project-driven",Analysis!$D474,""))</f>
        <v/>
      </c>
      <c r="D474" s="29" t="str">
        <f>IF(Analysis!$I474="","",IF(Analysis!$I474="Drifting",Analysis!$D474,""))</f>
        <v/>
      </c>
      <c r="E474" s="29" t="str">
        <f>IF(Analysis!$I474="","",IF(Analysis!$I474="Embedded",Analysis!$C474,""))</f>
        <v/>
      </c>
      <c r="F474" s="29" t="str">
        <f>IF(Analysis!$I474="","",IF(Analysis!$I474="Loyal but shallow",Analysis!$C474,""))</f>
        <v/>
      </c>
      <c r="G474" s="29" t="str">
        <f>IF(Analysis!$I474="","",IF(Analysis!$I474="Project-driven",Analysis!$C474,""))</f>
        <v/>
      </c>
      <c r="H474" s="29" t="str">
        <f>IF(Analysis!$I474="","",IF(Analysis!$I474="Drifting",Analysis!$C474,""))</f>
        <v/>
      </c>
      <c r="I474" s="29" t="str">
        <f>IF(Analysis!$I474="","",IF(Analysis!$I474="Embedded",Analysis!$F474,""))</f>
        <v/>
      </c>
      <c r="J474" s="29" t="str">
        <f>IF(Analysis!$I474="","",IF(Analysis!$I474="Loyal but shallow",Analysis!$F474,""))</f>
        <v/>
      </c>
      <c r="K474" s="29" t="str">
        <f>IF(Analysis!$I474="","",IF(Analysis!$I474="Project-driven",Analysis!$F474,""))</f>
        <v/>
      </c>
      <c r="L474" s="29" t="str">
        <f>IF(Analysis!$I474="","",IF(Analysis!$I474="Drifting",Analysis!$F474,""))</f>
        <v/>
      </c>
      <c r="M474" s="29" t="str">
        <f>IF(Analysis!$I474="","",IF(Analysis!$I474="Embedded",Analysis!$H474,""))</f>
        <v/>
      </c>
      <c r="N474" s="29" t="str">
        <f>IF(Analysis!$I474="","",IF(Analysis!$I474="Loyal but shallow",Analysis!$H474,""))</f>
        <v/>
      </c>
      <c r="O474" s="29" t="str">
        <f>IF(Analysis!$I474="","",IF(Analysis!$I474="Project-driven",Analysis!$H474,""))</f>
        <v/>
      </c>
      <c r="P474" s="29" t="str">
        <f>IF(Analysis!$I474="","",IF(Analysis!$I474="Drifting",Analysis!$H474,""))</f>
        <v/>
      </c>
    </row>
    <row r="475" spans="1:16" x14ac:dyDescent="0.25">
      <c r="A475" s="29" t="str">
        <f>IF(Analysis!$I475="","",IF(Analysis!$I475="Embedded",Analysis!$D475,""))</f>
        <v/>
      </c>
      <c r="B475" s="29" t="str">
        <f>IF(Analysis!$I475="","",IF(Analysis!$I475="Loyal but shallow",Analysis!$D475,""))</f>
        <v/>
      </c>
      <c r="C475" s="29" t="str">
        <f>IF(Analysis!$I475="","",IF(Analysis!$I475="Project-driven",Analysis!$D475,""))</f>
        <v/>
      </c>
      <c r="D475" s="29" t="str">
        <f>IF(Analysis!$I475="","",IF(Analysis!$I475="Drifting",Analysis!$D475,""))</f>
        <v/>
      </c>
      <c r="E475" s="29" t="str">
        <f>IF(Analysis!$I475="","",IF(Analysis!$I475="Embedded",Analysis!$C475,""))</f>
        <v/>
      </c>
      <c r="F475" s="29" t="str">
        <f>IF(Analysis!$I475="","",IF(Analysis!$I475="Loyal but shallow",Analysis!$C475,""))</f>
        <v/>
      </c>
      <c r="G475" s="29" t="str">
        <f>IF(Analysis!$I475="","",IF(Analysis!$I475="Project-driven",Analysis!$C475,""))</f>
        <v/>
      </c>
      <c r="H475" s="29" t="str">
        <f>IF(Analysis!$I475="","",IF(Analysis!$I475="Drifting",Analysis!$C475,""))</f>
        <v/>
      </c>
      <c r="I475" s="29" t="str">
        <f>IF(Analysis!$I475="","",IF(Analysis!$I475="Embedded",Analysis!$F475,""))</f>
        <v/>
      </c>
      <c r="J475" s="29" t="str">
        <f>IF(Analysis!$I475="","",IF(Analysis!$I475="Loyal but shallow",Analysis!$F475,""))</f>
        <v/>
      </c>
      <c r="K475" s="29" t="str">
        <f>IF(Analysis!$I475="","",IF(Analysis!$I475="Project-driven",Analysis!$F475,""))</f>
        <v/>
      </c>
      <c r="L475" s="29" t="str">
        <f>IF(Analysis!$I475="","",IF(Analysis!$I475="Drifting",Analysis!$F475,""))</f>
        <v/>
      </c>
      <c r="M475" s="29" t="str">
        <f>IF(Analysis!$I475="","",IF(Analysis!$I475="Embedded",Analysis!$H475,""))</f>
        <v/>
      </c>
      <c r="N475" s="29" t="str">
        <f>IF(Analysis!$I475="","",IF(Analysis!$I475="Loyal but shallow",Analysis!$H475,""))</f>
        <v/>
      </c>
      <c r="O475" s="29" t="str">
        <f>IF(Analysis!$I475="","",IF(Analysis!$I475="Project-driven",Analysis!$H475,""))</f>
        <v/>
      </c>
      <c r="P475" s="29" t="str">
        <f>IF(Analysis!$I475="","",IF(Analysis!$I475="Drifting",Analysis!$H475,""))</f>
        <v/>
      </c>
    </row>
    <row r="476" spans="1:16" x14ac:dyDescent="0.25">
      <c r="A476" s="29" t="str">
        <f>IF(Analysis!$I476="","",IF(Analysis!$I476="Embedded",Analysis!$D476,""))</f>
        <v/>
      </c>
      <c r="B476" s="29" t="str">
        <f>IF(Analysis!$I476="","",IF(Analysis!$I476="Loyal but shallow",Analysis!$D476,""))</f>
        <v/>
      </c>
      <c r="C476" s="29" t="str">
        <f>IF(Analysis!$I476="","",IF(Analysis!$I476="Project-driven",Analysis!$D476,""))</f>
        <v/>
      </c>
      <c r="D476" s="29" t="str">
        <f>IF(Analysis!$I476="","",IF(Analysis!$I476="Drifting",Analysis!$D476,""))</f>
        <v/>
      </c>
      <c r="E476" s="29" t="str">
        <f>IF(Analysis!$I476="","",IF(Analysis!$I476="Embedded",Analysis!$C476,""))</f>
        <v/>
      </c>
      <c r="F476" s="29" t="str">
        <f>IF(Analysis!$I476="","",IF(Analysis!$I476="Loyal but shallow",Analysis!$C476,""))</f>
        <v/>
      </c>
      <c r="G476" s="29" t="str">
        <f>IF(Analysis!$I476="","",IF(Analysis!$I476="Project-driven",Analysis!$C476,""))</f>
        <v/>
      </c>
      <c r="H476" s="29" t="str">
        <f>IF(Analysis!$I476="","",IF(Analysis!$I476="Drifting",Analysis!$C476,""))</f>
        <v/>
      </c>
      <c r="I476" s="29" t="str">
        <f>IF(Analysis!$I476="","",IF(Analysis!$I476="Embedded",Analysis!$F476,""))</f>
        <v/>
      </c>
      <c r="J476" s="29" t="str">
        <f>IF(Analysis!$I476="","",IF(Analysis!$I476="Loyal but shallow",Analysis!$F476,""))</f>
        <v/>
      </c>
      <c r="K476" s="29" t="str">
        <f>IF(Analysis!$I476="","",IF(Analysis!$I476="Project-driven",Analysis!$F476,""))</f>
        <v/>
      </c>
      <c r="L476" s="29" t="str">
        <f>IF(Analysis!$I476="","",IF(Analysis!$I476="Drifting",Analysis!$F476,""))</f>
        <v/>
      </c>
      <c r="M476" s="29" t="str">
        <f>IF(Analysis!$I476="","",IF(Analysis!$I476="Embedded",Analysis!$H476,""))</f>
        <v/>
      </c>
      <c r="N476" s="29" t="str">
        <f>IF(Analysis!$I476="","",IF(Analysis!$I476="Loyal but shallow",Analysis!$H476,""))</f>
        <v/>
      </c>
      <c r="O476" s="29" t="str">
        <f>IF(Analysis!$I476="","",IF(Analysis!$I476="Project-driven",Analysis!$H476,""))</f>
        <v/>
      </c>
      <c r="P476" s="29" t="str">
        <f>IF(Analysis!$I476="","",IF(Analysis!$I476="Drifting",Analysis!$H476,""))</f>
        <v/>
      </c>
    </row>
    <row r="477" spans="1:16" x14ac:dyDescent="0.25">
      <c r="A477" s="29" t="str">
        <f>IF(Analysis!$I477="","",IF(Analysis!$I477="Embedded",Analysis!$D477,""))</f>
        <v/>
      </c>
      <c r="B477" s="29" t="str">
        <f>IF(Analysis!$I477="","",IF(Analysis!$I477="Loyal but shallow",Analysis!$D477,""))</f>
        <v/>
      </c>
      <c r="C477" s="29" t="str">
        <f>IF(Analysis!$I477="","",IF(Analysis!$I477="Project-driven",Analysis!$D477,""))</f>
        <v/>
      </c>
      <c r="D477" s="29" t="str">
        <f>IF(Analysis!$I477="","",IF(Analysis!$I477="Drifting",Analysis!$D477,""))</f>
        <v/>
      </c>
      <c r="E477" s="29" t="str">
        <f>IF(Analysis!$I477="","",IF(Analysis!$I477="Embedded",Analysis!$C477,""))</f>
        <v/>
      </c>
      <c r="F477" s="29" t="str">
        <f>IF(Analysis!$I477="","",IF(Analysis!$I477="Loyal but shallow",Analysis!$C477,""))</f>
        <v/>
      </c>
      <c r="G477" s="29" t="str">
        <f>IF(Analysis!$I477="","",IF(Analysis!$I477="Project-driven",Analysis!$C477,""))</f>
        <v/>
      </c>
      <c r="H477" s="29" t="str">
        <f>IF(Analysis!$I477="","",IF(Analysis!$I477="Drifting",Analysis!$C477,""))</f>
        <v/>
      </c>
      <c r="I477" s="29" t="str">
        <f>IF(Analysis!$I477="","",IF(Analysis!$I477="Embedded",Analysis!$F477,""))</f>
        <v/>
      </c>
      <c r="J477" s="29" t="str">
        <f>IF(Analysis!$I477="","",IF(Analysis!$I477="Loyal but shallow",Analysis!$F477,""))</f>
        <v/>
      </c>
      <c r="K477" s="29" t="str">
        <f>IF(Analysis!$I477="","",IF(Analysis!$I477="Project-driven",Analysis!$F477,""))</f>
        <v/>
      </c>
      <c r="L477" s="29" t="str">
        <f>IF(Analysis!$I477="","",IF(Analysis!$I477="Drifting",Analysis!$F477,""))</f>
        <v/>
      </c>
      <c r="M477" s="29" t="str">
        <f>IF(Analysis!$I477="","",IF(Analysis!$I477="Embedded",Analysis!$H477,""))</f>
        <v/>
      </c>
      <c r="N477" s="29" t="str">
        <f>IF(Analysis!$I477="","",IF(Analysis!$I477="Loyal but shallow",Analysis!$H477,""))</f>
        <v/>
      </c>
      <c r="O477" s="29" t="str">
        <f>IF(Analysis!$I477="","",IF(Analysis!$I477="Project-driven",Analysis!$H477,""))</f>
        <v/>
      </c>
      <c r="P477" s="29" t="str">
        <f>IF(Analysis!$I477="","",IF(Analysis!$I477="Drifting",Analysis!$H477,""))</f>
        <v/>
      </c>
    </row>
    <row r="478" spans="1:16" x14ac:dyDescent="0.25">
      <c r="A478" s="29" t="str">
        <f>IF(Analysis!$I478="","",IF(Analysis!$I478="Embedded",Analysis!$D478,""))</f>
        <v/>
      </c>
      <c r="B478" s="29" t="str">
        <f>IF(Analysis!$I478="","",IF(Analysis!$I478="Loyal but shallow",Analysis!$D478,""))</f>
        <v/>
      </c>
      <c r="C478" s="29" t="str">
        <f>IF(Analysis!$I478="","",IF(Analysis!$I478="Project-driven",Analysis!$D478,""))</f>
        <v/>
      </c>
      <c r="D478" s="29" t="str">
        <f>IF(Analysis!$I478="","",IF(Analysis!$I478="Drifting",Analysis!$D478,""))</f>
        <v/>
      </c>
      <c r="E478" s="29" t="str">
        <f>IF(Analysis!$I478="","",IF(Analysis!$I478="Embedded",Analysis!$C478,""))</f>
        <v/>
      </c>
      <c r="F478" s="29" t="str">
        <f>IF(Analysis!$I478="","",IF(Analysis!$I478="Loyal but shallow",Analysis!$C478,""))</f>
        <v/>
      </c>
      <c r="G478" s="29" t="str">
        <f>IF(Analysis!$I478="","",IF(Analysis!$I478="Project-driven",Analysis!$C478,""))</f>
        <v/>
      </c>
      <c r="H478" s="29" t="str">
        <f>IF(Analysis!$I478="","",IF(Analysis!$I478="Drifting",Analysis!$C478,""))</f>
        <v/>
      </c>
      <c r="I478" s="29" t="str">
        <f>IF(Analysis!$I478="","",IF(Analysis!$I478="Embedded",Analysis!$F478,""))</f>
        <v/>
      </c>
      <c r="J478" s="29" t="str">
        <f>IF(Analysis!$I478="","",IF(Analysis!$I478="Loyal but shallow",Analysis!$F478,""))</f>
        <v/>
      </c>
      <c r="K478" s="29" t="str">
        <f>IF(Analysis!$I478="","",IF(Analysis!$I478="Project-driven",Analysis!$F478,""))</f>
        <v/>
      </c>
      <c r="L478" s="29" t="str">
        <f>IF(Analysis!$I478="","",IF(Analysis!$I478="Drifting",Analysis!$F478,""))</f>
        <v/>
      </c>
      <c r="M478" s="29" t="str">
        <f>IF(Analysis!$I478="","",IF(Analysis!$I478="Embedded",Analysis!$H478,""))</f>
        <v/>
      </c>
      <c r="N478" s="29" t="str">
        <f>IF(Analysis!$I478="","",IF(Analysis!$I478="Loyal but shallow",Analysis!$H478,""))</f>
        <v/>
      </c>
      <c r="O478" s="29" t="str">
        <f>IF(Analysis!$I478="","",IF(Analysis!$I478="Project-driven",Analysis!$H478,""))</f>
        <v/>
      </c>
      <c r="P478" s="29" t="str">
        <f>IF(Analysis!$I478="","",IF(Analysis!$I478="Drifting",Analysis!$H478,""))</f>
        <v/>
      </c>
    </row>
    <row r="479" spans="1:16" x14ac:dyDescent="0.25">
      <c r="A479" s="29" t="str">
        <f>IF(Analysis!$I479="","",IF(Analysis!$I479="Embedded",Analysis!$D479,""))</f>
        <v/>
      </c>
      <c r="B479" s="29" t="str">
        <f>IF(Analysis!$I479="","",IF(Analysis!$I479="Loyal but shallow",Analysis!$D479,""))</f>
        <v/>
      </c>
      <c r="C479" s="29" t="str">
        <f>IF(Analysis!$I479="","",IF(Analysis!$I479="Project-driven",Analysis!$D479,""))</f>
        <v/>
      </c>
      <c r="D479" s="29" t="str">
        <f>IF(Analysis!$I479="","",IF(Analysis!$I479="Drifting",Analysis!$D479,""))</f>
        <v/>
      </c>
      <c r="E479" s="29" t="str">
        <f>IF(Analysis!$I479="","",IF(Analysis!$I479="Embedded",Analysis!$C479,""))</f>
        <v/>
      </c>
      <c r="F479" s="29" t="str">
        <f>IF(Analysis!$I479="","",IF(Analysis!$I479="Loyal but shallow",Analysis!$C479,""))</f>
        <v/>
      </c>
      <c r="G479" s="29" t="str">
        <f>IF(Analysis!$I479="","",IF(Analysis!$I479="Project-driven",Analysis!$C479,""))</f>
        <v/>
      </c>
      <c r="H479" s="29" t="str">
        <f>IF(Analysis!$I479="","",IF(Analysis!$I479="Drifting",Analysis!$C479,""))</f>
        <v/>
      </c>
      <c r="I479" s="29" t="str">
        <f>IF(Analysis!$I479="","",IF(Analysis!$I479="Embedded",Analysis!$F479,""))</f>
        <v/>
      </c>
      <c r="J479" s="29" t="str">
        <f>IF(Analysis!$I479="","",IF(Analysis!$I479="Loyal but shallow",Analysis!$F479,""))</f>
        <v/>
      </c>
      <c r="K479" s="29" t="str">
        <f>IF(Analysis!$I479="","",IF(Analysis!$I479="Project-driven",Analysis!$F479,""))</f>
        <v/>
      </c>
      <c r="L479" s="29" t="str">
        <f>IF(Analysis!$I479="","",IF(Analysis!$I479="Drifting",Analysis!$F479,""))</f>
        <v/>
      </c>
      <c r="M479" s="29" t="str">
        <f>IF(Analysis!$I479="","",IF(Analysis!$I479="Embedded",Analysis!$H479,""))</f>
        <v/>
      </c>
      <c r="N479" s="29" t="str">
        <f>IF(Analysis!$I479="","",IF(Analysis!$I479="Loyal but shallow",Analysis!$H479,""))</f>
        <v/>
      </c>
      <c r="O479" s="29" t="str">
        <f>IF(Analysis!$I479="","",IF(Analysis!$I479="Project-driven",Analysis!$H479,""))</f>
        <v/>
      </c>
      <c r="P479" s="29" t="str">
        <f>IF(Analysis!$I479="","",IF(Analysis!$I479="Drifting",Analysis!$H479,""))</f>
        <v/>
      </c>
    </row>
    <row r="480" spans="1:16" x14ac:dyDescent="0.25">
      <c r="A480" s="29" t="str">
        <f>IF(Analysis!$I480="","",IF(Analysis!$I480="Embedded",Analysis!$D480,""))</f>
        <v/>
      </c>
      <c r="B480" s="29" t="str">
        <f>IF(Analysis!$I480="","",IF(Analysis!$I480="Loyal but shallow",Analysis!$D480,""))</f>
        <v/>
      </c>
      <c r="C480" s="29" t="str">
        <f>IF(Analysis!$I480="","",IF(Analysis!$I480="Project-driven",Analysis!$D480,""))</f>
        <v/>
      </c>
      <c r="D480" s="29" t="str">
        <f>IF(Analysis!$I480="","",IF(Analysis!$I480="Drifting",Analysis!$D480,""))</f>
        <v/>
      </c>
      <c r="E480" s="29" t="str">
        <f>IF(Analysis!$I480="","",IF(Analysis!$I480="Embedded",Analysis!$C480,""))</f>
        <v/>
      </c>
      <c r="F480" s="29" t="str">
        <f>IF(Analysis!$I480="","",IF(Analysis!$I480="Loyal but shallow",Analysis!$C480,""))</f>
        <v/>
      </c>
      <c r="G480" s="29" t="str">
        <f>IF(Analysis!$I480="","",IF(Analysis!$I480="Project-driven",Analysis!$C480,""))</f>
        <v/>
      </c>
      <c r="H480" s="29" t="str">
        <f>IF(Analysis!$I480="","",IF(Analysis!$I480="Drifting",Analysis!$C480,""))</f>
        <v/>
      </c>
      <c r="I480" s="29" t="str">
        <f>IF(Analysis!$I480="","",IF(Analysis!$I480="Embedded",Analysis!$F480,""))</f>
        <v/>
      </c>
      <c r="J480" s="29" t="str">
        <f>IF(Analysis!$I480="","",IF(Analysis!$I480="Loyal but shallow",Analysis!$F480,""))</f>
        <v/>
      </c>
      <c r="K480" s="29" t="str">
        <f>IF(Analysis!$I480="","",IF(Analysis!$I480="Project-driven",Analysis!$F480,""))</f>
        <v/>
      </c>
      <c r="L480" s="29" t="str">
        <f>IF(Analysis!$I480="","",IF(Analysis!$I480="Drifting",Analysis!$F480,""))</f>
        <v/>
      </c>
      <c r="M480" s="29" t="str">
        <f>IF(Analysis!$I480="","",IF(Analysis!$I480="Embedded",Analysis!$H480,""))</f>
        <v/>
      </c>
      <c r="N480" s="29" t="str">
        <f>IF(Analysis!$I480="","",IF(Analysis!$I480="Loyal but shallow",Analysis!$H480,""))</f>
        <v/>
      </c>
      <c r="O480" s="29" t="str">
        <f>IF(Analysis!$I480="","",IF(Analysis!$I480="Project-driven",Analysis!$H480,""))</f>
        <v/>
      </c>
      <c r="P480" s="29" t="str">
        <f>IF(Analysis!$I480="","",IF(Analysis!$I480="Drifting",Analysis!$H480,""))</f>
        <v/>
      </c>
    </row>
    <row r="481" spans="1:16" x14ac:dyDescent="0.25">
      <c r="A481" s="29" t="str">
        <f>IF(Analysis!$I481="","",IF(Analysis!$I481="Embedded",Analysis!$D481,""))</f>
        <v/>
      </c>
      <c r="B481" s="29" t="str">
        <f>IF(Analysis!$I481="","",IF(Analysis!$I481="Loyal but shallow",Analysis!$D481,""))</f>
        <v/>
      </c>
      <c r="C481" s="29" t="str">
        <f>IF(Analysis!$I481="","",IF(Analysis!$I481="Project-driven",Analysis!$D481,""))</f>
        <v/>
      </c>
      <c r="D481" s="29" t="str">
        <f>IF(Analysis!$I481="","",IF(Analysis!$I481="Drifting",Analysis!$D481,""))</f>
        <v/>
      </c>
      <c r="E481" s="29" t="str">
        <f>IF(Analysis!$I481="","",IF(Analysis!$I481="Embedded",Analysis!$C481,""))</f>
        <v/>
      </c>
      <c r="F481" s="29" t="str">
        <f>IF(Analysis!$I481="","",IF(Analysis!$I481="Loyal but shallow",Analysis!$C481,""))</f>
        <v/>
      </c>
      <c r="G481" s="29" t="str">
        <f>IF(Analysis!$I481="","",IF(Analysis!$I481="Project-driven",Analysis!$C481,""))</f>
        <v/>
      </c>
      <c r="H481" s="29" t="str">
        <f>IF(Analysis!$I481="","",IF(Analysis!$I481="Drifting",Analysis!$C481,""))</f>
        <v/>
      </c>
      <c r="I481" s="29" t="str">
        <f>IF(Analysis!$I481="","",IF(Analysis!$I481="Embedded",Analysis!$F481,""))</f>
        <v/>
      </c>
      <c r="J481" s="29" t="str">
        <f>IF(Analysis!$I481="","",IF(Analysis!$I481="Loyal but shallow",Analysis!$F481,""))</f>
        <v/>
      </c>
      <c r="K481" s="29" t="str">
        <f>IF(Analysis!$I481="","",IF(Analysis!$I481="Project-driven",Analysis!$F481,""))</f>
        <v/>
      </c>
      <c r="L481" s="29" t="str">
        <f>IF(Analysis!$I481="","",IF(Analysis!$I481="Drifting",Analysis!$F481,""))</f>
        <v/>
      </c>
      <c r="M481" s="29" t="str">
        <f>IF(Analysis!$I481="","",IF(Analysis!$I481="Embedded",Analysis!$H481,""))</f>
        <v/>
      </c>
      <c r="N481" s="29" t="str">
        <f>IF(Analysis!$I481="","",IF(Analysis!$I481="Loyal but shallow",Analysis!$H481,""))</f>
        <v/>
      </c>
      <c r="O481" s="29" t="str">
        <f>IF(Analysis!$I481="","",IF(Analysis!$I481="Project-driven",Analysis!$H481,""))</f>
        <v/>
      </c>
      <c r="P481" s="29" t="str">
        <f>IF(Analysis!$I481="","",IF(Analysis!$I481="Drifting",Analysis!$H481,""))</f>
        <v/>
      </c>
    </row>
    <row r="482" spans="1:16" x14ac:dyDescent="0.25">
      <c r="A482" s="29" t="str">
        <f>IF(Analysis!$I482="","",IF(Analysis!$I482="Embedded",Analysis!$D482,""))</f>
        <v/>
      </c>
      <c r="B482" s="29" t="str">
        <f>IF(Analysis!$I482="","",IF(Analysis!$I482="Loyal but shallow",Analysis!$D482,""))</f>
        <v/>
      </c>
      <c r="C482" s="29" t="str">
        <f>IF(Analysis!$I482="","",IF(Analysis!$I482="Project-driven",Analysis!$D482,""))</f>
        <v/>
      </c>
      <c r="D482" s="29" t="str">
        <f>IF(Analysis!$I482="","",IF(Analysis!$I482="Drifting",Analysis!$D482,""))</f>
        <v/>
      </c>
      <c r="E482" s="29" t="str">
        <f>IF(Analysis!$I482="","",IF(Analysis!$I482="Embedded",Analysis!$C482,""))</f>
        <v/>
      </c>
      <c r="F482" s="29" t="str">
        <f>IF(Analysis!$I482="","",IF(Analysis!$I482="Loyal but shallow",Analysis!$C482,""))</f>
        <v/>
      </c>
      <c r="G482" s="29" t="str">
        <f>IF(Analysis!$I482="","",IF(Analysis!$I482="Project-driven",Analysis!$C482,""))</f>
        <v/>
      </c>
      <c r="H482" s="29" t="str">
        <f>IF(Analysis!$I482="","",IF(Analysis!$I482="Drifting",Analysis!$C482,""))</f>
        <v/>
      </c>
      <c r="I482" s="29" t="str">
        <f>IF(Analysis!$I482="","",IF(Analysis!$I482="Embedded",Analysis!$F482,""))</f>
        <v/>
      </c>
      <c r="J482" s="29" t="str">
        <f>IF(Analysis!$I482="","",IF(Analysis!$I482="Loyal but shallow",Analysis!$F482,""))</f>
        <v/>
      </c>
      <c r="K482" s="29" t="str">
        <f>IF(Analysis!$I482="","",IF(Analysis!$I482="Project-driven",Analysis!$F482,""))</f>
        <v/>
      </c>
      <c r="L482" s="29" t="str">
        <f>IF(Analysis!$I482="","",IF(Analysis!$I482="Drifting",Analysis!$F482,""))</f>
        <v/>
      </c>
      <c r="M482" s="29" t="str">
        <f>IF(Analysis!$I482="","",IF(Analysis!$I482="Embedded",Analysis!$H482,""))</f>
        <v/>
      </c>
      <c r="N482" s="29" t="str">
        <f>IF(Analysis!$I482="","",IF(Analysis!$I482="Loyal but shallow",Analysis!$H482,""))</f>
        <v/>
      </c>
      <c r="O482" s="29" t="str">
        <f>IF(Analysis!$I482="","",IF(Analysis!$I482="Project-driven",Analysis!$H482,""))</f>
        <v/>
      </c>
      <c r="P482" s="29" t="str">
        <f>IF(Analysis!$I482="","",IF(Analysis!$I482="Drifting",Analysis!$H482,""))</f>
        <v/>
      </c>
    </row>
    <row r="483" spans="1:16" x14ac:dyDescent="0.25">
      <c r="A483" s="29" t="str">
        <f>IF(Analysis!$I483="","",IF(Analysis!$I483="Embedded",Analysis!$D483,""))</f>
        <v/>
      </c>
      <c r="B483" s="29" t="str">
        <f>IF(Analysis!$I483="","",IF(Analysis!$I483="Loyal but shallow",Analysis!$D483,""))</f>
        <v/>
      </c>
      <c r="C483" s="29" t="str">
        <f>IF(Analysis!$I483="","",IF(Analysis!$I483="Project-driven",Analysis!$D483,""))</f>
        <v/>
      </c>
      <c r="D483" s="29" t="str">
        <f>IF(Analysis!$I483="","",IF(Analysis!$I483="Drifting",Analysis!$D483,""))</f>
        <v/>
      </c>
      <c r="E483" s="29" t="str">
        <f>IF(Analysis!$I483="","",IF(Analysis!$I483="Embedded",Analysis!$C483,""))</f>
        <v/>
      </c>
      <c r="F483" s="29" t="str">
        <f>IF(Analysis!$I483="","",IF(Analysis!$I483="Loyal but shallow",Analysis!$C483,""))</f>
        <v/>
      </c>
      <c r="G483" s="29" t="str">
        <f>IF(Analysis!$I483="","",IF(Analysis!$I483="Project-driven",Analysis!$C483,""))</f>
        <v/>
      </c>
      <c r="H483" s="29" t="str">
        <f>IF(Analysis!$I483="","",IF(Analysis!$I483="Drifting",Analysis!$C483,""))</f>
        <v/>
      </c>
      <c r="I483" s="29" t="str">
        <f>IF(Analysis!$I483="","",IF(Analysis!$I483="Embedded",Analysis!$F483,""))</f>
        <v/>
      </c>
      <c r="J483" s="29" t="str">
        <f>IF(Analysis!$I483="","",IF(Analysis!$I483="Loyal but shallow",Analysis!$F483,""))</f>
        <v/>
      </c>
      <c r="K483" s="29" t="str">
        <f>IF(Analysis!$I483="","",IF(Analysis!$I483="Project-driven",Analysis!$F483,""))</f>
        <v/>
      </c>
      <c r="L483" s="29" t="str">
        <f>IF(Analysis!$I483="","",IF(Analysis!$I483="Drifting",Analysis!$F483,""))</f>
        <v/>
      </c>
      <c r="M483" s="29" t="str">
        <f>IF(Analysis!$I483="","",IF(Analysis!$I483="Embedded",Analysis!$H483,""))</f>
        <v/>
      </c>
      <c r="N483" s="29" t="str">
        <f>IF(Analysis!$I483="","",IF(Analysis!$I483="Loyal but shallow",Analysis!$H483,""))</f>
        <v/>
      </c>
      <c r="O483" s="29" t="str">
        <f>IF(Analysis!$I483="","",IF(Analysis!$I483="Project-driven",Analysis!$H483,""))</f>
        <v/>
      </c>
      <c r="P483" s="29" t="str">
        <f>IF(Analysis!$I483="","",IF(Analysis!$I483="Drifting",Analysis!$H483,""))</f>
        <v/>
      </c>
    </row>
    <row r="484" spans="1:16" x14ac:dyDescent="0.25">
      <c r="A484" s="29" t="str">
        <f>IF(Analysis!$I484="","",IF(Analysis!$I484="Embedded",Analysis!$D484,""))</f>
        <v/>
      </c>
      <c r="B484" s="29" t="str">
        <f>IF(Analysis!$I484="","",IF(Analysis!$I484="Loyal but shallow",Analysis!$D484,""))</f>
        <v/>
      </c>
      <c r="C484" s="29" t="str">
        <f>IF(Analysis!$I484="","",IF(Analysis!$I484="Project-driven",Analysis!$D484,""))</f>
        <v/>
      </c>
      <c r="D484" s="29" t="str">
        <f>IF(Analysis!$I484="","",IF(Analysis!$I484="Drifting",Analysis!$D484,""))</f>
        <v/>
      </c>
      <c r="E484" s="29" t="str">
        <f>IF(Analysis!$I484="","",IF(Analysis!$I484="Embedded",Analysis!$C484,""))</f>
        <v/>
      </c>
      <c r="F484" s="29" t="str">
        <f>IF(Analysis!$I484="","",IF(Analysis!$I484="Loyal but shallow",Analysis!$C484,""))</f>
        <v/>
      </c>
      <c r="G484" s="29" t="str">
        <f>IF(Analysis!$I484="","",IF(Analysis!$I484="Project-driven",Analysis!$C484,""))</f>
        <v/>
      </c>
      <c r="H484" s="29" t="str">
        <f>IF(Analysis!$I484="","",IF(Analysis!$I484="Drifting",Analysis!$C484,""))</f>
        <v/>
      </c>
      <c r="I484" s="29" t="str">
        <f>IF(Analysis!$I484="","",IF(Analysis!$I484="Embedded",Analysis!$F484,""))</f>
        <v/>
      </c>
      <c r="J484" s="29" t="str">
        <f>IF(Analysis!$I484="","",IF(Analysis!$I484="Loyal but shallow",Analysis!$F484,""))</f>
        <v/>
      </c>
      <c r="K484" s="29" t="str">
        <f>IF(Analysis!$I484="","",IF(Analysis!$I484="Project-driven",Analysis!$F484,""))</f>
        <v/>
      </c>
      <c r="L484" s="29" t="str">
        <f>IF(Analysis!$I484="","",IF(Analysis!$I484="Drifting",Analysis!$F484,""))</f>
        <v/>
      </c>
      <c r="M484" s="29" t="str">
        <f>IF(Analysis!$I484="","",IF(Analysis!$I484="Embedded",Analysis!$H484,""))</f>
        <v/>
      </c>
      <c r="N484" s="29" t="str">
        <f>IF(Analysis!$I484="","",IF(Analysis!$I484="Loyal but shallow",Analysis!$H484,""))</f>
        <v/>
      </c>
      <c r="O484" s="29" t="str">
        <f>IF(Analysis!$I484="","",IF(Analysis!$I484="Project-driven",Analysis!$H484,""))</f>
        <v/>
      </c>
      <c r="P484" s="29" t="str">
        <f>IF(Analysis!$I484="","",IF(Analysis!$I484="Drifting",Analysis!$H484,""))</f>
        <v/>
      </c>
    </row>
    <row r="485" spans="1:16" x14ac:dyDescent="0.25">
      <c r="A485" s="29" t="str">
        <f>IF(Analysis!$I485="","",IF(Analysis!$I485="Embedded",Analysis!$D485,""))</f>
        <v/>
      </c>
      <c r="B485" s="29" t="str">
        <f>IF(Analysis!$I485="","",IF(Analysis!$I485="Loyal but shallow",Analysis!$D485,""))</f>
        <v/>
      </c>
      <c r="C485" s="29" t="str">
        <f>IF(Analysis!$I485="","",IF(Analysis!$I485="Project-driven",Analysis!$D485,""))</f>
        <v/>
      </c>
      <c r="D485" s="29" t="str">
        <f>IF(Analysis!$I485="","",IF(Analysis!$I485="Drifting",Analysis!$D485,""))</f>
        <v/>
      </c>
      <c r="E485" s="29" t="str">
        <f>IF(Analysis!$I485="","",IF(Analysis!$I485="Embedded",Analysis!$C485,""))</f>
        <v/>
      </c>
      <c r="F485" s="29" t="str">
        <f>IF(Analysis!$I485="","",IF(Analysis!$I485="Loyal but shallow",Analysis!$C485,""))</f>
        <v/>
      </c>
      <c r="G485" s="29" t="str">
        <f>IF(Analysis!$I485="","",IF(Analysis!$I485="Project-driven",Analysis!$C485,""))</f>
        <v/>
      </c>
      <c r="H485" s="29" t="str">
        <f>IF(Analysis!$I485="","",IF(Analysis!$I485="Drifting",Analysis!$C485,""))</f>
        <v/>
      </c>
      <c r="I485" s="29" t="str">
        <f>IF(Analysis!$I485="","",IF(Analysis!$I485="Embedded",Analysis!$F485,""))</f>
        <v/>
      </c>
      <c r="J485" s="29" t="str">
        <f>IF(Analysis!$I485="","",IF(Analysis!$I485="Loyal but shallow",Analysis!$F485,""))</f>
        <v/>
      </c>
      <c r="K485" s="29" t="str">
        <f>IF(Analysis!$I485="","",IF(Analysis!$I485="Project-driven",Analysis!$F485,""))</f>
        <v/>
      </c>
      <c r="L485" s="29" t="str">
        <f>IF(Analysis!$I485="","",IF(Analysis!$I485="Drifting",Analysis!$F485,""))</f>
        <v/>
      </c>
      <c r="M485" s="29" t="str">
        <f>IF(Analysis!$I485="","",IF(Analysis!$I485="Embedded",Analysis!$H485,""))</f>
        <v/>
      </c>
      <c r="N485" s="29" t="str">
        <f>IF(Analysis!$I485="","",IF(Analysis!$I485="Loyal but shallow",Analysis!$H485,""))</f>
        <v/>
      </c>
      <c r="O485" s="29" t="str">
        <f>IF(Analysis!$I485="","",IF(Analysis!$I485="Project-driven",Analysis!$H485,""))</f>
        <v/>
      </c>
      <c r="P485" s="29" t="str">
        <f>IF(Analysis!$I485="","",IF(Analysis!$I485="Drifting",Analysis!$H485,""))</f>
        <v/>
      </c>
    </row>
    <row r="486" spans="1:16" x14ac:dyDescent="0.25">
      <c r="A486" s="29" t="str">
        <f>IF(Analysis!$I486="","",IF(Analysis!$I486="Embedded",Analysis!$D486,""))</f>
        <v/>
      </c>
      <c r="B486" s="29" t="str">
        <f>IF(Analysis!$I486="","",IF(Analysis!$I486="Loyal but shallow",Analysis!$D486,""))</f>
        <v/>
      </c>
      <c r="C486" s="29" t="str">
        <f>IF(Analysis!$I486="","",IF(Analysis!$I486="Project-driven",Analysis!$D486,""))</f>
        <v/>
      </c>
      <c r="D486" s="29" t="str">
        <f>IF(Analysis!$I486="","",IF(Analysis!$I486="Drifting",Analysis!$D486,""))</f>
        <v/>
      </c>
      <c r="E486" s="29" t="str">
        <f>IF(Analysis!$I486="","",IF(Analysis!$I486="Embedded",Analysis!$C486,""))</f>
        <v/>
      </c>
      <c r="F486" s="29" t="str">
        <f>IF(Analysis!$I486="","",IF(Analysis!$I486="Loyal but shallow",Analysis!$C486,""))</f>
        <v/>
      </c>
      <c r="G486" s="29" t="str">
        <f>IF(Analysis!$I486="","",IF(Analysis!$I486="Project-driven",Analysis!$C486,""))</f>
        <v/>
      </c>
      <c r="H486" s="29" t="str">
        <f>IF(Analysis!$I486="","",IF(Analysis!$I486="Drifting",Analysis!$C486,""))</f>
        <v/>
      </c>
      <c r="I486" s="29" t="str">
        <f>IF(Analysis!$I486="","",IF(Analysis!$I486="Embedded",Analysis!$F486,""))</f>
        <v/>
      </c>
      <c r="J486" s="29" t="str">
        <f>IF(Analysis!$I486="","",IF(Analysis!$I486="Loyal but shallow",Analysis!$F486,""))</f>
        <v/>
      </c>
      <c r="K486" s="29" t="str">
        <f>IF(Analysis!$I486="","",IF(Analysis!$I486="Project-driven",Analysis!$F486,""))</f>
        <v/>
      </c>
      <c r="L486" s="29" t="str">
        <f>IF(Analysis!$I486="","",IF(Analysis!$I486="Drifting",Analysis!$F486,""))</f>
        <v/>
      </c>
      <c r="M486" s="29" t="str">
        <f>IF(Analysis!$I486="","",IF(Analysis!$I486="Embedded",Analysis!$H486,""))</f>
        <v/>
      </c>
      <c r="N486" s="29" t="str">
        <f>IF(Analysis!$I486="","",IF(Analysis!$I486="Loyal but shallow",Analysis!$H486,""))</f>
        <v/>
      </c>
      <c r="O486" s="29" t="str">
        <f>IF(Analysis!$I486="","",IF(Analysis!$I486="Project-driven",Analysis!$H486,""))</f>
        <v/>
      </c>
      <c r="P486" s="29" t="str">
        <f>IF(Analysis!$I486="","",IF(Analysis!$I486="Drifting",Analysis!$H486,""))</f>
        <v/>
      </c>
    </row>
    <row r="487" spans="1:16" x14ac:dyDescent="0.25">
      <c r="A487" s="29" t="str">
        <f>IF(Analysis!$I487="","",IF(Analysis!$I487="Embedded",Analysis!$D487,""))</f>
        <v/>
      </c>
      <c r="B487" s="29" t="str">
        <f>IF(Analysis!$I487="","",IF(Analysis!$I487="Loyal but shallow",Analysis!$D487,""))</f>
        <v/>
      </c>
      <c r="C487" s="29" t="str">
        <f>IF(Analysis!$I487="","",IF(Analysis!$I487="Project-driven",Analysis!$D487,""))</f>
        <v/>
      </c>
      <c r="D487" s="29" t="str">
        <f>IF(Analysis!$I487="","",IF(Analysis!$I487="Drifting",Analysis!$D487,""))</f>
        <v/>
      </c>
      <c r="E487" s="29" t="str">
        <f>IF(Analysis!$I487="","",IF(Analysis!$I487="Embedded",Analysis!$C487,""))</f>
        <v/>
      </c>
      <c r="F487" s="29" t="str">
        <f>IF(Analysis!$I487="","",IF(Analysis!$I487="Loyal but shallow",Analysis!$C487,""))</f>
        <v/>
      </c>
      <c r="G487" s="29" t="str">
        <f>IF(Analysis!$I487="","",IF(Analysis!$I487="Project-driven",Analysis!$C487,""))</f>
        <v/>
      </c>
      <c r="H487" s="29" t="str">
        <f>IF(Analysis!$I487="","",IF(Analysis!$I487="Drifting",Analysis!$C487,""))</f>
        <v/>
      </c>
      <c r="I487" s="29" t="str">
        <f>IF(Analysis!$I487="","",IF(Analysis!$I487="Embedded",Analysis!$F487,""))</f>
        <v/>
      </c>
      <c r="J487" s="29" t="str">
        <f>IF(Analysis!$I487="","",IF(Analysis!$I487="Loyal but shallow",Analysis!$F487,""))</f>
        <v/>
      </c>
      <c r="K487" s="29" t="str">
        <f>IF(Analysis!$I487="","",IF(Analysis!$I487="Project-driven",Analysis!$F487,""))</f>
        <v/>
      </c>
      <c r="L487" s="29" t="str">
        <f>IF(Analysis!$I487="","",IF(Analysis!$I487="Drifting",Analysis!$F487,""))</f>
        <v/>
      </c>
      <c r="M487" s="29" t="str">
        <f>IF(Analysis!$I487="","",IF(Analysis!$I487="Embedded",Analysis!$H487,""))</f>
        <v/>
      </c>
      <c r="N487" s="29" t="str">
        <f>IF(Analysis!$I487="","",IF(Analysis!$I487="Loyal but shallow",Analysis!$H487,""))</f>
        <v/>
      </c>
      <c r="O487" s="29" t="str">
        <f>IF(Analysis!$I487="","",IF(Analysis!$I487="Project-driven",Analysis!$H487,""))</f>
        <v/>
      </c>
      <c r="P487" s="29" t="str">
        <f>IF(Analysis!$I487="","",IF(Analysis!$I487="Drifting",Analysis!$H487,""))</f>
        <v/>
      </c>
    </row>
    <row r="488" spans="1:16" x14ac:dyDescent="0.25">
      <c r="A488" s="29" t="str">
        <f>IF(Analysis!$I488="","",IF(Analysis!$I488="Embedded",Analysis!$D488,""))</f>
        <v/>
      </c>
      <c r="B488" s="29" t="str">
        <f>IF(Analysis!$I488="","",IF(Analysis!$I488="Loyal but shallow",Analysis!$D488,""))</f>
        <v/>
      </c>
      <c r="C488" s="29" t="str">
        <f>IF(Analysis!$I488="","",IF(Analysis!$I488="Project-driven",Analysis!$D488,""))</f>
        <v/>
      </c>
      <c r="D488" s="29" t="str">
        <f>IF(Analysis!$I488="","",IF(Analysis!$I488="Drifting",Analysis!$D488,""))</f>
        <v/>
      </c>
      <c r="E488" s="29" t="str">
        <f>IF(Analysis!$I488="","",IF(Analysis!$I488="Embedded",Analysis!$C488,""))</f>
        <v/>
      </c>
      <c r="F488" s="29" t="str">
        <f>IF(Analysis!$I488="","",IF(Analysis!$I488="Loyal but shallow",Analysis!$C488,""))</f>
        <v/>
      </c>
      <c r="G488" s="29" t="str">
        <f>IF(Analysis!$I488="","",IF(Analysis!$I488="Project-driven",Analysis!$C488,""))</f>
        <v/>
      </c>
      <c r="H488" s="29" t="str">
        <f>IF(Analysis!$I488="","",IF(Analysis!$I488="Drifting",Analysis!$C488,""))</f>
        <v/>
      </c>
      <c r="I488" s="29" t="str">
        <f>IF(Analysis!$I488="","",IF(Analysis!$I488="Embedded",Analysis!$F488,""))</f>
        <v/>
      </c>
      <c r="J488" s="29" t="str">
        <f>IF(Analysis!$I488="","",IF(Analysis!$I488="Loyal but shallow",Analysis!$F488,""))</f>
        <v/>
      </c>
      <c r="K488" s="29" t="str">
        <f>IF(Analysis!$I488="","",IF(Analysis!$I488="Project-driven",Analysis!$F488,""))</f>
        <v/>
      </c>
      <c r="L488" s="29" t="str">
        <f>IF(Analysis!$I488="","",IF(Analysis!$I488="Drifting",Analysis!$F488,""))</f>
        <v/>
      </c>
      <c r="M488" s="29" t="str">
        <f>IF(Analysis!$I488="","",IF(Analysis!$I488="Embedded",Analysis!$H488,""))</f>
        <v/>
      </c>
      <c r="N488" s="29" t="str">
        <f>IF(Analysis!$I488="","",IF(Analysis!$I488="Loyal but shallow",Analysis!$H488,""))</f>
        <v/>
      </c>
      <c r="O488" s="29" t="str">
        <f>IF(Analysis!$I488="","",IF(Analysis!$I488="Project-driven",Analysis!$H488,""))</f>
        <v/>
      </c>
      <c r="P488" s="29" t="str">
        <f>IF(Analysis!$I488="","",IF(Analysis!$I488="Drifting",Analysis!$H488,""))</f>
        <v/>
      </c>
    </row>
    <row r="489" spans="1:16" x14ac:dyDescent="0.25">
      <c r="A489" s="29" t="str">
        <f>IF(Analysis!$I489="","",IF(Analysis!$I489="Embedded",Analysis!$D489,""))</f>
        <v/>
      </c>
      <c r="B489" s="29" t="str">
        <f>IF(Analysis!$I489="","",IF(Analysis!$I489="Loyal but shallow",Analysis!$D489,""))</f>
        <v/>
      </c>
      <c r="C489" s="29" t="str">
        <f>IF(Analysis!$I489="","",IF(Analysis!$I489="Project-driven",Analysis!$D489,""))</f>
        <v/>
      </c>
      <c r="D489" s="29" t="str">
        <f>IF(Analysis!$I489="","",IF(Analysis!$I489="Drifting",Analysis!$D489,""))</f>
        <v/>
      </c>
      <c r="E489" s="29" t="str">
        <f>IF(Analysis!$I489="","",IF(Analysis!$I489="Embedded",Analysis!$C489,""))</f>
        <v/>
      </c>
      <c r="F489" s="29" t="str">
        <f>IF(Analysis!$I489="","",IF(Analysis!$I489="Loyal but shallow",Analysis!$C489,""))</f>
        <v/>
      </c>
      <c r="G489" s="29" t="str">
        <f>IF(Analysis!$I489="","",IF(Analysis!$I489="Project-driven",Analysis!$C489,""))</f>
        <v/>
      </c>
      <c r="H489" s="29" t="str">
        <f>IF(Analysis!$I489="","",IF(Analysis!$I489="Drifting",Analysis!$C489,""))</f>
        <v/>
      </c>
      <c r="I489" s="29" t="str">
        <f>IF(Analysis!$I489="","",IF(Analysis!$I489="Embedded",Analysis!$F489,""))</f>
        <v/>
      </c>
      <c r="J489" s="29" t="str">
        <f>IF(Analysis!$I489="","",IF(Analysis!$I489="Loyal but shallow",Analysis!$F489,""))</f>
        <v/>
      </c>
      <c r="K489" s="29" t="str">
        <f>IF(Analysis!$I489="","",IF(Analysis!$I489="Project-driven",Analysis!$F489,""))</f>
        <v/>
      </c>
      <c r="L489" s="29" t="str">
        <f>IF(Analysis!$I489="","",IF(Analysis!$I489="Drifting",Analysis!$F489,""))</f>
        <v/>
      </c>
      <c r="M489" s="29" t="str">
        <f>IF(Analysis!$I489="","",IF(Analysis!$I489="Embedded",Analysis!$H489,""))</f>
        <v/>
      </c>
      <c r="N489" s="29" t="str">
        <f>IF(Analysis!$I489="","",IF(Analysis!$I489="Loyal but shallow",Analysis!$H489,""))</f>
        <v/>
      </c>
      <c r="O489" s="29" t="str">
        <f>IF(Analysis!$I489="","",IF(Analysis!$I489="Project-driven",Analysis!$H489,""))</f>
        <v/>
      </c>
      <c r="P489" s="29" t="str">
        <f>IF(Analysis!$I489="","",IF(Analysis!$I489="Drifting",Analysis!$H489,""))</f>
        <v/>
      </c>
    </row>
    <row r="490" spans="1:16" x14ac:dyDescent="0.25">
      <c r="A490" s="29" t="str">
        <f>IF(Analysis!$I490="","",IF(Analysis!$I490="Embedded",Analysis!$D490,""))</f>
        <v/>
      </c>
      <c r="B490" s="29" t="str">
        <f>IF(Analysis!$I490="","",IF(Analysis!$I490="Loyal but shallow",Analysis!$D490,""))</f>
        <v/>
      </c>
      <c r="C490" s="29" t="str">
        <f>IF(Analysis!$I490="","",IF(Analysis!$I490="Project-driven",Analysis!$D490,""))</f>
        <v/>
      </c>
      <c r="D490" s="29" t="str">
        <f>IF(Analysis!$I490="","",IF(Analysis!$I490="Drifting",Analysis!$D490,""))</f>
        <v/>
      </c>
      <c r="E490" s="29" t="str">
        <f>IF(Analysis!$I490="","",IF(Analysis!$I490="Embedded",Analysis!$C490,""))</f>
        <v/>
      </c>
      <c r="F490" s="29" t="str">
        <f>IF(Analysis!$I490="","",IF(Analysis!$I490="Loyal but shallow",Analysis!$C490,""))</f>
        <v/>
      </c>
      <c r="G490" s="29" t="str">
        <f>IF(Analysis!$I490="","",IF(Analysis!$I490="Project-driven",Analysis!$C490,""))</f>
        <v/>
      </c>
      <c r="H490" s="29" t="str">
        <f>IF(Analysis!$I490="","",IF(Analysis!$I490="Drifting",Analysis!$C490,""))</f>
        <v/>
      </c>
      <c r="I490" s="29" t="str">
        <f>IF(Analysis!$I490="","",IF(Analysis!$I490="Embedded",Analysis!$F490,""))</f>
        <v/>
      </c>
      <c r="J490" s="29" t="str">
        <f>IF(Analysis!$I490="","",IF(Analysis!$I490="Loyal but shallow",Analysis!$F490,""))</f>
        <v/>
      </c>
      <c r="K490" s="29" t="str">
        <f>IF(Analysis!$I490="","",IF(Analysis!$I490="Project-driven",Analysis!$F490,""))</f>
        <v/>
      </c>
      <c r="L490" s="29" t="str">
        <f>IF(Analysis!$I490="","",IF(Analysis!$I490="Drifting",Analysis!$F490,""))</f>
        <v/>
      </c>
      <c r="M490" s="29" t="str">
        <f>IF(Analysis!$I490="","",IF(Analysis!$I490="Embedded",Analysis!$H490,""))</f>
        <v/>
      </c>
      <c r="N490" s="29" t="str">
        <f>IF(Analysis!$I490="","",IF(Analysis!$I490="Loyal but shallow",Analysis!$H490,""))</f>
        <v/>
      </c>
      <c r="O490" s="29" t="str">
        <f>IF(Analysis!$I490="","",IF(Analysis!$I490="Project-driven",Analysis!$H490,""))</f>
        <v/>
      </c>
      <c r="P490" s="29" t="str">
        <f>IF(Analysis!$I490="","",IF(Analysis!$I490="Drifting",Analysis!$H490,""))</f>
        <v/>
      </c>
    </row>
    <row r="491" spans="1:16" x14ac:dyDescent="0.25">
      <c r="A491" s="29" t="str">
        <f>IF(Analysis!$I491="","",IF(Analysis!$I491="Embedded",Analysis!$D491,""))</f>
        <v/>
      </c>
      <c r="B491" s="29" t="str">
        <f>IF(Analysis!$I491="","",IF(Analysis!$I491="Loyal but shallow",Analysis!$D491,""))</f>
        <v/>
      </c>
      <c r="C491" s="29" t="str">
        <f>IF(Analysis!$I491="","",IF(Analysis!$I491="Project-driven",Analysis!$D491,""))</f>
        <v/>
      </c>
      <c r="D491" s="29" t="str">
        <f>IF(Analysis!$I491="","",IF(Analysis!$I491="Drifting",Analysis!$D491,""))</f>
        <v/>
      </c>
      <c r="E491" s="29" t="str">
        <f>IF(Analysis!$I491="","",IF(Analysis!$I491="Embedded",Analysis!$C491,""))</f>
        <v/>
      </c>
      <c r="F491" s="29" t="str">
        <f>IF(Analysis!$I491="","",IF(Analysis!$I491="Loyal but shallow",Analysis!$C491,""))</f>
        <v/>
      </c>
      <c r="G491" s="29" t="str">
        <f>IF(Analysis!$I491="","",IF(Analysis!$I491="Project-driven",Analysis!$C491,""))</f>
        <v/>
      </c>
      <c r="H491" s="29" t="str">
        <f>IF(Analysis!$I491="","",IF(Analysis!$I491="Drifting",Analysis!$C491,""))</f>
        <v/>
      </c>
      <c r="I491" s="29" t="str">
        <f>IF(Analysis!$I491="","",IF(Analysis!$I491="Embedded",Analysis!$F491,""))</f>
        <v/>
      </c>
      <c r="J491" s="29" t="str">
        <f>IF(Analysis!$I491="","",IF(Analysis!$I491="Loyal but shallow",Analysis!$F491,""))</f>
        <v/>
      </c>
      <c r="K491" s="29" t="str">
        <f>IF(Analysis!$I491="","",IF(Analysis!$I491="Project-driven",Analysis!$F491,""))</f>
        <v/>
      </c>
      <c r="L491" s="29" t="str">
        <f>IF(Analysis!$I491="","",IF(Analysis!$I491="Drifting",Analysis!$F491,""))</f>
        <v/>
      </c>
      <c r="M491" s="29" t="str">
        <f>IF(Analysis!$I491="","",IF(Analysis!$I491="Embedded",Analysis!$H491,""))</f>
        <v/>
      </c>
      <c r="N491" s="29" t="str">
        <f>IF(Analysis!$I491="","",IF(Analysis!$I491="Loyal but shallow",Analysis!$H491,""))</f>
        <v/>
      </c>
      <c r="O491" s="29" t="str">
        <f>IF(Analysis!$I491="","",IF(Analysis!$I491="Project-driven",Analysis!$H491,""))</f>
        <v/>
      </c>
      <c r="P491" s="29" t="str">
        <f>IF(Analysis!$I491="","",IF(Analysis!$I491="Drifting",Analysis!$H491,""))</f>
        <v/>
      </c>
    </row>
    <row r="492" spans="1:16" x14ac:dyDescent="0.25">
      <c r="A492" s="29" t="str">
        <f>IF(Analysis!$I492="","",IF(Analysis!$I492="Embedded",Analysis!$D492,""))</f>
        <v/>
      </c>
      <c r="B492" s="29" t="str">
        <f>IF(Analysis!$I492="","",IF(Analysis!$I492="Loyal but shallow",Analysis!$D492,""))</f>
        <v/>
      </c>
      <c r="C492" s="29" t="str">
        <f>IF(Analysis!$I492="","",IF(Analysis!$I492="Project-driven",Analysis!$D492,""))</f>
        <v/>
      </c>
      <c r="D492" s="29" t="str">
        <f>IF(Analysis!$I492="","",IF(Analysis!$I492="Drifting",Analysis!$D492,""))</f>
        <v/>
      </c>
      <c r="E492" s="29" t="str">
        <f>IF(Analysis!$I492="","",IF(Analysis!$I492="Embedded",Analysis!$C492,""))</f>
        <v/>
      </c>
      <c r="F492" s="29" t="str">
        <f>IF(Analysis!$I492="","",IF(Analysis!$I492="Loyal but shallow",Analysis!$C492,""))</f>
        <v/>
      </c>
      <c r="G492" s="29" t="str">
        <f>IF(Analysis!$I492="","",IF(Analysis!$I492="Project-driven",Analysis!$C492,""))</f>
        <v/>
      </c>
      <c r="H492" s="29" t="str">
        <f>IF(Analysis!$I492="","",IF(Analysis!$I492="Drifting",Analysis!$C492,""))</f>
        <v/>
      </c>
      <c r="I492" s="29" t="str">
        <f>IF(Analysis!$I492="","",IF(Analysis!$I492="Embedded",Analysis!$F492,""))</f>
        <v/>
      </c>
      <c r="J492" s="29" t="str">
        <f>IF(Analysis!$I492="","",IF(Analysis!$I492="Loyal but shallow",Analysis!$F492,""))</f>
        <v/>
      </c>
      <c r="K492" s="29" t="str">
        <f>IF(Analysis!$I492="","",IF(Analysis!$I492="Project-driven",Analysis!$F492,""))</f>
        <v/>
      </c>
      <c r="L492" s="29" t="str">
        <f>IF(Analysis!$I492="","",IF(Analysis!$I492="Drifting",Analysis!$F492,""))</f>
        <v/>
      </c>
      <c r="M492" s="29" t="str">
        <f>IF(Analysis!$I492="","",IF(Analysis!$I492="Embedded",Analysis!$H492,""))</f>
        <v/>
      </c>
      <c r="N492" s="29" t="str">
        <f>IF(Analysis!$I492="","",IF(Analysis!$I492="Loyal but shallow",Analysis!$H492,""))</f>
        <v/>
      </c>
      <c r="O492" s="29" t="str">
        <f>IF(Analysis!$I492="","",IF(Analysis!$I492="Project-driven",Analysis!$H492,""))</f>
        <v/>
      </c>
      <c r="P492" s="29" t="str">
        <f>IF(Analysis!$I492="","",IF(Analysis!$I492="Drifting",Analysis!$H492,""))</f>
        <v/>
      </c>
    </row>
    <row r="493" spans="1:16" x14ac:dyDescent="0.25">
      <c r="A493" s="29" t="str">
        <f>IF(Analysis!$I493="","",IF(Analysis!$I493="Embedded",Analysis!$D493,""))</f>
        <v/>
      </c>
      <c r="B493" s="29" t="str">
        <f>IF(Analysis!$I493="","",IF(Analysis!$I493="Loyal but shallow",Analysis!$D493,""))</f>
        <v/>
      </c>
      <c r="C493" s="29" t="str">
        <f>IF(Analysis!$I493="","",IF(Analysis!$I493="Project-driven",Analysis!$D493,""))</f>
        <v/>
      </c>
      <c r="D493" s="29" t="str">
        <f>IF(Analysis!$I493="","",IF(Analysis!$I493="Drifting",Analysis!$D493,""))</f>
        <v/>
      </c>
      <c r="E493" s="29" t="str">
        <f>IF(Analysis!$I493="","",IF(Analysis!$I493="Embedded",Analysis!$C493,""))</f>
        <v/>
      </c>
      <c r="F493" s="29" t="str">
        <f>IF(Analysis!$I493="","",IF(Analysis!$I493="Loyal but shallow",Analysis!$C493,""))</f>
        <v/>
      </c>
      <c r="G493" s="29" t="str">
        <f>IF(Analysis!$I493="","",IF(Analysis!$I493="Project-driven",Analysis!$C493,""))</f>
        <v/>
      </c>
      <c r="H493" s="29" t="str">
        <f>IF(Analysis!$I493="","",IF(Analysis!$I493="Drifting",Analysis!$C493,""))</f>
        <v/>
      </c>
      <c r="I493" s="29" t="str">
        <f>IF(Analysis!$I493="","",IF(Analysis!$I493="Embedded",Analysis!$F493,""))</f>
        <v/>
      </c>
      <c r="J493" s="29" t="str">
        <f>IF(Analysis!$I493="","",IF(Analysis!$I493="Loyal but shallow",Analysis!$F493,""))</f>
        <v/>
      </c>
      <c r="K493" s="29" t="str">
        <f>IF(Analysis!$I493="","",IF(Analysis!$I493="Project-driven",Analysis!$F493,""))</f>
        <v/>
      </c>
      <c r="L493" s="29" t="str">
        <f>IF(Analysis!$I493="","",IF(Analysis!$I493="Drifting",Analysis!$F493,""))</f>
        <v/>
      </c>
      <c r="M493" s="29" t="str">
        <f>IF(Analysis!$I493="","",IF(Analysis!$I493="Embedded",Analysis!$H493,""))</f>
        <v/>
      </c>
      <c r="N493" s="29" t="str">
        <f>IF(Analysis!$I493="","",IF(Analysis!$I493="Loyal but shallow",Analysis!$H493,""))</f>
        <v/>
      </c>
      <c r="O493" s="29" t="str">
        <f>IF(Analysis!$I493="","",IF(Analysis!$I493="Project-driven",Analysis!$H493,""))</f>
        <v/>
      </c>
      <c r="P493" s="29" t="str">
        <f>IF(Analysis!$I493="","",IF(Analysis!$I493="Drifting",Analysis!$H493,""))</f>
        <v/>
      </c>
    </row>
    <row r="494" spans="1:16" x14ac:dyDescent="0.25">
      <c r="A494" s="29" t="str">
        <f>IF(Analysis!$I494="","",IF(Analysis!$I494="Embedded",Analysis!$D494,""))</f>
        <v/>
      </c>
      <c r="B494" s="29" t="str">
        <f>IF(Analysis!$I494="","",IF(Analysis!$I494="Loyal but shallow",Analysis!$D494,""))</f>
        <v/>
      </c>
      <c r="C494" s="29" t="str">
        <f>IF(Analysis!$I494="","",IF(Analysis!$I494="Project-driven",Analysis!$D494,""))</f>
        <v/>
      </c>
      <c r="D494" s="29" t="str">
        <f>IF(Analysis!$I494="","",IF(Analysis!$I494="Drifting",Analysis!$D494,""))</f>
        <v/>
      </c>
      <c r="E494" s="29" t="str">
        <f>IF(Analysis!$I494="","",IF(Analysis!$I494="Embedded",Analysis!$C494,""))</f>
        <v/>
      </c>
      <c r="F494" s="29" t="str">
        <f>IF(Analysis!$I494="","",IF(Analysis!$I494="Loyal but shallow",Analysis!$C494,""))</f>
        <v/>
      </c>
      <c r="G494" s="29" t="str">
        <f>IF(Analysis!$I494="","",IF(Analysis!$I494="Project-driven",Analysis!$C494,""))</f>
        <v/>
      </c>
      <c r="H494" s="29" t="str">
        <f>IF(Analysis!$I494="","",IF(Analysis!$I494="Drifting",Analysis!$C494,""))</f>
        <v/>
      </c>
      <c r="I494" s="29" t="str">
        <f>IF(Analysis!$I494="","",IF(Analysis!$I494="Embedded",Analysis!$F494,""))</f>
        <v/>
      </c>
      <c r="J494" s="29" t="str">
        <f>IF(Analysis!$I494="","",IF(Analysis!$I494="Loyal but shallow",Analysis!$F494,""))</f>
        <v/>
      </c>
      <c r="K494" s="29" t="str">
        <f>IF(Analysis!$I494="","",IF(Analysis!$I494="Project-driven",Analysis!$F494,""))</f>
        <v/>
      </c>
      <c r="L494" s="29" t="str">
        <f>IF(Analysis!$I494="","",IF(Analysis!$I494="Drifting",Analysis!$F494,""))</f>
        <v/>
      </c>
      <c r="M494" s="29" t="str">
        <f>IF(Analysis!$I494="","",IF(Analysis!$I494="Embedded",Analysis!$H494,""))</f>
        <v/>
      </c>
      <c r="N494" s="29" t="str">
        <f>IF(Analysis!$I494="","",IF(Analysis!$I494="Loyal but shallow",Analysis!$H494,""))</f>
        <v/>
      </c>
      <c r="O494" s="29" t="str">
        <f>IF(Analysis!$I494="","",IF(Analysis!$I494="Project-driven",Analysis!$H494,""))</f>
        <v/>
      </c>
      <c r="P494" s="29" t="str">
        <f>IF(Analysis!$I494="","",IF(Analysis!$I494="Drifting",Analysis!$H494,""))</f>
        <v/>
      </c>
    </row>
    <row r="495" spans="1:16" x14ac:dyDescent="0.25">
      <c r="A495" s="29" t="str">
        <f>IF(Analysis!$I495="","",IF(Analysis!$I495="Embedded",Analysis!$D495,""))</f>
        <v/>
      </c>
      <c r="B495" s="29" t="str">
        <f>IF(Analysis!$I495="","",IF(Analysis!$I495="Loyal but shallow",Analysis!$D495,""))</f>
        <v/>
      </c>
      <c r="C495" s="29" t="str">
        <f>IF(Analysis!$I495="","",IF(Analysis!$I495="Project-driven",Analysis!$D495,""))</f>
        <v/>
      </c>
      <c r="D495" s="29" t="str">
        <f>IF(Analysis!$I495="","",IF(Analysis!$I495="Drifting",Analysis!$D495,""))</f>
        <v/>
      </c>
      <c r="E495" s="29" t="str">
        <f>IF(Analysis!$I495="","",IF(Analysis!$I495="Embedded",Analysis!$C495,""))</f>
        <v/>
      </c>
      <c r="F495" s="29" t="str">
        <f>IF(Analysis!$I495="","",IF(Analysis!$I495="Loyal but shallow",Analysis!$C495,""))</f>
        <v/>
      </c>
      <c r="G495" s="29" t="str">
        <f>IF(Analysis!$I495="","",IF(Analysis!$I495="Project-driven",Analysis!$C495,""))</f>
        <v/>
      </c>
      <c r="H495" s="29" t="str">
        <f>IF(Analysis!$I495="","",IF(Analysis!$I495="Drifting",Analysis!$C495,""))</f>
        <v/>
      </c>
      <c r="I495" s="29" t="str">
        <f>IF(Analysis!$I495="","",IF(Analysis!$I495="Embedded",Analysis!$F495,""))</f>
        <v/>
      </c>
      <c r="J495" s="29" t="str">
        <f>IF(Analysis!$I495="","",IF(Analysis!$I495="Loyal but shallow",Analysis!$F495,""))</f>
        <v/>
      </c>
      <c r="K495" s="29" t="str">
        <f>IF(Analysis!$I495="","",IF(Analysis!$I495="Project-driven",Analysis!$F495,""))</f>
        <v/>
      </c>
      <c r="L495" s="29" t="str">
        <f>IF(Analysis!$I495="","",IF(Analysis!$I495="Drifting",Analysis!$F495,""))</f>
        <v/>
      </c>
      <c r="M495" s="29" t="str">
        <f>IF(Analysis!$I495="","",IF(Analysis!$I495="Embedded",Analysis!$H495,""))</f>
        <v/>
      </c>
      <c r="N495" s="29" t="str">
        <f>IF(Analysis!$I495="","",IF(Analysis!$I495="Loyal but shallow",Analysis!$H495,""))</f>
        <v/>
      </c>
      <c r="O495" s="29" t="str">
        <f>IF(Analysis!$I495="","",IF(Analysis!$I495="Project-driven",Analysis!$H495,""))</f>
        <v/>
      </c>
      <c r="P495" s="29" t="str">
        <f>IF(Analysis!$I495="","",IF(Analysis!$I495="Drifting",Analysis!$H495,""))</f>
        <v/>
      </c>
    </row>
    <row r="496" spans="1:16" x14ac:dyDescent="0.25">
      <c r="A496" s="29" t="str">
        <f>IF(Analysis!$I496="","",IF(Analysis!$I496="Embedded",Analysis!$D496,""))</f>
        <v/>
      </c>
      <c r="B496" s="29" t="str">
        <f>IF(Analysis!$I496="","",IF(Analysis!$I496="Loyal but shallow",Analysis!$D496,""))</f>
        <v/>
      </c>
      <c r="C496" s="29" t="str">
        <f>IF(Analysis!$I496="","",IF(Analysis!$I496="Project-driven",Analysis!$D496,""))</f>
        <v/>
      </c>
      <c r="D496" s="29" t="str">
        <f>IF(Analysis!$I496="","",IF(Analysis!$I496="Drifting",Analysis!$D496,""))</f>
        <v/>
      </c>
      <c r="E496" s="29" t="str">
        <f>IF(Analysis!$I496="","",IF(Analysis!$I496="Embedded",Analysis!$C496,""))</f>
        <v/>
      </c>
      <c r="F496" s="29" t="str">
        <f>IF(Analysis!$I496="","",IF(Analysis!$I496="Loyal but shallow",Analysis!$C496,""))</f>
        <v/>
      </c>
      <c r="G496" s="29" t="str">
        <f>IF(Analysis!$I496="","",IF(Analysis!$I496="Project-driven",Analysis!$C496,""))</f>
        <v/>
      </c>
      <c r="H496" s="29" t="str">
        <f>IF(Analysis!$I496="","",IF(Analysis!$I496="Drifting",Analysis!$C496,""))</f>
        <v/>
      </c>
      <c r="I496" s="29" t="str">
        <f>IF(Analysis!$I496="","",IF(Analysis!$I496="Embedded",Analysis!$F496,""))</f>
        <v/>
      </c>
      <c r="J496" s="29" t="str">
        <f>IF(Analysis!$I496="","",IF(Analysis!$I496="Loyal but shallow",Analysis!$F496,""))</f>
        <v/>
      </c>
      <c r="K496" s="29" t="str">
        <f>IF(Analysis!$I496="","",IF(Analysis!$I496="Project-driven",Analysis!$F496,""))</f>
        <v/>
      </c>
      <c r="L496" s="29" t="str">
        <f>IF(Analysis!$I496="","",IF(Analysis!$I496="Drifting",Analysis!$F496,""))</f>
        <v/>
      </c>
      <c r="M496" s="29" t="str">
        <f>IF(Analysis!$I496="","",IF(Analysis!$I496="Embedded",Analysis!$H496,""))</f>
        <v/>
      </c>
      <c r="N496" s="29" t="str">
        <f>IF(Analysis!$I496="","",IF(Analysis!$I496="Loyal but shallow",Analysis!$H496,""))</f>
        <v/>
      </c>
      <c r="O496" s="29" t="str">
        <f>IF(Analysis!$I496="","",IF(Analysis!$I496="Project-driven",Analysis!$H496,""))</f>
        <v/>
      </c>
      <c r="P496" s="29" t="str">
        <f>IF(Analysis!$I496="","",IF(Analysis!$I496="Drifting",Analysis!$H496,""))</f>
        <v/>
      </c>
    </row>
    <row r="497" spans="1:16" x14ac:dyDescent="0.25">
      <c r="A497" s="29" t="str">
        <f>IF(Analysis!$I497="","",IF(Analysis!$I497="Embedded",Analysis!$D497,""))</f>
        <v/>
      </c>
      <c r="B497" s="29" t="str">
        <f>IF(Analysis!$I497="","",IF(Analysis!$I497="Loyal but shallow",Analysis!$D497,""))</f>
        <v/>
      </c>
      <c r="C497" s="29" t="str">
        <f>IF(Analysis!$I497="","",IF(Analysis!$I497="Project-driven",Analysis!$D497,""))</f>
        <v/>
      </c>
      <c r="D497" s="29" t="str">
        <f>IF(Analysis!$I497="","",IF(Analysis!$I497="Drifting",Analysis!$D497,""))</f>
        <v/>
      </c>
      <c r="E497" s="29" t="str">
        <f>IF(Analysis!$I497="","",IF(Analysis!$I497="Embedded",Analysis!$C497,""))</f>
        <v/>
      </c>
      <c r="F497" s="29" t="str">
        <f>IF(Analysis!$I497="","",IF(Analysis!$I497="Loyal but shallow",Analysis!$C497,""))</f>
        <v/>
      </c>
      <c r="G497" s="29" t="str">
        <f>IF(Analysis!$I497="","",IF(Analysis!$I497="Project-driven",Analysis!$C497,""))</f>
        <v/>
      </c>
      <c r="H497" s="29" t="str">
        <f>IF(Analysis!$I497="","",IF(Analysis!$I497="Drifting",Analysis!$C497,""))</f>
        <v/>
      </c>
      <c r="I497" s="29" t="str">
        <f>IF(Analysis!$I497="","",IF(Analysis!$I497="Embedded",Analysis!$F497,""))</f>
        <v/>
      </c>
      <c r="J497" s="29" t="str">
        <f>IF(Analysis!$I497="","",IF(Analysis!$I497="Loyal but shallow",Analysis!$F497,""))</f>
        <v/>
      </c>
      <c r="K497" s="29" t="str">
        <f>IF(Analysis!$I497="","",IF(Analysis!$I497="Project-driven",Analysis!$F497,""))</f>
        <v/>
      </c>
      <c r="L497" s="29" t="str">
        <f>IF(Analysis!$I497="","",IF(Analysis!$I497="Drifting",Analysis!$F497,""))</f>
        <v/>
      </c>
      <c r="M497" s="29" t="str">
        <f>IF(Analysis!$I497="","",IF(Analysis!$I497="Embedded",Analysis!$H497,""))</f>
        <v/>
      </c>
      <c r="N497" s="29" t="str">
        <f>IF(Analysis!$I497="","",IF(Analysis!$I497="Loyal but shallow",Analysis!$H497,""))</f>
        <v/>
      </c>
      <c r="O497" s="29" t="str">
        <f>IF(Analysis!$I497="","",IF(Analysis!$I497="Project-driven",Analysis!$H497,""))</f>
        <v/>
      </c>
      <c r="P497" s="29" t="str">
        <f>IF(Analysis!$I497="","",IF(Analysis!$I497="Drifting",Analysis!$H497,""))</f>
        <v/>
      </c>
    </row>
    <row r="498" spans="1:16" x14ac:dyDescent="0.25">
      <c r="A498" s="29" t="str">
        <f>IF(Analysis!$I498="","",IF(Analysis!$I498="Embedded",Analysis!$D498,""))</f>
        <v/>
      </c>
      <c r="B498" s="29" t="str">
        <f>IF(Analysis!$I498="","",IF(Analysis!$I498="Loyal but shallow",Analysis!$D498,""))</f>
        <v/>
      </c>
      <c r="C498" s="29" t="str">
        <f>IF(Analysis!$I498="","",IF(Analysis!$I498="Project-driven",Analysis!$D498,""))</f>
        <v/>
      </c>
      <c r="D498" s="29" t="str">
        <f>IF(Analysis!$I498="","",IF(Analysis!$I498="Drifting",Analysis!$D498,""))</f>
        <v/>
      </c>
      <c r="E498" s="29" t="str">
        <f>IF(Analysis!$I498="","",IF(Analysis!$I498="Embedded",Analysis!$C498,""))</f>
        <v/>
      </c>
      <c r="F498" s="29" t="str">
        <f>IF(Analysis!$I498="","",IF(Analysis!$I498="Loyal but shallow",Analysis!$C498,""))</f>
        <v/>
      </c>
      <c r="G498" s="29" t="str">
        <f>IF(Analysis!$I498="","",IF(Analysis!$I498="Project-driven",Analysis!$C498,""))</f>
        <v/>
      </c>
      <c r="H498" s="29" t="str">
        <f>IF(Analysis!$I498="","",IF(Analysis!$I498="Drifting",Analysis!$C498,""))</f>
        <v/>
      </c>
      <c r="I498" s="29" t="str">
        <f>IF(Analysis!$I498="","",IF(Analysis!$I498="Embedded",Analysis!$F498,""))</f>
        <v/>
      </c>
      <c r="J498" s="29" t="str">
        <f>IF(Analysis!$I498="","",IF(Analysis!$I498="Loyal but shallow",Analysis!$F498,""))</f>
        <v/>
      </c>
      <c r="K498" s="29" t="str">
        <f>IF(Analysis!$I498="","",IF(Analysis!$I498="Project-driven",Analysis!$F498,""))</f>
        <v/>
      </c>
      <c r="L498" s="29" t="str">
        <f>IF(Analysis!$I498="","",IF(Analysis!$I498="Drifting",Analysis!$F498,""))</f>
        <v/>
      </c>
      <c r="M498" s="29" t="str">
        <f>IF(Analysis!$I498="","",IF(Analysis!$I498="Embedded",Analysis!$H498,""))</f>
        <v/>
      </c>
      <c r="N498" s="29" t="str">
        <f>IF(Analysis!$I498="","",IF(Analysis!$I498="Loyal but shallow",Analysis!$H498,""))</f>
        <v/>
      </c>
      <c r="O498" s="29" t="str">
        <f>IF(Analysis!$I498="","",IF(Analysis!$I498="Project-driven",Analysis!$H498,""))</f>
        <v/>
      </c>
      <c r="P498" s="29" t="str">
        <f>IF(Analysis!$I498="","",IF(Analysis!$I498="Drifting",Analysis!$H498,""))</f>
        <v/>
      </c>
    </row>
    <row r="499" spans="1:16" x14ac:dyDescent="0.25">
      <c r="A499" s="29" t="str">
        <f>IF(Analysis!$I499="","",IF(Analysis!$I499="Embedded",Analysis!$D499,""))</f>
        <v/>
      </c>
      <c r="B499" s="29" t="str">
        <f>IF(Analysis!$I499="","",IF(Analysis!$I499="Loyal but shallow",Analysis!$D499,""))</f>
        <v/>
      </c>
      <c r="C499" s="29" t="str">
        <f>IF(Analysis!$I499="","",IF(Analysis!$I499="Project-driven",Analysis!$D499,""))</f>
        <v/>
      </c>
      <c r="D499" s="29" t="str">
        <f>IF(Analysis!$I499="","",IF(Analysis!$I499="Drifting",Analysis!$D499,""))</f>
        <v/>
      </c>
      <c r="E499" s="29" t="str">
        <f>IF(Analysis!$I499="","",IF(Analysis!$I499="Embedded",Analysis!$C499,""))</f>
        <v/>
      </c>
      <c r="F499" s="29" t="str">
        <f>IF(Analysis!$I499="","",IF(Analysis!$I499="Loyal but shallow",Analysis!$C499,""))</f>
        <v/>
      </c>
      <c r="G499" s="29" t="str">
        <f>IF(Analysis!$I499="","",IF(Analysis!$I499="Project-driven",Analysis!$C499,""))</f>
        <v/>
      </c>
      <c r="H499" s="29" t="str">
        <f>IF(Analysis!$I499="","",IF(Analysis!$I499="Drifting",Analysis!$C499,""))</f>
        <v/>
      </c>
      <c r="I499" s="29" t="str">
        <f>IF(Analysis!$I499="","",IF(Analysis!$I499="Embedded",Analysis!$F499,""))</f>
        <v/>
      </c>
      <c r="J499" s="29" t="str">
        <f>IF(Analysis!$I499="","",IF(Analysis!$I499="Loyal but shallow",Analysis!$F499,""))</f>
        <v/>
      </c>
      <c r="K499" s="29" t="str">
        <f>IF(Analysis!$I499="","",IF(Analysis!$I499="Project-driven",Analysis!$F499,""))</f>
        <v/>
      </c>
      <c r="L499" s="29" t="str">
        <f>IF(Analysis!$I499="","",IF(Analysis!$I499="Drifting",Analysis!$F499,""))</f>
        <v/>
      </c>
      <c r="M499" s="29" t="str">
        <f>IF(Analysis!$I499="","",IF(Analysis!$I499="Embedded",Analysis!$H499,""))</f>
        <v/>
      </c>
      <c r="N499" s="29" t="str">
        <f>IF(Analysis!$I499="","",IF(Analysis!$I499="Loyal but shallow",Analysis!$H499,""))</f>
        <v/>
      </c>
      <c r="O499" s="29" t="str">
        <f>IF(Analysis!$I499="","",IF(Analysis!$I499="Project-driven",Analysis!$H499,""))</f>
        <v/>
      </c>
      <c r="P499" s="29" t="str">
        <f>IF(Analysis!$I499="","",IF(Analysis!$I499="Drifting",Analysis!$H499,""))</f>
        <v/>
      </c>
    </row>
    <row r="500" spans="1:16" x14ac:dyDescent="0.25">
      <c r="A500" s="29" t="str">
        <f>IF(Analysis!$I500="","",IF(Analysis!$I500="Embedded",Analysis!$D500,""))</f>
        <v/>
      </c>
      <c r="B500" s="29" t="str">
        <f>IF(Analysis!$I500="","",IF(Analysis!$I500="Loyal but shallow",Analysis!$D500,""))</f>
        <v/>
      </c>
      <c r="C500" s="29" t="str">
        <f>IF(Analysis!$I500="","",IF(Analysis!$I500="Project-driven",Analysis!$D500,""))</f>
        <v/>
      </c>
      <c r="D500" s="29" t="str">
        <f>IF(Analysis!$I500="","",IF(Analysis!$I500="Drifting",Analysis!$D500,""))</f>
        <v/>
      </c>
      <c r="E500" s="29" t="str">
        <f>IF(Analysis!$I500="","",IF(Analysis!$I500="Embedded",Analysis!$C500,""))</f>
        <v/>
      </c>
      <c r="F500" s="29" t="str">
        <f>IF(Analysis!$I500="","",IF(Analysis!$I500="Loyal but shallow",Analysis!$C500,""))</f>
        <v/>
      </c>
      <c r="G500" s="29" t="str">
        <f>IF(Analysis!$I500="","",IF(Analysis!$I500="Project-driven",Analysis!$C500,""))</f>
        <v/>
      </c>
      <c r="H500" s="29" t="str">
        <f>IF(Analysis!$I500="","",IF(Analysis!$I500="Drifting",Analysis!$C500,""))</f>
        <v/>
      </c>
      <c r="I500" s="29" t="str">
        <f>IF(Analysis!$I500="","",IF(Analysis!$I500="Embedded",Analysis!$F500,""))</f>
        <v/>
      </c>
      <c r="J500" s="29" t="str">
        <f>IF(Analysis!$I500="","",IF(Analysis!$I500="Loyal but shallow",Analysis!$F500,""))</f>
        <v/>
      </c>
      <c r="K500" s="29" t="str">
        <f>IF(Analysis!$I500="","",IF(Analysis!$I500="Project-driven",Analysis!$F500,""))</f>
        <v/>
      </c>
      <c r="L500" s="29" t="str">
        <f>IF(Analysis!$I500="","",IF(Analysis!$I500="Drifting",Analysis!$F500,""))</f>
        <v/>
      </c>
      <c r="M500" s="29" t="str">
        <f>IF(Analysis!$I500="","",IF(Analysis!$I500="Embedded",Analysis!$H500,""))</f>
        <v/>
      </c>
      <c r="N500" s="29" t="str">
        <f>IF(Analysis!$I500="","",IF(Analysis!$I500="Loyal but shallow",Analysis!$H500,""))</f>
        <v/>
      </c>
      <c r="O500" s="29" t="str">
        <f>IF(Analysis!$I500="","",IF(Analysis!$I500="Project-driven",Analysis!$H500,""))</f>
        <v/>
      </c>
      <c r="P500" s="29" t="str">
        <f>IF(Analysis!$I500="","",IF(Analysis!$I500="Drifting",Analysis!$H500,""))</f>
        <v/>
      </c>
    </row>
    <row r="501" spans="1:16" x14ac:dyDescent="0.25">
      <c r="A501" s="29" t="str">
        <f>IF(Analysis!$I501="","",IF(Analysis!$I501="Embedded",Analysis!$D501,""))</f>
        <v/>
      </c>
      <c r="B501" s="29" t="str">
        <f>IF(Analysis!$I501="","",IF(Analysis!$I501="Loyal but shallow",Analysis!$D501,""))</f>
        <v/>
      </c>
      <c r="C501" s="29" t="str">
        <f>IF(Analysis!$I501="","",IF(Analysis!$I501="Project-driven",Analysis!$D501,""))</f>
        <v/>
      </c>
      <c r="D501" s="29" t="str">
        <f>IF(Analysis!$I501="","",IF(Analysis!$I501="Drifting",Analysis!$D501,""))</f>
        <v/>
      </c>
      <c r="E501" s="29" t="str">
        <f>IF(Analysis!$I501="","",IF(Analysis!$I501="Embedded",Analysis!$C501,""))</f>
        <v/>
      </c>
      <c r="F501" s="29" t="str">
        <f>IF(Analysis!$I501="","",IF(Analysis!$I501="Loyal but shallow",Analysis!$C501,""))</f>
        <v/>
      </c>
      <c r="G501" s="29" t="str">
        <f>IF(Analysis!$I501="","",IF(Analysis!$I501="Project-driven",Analysis!$C501,""))</f>
        <v/>
      </c>
      <c r="H501" s="29" t="str">
        <f>IF(Analysis!$I501="","",IF(Analysis!$I501="Drifting",Analysis!$C501,""))</f>
        <v/>
      </c>
      <c r="I501" s="29" t="str">
        <f>IF(Analysis!$I501="","",IF(Analysis!$I501="Embedded",Analysis!$F501,""))</f>
        <v/>
      </c>
      <c r="J501" s="29" t="str">
        <f>IF(Analysis!$I501="","",IF(Analysis!$I501="Loyal but shallow",Analysis!$F501,""))</f>
        <v/>
      </c>
      <c r="K501" s="29" t="str">
        <f>IF(Analysis!$I501="","",IF(Analysis!$I501="Project-driven",Analysis!$F501,""))</f>
        <v/>
      </c>
      <c r="L501" s="29" t="str">
        <f>IF(Analysis!$I501="","",IF(Analysis!$I501="Drifting",Analysis!$F501,""))</f>
        <v/>
      </c>
      <c r="M501" s="29" t="str">
        <f>IF(Analysis!$I501="","",IF(Analysis!$I501="Embedded",Analysis!$H501,""))</f>
        <v/>
      </c>
      <c r="N501" s="29" t="str">
        <f>IF(Analysis!$I501="","",IF(Analysis!$I501="Loyal but shallow",Analysis!$H501,""))</f>
        <v/>
      </c>
      <c r="O501" s="29" t="str">
        <f>IF(Analysis!$I501="","",IF(Analysis!$I501="Project-driven",Analysis!$H501,""))</f>
        <v/>
      </c>
      <c r="P501" s="29" t="str">
        <f>IF(Analysis!$I501="","",IF(Analysis!$I501="Drifting",Analysis!$H501,""))</f>
        <v/>
      </c>
    </row>
    <row r="502" spans="1:16" x14ac:dyDescent="0.25">
      <c r="A502" s="29" t="str">
        <f>IF(Analysis!$I502="","",IF(Analysis!$I502="Embedded",Analysis!$D502,""))</f>
        <v/>
      </c>
      <c r="B502" s="29" t="str">
        <f>IF(Analysis!$I502="","",IF(Analysis!$I502="Loyal but shallow",Analysis!$D502,""))</f>
        <v/>
      </c>
      <c r="C502" s="29" t="str">
        <f>IF(Analysis!$I502="","",IF(Analysis!$I502="Project-driven",Analysis!$D502,""))</f>
        <v/>
      </c>
      <c r="D502" s="29" t="str">
        <f>IF(Analysis!$I502="","",IF(Analysis!$I502="Drifting",Analysis!$D502,""))</f>
        <v/>
      </c>
      <c r="E502" s="29" t="str">
        <f>IF(Analysis!$I502="","",IF(Analysis!$I502="Embedded",Analysis!$C502,""))</f>
        <v/>
      </c>
      <c r="F502" s="29" t="str">
        <f>IF(Analysis!$I502="","",IF(Analysis!$I502="Loyal but shallow",Analysis!$C502,""))</f>
        <v/>
      </c>
      <c r="G502" s="29" t="str">
        <f>IF(Analysis!$I502="","",IF(Analysis!$I502="Project-driven",Analysis!$C502,""))</f>
        <v/>
      </c>
      <c r="H502" s="29" t="str">
        <f>IF(Analysis!$I502="","",IF(Analysis!$I502="Drifting",Analysis!$C502,""))</f>
        <v/>
      </c>
      <c r="I502" s="29" t="str">
        <f>IF(Analysis!$I502="","",IF(Analysis!$I502="Embedded",Analysis!$F502,""))</f>
        <v/>
      </c>
      <c r="J502" s="29" t="str">
        <f>IF(Analysis!$I502="","",IF(Analysis!$I502="Loyal but shallow",Analysis!$F502,""))</f>
        <v/>
      </c>
      <c r="K502" s="29" t="str">
        <f>IF(Analysis!$I502="","",IF(Analysis!$I502="Project-driven",Analysis!$F502,""))</f>
        <v/>
      </c>
      <c r="L502" s="29" t="str">
        <f>IF(Analysis!$I502="","",IF(Analysis!$I502="Drifting",Analysis!$F502,""))</f>
        <v/>
      </c>
      <c r="M502" s="29" t="str">
        <f>IF(Analysis!$I502="","",IF(Analysis!$I502="Embedded",Analysis!$H502,""))</f>
        <v/>
      </c>
      <c r="N502" s="29" t="str">
        <f>IF(Analysis!$I502="","",IF(Analysis!$I502="Loyal but shallow",Analysis!$H502,""))</f>
        <v/>
      </c>
      <c r="O502" s="29" t="str">
        <f>IF(Analysis!$I502="","",IF(Analysis!$I502="Project-driven",Analysis!$H502,""))</f>
        <v/>
      </c>
      <c r="P502" s="29" t="str">
        <f>IF(Analysis!$I502="","",IF(Analysis!$I502="Drifting",Analysis!$H502,""))</f>
        <v/>
      </c>
    </row>
    <row r="503" spans="1:16" x14ac:dyDescent="0.25">
      <c r="A503" s="29" t="str">
        <f>IF(Analysis!$I503="","",IF(Analysis!$I503="Embedded",Analysis!$D503,""))</f>
        <v/>
      </c>
      <c r="B503" s="29" t="str">
        <f>IF(Analysis!$I503="","",IF(Analysis!$I503="Loyal but shallow",Analysis!$D503,""))</f>
        <v/>
      </c>
      <c r="C503" s="29" t="str">
        <f>IF(Analysis!$I503="","",IF(Analysis!$I503="Project-driven",Analysis!$D503,""))</f>
        <v/>
      </c>
      <c r="D503" s="29" t="str">
        <f>IF(Analysis!$I503="","",IF(Analysis!$I503="Drifting",Analysis!$D503,""))</f>
        <v/>
      </c>
      <c r="E503" s="29" t="str">
        <f>IF(Analysis!$I503="","",IF(Analysis!$I503="Embedded",Analysis!$C503,""))</f>
        <v/>
      </c>
      <c r="F503" s="29" t="str">
        <f>IF(Analysis!$I503="","",IF(Analysis!$I503="Loyal but shallow",Analysis!$C503,""))</f>
        <v/>
      </c>
      <c r="G503" s="29" t="str">
        <f>IF(Analysis!$I503="","",IF(Analysis!$I503="Project-driven",Analysis!$C503,""))</f>
        <v/>
      </c>
      <c r="H503" s="29" t="str">
        <f>IF(Analysis!$I503="","",IF(Analysis!$I503="Drifting",Analysis!$C503,""))</f>
        <v/>
      </c>
      <c r="I503" s="29" t="str">
        <f>IF(Analysis!$I503="","",IF(Analysis!$I503="Embedded",Analysis!$F503,""))</f>
        <v/>
      </c>
      <c r="J503" s="29" t="str">
        <f>IF(Analysis!$I503="","",IF(Analysis!$I503="Loyal but shallow",Analysis!$F503,""))</f>
        <v/>
      </c>
      <c r="K503" s="29" t="str">
        <f>IF(Analysis!$I503="","",IF(Analysis!$I503="Project-driven",Analysis!$F503,""))</f>
        <v/>
      </c>
      <c r="L503" s="29" t="str">
        <f>IF(Analysis!$I503="","",IF(Analysis!$I503="Drifting",Analysis!$F503,""))</f>
        <v/>
      </c>
      <c r="M503" s="29" t="str">
        <f>IF(Analysis!$I503="","",IF(Analysis!$I503="Embedded",Analysis!$H503,""))</f>
        <v/>
      </c>
      <c r="N503" s="29" t="str">
        <f>IF(Analysis!$I503="","",IF(Analysis!$I503="Loyal but shallow",Analysis!$H503,""))</f>
        <v/>
      </c>
      <c r="O503" s="29" t="str">
        <f>IF(Analysis!$I503="","",IF(Analysis!$I503="Project-driven",Analysis!$H503,""))</f>
        <v/>
      </c>
      <c r="P503" s="29" t="str">
        <f>IF(Analysis!$I503="","",IF(Analysis!$I503="Drifting",Analysis!$H503,""))</f>
        <v/>
      </c>
    </row>
    <row r="504" spans="1:16" x14ac:dyDescent="0.25">
      <c r="A504" s="29" t="str">
        <f>IF(Analysis!$I504="","",IF(Analysis!$I504="Embedded",Analysis!$D504,""))</f>
        <v/>
      </c>
      <c r="B504" s="29" t="str">
        <f>IF(Analysis!$I504="","",IF(Analysis!$I504="Loyal but shallow",Analysis!$D504,""))</f>
        <v/>
      </c>
      <c r="C504" s="29" t="str">
        <f>IF(Analysis!$I504="","",IF(Analysis!$I504="Project-driven",Analysis!$D504,""))</f>
        <v/>
      </c>
      <c r="D504" s="29" t="str">
        <f>IF(Analysis!$I504="","",IF(Analysis!$I504="Drifting",Analysis!$D504,""))</f>
        <v/>
      </c>
      <c r="E504" s="29" t="str">
        <f>IF(Analysis!$I504="","",IF(Analysis!$I504="Embedded",Analysis!$C504,""))</f>
        <v/>
      </c>
      <c r="F504" s="29" t="str">
        <f>IF(Analysis!$I504="","",IF(Analysis!$I504="Loyal but shallow",Analysis!$C504,""))</f>
        <v/>
      </c>
      <c r="G504" s="29" t="str">
        <f>IF(Analysis!$I504="","",IF(Analysis!$I504="Project-driven",Analysis!$C504,""))</f>
        <v/>
      </c>
      <c r="H504" s="29" t="str">
        <f>IF(Analysis!$I504="","",IF(Analysis!$I504="Drifting",Analysis!$C504,""))</f>
        <v/>
      </c>
      <c r="I504" s="29" t="str">
        <f>IF(Analysis!$I504="","",IF(Analysis!$I504="Embedded",Analysis!$F504,""))</f>
        <v/>
      </c>
      <c r="J504" s="29" t="str">
        <f>IF(Analysis!$I504="","",IF(Analysis!$I504="Loyal but shallow",Analysis!$F504,""))</f>
        <v/>
      </c>
      <c r="K504" s="29" t="str">
        <f>IF(Analysis!$I504="","",IF(Analysis!$I504="Project-driven",Analysis!$F504,""))</f>
        <v/>
      </c>
      <c r="L504" s="29" t="str">
        <f>IF(Analysis!$I504="","",IF(Analysis!$I504="Drifting",Analysis!$F504,""))</f>
        <v/>
      </c>
      <c r="M504" s="29" t="str">
        <f>IF(Analysis!$I504="","",IF(Analysis!$I504="Embedded",Analysis!$H504,""))</f>
        <v/>
      </c>
      <c r="N504" s="29" t="str">
        <f>IF(Analysis!$I504="","",IF(Analysis!$I504="Loyal but shallow",Analysis!$H504,""))</f>
        <v/>
      </c>
      <c r="O504" s="29" t="str">
        <f>IF(Analysis!$I504="","",IF(Analysis!$I504="Project-driven",Analysis!$H504,""))</f>
        <v/>
      </c>
      <c r="P504" s="29" t="str">
        <f>IF(Analysis!$I504="","",IF(Analysis!$I504="Drifting",Analysis!$H504,""))</f>
        <v/>
      </c>
    </row>
    <row r="505" spans="1:16" x14ac:dyDescent="0.25">
      <c r="A505" s="29" t="str">
        <f>IF(Analysis!$I505="","",IF(Analysis!$I505="Embedded",Analysis!$D505,""))</f>
        <v/>
      </c>
      <c r="B505" s="29" t="str">
        <f>IF(Analysis!$I505="","",IF(Analysis!$I505="Loyal but shallow",Analysis!$D505,""))</f>
        <v/>
      </c>
      <c r="C505" s="29" t="str">
        <f>IF(Analysis!$I505="","",IF(Analysis!$I505="Project-driven",Analysis!$D505,""))</f>
        <v/>
      </c>
      <c r="D505" s="29" t="str">
        <f>IF(Analysis!$I505="","",IF(Analysis!$I505="Drifting",Analysis!$D505,""))</f>
        <v/>
      </c>
      <c r="E505" s="29" t="str">
        <f>IF(Analysis!$I505="","",IF(Analysis!$I505="Embedded",Analysis!$C505,""))</f>
        <v/>
      </c>
      <c r="F505" s="29" t="str">
        <f>IF(Analysis!$I505="","",IF(Analysis!$I505="Loyal but shallow",Analysis!$C505,""))</f>
        <v/>
      </c>
      <c r="G505" s="29" t="str">
        <f>IF(Analysis!$I505="","",IF(Analysis!$I505="Project-driven",Analysis!$C505,""))</f>
        <v/>
      </c>
      <c r="H505" s="29" t="str">
        <f>IF(Analysis!$I505="","",IF(Analysis!$I505="Drifting",Analysis!$C505,""))</f>
        <v/>
      </c>
      <c r="I505" s="29" t="str">
        <f>IF(Analysis!$I505="","",IF(Analysis!$I505="Embedded",Analysis!$F505,""))</f>
        <v/>
      </c>
      <c r="J505" s="29" t="str">
        <f>IF(Analysis!$I505="","",IF(Analysis!$I505="Loyal but shallow",Analysis!$F505,""))</f>
        <v/>
      </c>
      <c r="K505" s="29" t="str">
        <f>IF(Analysis!$I505="","",IF(Analysis!$I505="Project-driven",Analysis!$F505,""))</f>
        <v/>
      </c>
      <c r="L505" s="29" t="str">
        <f>IF(Analysis!$I505="","",IF(Analysis!$I505="Drifting",Analysis!$F505,""))</f>
        <v/>
      </c>
      <c r="M505" s="29" t="str">
        <f>IF(Analysis!$I505="","",IF(Analysis!$I505="Embedded",Analysis!$H505,""))</f>
        <v/>
      </c>
      <c r="N505" s="29" t="str">
        <f>IF(Analysis!$I505="","",IF(Analysis!$I505="Loyal but shallow",Analysis!$H505,""))</f>
        <v/>
      </c>
      <c r="O505" s="29" t="str">
        <f>IF(Analysis!$I505="","",IF(Analysis!$I505="Project-driven",Analysis!$H505,""))</f>
        <v/>
      </c>
      <c r="P505" s="29" t="str">
        <f>IF(Analysis!$I505="","",IF(Analysis!$I505="Drifting",Analysis!$H505,""))</f>
        <v/>
      </c>
    </row>
    <row r="506" spans="1:16" x14ac:dyDescent="0.25">
      <c r="A506" s="29" t="str">
        <f>IF(Analysis!$I506="","",IF(Analysis!$I506="Embedded",Analysis!$D506,""))</f>
        <v/>
      </c>
      <c r="B506" s="29" t="str">
        <f>IF(Analysis!$I506="","",IF(Analysis!$I506="Loyal but shallow",Analysis!$D506,""))</f>
        <v/>
      </c>
      <c r="C506" s="29" t="str">
        <f>IF(Analysis!$I506="","",IF(Analysis!$I506="Project-driven",Analysis!$D506,""))</f>
        <v/>
      </c>
      <c r="D506" s="29" t="str">
        <f>IF(Analysis!$I506="","",IF(Analysis!$I506="Drifting",Analysis!$D506,""))</f>
        <v/>
      </c>
      <c r="E506" s="29" t="str">
        <f>IF(Analysis!$I506="","",IF(Analysis!$I506="Embedded",Analysis!$C506,""))</f>
        <v/>
      </c>
      <c r="F506" s="29" t="str">
        <f>IF(Analysis!$I506="","",IF(Analysis!$I506="Loyal but shallow",Analysis!$C506,""))</f>
        <v/>
      </c>
      <c r="G506" s="29" t="str">
        <f>IF(Analysis!$I506="","",IF(Analysis!$I506="Project-driven",Analysis!$C506,""))</f>
        <v/>
      </c>
      <c r="H506" s="29" t="str">
        <f>IF(Analysis!$I506="","",IF(Analysis!$I506="Drifting",Analysis!$C506,""))</f>
        <v/>
      </c>
      <c r="I506" s="29" t="str">
        <f>IF(Analysis!$I506="","",IF(Analysis!$I506="Embedded",Analysis!$F506,""))</f>
        <v/>
      </c>
      <c r="J506" s="29" t="str">
        <f>IF(Analysis!$I506="","",IF(Analysis!$I506="Loyal but shallow",Analysis!$F506,""))</f>
        <v/>
      </c>
      <c r="K506" s="29" t="str">
        <f>IF(Analysis!$I506="","",IF(Analysis!$I506="Project-driven",Analysis!$F506,""))</f>
        <v/>
      </c>
      <c r="L506" s="29" t="str">
        <f>IF(Analysis!$I506="","",IF(Analysis!$I506="Drifting",Analysis!$F506,""))</f>
        <v/>
      </c>
      <c r="M506" s="29" t="str">
        <f>IF(Analysis!$I506="","",IF(Analysis!$I506="Embedded",Analysis!$H506,""))</f>
        <v/>
      </c>
      <c r="N506" s="29" t="str">
        <f>IF(Analysis!$I506="","",IF(Analysis!$I506="Loyal but shallow",Analysis!$H506,""))</f>
        <v/>
      </c>
      <c r="O506" s="29" t="str">
        <f>IF(Analysis!$I506="","",IF(Analysis!$I506="Project-driven",Analysis!$H506,""))</f>
        <v/>
      </c>
      <c r="P506" s="29" t="str">
        <f>IF(Analysis!$I506="","",IF(Analysis!$I506="Drifting",Analysis!$H506,""))</f>
        <v/>
      </c>
    </row>
    <row r="507" spans="1:16" x14ac:dyDescent="0.25">
      <c r="A507" s="29" t="str">
        <f>IF(Analysis!$I507="","",IF(Analysis!$I507="Embedded",Analysis!$D507,""))</f>
        <v/>
      </c>
      <c r="B507" s="29" t="str">
        <f>IF(Analysis!$I507="","",IF(Analysis!$I507="Loyal but shallow",Analysis!$D507,""))</f>
        <v/>
      </c>
      <c r="C507" s="29" t="str">
        <f>IF(Analysis!$I507="","",IF(Analysis!$I507="Project-driven",Analysis!$D507,""))</f>
        <v/>
      </c>
      <c r="D507" s="29" t="str">
        <f>IF(Analysis!$I507="","",IF(Analysis!$I507="Drifting",Analysis!$D507,""))</f>
        <v/>
      </c>
      <c r="E507" s="29" t="str">
        <f>IF(Analysis!$I507="","",IF(Analysis!$I507="Embedded",Analysis!$C507,""))</f>
        <v/>
      </c>
      <c r="F507" s="29" t="str">
        <f>IF(Analysis!$I507="","",IF(Analysis!$I507="Loyal but shallow",Analysis!$C507,""))</f>
        <v/>
      </c>
      <c r="G507" s="29" t="str">
        <f>IF(Analysis!$I507="","",IF(Analysis!$I507="Project-driven",Analysis!$C507,""))</f>
        <v/>
      </c>
      <c r="H507" s="29" t="str">
        <f>IF(Analysis!$I507="","",IF(Analysis!$I507="Drifting",Analysis!$C507,""))</f>
        <v/>
      </c>
      <c r="I507" s="29" t="str">
        <f>IF(Analysis!$I507="","",IF(Analysis!$I507="Embedded",Analysis!$F507,""))</f>
        <v/>
      </c>
      <c r="J507" s="29" t="str">
        <f>IF(Analysis!$I507="","",IF(Analysis!$I507="Loyal but shallow",Analysis!$F507,""))</f>
        <v/>
      </c>
      <c r="K507" s="29" t="str">
        <f>IF(Analysis!$I507="","",IF(Analysis!$I507="Project-driven",Analysis!$F507,""))</f>
        <v/>
      </c>
      <c r="L507" s="29" t="str">
        <f>IF(Analysis!$I507="","",IF(Analysis!$I507="Drifting",Analysis!$F507,""))</f>
        <v/>
      </c>
      <c r="M507" s="29" t="str">
        <f>IF(Analysis!$I507="","",IF(Analysis!$I507="Embedded",Analysis!$H507,""))</f>
        <v/>
      </c>
      <c r="N507" s="29" t="str">
        <f>IF(Analysis!$I507="","",IF(Analysis!$I507="Loyal but shallow",Analysis!$H507,""))</f>
        <v/>
      </c>
      <c r="O507" s="29" t="str">
        <f>IF(Analysis!$I507="","",IF(Analysis!$I507="Project-driven",Analysis!$H507,""))</f>
        <v/>
      </c>
      <c r="P507" s="29" t="str">
        <f>IF(Analysis!$I507="","",IF(Analysis!$I507="Drifting",Analysis!$H507,""))</f>
        <v/>
      </c>
    </row>
    <row r="508" spans="1:16" x14ac:dyDescent="0.25">
      <c r="A508" s="29" t="str">
        <f>IF(Analysis!$I508="","",IF(Analysis!$I508="Embedded",Analysis!$D508,""))</f>
        <v/>
      </c>
      <c r="B508" s="29" t="str">
        <f>IF(Analysis!$I508="","",IF(Analysis!$I508="Loyal but shallow",Analysis!$D508,""))</f>
        <v/>
      </c>
      <c r="C508" s="29" t="str">
        <f>IF(Analysis!$I508="","",IF(Analysis!$I508="Project-driven",Analysis!$D508,""))</f>
        <v/>
      </c>
      <c r="D508" s="29" t="str">
        <f>IF(Analysis!$I508="","",IF(Analysis!$I508="Drifting",Analysis!$D508,""))</f>
        <v/>
      </c>
      <c r="E508" s="29" t="str">
        <f>IF(Analysis!$I508="","",IF(Analysis!$I508="Embedded",Analysis!$C508,""))</f>
        <v/>
      </c>
      <c r="F508" s="29" t="str">
        <f>IF(Analysis!$I508="","",IF(Analysis!$I508="Loyal but shallow",Analysis!$C508,""))</f>
        <v/>
      </c>
      <c r="G508" s="29" t="str">
        <f>IF(Analysis!$I508="","",IF(Analysis!$I508="Project-driven",Analysis!$C508,""))</f>
        <v/>
      </c>
      <c r="H508" s="29" t="str">
        <f>IF(Analysis!$I508="","",IF(Analysis!$I508="Drifting",Analysis!$C508,""))</f>
        <v/>
      </c>
      <c r="I508" s="29" t="str">
        <f>IF(Analysis!$I508="","",IF(Analysis!$I508="Embedded",Analysis!$F508,""))</f>
        <v/>
      </c>
      <c r="J508" s="29" t="str">
        <f>IF(Analysis!$I508="","",IF(Analysis!$I508="Loyal but shallow",Analysis!$F508,""))</f>
        <v/>
      </c>
      <c r="K508" s="29" t="str">
        <f>IF(Analysis!$I508="","",IF(Analysis!$I508="Project-driven",Analysis!$F508,""))</f>
        <v/>
      </c>
      <c r="L508" s="29" t="str">
        <f>IF(Analysis!$I508="","",IF(Analysis!$I508="Drifting",Analysis!$F508,""))</f>
        <v/>
      </c>
      <c r="M508" s="29" t="str">
        <f>IF(Analysis!$I508="","",IF(Analysis!$I508="Embedded",Analysis!$H508,""))</f>
        <v/>
      </c>
      <c r="N508" s="29" t="str">
        <f>IF(Analysis!$I508="","",IF(Analysis!$I508="Loyal but shallow",Analysis!$H508,""))</f>
        <v/>
      </c>
      <c r="O508" s="29" t="str">
        <f>IF(Analysis!$I508="","",IF(Analysis!$I508="Project-driven",Analysis!$H508,""))</f>
        <v/>
      </c>
      <c r="P508" s="29" t="str">
        <f>IF(Analysis!$I508="","",IF(Analysis!$I508="Drifting",Analysis!$H508,""))</f>
        <v/>
      </c>
    </row>
    <row r="509" spans="1:16" x14ac:dyDescent="0.25">
      <c r="A509" s="29" t="str">
        <f>IF(Analysis!$I509="","",IF(Analysis!$I509="Embedded",Analysis!$D509,""))</f>
        <v/>
      </c>
      <c r="B509" s="29" t="str">
        <f>IF(Analysis!$I509="","",IF(Analysis!$I509="Loyal but shallow",Analysis!$D509,""))</f>
        <v/>
      </c>
      <c r="C509" s="29" t="str">
        <f>IF(Analysis!$I509="","",IF(Analysis!$I509="Project-driven",Analysis!$D509,""))</f>
        <v/>
      </c>
      <c r="D509" s="29" t="str">
        <f>IF(Analysis!$I509="","",IF(Analysis!$I509="Drifting",Analysis!$D509,""))</f>
        <v/>
      </c>
      <c r="E509" s="29" t="str">
        <f>IF(Analysis!$I509="","",IF(Analysis!$I509="Embedded",Analysis!$C509,""))</f>
        <v/>
      </c>
      <c r="F509" s="29" t="str">
        <f>IF(Analysis!$I509="","",IF(Analysis!$I509="Loyal but shallow",Analysis!$C509,""))</f>
        <v/>
      </c>
      <c r="G509" s="29" t="str">
        <f>IF(Analysis!$I509="","",IF(Analysis!$I509="Project-driven",Analysis!$C509,""))</f>
        <v/>
      </c>
      <c r="H509" s="29" t="str">
        <f>IF(Analysis!$I509="","",IF(Analysis!$I509="Drifting",Analysis!$C509,""))</f>
        <v/>
      </c>
      <c r="I509" s="29" t="str">
        <f>IF(Analysis!$I509="","",IF(Analysis!$I509="Embedded",Analysis!$F509,""))</f>
        <v/>
      </c>
      <c r="J509" s="29" t="str">
        <f>IF(Analysis!$I509="","",IF(Analysis!$I509="Loyal but shallow",Analysis!$F509,""))</f>
        <v/>
      </c>
      <c r="K509" s="29" t="str">
        <f>IF(Analysis!$I509="","",IF(Analysis!$I509="Project-driven",Analysis!$F509,""))</f>
        <v/>
      </c>
      <c r="L509" s="29" t="str">
        <f>IF(Analysis!$I509="","",IF(Analysis!$I509="Drifting",Analysis!$F509,""))</f>
        <v/>
      </c>
      <c r="M509" s="29" t="str">
        <f>IF(Analysis!$I509="","",IF(Analysis!$I509="Embedded",Analysis!$H509,""))</f>
        <v/>
      </c>
      <c r="N509" s="29" t="str">
        <f>IF(Analysis!$I509="","",IF(Analysis!$I509="Loyal but shallow",Analysis!$H509,""))</f>
        <v/>
      </c>
      <c r="O509" s="29" t="str">
        <f>IF(Analysis!$I509="","",IF(Analysis!$I509="Project-driven",Analysis!$H509,""))</f>
        <v/>
      </c>
      <c r="P509" s="29" t="str">
        <f>IF(Analysis!$I509="","",IF(Analysis!$I509="Drifting",Analysis!$H509,""))</f>
        <v/>
      </c>
    </row>
    <row r="510" spans="1:16" x14ac:dyDescent="0.25">
      <c r="A510" s="29" t="str">
        <f>IF(Analysis!$I510="","",IF(Analysis!$I510="Embedded",Analysis!$D510,""))</f>
        <v/>
      </c>
      <c r="B510" s="29" t="str">
        <f>IF(Analysis!$I510="","",IF(Analysis!$I510="Loyal but shallow",Analysis!$D510,""))</f>
        <v/>
      </c>
      <c r="C510" s="29" t="str">
        <f>IF(Analysis!$I510="","",IF(Analysis!$I510="Project-driven",Analysis!$D510,""))</f>
        <v/>
      </c>
      <c r="D510" s="29" t="str">
        <f>IF(Analysis!$I510="","",IF(Analysis!$I510="Drifting",Analysis!$D510,""))</f>
        <v/>
      </c>
      <c r="E510" s="29" t="str">
        <f>IF(Analysis!$I510="","",IF(Analysis!$I510="Embedded",Analysis!$C510,""))</f>
        <v/>
      </c>
      <c r="F510" s="29" t="str">
        <f>IF(Analysis!$I510="","",IF(Analysis!$I510="Loyal but shallow",Analysis!$C510,""))</f>
        <v/>
      </c>
      <c r="G510" s="29" t="str">
        <f>IF(Analysis!$I510="","",IF(Analysis!$I510="Project-driven",Analysis!$C510,""))</f>
        <v/>
      </c>
      <c r="H510" s="29" t="str">
        <f>IF(Analysis!$I510="","",IF(Analysis!$I510="Drifting",Analysis!$C510,""))</f>
        <v/>
      </c>
      <c r="I510" s="29" t="str">
        <f>IF(Analysis!$I510="","",IF(Analysis!$I510="Embedded",Analysis!$F510,""))</f>
        <v/>
      </c>
      <c r="J510" s="29" t="str">
        <f>IF(Analysis!$I510="","",IF(Analysis!$I510="Loyal but shallow",Analysis!$F510,""))</f>
        <v/>
      </c>
      <c r="K510" s="29" t="str">
        <f>IF(Analysis!$I510="","",IF(Analysis!$I510="Project-driven",Analysis!$F510,""))</f>
        <v/>
      </c>
      <c r="L510" s="29" t="str">
        <f>IF(Analysis!$I510="","",IF(Analysis!$I510="Drifting",Analysis!$F510,""))</f>
        <v/>
      </c>
      <c r="M510" s="29" t="str">
        <f>IF(Analysis!$I510="","",IF(Analysis!$I510="Embedded",Analysis!$H510,""))</f>
        <v/>
      </c>
      <c r="N510" s="29" t="str">
        <f>IF(Analysis!$I510="","",IF(Analysis!$I510="Loyal but shallow",Analysis!$H510,""))</f>
        <v/>
      </c>
      <c r="O510" s="29" t="str">
        <f>IF(Analysis!$I510="","",IF(Analysis!$I510="Project-driven",Analysis!$H510,""))</f>
        <v/>
      </c>
      <c r="P510" s="29" t="str">
        <f>IF(Analysis!$I510="","",IF(Analysis!$I510="Drifting",Analysis!$H510,""))</f>
        <v/>
      </c>
    </row>
    <row r="511" spans="1:16" x14ac:dyDescent="0.25">
      <c r="A511" s="29" t="str">
        <f>IF(Analysis!$I511="","",IF(Analysis!$I511="Embedded",Analysis!$D511,""))</f>
        <v/>
      </c>
      <c r="B511" s="29" t="str">
        <f>IF(Analysis!$I511="","",IF(Analysis!$I511="Loyal but shallow",Analysis!$D511,""))</f>
        <v/>
      </c>
      <c r="C511" s="29" t="str">
        <f>IF(Analysis!$I511="","",IF(Analysis!$I511="Project-driven",Analysis!$D511,""))</f>
        <v/>
      </c>
      <c r="D511" s="29" t="str">
        <f>IF(Analysis!$I511="","",IF(Analysis!$I511="Drifting",Analysis!$D511,""))</f>
        <v/>
      </c>
      <c r="E511" s="29" t="str">
        <f>IF(Analysis!$I511="","",IF(Analysis!$I511="Embedded",Analysis!$C511,""))</f>
        <v/>
      </c>
      <c r="F511" s="29" t="str">
        <f>IF(Analysis!$I511="","",IF(Analysis!$I511="Loyal but shallow",Analysis!$C511,""))</f>
        <v/>
      </c>
      <c r="G511" s="29" t="str">
        <f>IF(Analysis!$I511="","",IF(Analysis!$I511="Project-driven",Analysis!$C511,""))</f>
        <v/>
      </c>
      <c r="H511" s="29" t="str">
        <f>IF(Analysis!$I511="","",IF(Analysis!$I511="Drifting",Analysis!$C511,""))</f>
        <v/>
      </c>
      <c r="I511" s="29" t="str">
        <f>IF(Analysis!$I511="","",IF(Analysis!$I511="Embedded",Analysis!$F511,""))</f>
        <v/>
      </c>
      <c r="J511" s="29" t="str">
        <f>IF(Analysis!$I511="","",IF(Analysis!$I511="Loyal but shallow",Analysis!$F511,""))</f>
        <v/>
      </c>
      <c r="K511" s="29" t="str">
        <f>IF(Analysis!$I511="","",IF(Analysis!$I511="Project-driven",Analysis!$F511,""))</f>
        <v/>
      </c>
      <c r="L511" s="29" t="str">
        <f>IF(Analysis!$I511="","",IF(Analysis!$I511="Drifting",Analysis!$F511,""))</f>
        <v/>
      </c>
      <c r="M511" s="29" t="str">
        <f>IF(Analysis!$I511="","",IF(Analysis!$I511="Embedded",Analysis!$H511,""))</f>
        <v/>
      </c>
      <c r="N511" s="29" t="str">
        <f>IF(Analysis!$I511="","",IF(Analysis!$I511="Loyal but shallow",Analysis!$H511,""))</f>
        <v/>
      </c>
      <c r="O511" s="29" t="str">
        <f>IF(Analysis!$I511="","",IF(Analysis!$I511="Project-driven",Analysis!$H511,""))</f>
        <v/>
      </c>
      <c r="P511" s="29" t="str">
        <f>IF(Analysis!$I511="","",IF(Analysis!$I511="Drifting",Analysis!$H511,""))</f>
        <v/>
      </c>
    </row>
    <row r="512" spans="1:16" x14ac:dyDescent="0.25">
      <c r="A512" s="29" t="str">
        <f>IF(Analysis!$I512="","",IF(Analysis!$I512="Embedded",Analysis!$D512,""))</f>
        <v/>
      </c>
      <c r="B512" s="29" t="str">
        <f>IF(Analysis!$I512="","",IF(Analysis!$I512="Loyal but shallow",Analysis!$D512,""))</f>
        <v/>
      </c>
      <c r="C512" s="29" t="str">
        <f>IF(Analysis!$I512="","",IF(Analysis!$I512="Project-driven",Analysis!$D512,""))</f>
        <v/>
      </c>
      <c r="D512" s="29" t="str">
        <f>IF(Analysis!$I512="","",IF(Analysis!$I512="Drifting",Analysis!$D512,""))</f>
        <v/>
      </c>
      <c r="E512" s="29" t="str">
        <f>IF(Analysis!$I512="","",IF(Analysis!$I512="Embedded",Analysis!$C512,""))</f>
        <v/>
      </c>
      <c r="F512" s="29" t="str">
        <f>IF(Analysis!$I512="","",IF(Analysis!$I512="Loyal but shallow",Analysis!$C512,""))</f>
        <v/>
      </c>
      <c r="G512" s="29" t="str">
        <f>IF(Analysis!$I512="","",IF(Analysis!$I512="Project-driven",Analysis!$C512,""))</f>
        <v/>
      </c>
      <c r="H512" s="29" t="str">
        <f>IF(Analysis!$I512="","",IF(Analysis!$I512="Drifting",Analysis!$C512,""))</f>
        <v/>
      </c>
      <c r="I512" s="29" t="str">
        <f>IF(Analysis!$I512="","",IF(Analysis!$I512="Embedded",Analysis!$F512,""))</f>
        <v/>
      </c>
      <c r="J512" s="29" t="str">
        <f>IF(Analysis!$I512="","",IF(Analysis!$I512="Loyal but shallow",Analysis!$F512,""))</f>
        <v/>
      </c>
      <c r="K512" s="29" t="str">
        <f>IF(Analysis!$I512="","",IF(Analysis!$I512="Project-driven",Analysis!$F512,""))</f>
        <v/>
      </c>
      <c r="L512" s="29" t="str">
        <f>IF(Analysis!$I512="","",IF(Analysis!$I512="Drifting",Analysis!$F512,""))</f>
        <v/>
      </c>
      <c r="M512" s="29" t="str">
        <f>IF(Analysis!$I512="","",IF(Analysis!$I512="Embedded",Analysis!$H512,""))</f>
        <v/>
      </c>
      <c r="N512" s="29" t="str">
        <f>IF(Analysis!$I512="","",IF(Analysis!$I512="Loyal but shallow",Analysis!$H512,""))</f>
        <v/>
      </c>
      <c r="O512" s="29" t="str">
        <f>IF(Analysis!$I512="","",IF(Analysis!$I512="Project-driven",Analysis!$H512,""))</f>
        <v/>
      </c>
      <c r="P512" s="29" t="str">
        <f>IF(Analysis!$I512="","",IF(Analysis!$I512="Drifting",Analysis!$H512,""))</f>
        <v/>
      </c>
    </row>
    <row r="513" spans="1:16" x14ac:dyDescent="0.25">
      <c r="A513" s="29" t="str">
        <f>IF(Analysis!$I513="","",IF(Analysis!$I513="Embedded",Analysis!$D513,""))</f>
        <v/>
      </c>
      <c r="B513" s="29" t="str">
        <f>IF(Analysis!$I513="","",IF(Analysis!$I513="Loyal but shallow",Analysis!$D513,""))</f>
        <v/>
      </c>
      <c r="C513" s="29" t="str">
        <f>IF(Analysis!$I513="","",IF(Analysis!$I513="Project-driven",Analysis!$D513,""))</f>
        <v/>
      </c>
      <c r="D513" s="29" t="str">
        <f>IF(Analysis!$I513="","",IF(Analysis!$I513="Drifting",Analysis!$D513,""))</f>
        <v/>
      </c>
      <c r="E513" s="29" t="str">
        <f>IF(Analysis!$I513="","",IF(Analysis!$I513="Embedded",Analysis!$C513,""))</f>
        <v/>
      </c>
      <c r="F513" s="29" t="str">
        <f>IF(Analysis!$I513="","",IF(Analysis!$I513="Loyal but shallow",Analysis!$C513,""))</f>
        <v/>
      </c>
      <c r="G513" s="29" t="str">
        <f>IF(Analysis!$I513="","",IF(Analysis!$I513="Project-driven",Analysis!$C513,""))</f>
        <v/>
      </c>
      <c r="H513" s="29" t="str">
        <f>IF(Analysis!$I513="","",IF(Analysis!$I513="Drifting",Analysis!$C513,""))</f>
        <v/>
      </c>
      <c r="I513" s="29" t="str">
        <f>IF(Analysis!$I513="","",IF(Analysis!$I513="Embedded",Analysis!$F513,""))</f>
        <v/>
      </c>
      <c r="J513" s="29" t="str">
        <f>IF(Analysis!$I513="","",IF(Analysis!$I513="Loyal but shallow",Analysis!$F513,""))</f>
        <v/>
      </c>
      <c r="K513" s="29" t="str">
        <f>IF(Analysis!$I513="","",IF(Analysis!$I513="Project-driven",Analysis!$F513,""))</f>
        <v/>
      </c>
      <c r="L513" s="29" t="str">
        <f>IF(Analysis!$I513="","",IF(Analysis!$I513="Drifting",Analysis!$F513,""))</f>
        <v/>
      </c>
      <c r="M513" s="29" t="str">
        <f>IF(Analysis!$I513="","",IF(Analysis!$I513="Embedded",Analysis!$H513,""))</f>
        <v/>
      </c>
      <c r="N513" s="29" t="str">
        <f>IF(Analysis!$I513="","",IF(Analysis!$I513="Loyal but shallow",Analysis!$H513,""))</f>
        <v/>
      </c>
      <c r="O513" s="29" t="str">
        <f>IF(Analysis!$I513="","",IF(Analysis!$I513="Project-driven",Analysis!$H513,""))</f>
        <v/>
      </c>
      <c r="P513" s="29" t="str">
        <f>IF(Analysis!$I513="","",IF(Analysis!$I513="Drifting",Analysis!$H513,""))</f>
        <v/>
      </c>
    </row>
    <row r="514" spans="1:16" x14ac:dyDescent="0.25">
      <c r="A514" s="29" t="str">
        <f>IF(Analysis!$I514="","",IF(Analysis!$I514="Embedded",Analysis!$D514,""))</f>
        <v/>
      </c>
      <c r="B514" s="29" t="str">
        <f>IF(Analysis!$I514="","",IF(Analysis!$I514="Loyal but shallow",Analysis!$D514,""))</f>
        <v/>
      </c>
      <c r="C514" s="29" t="str">
        <f>IF(Analysis!$I514="","",IF(Analysis!$I514="Project-driven",Analysis!$D514,""))</f>
        <v/>
      </c>
      <c r="D514" s="29" t="str">
        <f>IF(Analysis!$I514="","",IF(Analysis!$I514="Drifting",Analysis!$D514,""))</f>
        <v/>
      </c>
      <c r="E514" s="29" t="str">
        <f>IF(Analysis!$I514="","",IF(Analysis!$I514="Embedded",Analysis!$C514,""))</f>
        <v/>
      </c>
      <c r="F514" s="29" t="str">
        <f>IF(Analysis!$I514="","",IF(Analysis!$I514="Loyal but shallow",Analysis!$C514,""))</f>
        <v/>
      </c>
      <c r="G514" s="29" t="str">
        <f>IF(Analysis!$I514="","",IF(Analysis!$I514="Project-driven",Analysis!$C514,""))</f>
        <v/>
      </c>
      <c r="H514" s="29" t="str">
        <f>IF(Analysis!$I514="","",IF(Analysis!$I514="Drifting",Analysis!$C514,""))</f>
        <v/>
      </c>
      <c r="I514" s="29" t="str">
        <f>IF(Analysis!$I514="","",IF(Analysis!$I514="Embedded",Analysis!$F514,""))</f>
        <v/>
      </c>
      <c r="J514" s="29" t="str">
        <f>IF(Analysis!$I514="","",IF(Analysis!$I514="Loyal but shallow",Analysis!$F514,""))</f>
        <v/>
      </c>
      <c r="K514" s="29" t="str">
        <f>IF(Analysis!$I514="","",IF(Analysis!$I514="Project-driven",Analysis!$F514,""))</f>
        <v/>
      </c>
      <c r="L514" s="29" t="str">
        <f>IF(Analysis!$I514="","",IF(Analysis!$I514="Drifting",Analysis!$F514,""))</f>
        <v/>
      </c>
      <c r="M514" s="29" t="str">
        <f>IF(Analysis!$I514="","",IF(Analysis!$I514="Embedded",Analysis!$H514,""))</f>
        <v/>
      </c>
      <c r="N514" s="29" t="str">
        <f>IF(Analysis!$I514="","",IF(Analysis!$I514="Loyal but shallow",Analysis!$H514,""))</f>
        <v/>
      </c>
      <c r="O514" s="29" t="str">
        <f>IF(Analysis!$I514="","",IF(Analysis!$I514="Project-driven",Analysis!$H514,""))</f>
        <v/>
      </c>
      <c r="P514" s="29" t="str">
        <f>IF(Analysis!$I514="","",IF(Analysis!$I514="Drifting",Analysis!$H514,""))</f>
        <v/>
      </c>
    </row>
    <row r="515" spans="1:16" x14ac:dyDescent="0.25">
      <c r="A515" s="29" t="str">
        <f>IF(Analysis!$I515="","",IF(Analysis!$I515="Embedded",Analysis!$D515,""))</f>
        <v/>
      </c>
      <c r="B515" s="29" t="str">
        <f>IF(Analysis!$I515="","",IF(Analysis!$I515="Loyal but shallow",Analysis!$D515,""))</f>
        <v/>
      </c>
      <c r="C515" s="29" t="str">
        <f>IF(Analysis!$I515="","",IF(Analysis!$I515="Project-driven",Analysis!$D515,""))</f>
        <v/>
      </c>
      <c r="D515" s="29" t="str">
        <f>IF(Analysis!$I515="","",IF(Analysis!$I515="Drifting",Analysis!$D515,""))</f>
        <v/>
      </c>
      <c r="E515" s="29" t="str">
        <f>IF(Analysis!$I515="","",IF(Analysis!$I515="Embedded",Analysis!$C515,""))</f>
        <v/>
      </c>
      <c r="F515" s="29" t="str">
        <f>IF(Analysis!$I515="","",IF(Analysis!$I515="Loyal but shallow",Analysis!$C515,""))</f>
        <v/>
      </c>
      <c r="G515" s="29" t="str">
        <f>IF(Analysis!$I515="","",IF(Analysis!$I515="Project-driven",Analysis!$C515,""))</f>
        <v/>
      </c>
      <c r="H515" s="29" t="str">
        <f>IF(Analysis!$I515="","",IF(Analysis!$I515="Drifting",Analysis!$C515,""))</f>
        <v/>
      </c>
      <c r="I515" s="29" t="str">
        <f>IF(Analysis!$I515="","",IF(Analysis!$I515="Embedded",Analysis!$F515,""))</f>
        <v/>
      </c>
      <c r="J515" s="29" t="str">
        <f>IF(Analysis!$I515="","",IF(Analysis!$I515="Loyal but shallow",Analysis!$F515,""))</f>
        <v/>
      </c>
      <c r="K515" s="29" t="str">
        <f>IF(Analysis!$I515="","",IF(Analysis!$I515="Project-driven",Analysis!$F515,""))</f>
        <v/>
      </c>
      <c r="L515" s="29" t="str">
        <f>IF(Analysis!$I515="","",IF(Analysis!$I515="Drifting",Analysis!$F515,""))</f>
        <v/>
      </c>
      <c r="M515" s="29" t="str">
        <f>IF(Analysis!$I515="","",IF(Analysis!$I515="Embedded",Analysis!$H515,""))</f>
        <v/>
      </c>
      <c r="N515" s="29" t="str">
        <f>IF(Analysis!$I515="","",IF(Analysis!$I515="Loyal but shallow",Analysis!$H515,""))</f>
        <v/>
      </c>
      <c r="O515" s="29" t="str">
        <f>IF(Analysis!$I515="","",IF(Analysis!$I515="Project-driven",Analysis!$H515,""))</f>
        <v/>
      </c>
      <c r="P515" s="29" t="str">
        <f>IF(Analysis!$I515="","",IF(Analysis!$I515="Drifting",Analysis!$H515,""))</f>
        <v/>
      </c>
    </row>
    <row r="516" spans="1:16" x14ac:dyDescent="0.25">
      <c r="A516" s="29" t="str">
        <f>IF(Analysis!$I516="","",IF(Analysis!$I516="Embedded",Analysis!$D516,""))</f>
        <v/>
      </c>
      <c r="B516" s="29" t="str">
        <f>IF(Analysis!$I516="","",IF(Analysis!$I516="Loyal but shallow",Analysis!$D516,""))</f>
        <v/>
      </c>
      <c r="C516" s="29" t="str">
        <f>IF(Analysis!$I516="","",IF(Analysis!$I516="Project-driven",Analysis!$D516,""))</f>
        <v/>
      </c>
      <c r="D516" s="29" t="str">
        <f>IF(Analysis!$I516="","",IF(Analysis!$I516="Drifting",Analysis!$D516,""))</f>
        <v/>
      </c>
      <c r="E516" s="29" t="str">
        <f>IF(Analysis!$I516="","",IF(Analysis!$I516="Embedded",Analysis!$C516,""))</f>
        <v/>
      </c>
      <c r="F516" s="29" t="str">
        <f>IF(Analysis!$I516="","",IF(Analysis!$I516="Loyal but shallow",Analysis!$C516,""))</f>
        <v/>
      </c>
      <c r="G516" s="29" t="str">
        <f>IF(Analysis!$I516="","",IF(Analysis!$I516="Project-driven",Analysis!$C516,""))</f>
        <v/>
      </c>
      <c r="H516" s="29" t="str">
        <f>IF(Analysis!$I516="","",IF(Analysis!$I516="Drifting",Analysis!$C516,""))</f>
        <v/>
      </c>
      <c r="I516" s="29" t="str">
        <f>IF(Analysis!$I516="","",IF(Analysis!$I516="Embedded",Analysis!$F516,""))</f>
        <v/>
      </c>
      <c r="J516" s="29" t="str">
        <f>IF(Analysis!$I516="","",IF(Analysis!$I516="Loyal but shallow",Analysis!$F516,""))</f>
        <v/>
      </c>
      <c r="K516" s="29" t="str">
        <f>IF(Analysis!$I516="","",IF(Analysis!$I516="Project-driven",Analysis!$F516,""))</f>
        <v/>
      </c>
      <c r="L516" s="29" t="str">
        <f>IF(Analysis!$I516="","",IF(Analysis!$I516="Drifting",Analysis!$F516,""))</f>
        <v/>
      </c>
      <c r="M516" s="29" t="str">
        <f>IF(Analysis!$I516="","",IF(Analysis!$I516="Embedded",Analysis!$H516,""))</f>
        <v/>
      </c>
      <c r="N516" s="29" t="str">
        <f>IF(Analysis!$I516="","",IF(Analysis!$I516="Loyal but shallow",Analysis!$H516,""))</f>
        <v/>
      </c>
      <c r="O516" s="29" t="str">
        <f>IF(Analysis!$I516="","",IF(Analysis!$I516="Project-driven",Analysis!$H516,""))</f>
        <v/>
      </c>
      <c r="P516" s="29" t="str">
        <f>IF(Analysis!$I516="","",IF(Analysis!$I516="Drifting",Analysis!$H516,""))</f>
        <v/>
      </c>
    </row>
    <row r="517" spans="1:16" x14ac:dyDescent="0.25">
      <c r="A517" s="29" t="str">
        <f>IF(Analysis!$I517="","",IF(Analysis!$I517="Embedded",Analysis!$D517,""))</f>
        <v/>
      </c>
      <c r="B517" s="29" t="str">
        <f>IF(Analysis!$I517="","",IF(Analysis!$I517="Loyal but shallow",Analysis!$D517,""))</f>
        <v/>
      </c>
      <c r="C517" s="29" t="str">
        <f>IF(Analysis!$I517="","",IF(Analysis!$I517="Project-driven",Analysis!$D517,""))</f>
        <v/>
      </c>
      <c r="D517" s="29" t="str">
        <f>IF(Analysis!$I517="","",IF(Analysis!$I517="Drifting",Analysis!$D517,""))</f>
        <v/>
      </c>
      <c r="E517" s="29" t="str">
        <f>IF(Analysis!$I517="","",IF(Analysis!$I517="Embedded",Analysis!$C517,""))</f>
        <v/>
      </c>
      <c r="F517" s="29" t="str">
        <f>IF(Analysis!$I517="","",IF(Analysis!$I517="Loyal but shallow",Analysis!$C517,""))</f>
        <v/>
      </c>
      <c r="G517" s="29" t="str">
        <f>IF(Analysis!$I517="","",IF(Analysis!$I517="Project-driven",Analysis!$C517,""))</f>
        <v/>
      </c>
      <c r="H517" s="29" t="str">
        <f>IF(Analysis!$I517="","",IF(Analysis!$I517="Drifting",Analysis!$C517,""))</f>
        <v/>
      </c>
      <c r="I517" s="29" t="str">
        <f>IF(Analysis!$I517="","",IF(Analysis!$I517="Embedded",Analysis!$F517,""))</f>
        <v/>
      </c>
      <c r="J517" s="29" t="str">
        <f>IF(Analysis!$I517="","",IF(Analysis!$I517="Loyal but shallow",Analysis!$F517,""))</f>
        <v/>
      </c>
      <c r="K517" s="29" t="str">
        <f>IF(Analysis!$I517="","",IF(Analysis!$I517="Project-driven",Analysis!$F517,""))</f>
        <v/>
      </c>
      <c r="L517" s="29" t="str">
        <f>IF(Analysis!$I517="","",IF(Analysis!$I517="Drifting",Analysis!$F517,""))</f>
        <v/>
      </c>
      <c r="M517" s="29" t="str">
        <f>IF(Analysis!$I517="","",IF(Analysis!$I517="Embedded",Analysis!$H517,""))</f>
        <v/>
      </c>
      <c r="N517" s="29" t="str">
        <f>IF(Analysis!$I517="","",IF(Analysis!$I517="Loyal but shallow",Analysis!$H517,""))</f>
        <v/>
      </c>
      <c r="O517" s="29" t="str">
        <f>IF(Analysis!$I517="","",IF(Analysis!$I517="Project-driven",Analysis!$H517,""))</f>
        <v/>
      </c>
      <c r="P517" s="29" t="str">
        <f>IF(Analysis!$I517="","",IF(Analysis!$I517="Drifting",Analysis!$H517,""))</f>
        <v/>
      </c>
    </row>
    <row r="518" spans="1:16" x14ac:dyDescent="0.25">
      <c r="A518" s="29" t="str">
        <f>IF(Analysis!$I518="","",IF(Analysis!$I518="Embedded",Analysis!$D518,""))</f>
        <v/>
      </c>
      <c r="B518" s="29" t="str">
        <f>IF(Analysis!$I518="","",IF(Analysis!$I518="Loyal but shallow",Analysis!$D518,""))</f>
        <v/>
      </c>
      <c r="C518" s="29" t="str">
        <f>IF(Analysis!$I518="","",IF(Analysis!$I518="Project-driven",Analysis!$D518,""))</f>
        <v/>
      </c>
      <c r="D518" s="29" t="str">
        <f>IF(Analysis!$I518="","",IF(Analysis!$I518="Drifting",Analysis!$D518,""))</f>
        <v/>
      </c>
      <c r="E518" s="29" t="str">
        <f>IF(Analysis!$I518="","",IF(Analysis!$I518="Embedded",Analysis!$C518,""))</f>
        <v/>
      </c>
      <c r="F518" s="29" t="str">
        <f>IF(Analysis!$I518="","",IF(Analysis!$I518="Loyal but shallow",Analysis!$C518,""))</f>
        <v/>
      </c>
      <c r="G518" s="29" t="str">
        <f>IF(Analysis!$I518="","",IF(Analysis!$I518="Project-driven",Analysis!$C518,""))</f>
        <v/>
      </c>
      <c r="H518" s="29" t="str">
        <f>IF(Analysis!$I518="","",IF(Analysis!$I518="Drifting",Analysis!$C518,""))</f>
        <v/>
      </c>
      <c r="I518" s="29" t="str">
        <f>IF(Analysis!$I518="","",IF(Analysis!$I518="Embedded",Analysis!$F518,""))</f>
        <v/>
      </c>
      <c r="J518" s="29" t="str">
        <f>IF(Analysis!$I518="","",IF(Analysis!$I518="Loyal but shallow",Analysis!$F518,""))</f>
        <v/>
      </c>
      <c r="K518" s="29" t="str">
        <f>IF(Analysis!$I518="","",IF(Analysis!$I518="Project-driven",Analysis!$F518,""))</f>
        <v/>
      </c>
      <c r="L518" s="29" t="str">
        <f>IF(Analysis!$I518="","",IF(Analysis!$I518="Drifting",Analysis!$F518,""))</f>
        <v/>
      </c>
      <c r="M518" s="29" t="str">
        <f>IF(Analysis!$I518="","",IF(Analysis!$I518="Embedded",Analysis!$H518,""))</f>
        <v/>
      </c>
      <c r="N518" s="29" t="str">
        <f>IF(Analysis!$I518="","",IF(Analysis!$I518="Loyal but shallow",Analysis!$H518,""))</f>
        <v/>
      </c>
      <c r="O518" s="29" t="str">
        <f>IF(Analysis!$I518="","",IF(Analysis!$I518="Project-driven",Analysis!$H518,""))</f>
        <v/>
      </c>
      <c r="P518" s="29" t="str">
        <f>IF(Analysis!$I518="","",IF(Analysis!$I518="Drifting",Analysis!$H518,""))</f>
        <v/>
      </c>
    </row>
    <row r="519" spans="1:16" x14ac:dyDescent="0.25">
      <c r="A519" s="29" t="str">
        <f>IF(Analysis!$I519="","",IF(Analysis!$I519="Embedded",Analysis!$D519,""))</f>
        <v/>
      </c>
      <c r="B519" s="29" t="str">
        <f>IF(Analysis!$I519="","",IF(Analysis!$I519="Loyal but shallow",Analysis!$D519,""))</f>
        <v/>
      </c>
      <c r="C519" s="29" t="str">
        <f>IF(Analysis!$I519="","",IF(Analysis!$I519="Project-driven",Analysis!$D519,""))</f>
        <v/>
      </c>
      <c r="D519" s="29" t="str">
        <f>IF(Analysis!$I519="","",IF(Analysis!$I519="Drifting",Analysis!$D519,""))</f>
        <v/>
      </c>
      <c r="E519" s="29" t="str">
        <f>IF(Analysis!$I519="","",IF(Analysis!$I519="Embedded",Analysis!$C519,""))</f>
        <v/>
      </c>
      <c r="F519" s="29" t="str">
        <f>IF(Analysis!$I519="","",IF(Analysis!$I519="Loyal but shallow",Analysis!$C519,""))</f>
        <v/>
      </c>
      <c r="G519" s="29" t="str">
        <f>IF(Analysis!$I519="","",IF(Analysis!$I519="Project-driven",Analysis!$C519,""))</f>
        <v/>
      </c>
      <c r="H519" s="29" t="str">
        <f>IF(Analysis!$I519="","",IF(Analysis!$I519="Drifting",Analysis!$C519,""))</f>
        <v/>
      </c>
      <c r="I519" s="29" t="str">
        <f>IF(Analysis!$I519="","",IF(Analysis!$I519="Embedded",Analysis!$F519,""))</f>
        <v/>
      </c>
      <c r="J519" s="29" t="str">
        <f>IF(Analysis!$I519="","",IF(Analysis!$I519="Loyal but shallow",Analysis!$F519,""))</f>
        <v/>
      </c>
      <c r="K519" s="29" t="str">
        <f>IF(Analysis!$I519="","",IF(Analysis!$I519="Project-driven",Analysis!$F519,""))</f>
        <v/>
      </c>
      <c r="L519" s="29" t="str">
        <f>IF(Analysis!$I519="","",IF(Analysis!$I519="Drifting",Analysis!$F519,""))</f>
        <v/>
      </c>
      <c r="M519" s="29" t="str">
        <f>IF(Analysis!$I519="","",IF(Analysis!$I519="Embedded",Analysis!$H519,""))</f>
        <v/>
      </c>
      <c r="N519" s="29" t="str">
        <f>IF(Analysis!$I519="","",IF(Analysis!$I519="Loyal but shallow",Analysis!$H519,""))</f>
        <v/>
      </c>
      <c r="O519" s="29" t="str">
        <f>IF(Analysis!$I519="","",IF(Analysis!$I519="Project-driven",Analysis!$H519,""))</f>
        <v/>
      </c>
      <c r="P519" s="29" t="str">
        <f>IF(Analysis!$I519="","",IF(Analysis!$I519="Drifting",Analysis!$H519,""))</f>
        <v/>
      </c>
    </row>
    <row r="520" spans="1:16" x14ac:dyDescent="0.25">
      <c r="A520" s="29" t="str">
        <f>IF(Analysis!$I520="","",IF(Analysis!$I520="Embedded",Analysis!$D520,""))</f>
        <v/>
      </c>
      <c r="B520" s="29" t="str">
        <f>IF(Analysis!$I520="","",IF(Analysis!$I520="Loyal but shallow",Analysis!$D520,""))</f>
        <v/>
      </c>
      <c r="C520" s="29" t="str">
        <f>IF(Analysis!$I520="","",IF(Analysis!$I520="Project-driven",Analysis!$D520,""))</f>
        <v/>
      </c>
      <c r="D520" s="29" t="str">
        <f>IF(Analysis!$I520="","",IF(Analysis!$I520="Drifting",Analysis!$D520,""))</f>
        <v/>
      </c>
      <c r="E520" s="29" t="str">
        <f>IF(Analysis!$I520="","",IF(Analysis!$I520="Embedded",Analysis!$C520,""))</f>
        <v/>
      </c>
      <c r="F520" s="29" t="str">
        <f>IF(Analysis!$I520="","",IF(Analysis!$I520="Loyal but shallow",Analysis!$C520,""))</f>
        <v/>
      </c>
      <c r="G520" s="29" t="str">
        <f>IF(Analysis!$I520="","",IF(Analysis!$I520="Project-driven",Analysis!$C520,""))</f>
        <v/>
      </c>
      <c r="H520" s="29" t="str">
        <f>IF(Analysis!$I520="","",IF(Analysis!$I520="Drifting",Analysis!$C520,""))</f>
        <v/>
      </c>
      <c r="I520" s="29" t="str">
        <f>IF(Analysis!$I520="","",IF(Analysis!$I520="Embedded",Analysis!$F520,""))</f>
        <v/>
      </c>
      <c r="J520" s="29" t="str">
        <f>IF(Analysis!$I520="","",IF(Analysis!$I520="Loyal but shallow",Analysis!$F520,""))</f>
        <v/>
      </c>
      <c r="K520" s="29" t="str">
        <f>IF(Analysis!$I520="","",IF(Analysis!$I520="Project-driven",Analysis!$F520,""))</f>
        <v/>
      </c>
      <c r="L520" s="29" t="str">
        <f>IF(Analysis!$I520="","",IF(Analysis!$I520="Drifting",Analysis!$F520,""))</f>
        <v/>
      </c>
      <c r="M520" s="29" t="str">
        <f>IF(Analysis!$I520="","",IF(Analysis!$I520="Embedded",Analysis!$H520,""))</f>
        <v/>
      </c>
      <c r="N520" s="29" t="str">
        <f>IF(Analysis!$I520="","",IF(Analysis!$I520="Loyal but shallow",Analysis!$H520,""))</f>
        <v/>
      </c>
      <c r="O520" s="29" t="str">
        <f>IF(Analysis!$I520="","",IF(Analysis!$I520="Project-driven",Analysis!$H520,""))</f>
        <v/>
      </c>
      <c r="P520" s="29" t="str">
        <f>IF(Analysis!$I520="","",IF(Analysis!$I520="Drifting",Analysis!$H520,""))</f>
        <v/>
      </c>
    </row>
    <row r="521" spans="1:16" x14ac:dyDescent="0.25">
      <c r="A521" s="29" t="str">
        <f>IF(Analysis!$I521="","",IF(Analysis!$I521="Embedded",Analysis!$D521,""))</f>
        <v/>
      </c>
      <c r="B521" s="29" t="str">
        <f>IF(Analysis!$I521="","",IF(Analysis!$I521="Loyal but shallow",Analysis!$D521,""))</f>
        <v/>
      </c>
      <c r="C521" s="29" t="str">
        <f>IF(Analysis!$I521="","",IF(Analysis!$I521="Project-driven",Analysis!$D521,""))</f>
        <v/>
      </c>
      <c r="D521" s="29" t="str">
        <f>IF(Analysis!$I521="","",IF(Analysis!$I521="Drifting",Analysis!$D521,""))</f>
        <v/>
      </c>
      <c r="E521" s="29" t="str">
        <f>IF(Analysis!$I521="","",IF(Analysis!$I521="Embedded",Analysis!$C521,""))</f>
        <v/>
      </c>
      <c r="F521" s="29" t="str">
        <f>IF(Analysis!$I521="","",IF(Analysis!$I521="Loyal but shallow",Analysis!$C521,""))</f>
        <v/>
      </c>
      <c r="G521" s="29" t="str">
        <f>IF(Analysis!$I521="","",IF(Analysis!$I521="Project-driven",Analysis!$C521,""))</f>
        <v/>
      </c>
      <c r="H521" s="29" t="str">
        <f>IF(Analysis!$I521="","",IF(Analysis!$I521="Drifting",Analysis!$C521,""))</f>
        <v/>
      </c>
      <c r="I521" s="29" t="str">
        <f>IF(Analysis!$I521="","",IF(Analysis!$I521="Embedded",Analysis!$F521,""))</f>
        <v/>
      </c>
      <c r="J521" s="29" t="str">
        <f>IF(Analysis!$I521="","",IF(Analysis!$I521="Loyal but shallow",Analysis!$F521,""))</f>
        <v/>
      </c>
      <c r="K521" s="29" t="str">
        <f>IF(Analysis!$I521="","",IF(Analysis!$I521="Project-driven",Analysis!$F521,""))</f>
        <v/>
      </c>
      <c r="L521" s="29" t="str">
        <f>IF(Analysis!$I521="","",IF(Analysis!$I521="Drifting",Analysis!$F521,""))</f>
        <v/>
      </c>
      <c r="M521" s="29" t="str">
        <f>IF(Analysis!$I521="","",IF(Analysis!$I521="Embedded",Analysis!$H521,""))</f>
        <v/>
      </c>
      <c r="N521" s="29" t="str">
        <f>IF(Analysis!$I521="","",IF(Analysis!$I521="Loyal but shallow",Analysis!$H521,""))</f>
        <v/>
      </c>
      <c r="O521" s="29" t="str">
        <f>IF(Analysis!$I521="","",IF(Analysis!$I521="Project-driven",Analysis!$H521,""))</f>
        <v/>
      </c>
      <c r="P521" s="29" t="str">
        <f>IF(Analysis!$I521="","",IF(Analysis!$I521="Drifting",Analysis!$H521,""))</f>
        <v/>
      </c>
    </row>
    <row r="522" spans="1:16" x14ac:dyDescent="0.25">
      <c r="A522" s="29" t="str">
        <f>IF(Analysis!$I522="","",IF(Analysis!$I522="Embedded",Analysis!$D522,""))</f>
        <v/>
      </c>
      <c r="B522" s="29" t="str">
        <f>IF(Analysis!$I522="","",IF(Analysis!$I522="Loyal but shallow",Analysis!$D522,""))</f>
        <v/>
      </c>
      <c r="C522" s="29" t="str">
        <f>IF(Analysis!$I522="","",IF(Analysis!$I522="Project-driven",Analysis!$D522,""))</f>
        <v/>
      </c>
      <c r="D522" s="29" t="str">
        <f>IF(Analysis!$I522="","",IF(Analysis!$I522="Drifting",Analysis!$D522,""))</f>
        <v/>
      </c>
      <c r="E522" s="29" t="str">
        <f>IF(Analysis!$I522="","",IF(Analysis!$I522="Embedded",Analysis!$C522,""))</f>
        <v/>
      </c>
      <c r="F522" s="29" t="str">
        <f>IF(Analysis!$I522="","",IF(Analysis!$I522="Loyal but shallow",Analysis!$C522,""))</f>
        <v/>
      </c>
      <c r="G522" s="29" t="str">
        <f>IF(Analysis!$I522="","",IF(Analysis!$I522="Project-driven",Analysis!$C522,""))</f>
        <v/>
      </c>
      <c r="H522" s="29" t="str">
        <f>IF(Analysis!$I522="","",IF(Analysis!$I522="Drifting",Analysis!$C522,""))</f>
        <v/>
      </c>
      <c r="I522" s="29" t="str">
        <f>IF(Analysis!$I522="","",IF(Analysis!$I522="Embedded",Analysis!$F522,""))</f>
        <v/>
      </c>
      <c r="J522" s="29" t="str">
        <f>IF(Analysis!$I522="","",IF(Analysis!$I522="Loyal but shallow",Analysis!$F522,""))</f>
        <v/>
      </c>
      <c r="K522" s="29" t="str">
        <f>IF(Analysis!$I522="","",IF(Analysis!$I522="Project-driven",Analysis!$F522,""))</f>
        <v/>
      </c>
      <c r="L522" s="29" t="str">
        <f>IF(Analysis!$I522="","",IF(Analysis!$I522="Drifting",Analysis!$F522,""))</f>
        <v/>
      </c>
      <c r="M522" s="29" t="str">
        <f>IF(Analysis!$I522="","",IF(Analysis!$I522="Embedded",Analysis!$H522,""))</f>
        <v/>
      </c>
      <c r="N522" s="29" t="str">
        <f>IF(Analysis!$I522="","",IF(Analysis!$I522="Loyal but shallow",Analysis!$H522,""))</f>
        <v/>
      </c>
      <c r="O522" s="29" t="str">
        <f>IF(Analysis!$I522="","",IF(Analysis!$I522="Project-driven",Analysis!$H522,""))</f>
        <v/>
      </c>
      <c r="P522" s="29" t="str">
        <f>IF(Analysis!$I522="","",IF(Analysis!$I522="Drifting",Analysis!$H522,""))</f>
        <v/>
      </c>
    </row>
    <row r="523" spans="1:16" x14ac:dyDescent="0.25">
      <c r="A523" s="29" t="str">
        <f>IF(Analysis!$I523="","",IF(Analysis!$I523="Embedded",Analysis!$D523,""))</f>
        <v/>
      </c>
      <c r="B523" s="29" t="str">
        <f>IF(Analysis!$I523="","",IF(Analysis!$I523="Loyal but shallow",Analysis!$D523,""))</f>
        <v/>
      </c>
      <c r="C523" s="29" t="str">
        <f>IF(Analysis!$I523="","",IF(Analysis!$I523="Project-driven",Analysis!$D523,""))</f>
        <v/>
      </c>
      <c r="D523" s="29" t="str">
        <f>IF(Analysis!$I523="","",IF(Analysis!$I523="Drifting",Analysis!$D523,""))</f>
        <v/>
      </c>
      <c r="E523" s="29" t="str">
        <f>IF(Analysis!$I523="","",IF(Analysis!$I523="Embedded",Analysis!$C523,""))</f>
        <v/>
      </c>
      <c r="F523" s="29" t="str">
        <f>IF(Analysis!$I523="","",IF(Analysis!$I523="Loyal but shallow",Analysis!$C523,""))</f>
        <v/>
      </c>
      <c r="G523" s="29" t="str">
        <f>IF(Analysis!$I523="","",IF(Analysis!$I523="Project-driven",Analysis!$C523,""))</f>
        <v/>
      </c>
      <c r="H523" s="29" t="str">
        <f>IF(Analysis!$I523="","",IF(Analysis!$I523="Drifting",Analysis!$C523,""))</f>
        <v/>
      </c>
      <c r="I523" s="29" t="str">
        <f>IF(Analysis!$I523="","",IF(Analysis!$I523="Embedded",Analysis!$F523,""))</f>
        <v/>
      </c>
      <c r="J523" s="29" t="str">
        <f>IF(Analysis!$I523="","",IF(Analysis!$I523="Loyal but shallow",Analysis!$F523,""))</f>
        <v/>
      </c>
      <c r="K523" s="29" t="str">
        <f>IF(Analysis!$I523="","",IF(Analysis!$I523="Project-driven",Analysis!$F523,""))</f>
        <v/>
      </c>
      <c r="L523" s="29" t="str">
        <f>IF(Analysis!$I523="","",IF(Analysis!$I523="Drifting",Analysis!$F523,""))</f>
        <v/>
      </c>
      <c r="M523" s="29" t="str">
        <f>IF(Analysis!$I523="","",IF(Analysis!$I523="Embedded",Analysis!$H523,""))</f>
        <v/>
      </c>
      <c r="N523" s="29" t="str">
        <f>IF(Analysis!$I523="","",IF(Analysis!$I523="Loyal but shallow",Analysis!$H523,""))</f>
        <v/>
      </c>
      <c r="O523" s="29" t="str">
        <f>IF(Analysis!$I523="","",IF(Analysis!$I523="Project-driven",Analysis!$H523,""))</f>
        <v/>
      </c>
      <c r="P523" s="29" t="str">
        <f>IF(Analysis!$I523="","",IF(Analysis!$I523="Drifting",Analysis!$H523,""))</f>
        <v/>
      </c>
    </row>
    <row r="524" spans="1:16" x14ac:dyDescent="0.25">
      <c r="A524" s="29" t="str">
        <f>IF(Analysis!$I524="","",IF(Analysis!$I524="Embedded",Analysis!$D524,""))</f>
        <v/>
      </c>
      <c r="B524" s="29" t="str">
        <f>IF(Analysis!$I524="","",IF(Analysis!$I524="Loyal but shallow",Analysis!$D524,""))</f>
        <v/>
      </c>
      <c r="C524" s="29" t="str">
        <f>IF(Analysis!$I524="","",IF(Analysis!$I524="Project-driven",Analysis!$D524,""))</f>
        <v/>
      </c>
      <c r="D524" s="29" t="str">
        <f>IF(Analysis!$I524="","",IF(Analysis!$I524="Drifting",Analysis!$D524,""))</f>
        <v/>
      </c>
      <c r="E524" s="29" t="str">
        <f>IF(Analysis!$I524="","",IF(Analysis!$I524="Embedded",Analysis!$C524,""))</f>
        <v/>
      </c>
      <c r="F524" s="29" t="str">
        <f>IF(Analysis!$I524="","",IF(Analysis!$I524="Loyal but shallow",Analysis!$C524,""))</f>
        <v/>
      </c>
      <c r="G524" s="29" t="str">
        <f>IF(Analysis!$I524="","",IF(Analysis!$I524="Project-driven",Analysis!$C524,""))</f>
        <v/>
      </c>
      <c r="H524" s="29" t="str">
        <f>IF(Analysis!$I524="","",IF(Analysis!$I524="Drifting",Analysis!$C524,""))</f>
        <v/>
      </c>
      <c r="I524" s="29" t="str">
        <f>IF(Analysis!$I524="","",IF(Analysis!$I524="Embedded",Analysis!$F524,""))</f>
        <v/>
      </c>
      <c r="J524" s="29" t="str">
        <f>IF(Analysis!$I524="","",IF(Analysis!$I524="Loyal but shallow",Analysis!$F524,""))</f>
        <v/>
      </c>
      <c r="K524" s="29" t="str">
        <f>IF(Analysis!$I524="","",IF(Analysis!$I524="Project-driven",Analysis!$F524,""))</f>
        <v/>
      </c>
      <c r="L524" s="29" t="str">
        <f>IF(Analysis!$I524="","",IF(Analysis!$I524="Drifting",Analysis!$F524,""))</f>
        <v/>
      </c>
      <c r="M524" s="29" t="str">
        <f>IF(Analysis!$I524="","",IF(Analysis!$I524="Embedded",Analysis!$H524,""))</f>
        <v/>
      </c>
      <c r="N524" s="29" t="str">
        <f>IF(Analysis!$I524="","",IF(Analysis!$I524="Loyal but shallow",Analysis!$H524,""))</f>
        <v/>
      </c>
      <c r="O524" s="29" t="str">
        <f>IF(Analysis!$I524="","",IF(Analysis!$I524="Project-driven",Analysis!$H524,""))</f>
        <v/>
      </c>
      <c r="P524" s="29" t="str">
        <f>IF(Analysis!$I524="","",IF(Analysis!$I524="Drifting",Analysis!$H524,""))</f>
        <v/>
      </c>
    </row>
    <row r="525" spans="1:16" x14ac:dyDescent="0.25">
      <c r="A525" s="29" t="str">
        <f>IF(Analysis!$I525="","",IF(Analysis!$I525="Embedded",Analysis!$D525,""))</f>
        <v/>
      </c>
      <c r="B525" s="29" t="str">
        <f>IF(Analysis!$I525="","",IF(Analysis!$I525="Loyal but shallow",Analysis!$D525,""))</f>
        <v/>
      </c>
      <c r="C525" s="29" t="str">
        <f>IF(Analysis!$I525="","",IF(Analysis!$I525="Project-driven",Analysis!$D525,""))</f>
        <v/>
      </c>
      <c r="D525" s="29" t="str">
        <f>IF(Analysis!$I525="","",IF(Analysis!$I525="Drifting",Analysis!$D525,""))</f>
        <v/>
      </c>
      <c r="E525" s="29" t="str">
        <f>IF(Analysis!$I525="","",IF(Analysis!$I525="Embedded",Analysis!$C525,""))</f>
        <v/>
      </c>
      <c r="F525" s="29" t="str">
        <f>IF(Analysis!$I525="","",IF(Analysis!$I525="Loyal but shallow",Analysis!$C525,""))</f>
        <v/>
      </c>
      <c r="G525" s="29" t="str">
        <f>IF(Analysis!$I525="","",IF(Analysis!$I525="Project-driven",Analysis!$C525,""))</f>
        <v/>
      </c>
      <c r="H525" s="29" t="str">
        <f>IF(Analysis!$I525="","",IF(Analysis!$I525="Drifting",Analysis!$C525,""))</f>
        <v/>
      </c>
      <c r="I525" s="29" t="str">
        <f>IF(Analysis!$I525="","",IF(Analysis!$I525="Embedded",Analysis!$F525,""))</f>
        <v/>
      </c>
      <c r="J525" s="29" t="str">
        <f>IF(Analysis!$I525="","",IF(Analysis!$I525="Loyal but shallow",Analysis!$F525,""))</f>
        <v/>
      </c>
      <c r="K525" s="29" t="str">
        <f>IF(Analysis!$I525="","",IF(Analysis!$I525="Project-driven",Analysis!$F525,""))</f>
        <v/>
      </c>
      <c r="L525" s="29" t="str">
        <f>IF(Analysis!$I525="","",IF(Analysis!$I525="Drifting",Analysis!$F525,""))</f>
        <v/>
      </c>
      <c r="M525" s="29" t="str">
        <f>IF(Analysis!$I525="","",IF(Analysis!$I525="Embedded",Analysis!$H525,""))</f>
        <v/>
      </c>
      <c r="N525" s="29" t="str">
        <f>IF(Analysis!$I525="","",IF(Analysis!$I525="Loyal but shallow",Analysis!$H525,""))</f>
        <v/>
      </c>
      <c r="O525" s="29" t="str">
        <f>IF(Analysis!$I525="","",IF(Analysis!$I525="Project-driven",Analysis!$H525,""))</f>
        <v/>
      </c>
      <c r="P525" s="29" t="str">
        <f>IF(Analysis!$I525="","",IF(Analysis!$I525="Drifting",Analysis!$H525,""))</f>
        <v/>
      </c>
    </row>
    <row r="526" spans="1:16" x14ac:dyDescent="0.25">
      <c r="A526" s="29" t="str">
        <f>IF(Analysis!$I526="","",IF(Analysis!$I526="Embedded",Analysis!$D526,""))</f>
        <v/>
      </c>
      <c r="B526" s="29" t="str">
        <f>IF(Analysis!$I526="","",IF(Analysis!$I526="Loyal but shallow",Analysis!$D526,""))</f>
        <v/>
      </c>
      <c r="C526" s="29" t="str">
        <f>IF(Analysis!$I526="","",IF(Analysis!$I526="Project-driven",Analysis!$D526,""))</f>
        <v/>
      </c>
      <c r="D526" s="29" t="str">
        <f>IF(Analysis!$I526="","",IF(Analysis!$I526="Drifting",Analysis!$D526,""))</f>
        <v/>
      </c>
      <c r="E526" s="29" t="str">
        <f>IF(Analysis!$I526="","",IF(Analysis!$I526="Embedded",Analysis!$C526,""))</f>
        <v/>
      </c>
      <c r="F526" s="29" t="str">
        <f>IF(Analysis!$I526="","",IF(Analysis!$I526="Loyal but shallow",Analysis!$C526,""))</f>
        <v/>
      </c>
      <c r="G526" s="29" t="str">
        <f>IF(Analysis!$I526="","",IF(Analysis!$I526="Project-driven",Analysis!$C526,""))</f>
        <v/>
      </c>
      <c r="H526" s="29" t="str">
        <f>IF(Analysis!$I526="","",IF(Analysis!$I526="Drifting",Analysis!$C526,""))</f>
        <v/>
      </c>
      <c r="I526" s="29" t="str">
        <f>IF(Analysis!$I526="","",IF(Analysis!$I526="Embedded",Analysis!$F526,""))</f>
        <v/>
      </c>
      <c r="J526" s="29" t="str">
        <f>IF(Analysis!$I526="","",IF(Analysis!$I526="Loyal but shallow",Analysis!$F526,""))</f>
        <v/>
      </c>
      <c r="K526" s="29" t="str">
        <f>IF(Analysis!$I526="","",IF(Analysis!$I526="Project-driven",Analysis!$F526,""))</f>
        <v/>
      </c>
      <c r="L526" s="29" t="str">
        <f>IF(Analysis!$I526="","",IF(Analysis!$I526="Drifting",Analysis!$F526,""))</f>
        <v/>
      </c>
      <c r="M526" s="29" t="str">
        <f>IF(Analysis!$I526="","",IF(Analysis!$I526="Embedded",Analysis!$H526,""))</f>
        <v/>
      </c>
      <c r="N526" s="29" t="str">
        <f>IF(Analysis!$I526="","",IF(Analysis!$I526="Loyal but shallow",Analysis!$H526,""))</f>
        <v/>
      </c>
      <c r="O526" s="29" t="str">
        <f>IF(Analysis!$I526="","",IF(Analysis!$I526="Project-driven",Analysis!$H526,""))</f>
        <v/>
      </c>
      <c r="P526" s="29" t="str">
        <f>IF(Analysis!$I526="","",IF(Analysis!$I526="Drifting",Analysis!$H526,""))</f>
        <v/>
      </c>
    </row>
    <row r="527" spans="1:16" x14ac:dyDescent="0.25">
      <c r="A527" s="29" t="str">
        <f>IF(Analysis!$I527="","",IF(Analysis!$I527="Embedded",Analysis!$D527,""))</f>
        <v/>
      </c>
      <c r="B527" s="29" t="str">
        <f>IF(Analysis!$I527="","",IF(Analysis!$I527="Loyal but shallow",Analysis!$D527,""))</f>
        <v/>
      </c>
      <c r="C527" s="29" t="str">
        <f>IF(Analysis!$I527="","",IF(Analysis!$I527="Project-driven",Analysis!$D527,""))</f>
        <v/>
      </c>
      <c r="D527" s="29" t="str">
        <f>IF(Analysis!$I527="","",IF(Analysis!$I527="Drifting",Analysis!$D527,""))</f>
        <v/>
      </c>
      <c r="E527" s="29" t="str">
        <f>IF(Analysis!$I527="","",IF(Analysis!$I527="Embedded",Analysis!$C527,""))</f>
        <v/>
      </c>
      <c r="F527" s="29" t="str">
        <f>IF(Analysis!$I527="","",IF(Analysis!$I527="Loyal but shallow",Analysis!$C527,""))</f>
        <v/>
      </c>
      <c r="G527" s="29" t="str">
        <f>IF(Analysis!$I527="","",IF(Analysis!$I527="Project-driven",Analysis!$C527,""))</f>
        <v/>
      </c>
      <c r="H527" s="29" t="str">
        <f>IF(Analysis!$I527="","",IF(Analysis!$I527="Drifting",Analysis!$C527,""))</f>
        <v/>
      </c>
      <c r="I527" s="29" t="str">
        <f>IF(Analysis!$I527="","",IF(Analysis!$I527="Embedded",Analysis!$F527,""))</f>
        <v/>
      </c>
      <c r="J527" s="29" t="str">
        <f>IF(Analysis!$I527="","",IF(Analysis!$I527="Loyal but shallow",Analysis!$F527,""))</f>
        <v/>
      </c>
      <c r="K527" s="29" t="str">
        <f>IF(Analysis!$I527="","",IF(Analysis!$I527="Project-driven",Analysis!$F527,""))</f>
        <v/>
      </c>
      <c r="L527" s="29" t="str">
        <f>IF(Analysis!$I527="","",IF(Analysis!$I527="Drifting",Analysis!$F527,""))</f>
        <v/>
      </c>
      <c r="M527" s="29" t="str">
        <f>IF(Analysis!$I527="","",IF(Analysis!$I527="Embedded",Analysis!$H527,""))</f>
        <v/>
      </c>
      <c r="N527" s="29" t="str">
        <f>IF(Analysis!$I527="","",IF(Analysis!$I527="Loyal but shallow",Analysis!$H527,""))</f>
        <v/>
      </c>
      <c r="O527" s="29" t="str">
        <f>IF(Analysis!$I527="","",IF(Analysis!$I527="Project-driven",Analysis!$H527,""))</f>
        <v/>
      </c>
      <c r="P527" s="29" t="str">
        <f>IF(Analysis!$I527="","",IF(Analysis!$I527="Drifting",Analysis!$H527,""))</f>
        <v/>
      </c>
    </row>
    <row r="528" spans="1:16" x14ac:dyDescent="0.25">
      <c r="A528" s="29" t="str">
        <f>IF(Analysis!$I528="","",IF(Analysis!$I528="Embedded",Analysis!$D528,""))</f>
        <v/>
      </c>
      <c r="B528" s="29" t="str">
        <f>IF(Analysis!$I528="","",IF(Analysis!$I528="Loyal but shallow",Analysis!$D528,""))</f>
        <v/>
      </c>
      <c r="C528" s="29" t="str">
        <f>IF(Analysis!$I528="","",IF(Analysis!$I528="Project-driven",Analysis!$D528,""))</f>
        <v/>
      </c>
      <c r="D528" s="29" t="str">
        <f>IF(Analysis!$I528="","",IF(Analysis!$I528="Drifting",Analysis!$D528,""))</f>
        <v/>
      </c>
      <c r="E528" s="29" t="str">
        <f>IF(Analysis!$I528="","",IF(Analysis!$I528="Embedded",Analysis!$C528,""))</f>
        <v/>
      </c>
      <c r="F528" s="29" t="str">
        <f>IF(Analysis!$I528="","",IF(Analysis!$I528="Loyal but shallow",Analysis!$C528,""))</f>
        <v/>
      </c>
      <c r="G528" s="29" t="str">
        <f>IF(Analysis!$I528="","",IF(Analysis!$I528="Project-driven",Analysis!$C528,""))</f>
        <v/>
      </c>
      <c r="H528" s="29" t="str">
        <f>IF(Analysis!$I528="","",IF(Analysis!$I528="Drifting",Analysis!$C528,""))</f>
        <v/>
      </c>
      <c r="I528" s="29" t="str">
        <f>IF(Analysis!$I528="","",IF(Analysis!$I528="Embedded",Analysis!$F528,""))</f>
        <v/>
      </c>
      <c r="J528" s="29" t="str">
        <f>IF(Analysis!$I528="","",IF(Analysis!$I528="Loyal but shallow",Analysis!$F528,""))</f>
        <v/>
      </c>
      <c r="K528" s="29" t="str">
        <f>IF(Analysis!$I528="","",IF(Analysis!$I528="Project-driven",Analysis!$F528,""))</f>
        <v/>
      </c>
      <c r="L528" s="29" t="str">
        <f>IF(Analysis!$I528="","",IF(Analysis!$I528="Drifting",Analysis!$F528,""))</f>
        <v/>
      </c>
      <c r="M528" s="29" t="str">
        <f>IF(Analysis!$I528="","",IF(Analysis!$I528="Embedded",Analysis!$H528,""))</f>
        <v/>
      </c>
      <c r="N528" s="29" t="str">
        <f>IF(Analysis!$I528="","",IF(Analysis!$I528="Loyal but shallow",Analysis!$H528,""))</f>
        <v/>
      </c>
      <c r="O528" s="29" t="str">
        <f>IF(Analysis!$I528="","",IF(Analysis!$I528="Project-driven",Analysis!$H528,""))</f>
        <v/>
      </c>
      <c r="P528" s="29" t="str">
        <f>IF(Analysis!$I528="","",IF(Analysis!$I528="Drifting",Analysis!$H528,""))</f>
        <v/>
      </c>
    </row>
    <row r="529" spans="1:16" x14ac:dyDescent="0.25">
      <c r="A529" s="29" t="str">
        <f>IF(Analysis!$I529="","",IF(Analysis!$I529="Embedded",Analysis!$D529,""))</f>
        <v/>
      </c>
      <c r="B529" s="29" t="str">
        <f>IF(Analysis!$I529="","",IF(Analysis!$I529="Loyal but shallow",Analysis!$D529,""))</f>
        <v/>
      </c>
      <c r="C529" s="29" t="str">
        <f>IF(Analysis!$I529="","",IF(Analysis!$I529="Project-driven",Analysis!$D529,""))</f>
        <v/>
      </c>
      <c r="D529" s="29" t="str">
        <f>IF(Analysis!$I529="","",IF(Analysis!$I529="Drifting",Analysis!$D529,""))</f>
        <v/>
      </c>
      <c r="E529" s="29" t="str">
        <f>IF(Analysis!$I529="","",IF(Analysis!$I529="Embedded",Analysis!$C529,""))</f>
        <v/>
      </c>
      <c r="F529" s="29" t="str">
        <f>IF(Analysis!$I529="","",IF(Analysis!$I529="Loyal but shallow",Analysis!$C529,""))</f>
        <v/>
      </c>
      <c r="G529" s="29" t="str">
        <f>IF(Analysis!$I529="","",IF(Analysis!$I529="Project-driven",Analysis!$C529,""))</f>
        <v/>
      </c>
      <c r="H529" s="29" t="str">
        <f>IF(Analysis!$I529="","",IF(Analysis!$I529="Drifting",Analysis!$C529,""))</f>
        <v/>
      </c>
      <c r="I529" s="29" t="str">
        <f>IF(Analysis!$I529="","",IF(Analysis!$I529="Embedded",Analysis!$F529,""))</f>
        <v/>
      </c>
      <c r="J529" s="29" t="str">
        <f>IF(Analysis!$I529="","",IF(Analysis!$I529="Loyal but shallow",Analysis!$F529,""))</f>
        <v/>
      </c>
      <c r="K529" s="29" t="str">
        <f>IF(Analysis!$I529="","",IF(Analysis!$I529="Project-driven",Analysis!$F529,""))</f>
        <v/>
      </c>
      <c r="L529" s="29" t="str">
        <f>IF(Analysis!$I529="","",IF(Analysis!$I529="Drifting",Analysis!$F529,""))</f>
        <v/>
      </c>
      <c r="M529" s="29" t="str">
        <f>IF(Analysis!$I529="","",IF(Analysis!$I529="Embedded",Analysis!$H529,""))</f>
        <v/>
      </c>
      <c r="N529" s="29" t="str">
        <f>IF(Analysis!$I529="","",IF(Analysis!$I529="Loyal but shallow",Analysis!$H529,""))</f>
        <v/>
      </c>
      <c r="O529" s="29" t="str">
        <f>IF(Analysis!$I529="","",IF(Analysis!$I529="Project-driven",Analysis!$H529,""))</f>
        <v/>
      </c>
      <c r="P529" s="29" t="str">
        <f>IF(Analysis!$I529="","",IF(Analysis!$I529="Drifting",Analysis!$H529,""))</f>
        <v/>
      </c>
    </row>
    <row r="530" spans="1:16" x14ac:dyDescent="0.25">
      <c r="A530" s="29" t="str">
        <f>IF(Analysis!$I530="","",IF(Analysis!$I530="Embedded",Analysis!$D530,""))</f>
        <v/>
      </c>
      <c r="B530" s="29" t="str">
        <f>IF(Analysis!$I530="","",IF(Analysis!$I530="Loyal but shallow",Analysis!$D530,""))</f>
        <v/>
      </c>
      <c r="C530" s="29" t="str">
        <f>IF(Analysis!$I530="","",IF(Analysis!$I530="Project-driven",Analysis!$D530,""))</f>
        <v/>
      </c>
      <c r="D530" s="29" t="str">
        <f>IF(Analysis!$I530="","",IF(Analysis!$I530="Drifting",Analysis!$D530,""))</f>
        <v/>
      </c>
      <c r="E530" s="29" t="str">
        <f>IF(Analysis!$I530="","",IF(Analysis!$I530="Embedded",Analysis!$C530,""))</f>
        <v/>
      </c>
      <c r="F530" s="29" t="str">
        <f>IF(Analysis!$I530="","",IF(Analysis!$I530="Loyal but shallow",Analysis!$C530,""))</f>
        <v/>
      </c>
      <c r="G530" s="29" t="str">
        <f>IF(Analysis!$I530="","",IF(Analysis!$I530="Project-driven",Analysis!$C530,""))</f>
        <v/>
      </c>
      <c r="H530" s="29" t="str">
        <f>IF(Analysis!$I530="","",IF(Analysis!$I530="Drifting",Analysis!$C530,""))</f>
        <v/>
      </c>
      <c r="I530" s="29" t="str">
        <f>IF(Analysis!$I530="","",IF(Analysis!$I530="Embedded",Analysis!$F530,""))</f>
        <v/>
      </c>
      <c r="J530" s="29" t="str">
        <f>IF(Analysis!$I530="","",IF(Analysis!$I530="Loyal but shallow",Analysis!$F530,""))</f>
        <v/>
      </c>
      <c r="K530" s="29" t="str">
        <f>IF(Analysis!$I530="","",IF(Analysis!$I530="Project-driven",Analysis!$F530,""))</f>
        <v/>
      </c>
      <c r="L530" s="29" t="str">
        <f>IF(Analysis!$I530="","",IF(Analysis!$I530="Drifting",Analysis!$F530,""))</f>
        <v/>
      </c>
      <c r="M530" s="29" t="str">
        <f>IF(Analysis!$I530="","",IF(Analysis!$I530="Embedded",Analysis!$H530,""))</f>
        <v/>
      </c>
      <c r="N530" s="29" t="str">
        <f>IF(Analysis!$I530="","",IF(Analysis!$I530="Loyal but shallow",Analysis!$H530,""))</f>
        <v/>
      </c>
      <c r="O530" s="29" t="str">
        <f>IF(Analysis!$I530="","",IF(Analysis!$I530="Project-driven",Analysis!$H530,""))</f>
        <v/>
      </c>
      <c r="P530" s="29" t="str">
        <f>IF(Analysis!$I530="","",IF(Analysis!$I530="Drifting",Analysis!$H530,""))</f>
        <v/>
      </c>
    </row>
    <row r="531" spans="1:16" x14ac:dyDescent="0.25">
      <c r="A531" s="29" t="str">
        <f>IF(Analysis!$I531="","",IF(Analysis!$I531="Embedded",Analysis!$D531,""))</f>
        <v/>
      </c>
      <c r="B531" s="29" t="str">
        <f>IF(Analysis!$I531="","",IF(Analysis!$I531="Loyal but shallow",Analysis!$D531,""))</f>
        <v/>
      </c>
      <c r="C531" s="29" t="str">
        <f>IF(Analysis!$I531="","",IF(Analysis!$I531="Project-driven",Analysis!$D531,""))</f>
        <v/>
      </c>
      <c r="D531" s="29" t="str">
        <f>IF(Analysis!$I531="","",IF(Analysis!$I531="Drifting",Analysis!$D531,""))</f>
        <v/>
      </c>
      <c r="E531" s="29" t="str">
        <f>IF(Analysis!$I531="","",IF(Analysis!$I531="Embedded",Analysis!$C531,""))</f>
        <v/>
      </c>
      <c r="F531" s="29" t="str">
        <f>IF(Analysis!$I531="","",IF(Analysis!$I531="Loyal but shallow",Analysis!$C531,""))</f>
        <v/>
      </c>
      <c r="G531" s="29" t="str">
        <f>IF(Analysis!$I531="","",IF(Analysis!$I531="Project-driven",Analysis!$C531,""))</f>
        <v/>
      </c>
      <c r="H531" s="29" t="str">
        <f>IF(Analysis!$I531="","",IF(Analysis!$I531="Drifting",Analysis!$C531,""))</f>
        <v/>
      </c>
      <c r="I531" s="29" t="str">
        <f>IF(Analysis!$I531="","",IF(Analysis!$I531="Embedded",Analysis!$F531,""))</f>
        <v/>
      </c>
      <c r="J531" s="29" t="str">
        <f>IF(Analysis!$I531="","",IF(Analysis!$I531="Loyal but shallow",Analysis!$F531,""))</f>
        <v/>
      </c>
      <c r="K531" s="29" t="str">
        <f>IF(Analysis!$I531="","",IF(Analysis!$I531="Project-driven",Analysis!$F531,""))</f>
        <v/>
      </c>
      <c r="L531" s="29" t="str">
        <f>IF(Analysis!$I531="","",IF(Analysis!$I531="Drifting",Analysis!$F531,""))</f>
        <v/>
      </c>
      <c r="M531" s="29" t="str">
        <f>IF(Analysis!$I531="","",IF(Analysis!$I531="Embedded",Analysis!$H531,""))</f>
        <v/>
      </c>
      <c r="N531" s="29" t="str">
        <f>IF(Analysis!$I531="","",IF(Analysis!$I531="Loyal but shallow",Analysis!$H531,""))</f>
        <v/>
      </c>
      <c r="O531" s="29" t="str">
        <f>IF(Analysis!$I531="","",IF(Analysis!$I531="Project-driven",Analysis!$H531,""))</f>
        <v/>
      </c>
      <c r="P531" s="29" t="str">
        <f>IF(Analysis!$I531="","",IF(Analysis!$I531="Drifting",Analysis!$H531,""))</f>
        <v/>
      </c>
    </row>
    <row r="532" spans="1:16" x14ac:dyDescent="0.25">
      <c r="A532" s="29" t="str">
        <f>IF(Analysis!$I532="","",IF(Analysis!$I532="Embedded",Analysis!$D532,""))</f>
        <v/>
      </c>
      <c r="B532" s="29" t="str">
        <f>IF(Analysis!$I532="","",IF(Analysis!$I532="Loyal but shallow",Analysis!$D532,""))</f>
        <v/>
      </c>
      <c r="C532" s="29" t="str">
        <f>IF(Analysis!$I532="","",IF(Analysis!$I532="Project-driven",Analysis!$D532,""))</f>
        <v/>
      </c>
      <c r="D532" s="29" t="str">
        <f>IF(Analysis!$I532="","",IF(Analysis!$I532="Drifting",Analysis!$D532,""))</f>
        <v/>
      </c>
      <c r="E532" s="29" t="str">
        <f>IF(Analysis!$I532="","",IF(Analysis!$I532="Embedded",Analysis!$C532,""))</f>
        <v/>
      </c>
      <c r="F532" s="29" t="str">
        <f>IF(Analysis!$I532="","",IF(Analysis!$I532="Loyal but shallow",Analysis!$C532,""))</f>
        <v/>
      </c>
      <c r="G532" s="29" t="str">
        <f>IF(Analysis!$I532="","",IF(Analysis!$I532="Project-driven",Analysis!$C532,""))</f>
        <v/>
      </c>
      <c r="H532" s="29" t="str">
        <f>IF(Analysis!$I532="","",IF(Analysis!$I532="Drifting",Analysis!$C532,""))</f>
        <v/>
      </c>
      <c r="I532" s="29" t="str">
        <f>IF(Analysis!$I532="","",IF(Analysis!$I532="Embedded",Analysis!$F532,""))</f>
        <v/>
      </c>
      <c r="J532" s="29" t="str">
        <f>IF(Analysis!$I532="","",IF(Analysis!$I532="Loyal but shallow",Analysis!$F532,""))</f>
        <v/>
      </c>
      <c r="K532" s="29" t="str">
        <f>IF(Analysis!$I532="","",IF(Analysis!$I532="Project-driven",Analysis!$F532,""))</f>
        <v/>
      </c>
      <c r="L532" s="29" t="str">
        <f>IF(Analysis!$I532="","",IF(Analysis!$I532="Drifting",Analysis!$F532,""))</f>
        <v/>
      </c>
      <c r="M532" s="29" t="str">
        <f>IF(Analysis!$I532="","",IF(Analysis!$I532="Embedded",Analysis!$H532,""))</f>
        <v/>
      </c>
      <c r="N532" s="29" t="str">
        <f>IF(Analysis!$I532="","",IF(Analysis!$I532="Loyal but shallow",Analysis!$H532,""))</f>
        <v/>
      </c>
      <c r="O532" s="29" t="str">
        <f>IF(Analysis!$I532="","",IF(Analysis!$I532="Project-driven",Analysis!$H532,""))</f>
        <v/>
      </c>
      <c r="P532" s="29" t="str">
        <f>IF(Analysis!$I532="","",IF(Analysis!$I532="Drifting",Analysis!$H532,""))</f>
        <v/>
      </c>
    </row>
    <row r="533" spans="1:16" x14ac:dyDescent="0.25">
      <c r="A533" s="29" t="str">
        <f>IF(Analysis!$I533="","",IF(Analysis!$I533="Embedded",Analysis!$D533,""))</f>
        <v/>
      </c>
      <c r="B533" s="29" t="str">
        <f>IF(Analysis!$I533="","",IF(Analysis!$I533="Loyal but shallow",Analysis!$D533,""))</f>
        <v/>
      </c>
      <c r="C533" s="29" t="str">
        <f>IF(Analysis!$I533="","",IF(Analysis!$I533="Project-driven",Analysis!$D533,""))</f>
        <v/>
      </c>
      <c r="D533" s="29" t="str">
        <f>IF(Analysis!$I533="","",IF(Analysis!$I533="Drifting",Analysis!$D533,""))</f>
        <v/>
      </c>
      <c r="E533" s="29" t="str">
        <f>IF(Analysis!$I533="","",IF(Analysis!$I533="Embedded",Analysis!$C533,""))</f>
        <v/>
      </c>
      <c r="F533" s="29" t="str">
        <f>IF(Analysis!$I533="","",IF(Analysis!$I533="Loyal but shallow",Analysis!$C533,""))</f>
        <v/>
      </c>
      <c r="G533" s="29" t="str">
        <f>IF(Analysis!$I533="","",IF(Analysis!$I533="Project-driven",Analysis!$C533,""))</f>
        <v/>
      </c>
      <c r="H533" s="29" t="str">
        <f>IF(Analysis!$I533="","",IF(Analysis!$I533="Drifting",Analysis!$C533,""))</f>
        <v/>
      </c>
      <c r="I533" s="29" t="str">
        <f>IF(Analysis!$I533="","",IF(Analysis!$I533="Embedded",Analysis!$F533,""))</f>
        <v/>
      </c>
      <c r="J533" s="29" t="str">
        <f>IF(Analysis!$I533="","",IF(Analysis!$I533="Loyal but shallow",Analysis!$F533,""))</f>
        <v/>
      </c>
      <c r="K533" s="29" t="str">
        <f>IF(Analysis!$I533="","",IF(Analysis!$I533="Project-driven",Analysis!$F533,""))</f>
        <v/>
      </c>
      <c r="L533" s="29" t="str">
        <f>IF(Analysis!$I533="","",IF(Analysis!$I533="Drifting",Analysis!$F533,""))</f>
        <v/>
      </c>
      <c r="M533" s="29" t="str">
        <f>IF(Analysis!$I533="","",IF(Analysis!$I533="Embedded",Analysis!$H533,""))</f>
        <v/>
      </c>
      <c r="N533" s="29" t="str">
        <f>IF(Analysis!$I533="","",IF(Analysis!$I533="Loyal but shallow",Analysis!$H533,""))</f>
        <v/>
      </c>
      <c r="O533" s="29" t="str">
        <f>IF(Analysis!$I533="","",IF(Analysis!$I533="Project-driven",Analysis!$H533,""))</f>
        <v/>
      </c>
      <c r="P533" s="29" t="str">
        <f>IF(Analysis!$I533="","",IF(Analysis!$I533="Drifting",Analysis!$H533,""))</f>
        <v/>
      </c>
    </row>
    <row r="534" spans="1:16" x14ac:dyDescent="0.25">
      <c r="A534" s="29" t="str">
        <f>IF(Analysis!$I534="","",IF(Analysis!$I534="Embedded",Analysis!$D534,""))</f>
        <v/>
      </c>
      <c r="B534" s="29" t="str">
        <f>IF(Analysis!$I534="","",IF(Analysis!$I534="Loyal but shallow",Analysis!$D534,""))</f>
        <v/>
      </c>
      <c r="C534" s="29" t="str">
        <f>IF(Analysis!$I534="","",IF(Analysis!$I534="Project-driven",Analysis!$D534,""))</f>
        <v/>
      </c>
      <c r="D534" s="29" t="str">
        <f>IF(Analysis!$I534="","",IF(Analysis!$I534="Drifting",Analysis!$D534,""))</f>
        <v/>
      </c>
      <c r="E534" s="29" t="str">
        <f>IF(Analysis!$I534="","",IF(Analysis!$I534="Embedded",Analysis!$C534,""))</f>
        <v/>
      </c>
      <c r="F534" s="29" t="str">
        <f>IF(Analysis!$I534="","",IF(Analysis!$I534="Loyal but shallow",Analysis!$C534,""))</f>
        <v/>
      </c>
      <c r="G534" s="29" t="str">
        <f>IF(Analysis!$I534="","",IF(Analysis!$I534="Project-driven",Analysis!$C534,""))</f>
        <v/>
      </c>
      <c r="H534" s="29" t="str">
        <f>IF(Analysis!$I534="","",IF(Analysis!$I534="Drifting",Analysis!$C534,""))</f>
        <v/>
      </c>
      <c r="I534" s="29" t="str">
        <f>IF(Analysis!$I534="","",IF(Analysis!$I534="Embedded",Analysis!$F534,""))</f>
        <v/>
      </c>
      <c r="J534" s="29" t="str">
        <f>IF(Analysis!$I534="","",IF(Analysis!$I534="Loyal but shallow",Analysis!$F534,""))</f>
        <v/>
      </c>
      <c r="K534" s="29" t="str">
        <f>IF(Analysis!$I534="","",IF(Analysis!$I534="Project-driven",Analysis!$F534,""))</f>
        <v/>
      </c>
      <c r="L534" s="29" t="str">
        <f>IF(Analysis!$I534="","",IF(Analysis!$I534="Drifting",Analysis!$F534,""))</f>
        <v/>
      </c>
      <c r="M534" s="29" t="str">
        <f>IF(Analysis!$I534="","",IF(Analysis!$I534="Embedded",Analysis!$H534,""))</f>
        <v/>
      </c>
      <c r="N534" s="29" t="str">
        <f>IF(Analysis!$I534="","",IF(Analysis!$I534="Loyal but shallow",Analysis!$H534,""))</f>
        <v/>
      </c>
      <c r="O534" s="29" t="str">
        <f>IF(Analysis!$I534="","",IF(Analysis!$I534="Project-driven",Analysis!$H534,""))</f>
        <v/>
      </c>
      <c r="P534" s="29" t="str">
        <f>IF(Analysis!$I534="","",IF(Analysis!$I534="Drifting",Analysis!$H534,""))</f>
        <v/>
      </c>
    </row>
    <row r="535" spans="1:16" x14ac:dyDescent="0.25">
      <c r="A535" s="29" t="str">
        <f>IF(Analysis!$I535="","",IF(Analysis!$I535="Embedded",Analysis!$D535,""))</f>
        <v/>
      </c>
      <c r="B535" s="29" t="str">
        <f>IF(Analysis!$I535="","",IF(Analysis!$I535="Loyal but shallow",Analysis!$D535,""))</f>
        <v/>
      </c>
      <c r="C535" s="29" t="str">
        <f>IF(Analysis!$I535="","",IF(Analysis!$I535="Project-driven",Analysis!$D535,""))</f>
        <v/>
      </c>
      <c r="D535" s="29" t="str">
        <f>IF(Analysis!$I535="","",IF(Analysis!$I535="Drifting",Analysis!$D535,""))</f>
        <v/>
      </c>
      <c r="E535" s="29" t="str">
        <f>IF(Analysis!$I535="","",IF(Analysis!$I535="Embedded",Analysis!$C535,""))</f>
        <v/>
      </c>
      <c r="F535" s="29" t="str">
        <f>IF(Analysis!$I535="","",IF(Analysis!$I535="Loyal but shallow",Analysis!$C535,""))</f>
        <v/>
      </c>
      <c r="G535" s="29" t="str">
        <f>IF(Analysis!$I535="","",IF(Analysis!$I535="Project-driven",Analysis!$C535,""))</f>
        <v/>
      </c>
      <c r="H535" s="29" t="str">
        <f>IF(Analysis!$I535="","",IF(Analysis!$I535="Drifting",Analysis!$C535,""))</f>
        <v/>
      </c>
      <c r="I535" s="29" t="str">
        <f>IF(Analysis!$I535="","",IF(Analysis!$I535="Embedded",Analysis!$F535,""))</f>
        <v/>
      </c>
      <c r="J535" s="29" t="str">
        <f>IF(Analysis!$I535="","",IF(Analysis!$I535="Loyal but shallow",Analysis!$F535,""))</f>
        <v/>
      </c>
      <c r="K535" s="29" t="str">
        <f>IF(Analysis!$I535="","",IF(Analysis!$I535="Project-driven",Analysis!$F535,""))</f>
        <v/>
      </c>
      <c r="L535" s="29" t="str">
        <f>IF(Analysis!$I535="","",IF(Analysis!$I535="Drifting",Analysis!$F535,""))</f>
        <v/>
      </c>
      <c r="M535" s="29" t="str">
        <f>IF(Analysis!$I535="","",IF(Analysis!$I535="Embedded",Analysis!$H535,""))</f>
        <v/>
      </c>
      <c r="N535" s="29" t="str">
        <f>IF(Analysis!$I535="","",IF(Analysis!$I535="Loyal but shallow",Analysis!$H535,""))</f>
        <v/>
      </c>
      <c r="O535" s="29" t="str">
        <f>IF(Analysis!$I535="","",IF(Analysis!$I535="Project-driven",Analysis!$H535,""))</f>
        <v/>
      </c>
      <c r="P535" s="29" t="str">
        <f>IF(Analysis!$I535="","",IF(Analysis!$I535="Drifting",Analysis!$H535,""))</f>
        <v/>
      </c>
    </row>
    <row r="536" spans="1:16" x14ac:dyDescent="0.25">
      <c r="A536" s="29" t="str">
        <f>IF(Analysis!$I536="","",IF(Analysis!$I536="Embedded",Analysis!$D536,""))</f>
        <v/>
      </c>
      <c r="B536" s="29" t="str">
        <f>IF(Analysis!$I536="","",IF(Analysis!$I536="Loyal but shallow",Analysis!$D536,""))</f>
        <v/>
      </c>
      <c r="C536" s="29" t="str">
        <f>IF(Analysis!$I536="","",IF(Analysis!$I536="Project-driven",Analysis!$D536,""))</f>
        <v/>
      </c>
      <c r="D536" s="29" t="str">
        <f>IF(Analysis!$I536="","",IF(Analysis!$I536="Drifting",Analysis!$D536,""))</f>
        <v/>
      </c>
      <c r="E536" s="29" t="str">
        <f>IF(Analysis!$I536="","",IF(Analysis!$I536="Embedded",Analysis!$C536,""))</f>
        <v/>
      </c>
      <c r="F536" s="29" t="str">
        <f>IF(Analysis!$I536="","",IF(Analysis!$I536="Loyal but shallow",Analysis!$C536,""))</f>
        <v/>
      </c>
      <c r="G536" s="29" t="str">
        <f>IF(Analysis!$I536="","",IF(Analysis!$I536="Project-driven",Analysis!$C536,""))</f>
        <v/>
      </c>
      <c r="H536" s="29" t="str">
        <f>IF(Analysis!$I536="","",IF(Analysis!$I536="Drifting",Analysis!$C536,""))</f>
        <v/>
      </c>
      <c r="I536" s="29" t="str">
        <f>IF(Analysis!$I536="","",IF(Analysis!$I536="Embedded",Analysis!$F536,""))</f>
        <v/>
      </c>
      <c r="J536" s="29" t="str">
        <f>IF(Analysis!$I536="","",IF(Analysis!$I536="Loyal but shallow",Analysis!$F536,""))</f>
        <v/>
      </c>
      <c r="K536" s="29" t="str">
        <f>IF(Analysis!$I536="","",IF(Analysis!$I536="Project-driven",Analysis!$F536,""))</f>
        <v/>
      </c>
      <c r="L536" s="29" t="str">
        <f>IF(Analysis!$I536="","",IF(Analysis!$I536="Drifting",Analysis!$F536,""))</f>
        <v/>
      </c>
      <c r="M536" s="29" t="str">
        <f>IF(Analysis!$I536="","",IF(Analysis!$I536="Embedded",Analysis!$H536,""))</f>
        <v/>
      </c>
      <c r="N536" s="29" t="str">
        <f>IF(Analysis!$I536="","",IF(Analysis!$I536="Loyal but shallow",Analysis!$H536,""))</f>
        <v/>
      </c>
      <c r="O536" s="29" t="str">
        <f>IF(Analysis!$I536="","",IF(Analysis!$I536="Project-driven",Analysis!$H536,""))</f>
        <v/>
      </c>
      <c r="P536" s="29" t="str">
        <f>IF(Analysis!$I536="","",IF(Analysis!$I536="Drifting",Analysis!$H536,""))</f>
        <v/>
      </c>
    </row>
    <row r="537" spans="1:16" x14ac:dyDescent="0.25">
      <c r="A537" s="29" t="str">
        <f>IF(Analysis!$I537="","",IF(Analysis!$I537="Embedded",Analysis!$D537,""))</f>
        <v/>
      </c>
      <c r="B537" s="29" t="str">
        <f>IF(Analysis!$I537="","",IF(Analysis!$I537="Loyal but shallow",Analysis!$D537,""))</f>
        <v/>
      </c>
      <c r="C537" s="29" t="str">
        <f>IF(Analysis!$I537="","",IF(Analysis!$I537="Project-driven",Analysis!$D537,""))</f>
        <v/>
      </c>
      <c r="D537" s="29" t="str">
        <f>IF(Analysis!$I537="","",IF(Analysis!$I537="Drifting",Analysis!$D537,""))</f>
        <v/>
      </c>
      <c r="E537" s="29" t="str">
        <f>IF(Analysis!$I537="","",IF(Analysis!$I537="Embedded",Analysis!$C537,""))</f>
        <v/>
      </c>
      <c r="F537" s="29" t="str">
        <f>IF(Analysis!$I537="","",IF(Analysis!$I537="Loyal but shallow",Analysis!$C537,""))</f>
        <v/>
      </c>
      <c r="G537" s="29" t="str">
        <f>IF(Analysis!$I537="","",IF(Analysis!$I537="Project-driven",Analysis!$C537,""))</f>
        <v/>
      </c>
      <c r="H537" s="29" t="str">
        <f>IF(Analysis!$I537="","",IF(Analysis!$I537="Drifting",Analysis!$C537,""))</f>
        <v/>
      </c>
      <c r="I537" s="29" t="str">
        <f>IF(Analysis!$I537="","",IF(Analysis!$I537="Embedded",Analysis!$F537,""))</f>
        <v/>
      </c>
      <c r="J537" s="29" t="str">
        <f>IF(Analysis!$I537="","",IF(Analysis!$I537="Loyal but shallow",Analysis!$F537,""))</f>
        <v/>
      </c>
      <c r="K537" s="29" t="str">
        <f>IF(Analysis!$I537="","",IF(Analysis!$I537="Project-driven",Analysis!$F537,""))</f>
        <v/>
      </c>
      <c r="L537" s="29" t="str">
        <f>IF(Analysis!$I537="","",IF(Analysis!$I537="Drifting",Analysis!$F537,""))</f>
        <v/>
      </c>
      <c r="M537" s="29" t="str">
        <f>IF(Analysis!$I537="","",IF(Analysis!$I537="Embedded",Analysis!$H537,""))</f>
        <v/>
      </c>
      <c r="N537" s="29" t="str">
        <f>IF(Analysis!$I537="","",IF(Analysis!$I537="Loyal but shallow",Analysis!$H537,""))</f>
        <v/>
      </c>
      <c r="O537" s="29" t="str">
        <f>IF(Analysis!$I537="","",IF(Analysis!$I537="Project-driven",Analysis!$H537,""))</f>
        <v/>
      </c>
      <c r="P537" s="29" t="str">
        <f>IF(Analysis!$I537="","",IF(Analysis!$I537="Drifting",Analysis!$H537,""))</f>
        <v/>
      </c>
    </row>
    <row r="538" spans="1:16" x14ac:dyDescent="0.25">
      <c r="A538" s="29" t="str">
        <f>IF(Analysis!$I538="","",IF(Analysis!$I538="Embedded",Analysis!$D538,""))</f>
        <v/>
      </c>
      <c r="B538" s="29" t="str">
        <f>IF(Analysis!$I538="","",IF(Analysis!$I538="Loyal but shallow",Analysis!$D538,""))</f>
        <v/>
      </c>
      <c r="C538" s="29" t="str">
        <f>IF(Analysis!$I538="","",IF(Analysis!$I538="Project-driven",Analysis!$D538,""))</f>
        <v/>
      </c>
      <c r="D538" s="29" t="str">
        <f>IF(Analysis!$I538="","",IF(Analysis!$I538="Drifting",Analysis!$D538,""))</f>
        <v/>
      </c>
      <c r="E538" s="29" t="str">
        <f>IF(Analysis!$I538="","",IF(Analysis!$I538="Embedded",Analysis!$C538,""))</f>
        <v/>
      </c>
      <c r="F538" s="29" t="str">
        <f>IF(Analysis!$I538="","",IF(Analysis!$I538="Loyal but shallow",Analysis!$C538,""))</f>
        <v/>
      </c>
      <c r="G538" s="29" t="str">
        <f>IF(Analysis!$I538="","",IF(Analysis!$I538="Project-driven",Analysis!$C538,""))</f>
        <v/>
      </c>
      <c r="H538" s="29" t="str">
        <f>IF(Analysis!$I538="","",IF(Analysis!$I538="Drifting",Analysis!$C538,""))</f>
        <v/>
      </c>
      <c r="I538" s="29" t="str">
        <f>IF(Analysis!$I538="","",IF(Analysis!$I538="Embedded",Analysis!$F538,""))</f>
        <v/>
      </c>
      <c r="J538" s="29" t="str">
        <f>IF(Analysis!$I538="","",IF(Analysis!$I538="Loyal but shallow",Analysis!$F538,""))</f>
        <v/>
      </c>
      <c r="K538" s="29" t="str">
        <f>IF(Analysis!$I538="","",IF(Analysis!$I538="Project-driven",Analysis!$F538,""))</f>
        <v/>
      </c>
      <c r="L538" s="29" t="str">
        <f>IF(Analysis!$I538="","",IF(Analysis!$I538="Drifting",Analysis!$F538,""))</f>
        <v/>
      </c>
      <c r="M538" s="29" t="str">
        <f>IF(Analysis!$I538="","",IF(Analysis!$I538="Embedded",Analysis!$H538,""))</f>
        <v/>
      </c>
      <c r="N538" s="29" t="str">
        <f>IF(Analysis!$I538="","",IF(Analysis!$I538="Loyal but shallow",Analysis!$H538,""))</f>
        <v/>
      </c>
      <c r="O538" s="29" t="str">
        <f>IF(Analysis!$I538="","",IF(Analysis!$I538="Project-driven",Analysis!$H538,""))</f>
        <v/>
      </c>
      <c r="P538" s="29" t="str">
        <f>IF(Analysis!$I538="","",IF(Analysis!$I538="Drifting",Analysis!$H538,""))</f>
        <v/>
      </c>
    </row>
    <row r="539" spans="1:16" x14ac:dyDescent="0.25">
      <c r="A539" s="29" t="str">
        <f>IF(Analysis!$I539="","",IF(Analysis!$I539="Embedded",Analysis!$D539,""))</f>
        <v/>
      </c>
      <c r="B539" s="29" t="str">
        <f>IF(Analysis!$I539="","",IF(Analysis!$I539="Loyal but shallow",Analysis!$D539,""))</f>
        <v/>
      </c>
      <c r="C539" s="29" t="str">
        <f>IF(Analysis!$I539="","",IF(Analysis!$I539="Project-driven",Analysis!$D539,""))</f>
        <v/>
      </c>
      <c r="D539" s="29" t="str">
        <f>IF(Analysis!$I539="","",IF(Analysis!$I539="Drifting",Analysis!$D539,""))</f>
        <v/>
      </c>
      <c r="E539" s="29" t="str">
        <f>IF(Analysis!$I539="","",IF(Analysis!$I539="Embedded",Analysis!$C539,""))</f>
        <v/>
      </c>
      <c r="F539" s="29" t="str">
        <f>IF(Analysis!$I539="","",IF(Analysis!$I539="Loyal but shallow",Analysis!$C539,""))</f>
        <v/>
      </c>
      <c r="G539" s="29" t="str">
        <f>IF(Analysis!$I539="","",IF(Analysis!$I539="Project-driven",Analysis!$C539,""))</f>
        <v/>
      </c>
      <c r="H539" s="29" t="str">
        <f>IF(Analysis!$I539="","",IF(Analysis!$I539="Drifting",Analysis!$C539,""))</f>
        <v/>
      </c>
      <c r="I539" s="29" t="str">
        <f>IF(Analysis!$I539="","",IF(Analysis!$I539="Embedded",Analysis!$F539,""))</f>
        <v/>
      </c>
      <c r="J539" s="29" t="str">
        <f>IF(Analysis!$I539="","",IF(Analysis!$I539="Loyal but shallow",Analysis!$F539,""))</f>
        <v/>
      </c>
      <c r="K539" s="29" t="str">
        <f>IF(Analysis!$I539="","",IF(Analysis!$I539="Project-driven",Analysis!$F539,""))</f>
        <v/>
      </c>
      <c r="L539" s="29" t="str">
        <f>IF(Analysis!$I539="","",IF(Analysis!$I539="Drifting",Analysis!$F539,""))</f>
        <v/>
      </c>
      <c r="M539" s="29" t="str">
        <f>IF(Analysis!$I539="","",IF(Analysis!$I539="Embedded",Analysis!$H539,""))</f>
        <v/>
      </c>
      <c r="N539" s="29" t="str">
        <f>IF(Analysis!$I539="","",IF(Analysis!$I539="Loyal but shallow",Analysis!$H539,""))</f>
        <v/>
      </c>
      <c r="O539" s="29" t="str">
        <f>IF(Analysis!$I539="","",IF(Analysis!$I539="Project-driven",Analysis!$H539,""))</f>
        <v/>
      </c>
      <c r="P539" s="29" t="str">
        <f>IF(Analysis!$I539="","",IF(Analysis!$I539="Drifting",Analysis!$H539,""))</f>
        <v/>
      </c>
    </row>
    <row r="540" spans="1:16" x14ac:dyDescent="0.25">
      <c r="A540" s="29" t="str">
        <f>IF(Analysis!$I540="","",IF(Analysis!$I540="Embedded",Analysis!$D540,""))</f>
        <v/>
      </c>
      <c r="B540" s="29" t="str">
        <f>IF(Analysis!$I540="","",IF(Analysis!$I540="Loyal but shallow",Analysis!$D540,""))</f>
        <v/>
      </c>
      <c r="C540" s="29" t="str">
        <f>IF(Analysis!$I540="","",IF(Analysis!$I540="Project-driven",Analysis!$D540,""))</f>
        <v/>
      </c>
      <c r="D540" s="29" t="str">
        <f>IF(Analysis!$I540="","",IF(Analysis!$I540="Drifting",Analysis!$D540,""))</f>
        <v/>
      </c>
      <c r="E540" s="29" t="str">
        <f>IF(Analysis!$I540="","",IF(Analysis!$I540="Embedded",Analysis!$C540,""))</f>
        <v/>
      </c>
      <c r="F540" s="29" t="str">
        <f>IF(Analysis!$I540="","",IF(Analysis!$I540="Loyal but shallow",Analysis!$C540,""))</f>
        <v/>
      </c>
      <c r="G540" s="29" t="str">
        <f>IF(Analysis!$I540="","",IF(Analysis!$I540="Project-driven",Analysis!$C540,""))</f>
        <v/>
      </c>
      <c r="H540" s="29" t="str">
        <f>IF(Analysis!$I540="","",IF(Analysis!$I540="Drifting",Analysis!$C540,""))</f>
        <v/>
      </c>
      <c r="I540" s="29" t="str">
        <f>IF(Analysis!$I540="","",IF(Analysis!$I540="Embedded",Analysis!$F540,""))</f>
        <v/>
      </c>
      <c r="J540" s="29" t="str">
        <f>IF(Analysis!$I540="","",IF(Analysis!$I540="Loyal but shallow",Analysis!$F540,""))</f>
        <v/>
      </c>
      <c r="K540" s="29" t="str">
        <f>IF(Analysis!$I540="","",IF(Analysis!$I540="Project-driven",Analysis!$F540,""))</f>
        <v/>
      </c>
      <c r="L540" s="29" t="str">
        <f>IF(Analysis!$I540="","",IF(Analysis!$I540="Drifting",Analysis!$F540,""))</f>
        <v/>
      </c>
      <c r="M540" s="29" t="str">
        <f>IF(Analysis!$I540="","",IF(Analysis!$I540="Embedded",Analysis!$H540,""))</f>
        <v/>
      </c>
      <c r="N540" s="29" t="str">
        <f>IF(Analysis!$I540="","",IF(Analysis!$I540="Loyal but shallow",Analysis!$H540,""))</f>
        <v/>
      </c>
      <c r="O540" s="29" t="str">
        <f>IF(Analysis!$I540="","",IF(Analysis!$I540="Project-driven",Analysis!$H540,""))</f>
        <v/>
      </c>
      <c r="P540" s="29" t="str">
        <f>IF(Analysis!$I540="","",IF(Analysis!$I540="Drifting",Analysis!$H540,""))</f>
        <v/>
      </c>
    </row>
    <row r="541" spans="1:16" x14ac:dyDescent="0.25">
      <c r="A541" s="29" t="str">
        <f>IF(Analysis!$I541="","",IF(Analysis!$I541="Embedded",Analysis!$D541,""))</f>
        <v/>
      </c>
      <c r="B541" s="29" t="str">
        <f>IF(Analysis!$I541="","",IF(Analysis!$I541="Loyal but shallow",Analysis!$D541,""))</f>
        <v/>
      </c>
      <c r="C541" s="29" t="str">
        <f>IF(Analysis!$I541="","",IF(Analysis!$I541="Project-driven",Analysis!$D541,""))</f>
        <v/>
      </c>
      <c r="D541" s="29" t="str">
        <f>IF(Analysis!$I541="","",IF(Analysis!$I541="Drifting",Analysis!$D541,""))</f>
        <v/>
      </c>
      <c r="E541" s="29" t="str">
        <f>IF(Analysis!$I541="","",IF(Analysis!$I541="Embedded",Analysis!$C541,""))</f>
        <v/>
      </c>
      <c r="F541" s="29" t="str">
        <f>IF(Analysis!$I541="","",IF(Analysis!$I541="Loyal but shallow",Analysis!$C541,""))</f>
        <v/>
      </c>
      <c r="G541" s="29" t="str">
        <f>IF(Analysis!$I541="","",IF(Analysis!$I541="Project-driven",Analysis!$C541,""))</f>
        <v/>
      </c>
      <c r="H541" s="29" t="str">
        <f>IF(Analysis!$I541="","",IF(Analysis!$I541="Drifting",Analysis!$C541,""))</f>
        <v/>
      </c>
      <c r="I541" s="29" t="str">
        <f>IF(Analysis!$I541="","",IF(Analysis!$I541="Embedded",Analysis!$F541,""))</f>
        <v/>
      </c>
      <c r="J541" s="29" t="str">
        <f>IF(Analysis!$I541="","",IF(Analysis!$I541="Loyal but shallow",Analysis!$F541,""))</f>
        <v/>
      </c>
      <c r="K541" s="29" t="str">
        <f>IF(Analysis!$I541="","",IF(Analysis!$I541="Project-driven",Analysis!$F541,""))</f>
        <v/>
      </c>
      <c r="L541" s="29" t="str">
        <f>IF(Analysis!$I541="","",IF(Analysis!$I541="Drifting",Analysis!$F541,""))</f>
        <v/>
      </c>
      <c r="M541" s="29" t="str">
        <f>IF(Analysis!$I541="","",IF(Analysis!$I541="Embedded",Analysis!$H541,""))</f>
        <v/>
      </c>
      <c r="N541" s="29" t="str">
        <f>IF(Analysis!$I541="","",IF(Analysis!$I541="Loyal but shallow",Analysis!$H541,""))</f>
        <v/>
      </c>
      <c r="O541" s="29" t="str">
        <f>IF(Analysis!$I541="","",IF(Analysis!$I541="Project-driven",Analysis!$H541,""))</f>
        <v/>
      </c>
      <c r="P541" s="29" t="str">
        <f>IF(Analysis!$I541="","",IF(Analysis!$I541="Drifting",Analysis!$H541,""))</f>
        <v/>
      </c>
    </row>
    <row r="542" spans="1:16" x14ac:dyDescent="0.25">
      <c r="A542" s="29" t="str">
        <f>IF(Analysis!$I542="","",IF(Analysis!$I542="Embedded",Analysis!$D542,""))</f>
        <v/>
      </c>
      <c r="B542" s="29" t="str">
        <f>IF(Analysis!$I542="","",IF(Analysis!$I542="Loyal but shallow",Analysis!$D542,""))</f>
        <v/>
      </c>
      <c r="C542" s="29" t="str">
        <f>IF(Analysis!$I542="","",IF(Analysis!$I542="Project-driven",Analysis!$D542,""))</f>
        <v/>
      </c>
      <c r="D542" s="29" t="str">
        <f>IF(Analysis!$I542="","",IF(Analysis!$I542="Drifting",Analysis!$D542,""))</f>
        <v/>
      </c>
      <c r="E542" s="29" t="str">
        <f>IF(Analysis!$I542="","",IF(Analysis!$I542="Embedded",Analysis!$C542,""))</f>
        <v/>
      </c>
      <c r="F542" s="29" t="str">
        <f>IF(Analysis!$I542="","",IF(Analysis!$I542="Loyal but shallow",Analysis!$C542,""))</f>
        <v/>
      </c>
      <c r="G542" s="29" t="str">
        <f>IF(Analysis!$I542="","",IF(Analysis!$I542="Project-driven",Analysis!$C542,""))</f>
        <v/>
      </c>
      <c r="H542" s="29" t="str">
        <f>IF(Analysis!$I542="","",IF(Analysis!$I542="Drifting",Analysis!$C542,""))</f>
        <v/>
      </c>
      <c r="I542" s="29" t="str">
        <f>IF(Analysis!$I542="","",IF(Analysis!$I542="Embedded",Analysis!$F542,""))</f>
        <v/>
      </c>
      <c r="J542" s="29" t="str">
        <f>IF(Analysis!$I542="","",IF(Analysis!$I542="Loyal but shallow",Analysis!$F542,""))</f>
        <v/>
      </c>
      <c r="K542" s="29" t="str">
        <f>IF(Analysis!$I542="","",IF(Analysis!$I542="Project-driven",Analysis!$F542,""))</f>
        <v/>
      </c>
      <c r="L542" s="29" t="str">
        <f>IF(Analysis!$I542="","",IF(Analysis!$I542="Drifting",Analysis!$F542,""))</f>
        <v/>
      </c>
      <c r="M542" s="29" t="str">
        <f>IF(Analysis!$I542="","",IF(Analysis!$I542="Embedded",Analysis!$H542,""))</f>
        <v/>
      </c>
      <c r="N542" s="29" t="str">
        <f>IF(Analysis!$I542="","",IF(Analysis!$I542="Loyal but shallow",Analysis!$H542,""))</f>
        <v/>
      </c>
      <c r="O542" s="29" t="str">
        <f>IF(Analysis!$I542="","",IF(Analysis!$I542="Project-driven",Analysis!$H542,""))</f>
        <v/>
      </c>
      <c r="P542" s="29" t="str">
        <f>IF(Analysis!$I542="","",IF(Analysis!$I542="Drifting",Analysis!$H542,""))</f>
        <v/>
      </c>
    </row>
    <row r="543" spans="1:16" x14ac:dyDescent="0.25">
      <c r="A543" s="29" t="str">
        <f>IF(Analysis!$I543="","",IF(Analysis!$I543="Embedded",Analysis!$D543,""))</f>
        <v/>
      </c>
      <c r="B543" s="29" t="str">
        <f>IF(Analysis!$I543="","",IF(Analysis!$I543="Loyal but shallow",Analysis!$D543,""))</f>
        <v/>
      </c>
      <c r="C543" s="29" t="str">
        <f>IF(Analysis!$I543="","",IF(Analysis!$I543="Project-driven",Analysis!$D543,""))</f>
        <v/>
      </c>
      <c r="D543" s="29" t="str">
        <f>IF(Analysis!$I543="","",IF(Analysis!$I543="Drifting",Analysis!$D543,""))</f>
        <v/>
      </c>
      <c r="E543" s="29" t="str">
        <f>IF(Analysis!$I543="","",IF(Analysis!$I543="Embedded",Analysis!$C543,""))</f>
        <v/>
      </c>
      <c r="F543" s="29" t="str">
        <f>IF(Analysis!$I543="","",IF(Analysis!$I543="Loyal but shallow",Analysis!$C543,""))</f>
        <v/>
      </c>
      <c r="G543" s="29" t="str">
        <f>IF(Analysis!$I543="","",IF(Analysis!$I543="Project-driven",Analysis!$C543,""))</f>
        <v/>
      </c>
      <c r="H543" s="29" t="str">
        <f>IF(Analysis!$I543="","",IF(Analysis!$I543="Drifting",Analysis!$C543,""))</f>
        <v/>
      </c>
      <c r="I543" s="29" t="str">
        <f>IF(Analysis!$I543="","",IF(Analysis!$I543="Embedded",Analysis!$F543,""))</f>
        <v/>
      </c>
      <c r="J543" s="29" t="str">
        <f>IF(Analysis!$I543="","",IF(Analysis!$I543="Loyal but shallow",Analysis!$F543,""))</f>
        <v/>
      </c>
      <c r="K543" s="29" t="str">
        <f>IF(Analysis!$I543="","",IF(Analysis!$I543="Project-driven",Analysis!$F543,""))</f>
        <v/>
      </c>
      <c r="L543" s="29" t="str">
        <f>IF(Analysis!$I543="","",IF(Analysis!$I543="Drifting",Analysis!$F543,""))</f>
        <v/>
      </c>
      <c r="M543" s="29" t="str">
        <f>IF(Analysis!$I543="","",IF(Analysis!$I543="Embedded",Analysis!$H543,""))</f>
        <v/>
      </c>
      <c r="N543" s="29" t="str">
        <f>IF(Analysis!$I543="","",IF(Analysis!$I543="Loyal but shallow",Analysis!$H543,""))</f>
        <v/>
      </c>
      <c r="O543" s="29" t="str">
        <f>IF(Analysis!$I543="","",IF(Analysis!$I543="Project-driven",Analysis!$H543,""))</f>
        <v/>
      </c>
      <c r="P543" s="29" t="str">
        <f>IF(Analysis!$I543="","",IF(Analysis!$I543="Drifting",Analysis!$H543,""))</f>
        <v/>
      </c>
    </row>
    <row r="544" spans="1:16" x14ac:dyDescent="0.25">
      <c r="A544" s="29" t="str">
        <f>IF(Analysis!$I544="","",IF(Analysis!$I544="Embedded",Analysis!$D544,""))</f>
        <v/>
      </c>
      <c r="B544" s="29" t="str">
        <f>IF(Analysis!$I544="","",IF(Analysis!$I544="Loyal but shallow",Analysis!$D544,""))</f>
        <v/>
      </c>
      <c r="C544" s="29" t="str">
        <f>IF(Analysis!$I544="","",IF(Analysis!$I544="Project-driven",Analysis!$D544,""))</f>
        <v/>
      </c>
      <c r="D544" s="29" t="str">
        <f>IF(Analysis!$I544="","",IF(Analysis!$I544="Drifting",Analysis!$D544,""))</f>
        <v/>
      </c>
      <c r="E544" s="29" t="str">
        <f>IF(Analysis!$I544="","",IF(Analysis!$I544="Embedded",Analysis!$C544,""))</f>
        <v/>
      </c>
      <c r="F544" s="29" t="str">
        <f>IF(Analysis!$I544="","",IF(Analysis!$I544="Loyal but shallow",Analysis!$C544,""))</f>
        <v/>
      </c>
      <c r="G544" s="29" t="str">
        <f>IF(Analysis!$I544="","",IF(Analysis!$I544="Project-driven",Analysis!$C544,""))</f>
        <v/>
      </c>
      <c r="H544" s="29" t="str">
        <f>IF(Analysis!$I544="","",IF(Analysis!$I544="Drifting",Analysis!$C544,""))</f>
        <v/>
      </c>
      <c r="I544" s="29" t="str">
        <f>IF(Analysis!$I544="","",IF(Analysis!$I544="Embedded",Analysis!$F544,""))</f>
        <v/>
      </c>
      <c r="J544" s="29" t="str">
        <f>IF(Analysis!$I544="","",IF(Analysis!$I544="Loyal but shallow",Analysis!$F544,""))</f>
        <v/>
      </c>
      <c r="K544" s="29" t="str">
        <f>IF(Analysis!$I544="","",IF(Analysis!$I544="Project-driven",Analysis!$F544,""))</f>
        <v/>
      </c>
      <c r="L544" s="29" t="str">
        <f>IF(Analysis!$I544="","",IF(Analysis!$I544="Drifting",Analysis!$F544,""))</f>
        <v/>
      </c>
      <c r="M544" s="29" t="str">
        <f>IF(Analysis!$I544="","",IF(Analysis!$I544="Embedded",Analysis!$H544,""))</f>
        <v/>
      </c>
      <c r="N544" s="29" t="str">
        <f>IF(Analysis!$I544="","",IF(Analysis!$I544="Loyal but shallow",Analysis!$H544,""))</f>
        <v/>
      </c>
      <c r="O544" s="29" t="str">
        <f>IF(Analysis!$I544="","",IF(Analysis!$I544="Project-driven",Analysis!$H544,""))</f>
        <v/>
      </c>
      <c r="P544" s="29" t="str">
        <f>IF(Analysis!$I544="","",IF(Analysis!$I544="Drifting",Analysis!$H544,""))</f>
        <v/>
      </c>
    </row>
    <row r="545" spans="1:16" x14ac:dyDescent="0.25">
      <c r="A545" s="29" t="str">
        <f>IF(Analysis!$I545="","",IF(Analysis!$I545="Embedded",Analysis!$D545,""))</f>
        <v/>
      </c>
      <c r="B545" s="29" t="str">
        <f>IF(Analysis!$I545="","",IF(Analysis!$I545="Loyal but shallow",Analysis!$D545,""))</f>
        <v/>
      </c>
      <c r="C545" s="29" t="str">
        <f>IF(Analysis!$I545="","",IF(Analysis!$I545="Project-driven",Analysis!$D545,""))</f>
        <v/>
      </c>
      <c r="D545" s="29" t="str">
        <f>IF(Analysis!$I545="","",IF(Analysis!$I545="Drifting",Analysis!$D545,""))</f>
        <v/>
      </c>
      <c r="E545" s="29" t="str">
        <f>IF(Analysis!$I545="","",IF(Analysis!$I545="Embedded",Analysis!$C545,""))</f>
        <v/>
      </c>
      <c r="F545" s="29" t="str">
        <f>IF(Analysis!$I545="","",IF(Analysis!$I545="Loyal but shallow",Analysis!$C545,""))</f>
        <v/>
      </c>
      <c r="G545" s="29" t="str">
        <f>IF(Analysis!$I545="","",IF(Analysis!$I545="Project-driven",Analysis!$C545,""))</f>
        <v/>
      </c>
      <c r="H545" s="29" t="str">
        <f>IF(Analysis!$I545="","",IF(Analysis!$I545="Drifting",Analysis!$C545,""))</f>
        <v/>
      </c>
      <c r="I545" s="29" t="str">
        <f>IF(Analysis!$I545="","",IF(Analysis!$I545="Embedded",Analysis!$F545,""))</f>
        <v/>
      </c>
      <c r="J545" s="29" t="str">
        <f>IF(Analysis!$I545="","",IF(Analysis!$I545="Loyal but shallow",Analysis!$F545,""))</f>
        <v/>
      </c>
      <c r="K545" s="29" t="str">
        <f>IF(Analysis!$I545="","",IF(Analysis!$I545="Project-driven",Analysis!$F545,""))</f>
        <v/>
      </c>
      <c r="L545" s="29" t="str">
        <f>IF(Analysis!$I545="","",IF(Analysis!$I545="Drifting",Analysis!$F545,""))</f>
        <v/>
      </c>
      <c r="M545" s="29" t="str">
        <f>IF(Analysis!$I545="","",IF(Analysis!$I545="Embedded",Analysis!$H545,""))</f>
        <v/>
      </c>
      <c r="N545" s="29" t="str">
        <f>IF(Analysis!$I545="","",IF(Analysis!$I545="Loyal but shallow",Analysis!$H545,""))</f>
        <v/>
      </c>
      <c r="O545" s="29" t="str">
        <f>IF(Analysis!$I545="","",IF(Analysis!$I545="Project-driven",Analysis!$H545,""))</f>
        <v/>
      </c>
      <c r="P545" s="29" t="str">
        <f>IF(Analysis!$I545="","",IF(Analysis!$I545="Drifting",Analysis!$H545,""))</f>
        <v/>
      </c>
    </row>
    <row r="546" spans="1:16" x14ac:dyDescent="0.25">
      <c r="A546" s="29" t="str">
        <f>IF(Analysis!$I546="","",IF(Analysis!$I546="Embedded",Analysis!$D546,""))</f>
        <v/>
      </c>
      <c r="B546" s="29" t="str">
        <f>IF(Analysis!$I546="","",IF(Analysis!$I546="Loyal but shallow",Analysis!$D546,""))</f>
        <v/>
      </c>
      <c r="C546" s="29" t="str">
        <f>IF(Analysis!$I546="","",IF(Analysis!$I546="Project-driven",Analysis!$D546,""))</f>
        <v/>
      </c>
      <c r="D546" s="29" t="str">
        <f>IF(Analysis!$I546="","",IF(Analysis!$I546="Drifting",Analysis!$D546,""))</f>
        <v/>
      </c>
      <c r="E546" s="29" t="str">
        <f>IF(Analysis!$I546="","",IF(Analysis!$I546="Embedded",Analysis!$C546,""))</f>
        <v/>
      </c>
      <c r="F546" s="29" t="str">
        <f>IF(Analysis!$I546="","",IF(Analysis!$I546="Loyal but shallow",Analysis!$C546,""))</f>
        <v/>
      </c>
      <c r="G546" s="29" t="str">
        <f>IF(Analysis!$I546="","",IF(Analysis!$I546="Project-driven",Analysis!$C546,""))</f>
        <v/>
      </c>
      <c r="H546" s="29" t="str">
        <f>IF(Analysis!$I546="","",IF(Analysis!$I546="Drifting",Analysis!$C546,""))</f>
        <v/>
      </c>
      <c r="I546" s="29" t="str">
        <f>IF(Analysis!$I546="","",IF(Analysis!$I546="Embedded",Analysis!$F546,""))</f>
        <v/>
      </c>
      <c r="J546" s="29" t="str">
        <f>IF(Analysis!$I546="","",IF(Analysis!$I546="Loyal but shallow",Analysis!$F546,""))</f>
        <v/>
      </c>
      <c r="K546" s="29" t="str">
        <f>IF(Analysis!$I546="","",IF(Analysis!$I546="Project-driven",Analysis!$F546,""))</f>
        <v/>
      </c>
      <c r="L546" s="29" t="str">
        <f>IF(Analysis!$I546="","",IF(Analysis!$I546="Drifting",Analysis!$F546,""))</f>
        <v/>
      </c>
      <c r="M546" s="29" t="str">
        <f>IF(Analysis!$I546="","",IF(Analysis!$I546="Embedded",Analysis!$H546,""))</f>
        <v/>
      </c>
      <c r="N546" s="29" t="str">
        <f>IF(Analysis!$I546="","",IF(Analysis!$I546="Loyal but shallow",Analysis!$H546,""))</f>
        <v/>
      </c>
      <c r="O546" s="29" t="str">
        <f>IF(Analysis!$I546="","",IF(Analysis!$I546="Project-driven",Analysis!$H546,""))</f>
        <v/>
      </c>
      <c r="P546" s="29" t="str">
        <f>IF(Analysis!$I546="","",IF(Analysis!$I546="Drifting",Analysis!$H546,""))</f>
        <v/>
      </c>
    </row>
    <row r="547" spans="1:16" x14ac:dyDescent="0.25">
      <c r="A547" s="29" t="str">
        <f>IF(Analysis!$I547="","",IF(Analysis!$I547="Embedded",Analysis!$D547,""))</f>
        <v/>
      </c>
      <c r="B547" s="29" t="str">
        <f>IF(Analysis!$I547="","",IF(Analysis!$I547="Loyal but shallow",Analysis!$D547,""))</f>
        <v/>
      </c>
      <c r="C547" s="29" t="str">
        <f>IF(Analysis!$I547="","",IF(Analysis!$I547="Project-driven",Analysis!$D547,""))</f>
        <v/>
      </c>
      <c r="D547" s="29" t="str">
        <f>IF(Analysis!$I547="","",IF(Analysis!$I547="Drifting",Analysis!$D547,""))</f>
        <v/>
      </c>
      <c r="E547" s="29" t="str">
        <f>IF(Analysis!$I547="","",IF(Analysis!$I547="Embedded",Analysis!$C547,""))</f>
        <v/>
      </c>
      <c r="F547" s="29" t="str">
        <f>IF(Analysis!$I547="","",IF(Analysis!$I547="Loyal but shallow",Analysis!$C547,""))</f>
        <v/>
      </c>
      <c r="G547" s="29" t="str">
        <f>IF(Analysis!$I547="","",IF(Analysis!$I547="Project-driven",Analysis!$C547,""))</f>
        <v/>
      </c>
      <c r="H547" s="29" t="str">
        <f>IF(Analysis!$I547="","",IF(Analysis!$I547="Drifting",Analysis!$C547,""))</f>
        <v/>
      </c>
      <c r="I547" s="29" t="str">
        <f>IF(Analysis!$I547="","",IF(Analysis!$I547="Embedded",Analysis!$F547,""))</f>
        <v/>
      </c>
      <c r="J547" s="29" t="str">
        <f>IF(Analysis!$I547="","",IF(Analysis!$I547="Loyal but shallow",Analysis!$F547,""))</f>
        <v/>
      </c>
      <c r="K547" s="29" t="str">
        <f>IF(Analysis!$I547="","",IF(Analysis!$I547="Project-driven",Analysis!$F547,""))</f>
        <v/>
      </c>
      <c r="L547" s="29" t="str">
        <f>IF(Analysis!$I547="","",IF(Analysis!$I547="Drifting",Analysis!$F547,""))</f>
        <v/>
      </c>
      <c r="M547" s="29" t="str">
        <f>IF(Analysis!$I547="","",IF(Analysis!$I547="Embedded",Analysis!$H547,""))</f>
        <v/>
      </c>
      <c r="N547" s="29" t="str">
        <f>IF(Analysis!$I547="","",IF(Analysis!$I547="Loyal but shallow",Analysis!$H547,""))</f>
        <v/>
      </c>
      <c r="O547" s="29" t="str">
        <f>IF(Analysis!$I547="","",IF(Analysis!$I547="Project-driven",Analysis!$H547,""))</f>
        <v/>
      </c>
      <c r="P547" s="29" t="str">
        <f>IF(Analysis!$I547="","",IF(Analysis!$I547="Drifting",Analysis!$H547,""))</f>
        <v/>
      </c>
    </row>
    <row r="548" spans="1:16" x14ac:dyDescent="0.25">
      <c r="A548" s="29" t="str">
        <f>IF(Analysis!$I548="","",IF(Analysis!$I548="Embedded",Analysis!$D548,""))</f>
        <v/>
      </c>
      <c r="B548" s="29" t="str">
        <f>IF(Analysis!$I548="","",IF(Analysis!$I548="Loyal but shallow",Analysis!$D548,""))</f>
        <v/>
      </c>
      <c r="C548" s="29" t="str">
        <f>IF(Analysis!$I548="","",IF(Analysis!$I548="Project-driven",Analysis!$D548,""))</f>
        <v/>
      </c>
      <c r="D548" s="29" t="str">
        <f>IF(Analysis!$I548="","",IF(Analysis!$I548="Drifting",Analysis!$D548,""))</f>
        <v/>
      </c>
      <c r="E548" s="29" t="str">
        <f>IF(Analysis!$I548="","",IF(Analysis!$I548="Embedded",Analysis!$C548,""))</f>
        <v/>
      </c>
      <c r="F548" s="29" t="str">
        <f>IF(Analysis!$I548="","",IF(Analysis!$I548="Loyal but shallow",Analysis!$C548,""))</f>
        <v/>
      </c>
      <c r="G548" s="29" t="str">
        <f>IF(Analysis!$I548="","",IF(Analysis!$I548="Project-driven",Analysis!$C548,""))</f>
        <v/>
      </c>
      <c r="H548" s="29" t="str">
        <f>IF(Analysis!$I548="","",IF(Analysis!$I548="Drifting",Analysis!$C548,""))</f>
        <v/>
      </c>
      <c r="I548" s="29" t="str">
        <f>IF(Analysis!$I548="","",IF(Analysis!$I548="Embedded",Analysis!$F548,""))</f>
        <v/>
      </c>
      <c r="J548" s="29" t="str">
        <f>IF(Analysis!$I548="","",IF(Analysis!$I548="Loyal but shallow",Analysis!$F548,""))</f>
        <v/>
      </c>
      <c r="K548" s="29" t="str">
        <f>IF(Analysis!$I548="","",IF(Analysis!$I548="Project-driven",Analysis!$F548,""))</f>
        <v/>
      </c>
      <c r="L548" s="29" t="str">
        <f>IF(Analysis!$I548="","",IF(Analysis!$I548="Drifting",Analysis!$F548,""))</f>
        <v/>
      </c>
      <c r="M548" s="29" t="str">
        <f>IF(Analysis!$I548="","",IF(Analysis!$I548="Embedded",Analysis!$H548,""))</f>
        <v/>
      </c>
      <c r="N548" s="29" t="str">
        <f>IF(Analysis!$I548="","",IF(Analysis!$I548="Loyal but shallow",Analysis!$H548,""))</f>
        <v/>
      </c>
      <c r="O548" s="29" t="str">
        <f>IF(Analysis!$I548="","",IF(Analysis!$I548="Project-driven",Analysis!$H548,""))</f>
        <v/>
      </c>
      <c r="P548" s="29" t="str">
        <f>IF(Analysis!$I548="","",IF(Analysis!$I548="Drifting",Analysis!$H548,""))</f>
        <v/>
      </c>
    </row>
    <row r="549" spans="1:16" x14ac:dyDescent="0.25">
      <c r="A549" s="29" t="str">
        <f>IF(Analysis!$I549="","",IF(Analysis!$I549="Embedded",Analysis!$D549,""))</f>
        <v/>
      </c>
      <c r="B549" s="29" t="str">
        <f>IF(Analysis!$I549="","",IF(Analysis!$I549="Loyal but shallow",Analysis!$D549,""))</f>
        <v/>
      </c>
      <c r="C549" s="29" t="str">
        <f>IF(Analysis!$I549="","",IF(Analysis!$I549="Project-driven",Analysis!$D549,""))</f>
        <v/>
      </c>
      <c r="D549" s="29" t="str">
        <f>IF(Analysis!$I549="","",IF(Analysis!$I549="Drifting",Analysis!$D549,""))</f>
        <v/>
      </c>
      <c r="E549" s="29" t="str">
        <f>IF(Analysis!$I549="","",IF(Analysis!$I549="Embedded",Analysis!$C549,""))</f>
        <v/>
      </c>
      <c r="F549" s="29" t="str">
        <f>IF(Analysis!$I549="","",IF(Analysis!$I549="Loyal but shallow",Analysis!$C549,""))</f>
        <v/>
      </c>
      <c r="G549" s="29" t="str">
        <f>IF(Analysis!$I549="","",IF(Analysis!$I549="Project-driven",Analysis!$C549,""))</f>
        <v/>
      </c>
      <c r="H549" s="29" t="str">
        <f>IF(Analysis!$I549="","",IF(Analysis!$I549="Drifting",Analysis!$C549,""))</f>
        <v/>
      </c>
      <c r="I549" s="29" t="str">
        <f>IF(Analysis!$I549="","",IF(Analysis!$I549="Embedded",Analysis!$F549,""))</f>
        <v/>
      </c>
      <c r="J549" s="29" t="str">
        <f>IF(Analysis!$I549="","",IF(Analysis!$I549="Loyal but shallow",Analysis!$F549,""))</f>
        <v/>
      </c>
      <c r="K549" s="29" t="str">
        <f>IF(Analysis!$I549="","",IF(Analysis!$I549="Project-driven",Analysis!$F549,""))</f>
        <v/>
      </c>
      <c r="L549" s="29" t="str">
        <f>IF(Analysis!$I549="","",IF(Analysis!$I549="Drifting",Analysis!$F549,""))</f>
        <v/>
      </c>
      <c r="M549" s="29" t="str">
        <f>IF(Analysis!$I549="","",IF(Analysis!$I549="Embedded",Analysis!$H549,""))</f>
        <v/>
      </c>
      <c r="N549" s="29" t="str">
        <f>IF(Analysis!$I549="","",IF(Analysis!$I549="Loyal but shallow",Analysis!$H549,""))</f>
        <v/>
      </c>
      <c r="O549" s="29" t="str">
        <f>IF(Analysis!$I549="","",IF(Analysis!$I549="Project-driven",Analysis!$H549,""))</f>
        <v/>
      </c>
      <c r="P549" s="29" t="str">
        <f>IF(Analysis!$I549="","",IF(Analysis!$I549="Drifting",Analysis!$H549,""))</f>
        <v/>
      </c>
    </row>
    <row r="550" spans="1:16" x14ac:dyDescent="0.25">
      <c r="A550" s="29" t="str">
        <f>IF(Analysis!$I550="","",IF(Analysis!$I550="Embedded",Analysis!$D550,""))</f>
        <v/>
      </c>
      <c r="B550" s="29" t="str">
        <f>IF(Analysis!$I550="","",IF(Analysis!$I550="Loyal but shallow",Analysis!$D550,""))</f>
        <v/>
      </c>
      <c r="C550" s="29" t="str">
        <f>IF(Analysis!$I550="","",IF(Analysis!$I550="Project-driven",Analysis!$D550,""))</f>
        <v/>
      </c>
      <c r="D550" s="29" t="str">
        <f>IF(Analysis!$I550="","",IF(Analysis!$I550="Drifting",Analysis!$D550,""))</f>
        <v/>
      </c>
      <c r="E550" s="29" t="str">
        <f>IF(Analysis!$I550="","",IF(Analysis!$I550="Embedded",Analysis!$C550,""))</f>
        <v/>
      </c>
      <c r="F550" s="29" t="str">
        <f>IF(Analysis!$I550="","",IF(Analysis!$I550="Loyal but shallow",Analysis!$C550,""))</f>
        <v/>
      </c>
      <c r="G550" s="29" t="str">
        <f>IF(Analysis!$I550="","",IF(Analysis!$I550="Project-driven",Analysis!$C550,""))</f>
        <v/>
      </c>
      <c r="H550" s="29" t="str">
        <f>IF(Analysis!$I550="","",IF(Analysis!$I550="Drifting",Analysis!$C550,""))</f>
        <v/>
      </c>
      <c r="I550" s="29" t="str">
        <f>IF(Analysis!$I550="","",IF(Analysis!$I550="Embedded",Analysis!$F550,""))</f>
        <v/>
      </c>
      <c r="J550" s="29" t="str">
        <f>IF(Analysis!$I550="","",IF(Analysis!$I550="Loyal but shallow",Analysis!$F550,""))</f>
        <v/>
      </c>
      <c r="K550" s="29" t="str">
        <f>IF(Analysis!$I550="","",IF(Analysis!$I550="Project-driven",Analysis!$F550,""))</f>
        <v/>
      </c>
      <c r="L550" s="29" t="str">
        <f>IF(Analysis!$I550="","",IF(Analysis!$I550="Drifting",Analysis!$F550,""))</f>
        <v/>
      </c>
      <c r="M550" s="29" t="str">
        <f>IF(Analysis!$I550="","",IF(Analysis!$I550="Embedded",Analysis!$H550,""))</f>
        <v/>
      </c>
      <c r="N550" s="29" t="str">
        <f>IF(Analysis!$I550="","",IF(Analysis!$I550="Loyal but shallow",Analysis!$H550,""))</f>
        <v/>
      </c>
      <c r="O550" s="29" t="str">
        <f>IF(Analysis!$I550="","",IF(Analysis!$I550="Project-driven",Analysis!$H550,""))</f>
        <v/>
      </c>
      <c r="P550" s="29" t="str">
        <f>IF(Analysis!$I550="","",IF(Analysis!$I550="Drifting",Analysis!$H550,""))</f>
        <v/>
      </c>
    </row>
    <row r="551" spans="1:16" x14ac:dyDescent="0.25">
      <c r="A551" s="29" t="str">
        <f>IF(Analysis!$I551="","",IF(Analysis!$I551="Embedded",Analysis!$D551,""))</f>
        <v/>
      </c>
      <c r="B551" s="29" t="str">
        <f>IF(Analysis!$I551="","",IF(Analysis!$I551="Loyal but shallow",Analysis!$D551,""))</f>
        <v/>
      </c>
      <c r="C551" s="29" t="str">
        <f>IF(Analysis!$I551="","",IF(Analysis!$I551="Project-driven",Analysis!$D551,""))</f>
        <v/>
      </c>
      <c r="D551" s="29" t="str">
        <f>IF(Analysis!$I551="","",IF(Analysis!$I551="Drifting",Analysis!$D551,""))</f>
        <v/>
      </c>
      <c r="E551" s="29" t="str">
        <f>IF(Analysis!$I551="","",IF(Analysis!$I551="Embedded",Analysis!$C551,""))</f>
        <v/>
      </c>
      <c r="F551" s="29" t="str">
        <f>IF(Analysis!$I551="","",IF(Analysis!$I551="Loyal but shallow",Analysis!$C551,""))</f>
        <v/>
      </c>
      <c r="G551" s="29" t="str">
        <f>IF(Analysis!$I551="","",IF(Analysis!$I551="Project-driven",Analysis!$C551,""))</f>
        <v/>
      </c>
      <c r="H551" s="29" t="str">
        <f>IF(Analysis!$I551="","",IF(Analysis!$I551="Drifting",Analysis!$C551,""))</f>
        <v/>
      </c>
      <c r="I551" s="29" t="str">
        <f>IF(Analysis!$I551="","",IF(Analysis!$I551="Embedded",Analysis!$F551,""))</f>
        <v/>
      </c>
      <c r="J551" s="29" t="str">
        <f>IF(Analysis!$I551="","",IF(Analysis!$I551="Loyal but shallow",Analysis!$F551,""))</f>
        <v/>
      </c>
      <c r="K551" s="29" t="str">
        <f>IF(Analysis!$I551="","",IF(Analysis!$I551="Project-driven",Analysis!$F551,""))</f>
        <v/>
      </c>
      <c r="L551" s="29" t="str">
        <f>IF(Analysis!$I551="","",IF(Analysis!$I551="Drifting",Analysis!$F551,""))</f>
        <v/>
      </c>
      <c r="M551" s="29" t="str">
        <f>IF(Analysis!$I551="","",IF(Analysis!$I551="Embedded",Analysis!$H551,""))</f>
        <v/>
      </c>
      <c r="N551" s="29" t="str">
        <f>IF(Analysis!$I551="","",IF(Analysis!$I551="Loyal but shallow",Analysis!$H551,""))</f>
        <v/>
      </c>
      <c r="O551" s="29" t="str">
        <f>IF(Analysis!$I551="","",IF(Analysis!$I551="Project-driven",Analysis!$H551,""))</f>
        <v/>
      </c>
      <c r="P551" s="29" t="str">
        <f>IF(Analysis!$I551="","",IF(Analysis!$I551="Drifting",Analysis!$H551,""))</f>
        <v/>
      </c>
    </row>
    <row r="552" spans="1:16" x14ac:dyDescent="0.25">
      <c r="A552" s="29" t="str">
        <f>IF(Analysis!$I552="","",IF(Analysis!$I552="Embedded",Analysis!$D552,""))</f>
        <v/>
      </c>
      <c r="B552" s="29" t="str">
        <f>IF(Analysis!$I552="","",IF(Analysis!$I552="Loyal but shallow",Analysis!$D552,""))</f>
        <v/>
      </c>
      <c r="C552" s="29" t="str">
        <f>IF(Analysis!$I552="","",IF(Analysis!$I552="Project-driven",Analysis!$D552,""))</f>
        <v/>
      </c>
      <c r="D552" s="29" t="str">
        <f>IF(Analysis!$I552="","",IF(Analysis!$I552="Drifting",Analysis!$D552,""))</f>
        <v/>
      </c>
      <c r="E552" s="29" t="str">
        <f>IF(Analysis!$I552="","",IF(Analysis!$I552="Embedded",Analysis!$C552,""))</f>
        <v/>
      </c>
      <c r="F552" s="29" t="str">
        <f>IF(Analysis!$I552="","",IF(Analysis!$I552="Loyal but shallow",Analysis!$C552,""))</f>
        <v/>
      </c>
      <c r="G552" s="29" t="str">
        <f>IF(Analysis!$I552="","",IF(Analysis!$I552="Project-driven",Analysis!$C552,""))</f>
        <v/>
      </c>
      <c r="H552" s="29" t="str">
        <f>IF(Analysis!$I552="","",IF(Analysis!$I552="Drifting",Analysis!$C552,""))</f>
        <v/>
      </c>
      <c r="I552" s="29" t="str">
        <f>IF(Analysis!$I552="","",IF(Analysis!$I552="Embedded",Analysis!$F552,""))</f>
        <v/>
      </c>
      <c r="J552" s="29" t="str">
        <f>IF(Analysis!$I552="","",IF(Analysis!$I552="Loyal but shallow",Analysis!$F552,""))</f>
        <v/>
      </c>
      <c r="K552" s="29" t="str">
        <f>IF(Analysis!$I552="","",IF(Analysis!$I552="Project-driven",Analysis!$F552,""))</f>
        <v/>
      </c>
      <c r="L552" s="29" t="str">
        <f>IF(Analysis!$I552="","",IF(Analysis!$I552="Drifting",Analysis!$F552,""))</f>
        <v/>
      </c>
      <c r="M552" s="29" t="str">
        <f>IF(Analysis!$I552="","",IF(Analysis!$I552="Embedded",Analysis!$H552,""))</f>
        <v/>
      </c>
      <c r="N552" s="29" t="str">
        <f>IF(Analysis!$I552="","",IF(Analysis!$I552="Loyal but shallow",Analysis!$H552,""))</f>
        <v/>
      </c>
      <c r="O552" s="29" t="str">
        <f>IF(Analysis!$I552="","",IF(Analysis!$I552="Project-driven",Analysis!$H552,""))</f>
        <v/>
      </c>
      <c r="P552" s="29" t="str">
        <f>IF(Analysis!$I552="","",IF(Analysis!$I552="Drifting",Analysis!$H552,""))</f>
        <v/>
      </c>
    </row>
    <row r="553" spans="1:16" x14ac:dyDescent="0.25">
      <c r="A553" s="29" t="str">
        <f>IF(Analysis!$I553="","",IF(Analysis!$I553="Embedded",Analysis!$D553,""))</f>
        <v/>
      </c>
      <c r="B553" s="29" t="str">
        <f>IF(Analysis!$I553="","",IF(Analysis!$I553="Loyal but shallow",Analysis!$D553,""))</f>
        <v/>
      </c>
      <c r="C553" s="29" t="str">
        <f>IF(Analysis!$I553="","",IF(Analysis!$I553="Project-driven",Analysis!$D553,""))</f>
        <v/>
      </c>
      <c r="D553" s="29" t="str">
        <f>IF(Analysis!$I553="","",IF(Analysis!$I553="Drifting",Analysis!$D553,""))</f>
        <v/>
      </c>
      <c r="E553" s="29" t="str">
        <f>IF(Analysis!$I553="","",IF(Analysis!$I553="Embedded",Analysis!$C553,""))</f>
        <v/>
      </c>
      <c r="F553" s="29" t="str">
        <f>IF(Analysis!$I553="","",IF(Analysis!$I553="Loyal but shallow",Analysis!$C553,""))</f>
        <v/>
      </c>
      <c r="G553" s="29" t="str">
        <f>IF(Analysis!$I553="","",IF(Analysis!$I553="Project-driven",Analysis!$C553,""))</f>
        <v/>
      </c>
      <c r="H553" s="29" t="str">
        <f>IF(Analysis!$I553="","",IF(Analysis!$I553="Drifting",Analysis!$C553,""))</f>
        <v/>
      </c>
      <c r="I553" s="29" t="str">
        <f>IF(Analysis!$I553="","",IF(Analysis!$I553="Embedded",Analysis!$F553,""))</f>
        <v/>
      </c>
      <c r="J553" s="29" t="str">
        <f>IF(Analysis!$I553="","",IF(Analysis!$I553="Loyal but shallow",Analysis!$F553,""))</f>
        <v/>
      </c>
      <c r="K553" s="29" t="str">
        <f>IF(Analysis!$I553="","",IF(Analysis!$I553="Project-driven",Analysis!$F553,""))</f>
        <v/>
      </c>
      <c r="L553" s="29" t="str">
        <f>IF(Analysis!$I553="","",IF(Analysis!$I553="Drifting",Analysis!$F553,""))</f>
        <v/>
      </c>
      <c r="M553" s="29" t="str">
        <f>IF(Analysis!$I553="","",IF(Analysis!$I553="Embedded",Analysis!$H553,""))</f>
        <v/>
      </c>
      <c r="N553" s="29" t="str">
        <f>IF(Analysis!$I553="","",IF(Analysis!$I553="Loyal but shallow",Analysis!$H553,""))</f>
        <v/>
      </c>
      <c r="O553" s="29" t="str">
        <f>IF(Analysis!$I553="","",IF(Analysis!$I553="Project-driven",Analysis!$H553,""))</f>
        <v/>
      </c>
      <c r="P553" s="29" t="str">
        <f>IF(Analysis!$I553="","",IF(Analysis!$I553="Drifting",Analysis!$H553,""))</f>
        <v/>
      </c>
    </row>
    <row r="554" spans="1:16" x14ac:dyDescent="0.25">
      <c r="A554" s="29" t="str">
        <f>IF(Analysis!$I554="","",IF(Analysis!$I554="Embedded",Analysis!$D554,""))</f>
        <v/>
      </c>
      <c r="B554" s="29" t="str">
        <f>IF(Analysis!$I554="","",IF(Analysis!$I554="Loyal but shallow",Analysis!$D554,""))</f>
        <v/>
      </c>
      <c r="C554" s="29" t="str">
        <f>IF(Analysis!$I554="","",IF(Analysis!$I554="Project-driven",Analysis!$D554,""))</f>
        <v/>
      </c>
      <c r="D554" s="29" t="str">
        <f>IF(Analysis!$I554="","",IF(Analysis!$I554="Drifting",Analysis!$D554,""))</f>
        <v/>
      </c>
      <c r="E554" s="29" t="str">
        <f>IF(Analysis!$I554="","",IF(Analysis!$I554="Embedded",Analysis!$C554,""))</f>
        <v/>
      </c>
      <c r="F554" s="29" t="str">
        <f>IF(Analysis!$I554="","",IF(Analysis!$I554="Loyal but shallow",Analysis!$C554,""))</f>
        <v/>
      </c>
      <c r="G554" s="29" t="str">
        <f>IF(Analysis!$I554="","",IF(Analysis!$I554="Project-driven",Analysis!$C554,""))</f>
        <v/>
      </c>
      <c r="H554" s="29" t="str">
        <f>IF(Analysis!$I554="","",IF(Analysis!$I554="Drifting",Analysis!$C554,""))</f>
        <v/>
      </c>
      <c r="I554" s="29" t="str">
        <f>IF(Analysis!$I554="","",IF(Analysis!$I554="Embedded",Analysis!$F554,""))</f>
        <v/>
      </c>
      <c r="J554" s="29" t="str">
        <f>IF(Analysis!$I554="","",IF(Analysis!$I554="Loyal but shallow",Analysis!$F554,""))</f>
        <v/>
      </c>
      <c r="K554" s="29" t="str">
        <f>IF(Analysis!$I554="","",IF(Analysis!$I554="Project-driven",Analysis!$F554,""))</f>
        <v/>
      </c>
      <c r="L554" s="29" t="str">
        <f>IF(Analysis!$I554="","",IF(Analysis!$I554="Drifting",Analysis!$F554,""))</f>
        <v/>
      </c>
      <c r="M554" s="29" t="str">
        <f>IF(Analysis!$I554="","",IF(Analysis!$I554="Embedded",Analysis!$H554,""))</f>
        <v/>
      </c>
      <c r="N554" s="29" t="str">
        <f>IF(Analysis!$I554="","",IF(Analysis!$I554="Loyal but shallow",Analysis!$H554,""))</f>
        <v/>
      </c>
      <c r="O554" s="29" t="str">
        <f>IF(Analysis!$I554="","",IF(Analysis!$I554="Project-driven",Analysis!$H554,""))</f>
        <v/>
      </c>
      <c r="P554" s="29" t="str">
        <f>IF(Analysis!$I554="","",IF(Analysis!$I554="Drifting",Analysis!$H554,""))</f>
        <v/>
      </c>
    </row>
    <row r="555" spans="1:16" x14ac:dyDescent="0.25">
      <c r="A555" s="29" t="str">
        <f>IF(Analysis!$I555="","",IF(Analysis!$I555="Embedded",Analysis!$D555,""))</f>
        <v/>
      </c>
      <c r="B555" s="29" t="str">
        <f>IF(Analysis!$I555="","",IF(Analysis!$I555="Loyal but shallow",Analysis!$D555,""))</f>
        <v/>
      </c>
      <c r="C555" s="29" t="str">
        <f>IF(Analysis!$I555="","",IF(Analysis!$I555="Project-driven",Analysis!$D555,""))</f>
        <v/>
      </c>
      <c r="D555" s="29" t="str">
        <f>IF(Analysis!$I555="","",IF(Analysis!$I555="Drifting",Analysis!$D555,""))</f>
        <v/>
      </c>
      <c r="E555" s="29" t="str">
        <f>IF(Analysis!$I555="","",IF(Analysis!$I555="Embedded",Analysis!$C555,""))</f>
        <v/>
      </c>
      <c r="F555" s="29" t="str">
        <f>IF(Analysis!$I555="","",IF(Analysis!$I555="Loyal but shallow",Analysis!$C555,""))</f>
        <v/>
      </c>
      <c r="G555" s="29" t="str">
        <f>IF(Analysis!$I555="","",IF(Analysis!$I555="Project-driven",Analysis!$C555,""))</f>
        <v/>
      </c>
      <c r="H555" s="29" t="str">
        <f>IF(Analysis!$I555="","",IF(Analysis!$I555="Drifting",Analysis!$C555,""))</f>
        <v/>
      </c>
      <c r="I555" s="29" t="str">
        <f>IF(Analysis!$I555="","",IF(Analysis!$I555="Embedded",Analysis!$F555,""))</f>
        <v/>
      </c>
      <c r="J555" s="29" t="str">
        <f>IF(Analysis!$I555="","",IF(Analysis!$I555="Loyal but shallow",Analysis!$F555,""))</f>
        <v/>
      </c>
      <c r="K555" s="29" t="str">
        <f>IF(Analysis!$I555="","",IF(Analysis!$I555="Project-driven",Analysis!$F555,""))</f>
        <v/>
      </c>
      <c r="L555" s="29" t="str">
        <f>IF(Analysis!$I555="","",IF(Analysis!$I555="Drifting",Analysis!$F555,""))</f>
        <v/>
      </c>
      <c r="M555" s="29" t="str">
        <f>IF(Analysis!$I555="","",IF(Analysis!$I555="Embedded",Analysis!$H555,""))</f>
        <v/>
      </c>
      <c r="N555" s="29" t="str">
        <f>IF(Analysis!$I555="","",IF(Analysis!$I555="Loyal but shallow",Analysis!$H555,""))</f>
        <v/>
      </c>
      <c r="O555" s="29" t="str">
        <f>IF(Analysis!$I555="","",IF(Analysis!$I555="Project-driven",Analysis!$H555,""))</f>
        <v/>
      </c>
      <c r="P555" s="29" t="str">
        <f>IF(Analysis!$I555="","",IF(Analysis!$I555="Drifting",Analysis!$H555,""))</f>
        <v/>
      </c>
    </row>
    <row r="556" spans="1:16" x14ac:dyDescent="0.25">
      <c r="A556" s="29" t="str">
        <f>IF(Analysis!$I556="","",IF(Analysis!$I556="Embedded",Analysis!$D556,""))</f>
        <v/>
      </c>
      <c r="B556" s="29" t="str">
        <f>IF(Analysis!$I556="","",IF(Analysis!$I556="Loyal but shallow",Analysis!$D556,""))</f>
        <v/>
      </c>
      <c r="C556" s="29" t="str">
        <f>IF(Analysis!$I556="","",IF(Analysis!$I556="Project-driven",Analysis!$D556,""))</f>
        <v/>
      </c>
      <c r="D556" s="29" t="str">
        <f>IF(Analysis!$I556="","",IF(Analysis!$I556="Drifting",Analysis!$D556,""))</f>
        <v/>
      </c>
      <c r="E556" s="29" t="str">
        <f>IF(Analysis!$I556="","",IF(Analysis!$I556="Embedded",Analysis!$C556,""))</f>
        <v/>
      </c>
      <c r="F556" s="29" t="str">
        <f>IF(Analysis!$I556="","",IF(Analysis!$I556="Loyal but shallow",Analysis!$C556,""))</f>
        <v/>
      </c>
      <c r="G556" s="29" t="str">
        <f>IF(Analysis!$I556="","",IF(Analysis!$I556="Project-driven",Analysis!$C556,""))</f>
        <v/>
      </c>
      <c r="H556" s="29" t="str">
        <f>IF(Analysis!$I556="","",IF(Analysis!$I556="Drifting",Analysis!$C556,""))</f>
        <v/>
      </c>
      <c r="I556" s="29" t="str">
        <f>IF(Analysis!$I556="","",IF(Analysis!$I556="Embedded",Analysis!$F556,""))</f>
        <v/>
      </c>
      <c r="J556" s="29" t="str">
        <f>IF(Analysis!$I556="","",IF(Analysis!$I556="Loyal but shallow",Analysis!$F556,""))</f>
        <v/>
      </c>
      <c r="K556" s="29" t="str">
        <f>IF(Analysis!$I556="","",IF(Analysis!$I556="Project-driven",Analysis!$F556,""))</f>
        <v/>
      </c>
      <c r="L556" s="29" t="str">
        <f>IF(Analysis!$I556="","",IF(Analysis!$I556="Drifting",Analysis!$F556,""))</f>
        <v/>
      </c>
      <c r="M556" s="29" t="str">
        <f>IF(Analysis!$I556="","",IF(Analysis!$I556="Embedded",Analysis!$H556,""))</f>
        <v/>
      </c>
      <c r="N556" s="29" t="str">
        <f>IF(Analysis!$I556="","",IF(Analysis!$I556="Loyal but shallow",Analysis!$H556,""))</f>
        <v/>
      </c>
      <c r="O556" s="29" t="str">
        <f>IF(Analysis!$I556="","",IF(Analysis!$I556="Project-driven",Analysis!$H556,""))</f>
        <v/>
      </c>
      <c r="P556" s="29" t="str">
        <f>IF(Analysis!$I556="","",IF(Analysis!$I556="Drifting",Analysis!$H556,""))</f>
        <v/>
      </c>
    </row>
    <row r="557" spans="1:16" x14ac:dyDescent="0.25">
      <c r="A557" s="29" t="str">
        <f>IF(Analysis!$I557="","",IF(Analysis!$I557="Embedded",Analysis!$D557,""))</f>
        <v/>
      </c>
      <c r="B557" s="29" t="str">
        <f>IF(Analysis!$I557="","",IF(Analysis!$I557="Loyal but shallow",Analysis!$D557,""))</f>
        <v/>
      </c>
      <c r="C557" s="29" t="str">
        <f>IF(Analysis!$I557="","",IF(Analysis!$I557="Project-driven",Analysis!$D557,""))</f>
        <v/>
      </c>
      <c r="D557" s="29" t="str">
        <f>IF(Analysis!$I557="","",IF(Analysis!$I557="Drifting",Analysis!$D557,""))</f>
        <v/>
      </c>
      <c r="E557" s="29" t="str">
        <f>IF(Analysis!$I557="","",IF(Analysis!$I557="Embedded",Analysis!$C557,""))</f>
        <v/>
      </c>
      <c r="F557" s="29" t="str">
        <f>IF(Analysis!$I557="","",IF(Analysis!$I557="Loyal but shallow",Analysis!$C557,""))</f>
        <v/>
      </c>
      <c r="G557" s="29" t="str">
        <f>IF(Analysis!$I557="","",IF(Analysis!$I557="Project-driven",Analysis!$C557,""))</f>
        <v/>
      </c>
      <c r="H557" s="29" t="str">
        <f>IF(Analysis!$I557="","",IF(Analysis!$I557="Drifting",Analysis!$C557,""))</f>
        <v/>
      </c>
      <c r="I557" s="29" t="str">
        <f>IF(Analysis!$I557="","",IF(Analysis!$I557="Embedded",Analysis!$F557,""))</f>
        <v/>
      </c>
      <c r="J557" s="29" t="str">
        <f>IF(Analysis!$I557="","",IF(Analysis!$I557="Loyal but shallow",Analysis!$F557,""))</f>
        <v/>
      </c>
      <c r="K557" s="29" t="str">
        <f>IF(Analysis!$I557="","",IF(Analysis!$I557="Project-driven",Analysis!$F557,""))</f>
        <v/>
      </c>
      <c r="L557" s="29" t="str">
        <f>IF(Analysis!$I557="","",IF(Analysis!$I557="Drifting",Analysis!$F557,""))</f>
        <v/>
      </c>
      <c r="M557" s="29" t="str">
        <f>IF(Analysis!$I557="","",IF(Analysis!$I557="Embedded",Analysis!$H557,""))</f>
        <v/>
      </c>
      <c r="N557" s="29" t="str">
        <f>IF(Analysis!$I557="","",IF(Analysis!$I557="Loyal but shallow",Analysis!$H557,""))</f>
        <v/>
      </c>
      <c r="O557" s="29" t="str">
        <f>IF(Analysis!$I557="","",IF(Analysis!$I557="Project-driven",Analysis!$H557,""))</f>
        <v/>
      </c>
      <c r="P557" s="29" t="str">
        <f>IF(Analysis!$I557="","",IF(Analysis!$I557="Drifting",Analysis!$H557,""))</f>
        <v/>
      </c>
    </row>
    <row r="558" spans="1:16" x14ac:dyDescent="0.25">
      <c r="A558" s="29" t="str">
        <f>IF(Analysis!$I558="","",IF(Analysis!$I558="Embedded",Analysis!$D558,""))</f>
        <v/>
      </c>
      <c r="B558" s="29" t="str">
        <f>IF(Analysis!$I558="","",IF(Analysis!$I558="Loyal but shallow",Analysis!$D558,""))</f>
        <v/>
      </c>
      <c r="C558" s="29" t="str">
        <f>IF(Analysis!$I558="","",IF(Analysis!$I558="Project-driven",Analysis!$D558,""))</f>
        <v/>
      </c>
      <c r="D558" s="29" t="str">
        <f>IF(Analysis!$I558="","",IF(Analysis!$I558="Drifting",Analysis!$D558,""))</f>
        <v/>
      </c>
      <c r="E558" s="29" t="str">
        <f>IF(Analysis!$I558="","",IF(Analysis!$I558="Embedded",Analysis!$C558,""))</f>
        <v/>
      </c>
      <c r="F558" s="29" t="str">
        <f>IF(Analysis!$I558="","",IF(Analysis!$I558="Loyal but shallow",Analysis!$C558,""))</f>
        <v/>
      </c>
      <c r="G558" s="29" t="str">
        <f>IF(Analysis!$I558="","",IF(Analysis!$I558="Project-driven",Analysis!$C558,""))</f>
        <v/>
      </c>
      <c r="H558" s="29" t="str">
        <f>IF(Analysis!$I558="","",IF(Analysis!$I558="Drifting",Analysis!$C558,""))</f>
        <v/>
      </c>
      <c r="I558" s="29" t="str">
        <f>IF(Analysis!$I558="","",IF(Analysis!$I558="Embedded",Analysis!$F558,""))</f>
        <v/>
      </c>
      <c r="J558" s="29" t="str">
        <f>IF(Analysis!$I558="","",IF(Analysis!$I558="Loyal but shallow",Analysis!$F558,""))</f>
        <v/>
      </c>
      <c r="K558" s="29" t="str">
        <f>IF(Analysis!$I558="","",IF(Analysis!$I558="Project-driven",Analysis!$F558,""))</f>
        <v/>
      </c>
      <c r="L558" s="29" t="str">
        <f>IF(Analysis!$I558="","",IF(Analysis!$I558="Drifting",Analysis!$F558,""))</f>
        <v/>
      </c>
      <c r="M558" s="29" t="str">
        <f>IF(Analysis!$I558="","",IF(Analysis!$I558="Embedded",Analysis!$H558,""))</f>
        <v/>
      </c>
      <c r="N558" s="29" t="str">
        <f>IF(Analysis!$I558="","",IF(Analysis!$I558="Loyal but shallow",Analysis!$H558,""))</f>
        <v/>
      </c>
      <c r="O558" s="29" t="str">
        <f>IF(Analysis!$I558="","",IF(Analysis!$I558="Project-driven",Analysis!$H558,""))</f>
        <v/>
      </c>
      <c r="P558" s="29" t="str">
        <f>IF(Analysis!$I558="","",IF(Analysis!$I558="Drifting",Analysis!$H558,""))</f>
        <v/>
      </c>
    </row>
    <row r="559" spans="1:16" x14ac:dyDescent="0.25">
      <c r="A559" s="29" t="str">
        <f>IF(Analysis!$I559="","",IF(Analysis!$I559="Embedded",Analysis!$D559,""))</f>
        <v/>
      </c>
      <c r="B559" s="29" t="str">
        <f>IF(Analysis!$I559="","",IF(Analysis!$I559="Loyal but shallow",Analysis!$D559,""))</f>
        <v/>
      </c>
      <c r="C559" s="29" t="str">
        <f>IF(Analysis!$I559="","",IF(Analysis!$I559="Project-driven",Analysis!$D559,""))</f>
        <v/>
      </c>
      <c r="D559" s="29" t="str">
        <f>IF(Analysis!$I559="","",IF(Analysis!$I559="Drifting",Analysis!$D559,""))</f>
        <v/>
      </c>
      <c r="E559" s="29" t="str">
        <f>IF(Analysis!$I559="","",IF(Analysis!$I559="Embedded",Analysis!$C559,""))</f>
        <v/>
      </c>
      <c r="F559" s="29" t="str">
        <f>IF(Analysis!$I559="","",IF(Analysis!$I559="Loyal but shallow",Analysis!$C559,""))</f>
        <v/>
      </c>
      <c r="G559" s="29" t="str">
        <f>IF(Analysis!$I559="","",IF(Analysis!$I559="Project-driven",Analysis!$C559,""))</f>
        <v/>
      </c>
      <c r="H559" s="29" t="str">
        <f>IF(Analysis!$I559="","",IF(Analysis!$I559="Drifting",Analysis!$C559,""))</f>
        <v/>
      </c>
      <c r="I559" s="29" t="str">
        <f>IF(Analysis!$I559="","",IF(Analysis!$I559="Embedded",Analysis!$F559,""))</f>
        <v/>
      </c>
      <c r="J559" s="29" t="str">
        <f>IF(Analysis!$I559="","",IF(Analysis!$I559="Loyal but shallow",Analysis!$F559,""))</f>
        <v/>
      </c>
      <c r="K559" s="29" t="str">
        <f>IF(Analysis!$I559="","",IF(Analysis!$I559="Project-driven",Analysis!$F559,""))</f>
        <v/>
      </c>
      <c r="L559" s="29" t="str">
        <f>IF(Analysis!$I559="","",IF(Analysis!$I559="Drifting",Analysis!$F559,""))</f>
        <v/>
      </c>
      <c r="M559" s="29" t="str">
        <f>IF(Analysis!$I559="","",IF(Analysis!$I559="Embedded",Analysis!$H559,""))</f>
        <v/>
      </c>
      <c r="N559" s="29" t="str">
        <f>IF(Analysis!$I559="","",IF(Analysis!$I559="Loyal but shallow",Analysis!$H559,""))</f>
        <v/>
      </c>
      <c r="O559" s="29" t="str">
        <f>IF(Analysis!$I559="","",IF(Analysis!$I559="Project-driven",Analysis!$H559,""))</f>
        <v/>
      </c>
      <c r="P559" s="29" t="str">
        <f>IF(Analysis!$I559="","",IF(Analysis!$I559="Drifting",Analysis!$H559,""))</f>
        <v/>
      </c>
    </row>
    <row r="560" spans="1:16" x14ac:dyDescent="0.25">
      <c r="A560" s="29" t="str">
        <f>IF(Analysis!$I560="","",IF(Analysis!$I560="Embedded",Analysis!$D560,""))</f>
        <v/>
      </c>
      <c r="B560" s="29" t="str">
        <f>IF(Analysis!$I560="","",IF(Analysis!$I560="Loyal but shallow",Analysis!$D560,""))</f>
        <v/>
      </c>
      <c r="C560" s="29" t="str">
        <f>IF(Analysis!$I560="","",IF(Analysis!$I560="Project-driven",Analysis!$D560,""))</f>
        <v/>
      </c>
      <c r="D560" s="29" t="str">
        <f>IF(Analysis!$I560="","",IF(Analysis!$I560="Drifting",Analysis!$D560,""))</f>
        <v/>
      </c>
      <c r="E560" s="29" t="str">
        <f>IF(Analysis!$I560="","",IF(Analysis!$I560="Embedded",Analysis!$C560,""))</f>
        <v/>
      </c>
      <c r="F560" s="29" t="str">
        <f>IF(Analysis!$I560="","",IF(Analysis!$I560="Loyal but shallow",Analysis!$C560,""))</f>
        <v/>
      </c>
      <c r="G560" s="29" t="str">
        <f>IF(Analysis!$I560="","",IF(Analysis!$I560="Project-driven",Analysis!$C560,""))</f>
        <v/>
      </c>
      <c r="H560" s="29" t="str">
        <f>IF(Analysis!$I560="","",IF(Analysis!$I560="Drifting",Analysis!$C560,""))</f>
        <v/>
      </c>
      <c r="I560" s="29" t="str">
        <f>IF(Analysis!$I560="","",IF(Analysis!$I560="Embedded",Analysis!$F560,""))</f>
        <v/>
      </c>
      <c r="J560" s="29" t="str">
        <f>IF(Analysis!$I560="","",IF(Analysis!$I560="Loyal but shallow",Analysis!$F560,""))</f>
        <v/>
      </c>
      <c r="K560" s="29" t="str">
        <f>IF(Analysis!$I560="","",IF(Analysis!$I560="Project-driven",Analysis!$F560,""))</f>
        <v/>
      </c>
      <c r="L560" s="29" t="str">
        <f>IF(Analysis!$I560="","",IF(Analysis!$I560="Drifting",Analysis!$F560,""))</f>
        <v/>
      </c>
      <c r="M560" s="29" t="str">
        <f>IF(Analysis!$I560="","",IF(Analysis!$I560="Embedded",Analysis!$H560,""))</f>
        <v/>
      </c>
      <c r="N560" s="29" t="str">
        <f>IF(Analysis!$I560="","",IF(Analysis!$I560="Loyal but shallow",Analysis!$H560,""))</f>
        <v/>
      </c>
      <c r="O560" s="29" t="str">
        <f>IF(Analysis!$I560="","",IF(Analysis!$I560="Project-driven",Analysis!$H560,""))</f>
        <v/>
      </c>
      <c r="P560" s="29" t="str">
        <f>IF(Analysis!$I560="","",IF(Analysis!$I560="Drifting",Analysis!$H560,""))</f>
        <v/>
      </c>
    </row>
    <row r="561" spans="1:16" x14ac:dyDescent="0.25">
      <c r="A561" s="29" t="str">
        <f>IF(Analysis!$I561="","",IF(Analysis!$I561="Embedded",Analysis!$D561,""))</f>
        <v/>
      </c>
      <c r="B561" s="29" t="str">
        <f>IF(Analysis!$I561="","",IF(Analysis!$I561="Loyal but shallow",Analysis!$D561,""))</f>
        <v/>
      </c>
      <c r="C561" s="29" t="str">
        <f>IF(Analysis!$I561="","",IF(Analysis!$I561="Project-driven",Analysis!$D561,""))</f>
        <v/>
      </c>
      <c r="D561" s="29" t="str">
        <f>IF(Analysis!$I561="","",IF(Analysis!$I561="Drifting",Analysis!$D561,""))</f>
        <v/>
      </c>
      <c r="E561" s="29" t="str">
        <f>IF(Analysis!$I561="","",IF(Analysis!$I561="Embedded",Analysis!$C561,""))</f>
        <v/>
      </c>
      <c r="F561" s="29" t="str">
        <f>IF(Analysis!$I561="","",IF(Analysis!$I561="Loyal but shallow",Analysis!$C561,""))</f>
        <v/>
      </c>
      <c r="G561" s="29" t="str">
        <f>IF(Analysis!$I561="","",IF(Analysis!$I561="Project-driven",Analysis!$C561,""))</f>
        <v/>
      </c>
      <c r="H561" s="29" t="str">
        <f>IF(Analysis!$I561="","",IF(Analysis!$I561="Drifting",Analysis!$C561,""))</f>
        <v/>
      </c>
      <c r="I561" s="29" t="str">
        <f>IF(Analysis!$I561="","",IF(Analysis!$I561="Embedded",Analysis!$F561,""))</f>
        <v/>
      </c>
      <c r="J561" s="29" t="str">
        <f>IF(Analysis!$I561="","",IF(Analysis!$I561="Loyal but shallow",Analysis!$F561,""))</f>
        <v/>
      </c>
      <c r="K561" s="29" t="str">
        <f>IF(Analysis!$I561="","",IF(Analysis!$I561="Project-driven",Analysis!$F561,""))</f>
        <v/>
      </c>
      <c r="L561" s="29" t="str">
        <f>IF(Analysis!$I561="","",IF(Analysis!$I561="Drifting",Analysis!$F561,""))</f>
        <v/>
      </c>
      <c r="M561" s="29" t="str">
        <f>IF(Analysis!$I561="","",IF(Analysis!$I561="Embedded",Analysis!$H561,""))</f>
        <v/>
      </c>
      <c r="N561" s="29" t="str">
        <f>IF(Analysis!$I561="","",IF(Analysis!$I561="Loyal but shallow",Analysis!$H561,""))</f>
        <v/>
      </c>
      <c r="O561" s="29" t="str">
        <f>IF(Analysis!$I561="","",IF(Analysis!$I561="Project-driven",Analysis!$H561,""))</f>
        <v/>
      </c>
      <c r="P561" s="29" t="str">
        <f>IF(Analysis!$I561="","",IF(Analysis!$I561="Drifting",Analysis!$H561,""))</f>
        <v/>
      </c>
    </row>
    <row r="562" spans="1:16" x14ac:dyDescent="0.25">
      <c r="A562" s="29" t="str">
        <f>IF(Analysis!$I562="","",IF(Analysis!$I562="Embedded",Analysis!$D562,""))</f>
        <v/>
      </c>
      <c r="B562" s="29" t="str">
        <f>IF(Analysis!$I562="","",IF(Analysis!$I562="Loyal but shallow",Analysis!$D562,""))</f>
        <v/>
      </c>
      <c r="C562" s="29" t="str">
        <f>IF(Analysis!$I562="","",IF(Analysis!$I562="Project-driven",Analysis!$D562,""))</f>
        <v/>
      </c>
      <c r="D562" s="29" t="str">
        <f>IF(Analysis!$I562="","",IF(Analysis!$I562="Drifting",Analysis!$D562,""))</f>
        <v/>
      </c>
      <c r="E562" s="29" t="str">
        <f>IF(Analysis!$I562="","",IF(Analysis!$I562="Embedded",Analysis!$C562,""))</f>
        <v/>
      </c>
      <c r="F562" s="29" t="str">
        <f>IF(Analysis!$I562="","",IF(Analysis!$I562="Loyal but shallow",Analysis!$C562,""))</f>
        <v/>
      </c>
      <c r="G562" s="29" t="str">
        <f>IF(Analysis!$I562="","",IF(Analysis!$I562="Project-driven",Analysis!$C562,""))</f>
        <v/>
      </c>
      <c r="H562" s="29" t="str">
        <f>IF(Analysis!$I562="","",IF(Analysis!$I562="Drifting",Analysis!$C562,""))</f>
        <v/>
      </c>
      <c r="I562" s="29" t="str">
        <f>IF(Analysis!$I562="","",IF(Analysis!$I562="Embedded",Analysis!$F562,""))</f>
        <v/>
      </c>
      <c r="J562" s="29" t="str">
        <f>IF(Analysis!$I562="","",IF(Analysis!$I562="Loyal but shallow",Analysis!$F562,""))</f>
        <v/>
      </c>
      <c r="K562" s="29" t="str">
        <f>IF(Analysis!$I562="","",IF(Analysis!$I562="Project-driven",Analysis!$F562,""))</f>
        <v/>
      </c>
      <c r="L562" s="29" t="str">
        <f>IF(Analysis!$I562="","",IF(Analysis!$I562="Drifting",Analysis!$F562,""))</f>
        <v/>
      </c>
      <c r="M562" s="29" t="str">
        <f>IF(Analysis!$I562="","",IF(Analysis!$I562="Embedded",Analysis!$H562,""))</f>
        <v/>
      </c>
      <c r="N562" s="29" t="str">
        <f>IF(Analysis!$I562="","",IF(Analysis!$I562="Loyal but shallow",Analysis!$H562,""))</f>
        <v/>
      </c>
      <c r="O562" s="29" t="str">
        <f>IF(Analysis!$I562="","",IF(Analysis!$I562="Project-driven",Analysis!$H562,""))</f>
        <v/>
      </c>
      <c r="P562" s="29" t="str">
        <f>IF(Analysis!$I562="","",IF(Analysis!$I562="Drifting",Analysis!$H562,""))</f>
        <v/>
      </c>
    </row>
    <row r="563" spans="1:16" x14ac:dyDescent="0.25">
      <c r="A563" s="29" t="str">
        <f>IF(Analysis!$I563="","",IF(Analysis!$I563="Embedded",Analysis!$D563,""))</f>
        <v/>
      </c>
      <c r="B563" s="29" t="str">
        <f>IF(Analysis!$I563="","",IF(Analysis!$I563="Loyal but shallow",Analysis!$D563,""))</f>
        <v/>
      </c>
      <c r="C563" s="29" t="str">
        <f>IF(Analysis!$I563="","",IF(Analysis!$I563="Project-driven",Analysis!$D563,""))</f>
        <v/>
      </c>
      <c r="D563" s="29" t="str">
        <f>IF(Analysis!$I563="","",IF(Analysis!$I563="Drifting",Analysis!$D563,""))</f>
        <v/>
      </c>
      <c r="E563" s="29" t="str">
        <f>IF(Analysis!$I563="","",IF(Analysis!$I563="Embedded",Analysis!$C563,""))</f>
        <v/>
      </c>
      <c r="F563" s="29" t="str">
        <f>IF(Analysis!$I563="","",IF(Analysis!$I563="Loyal but shallow",Analysis!$C563,""))</f>
        <v/>
      </c>
      <c r="G563" s="29" t="str">
        <f>IF(Analysis!$I563="","",IF(Analysis!$I563="Project-driven",Analysis!$C563,""))</f>
        <v/>
      </c>
      <c r="H563" s="29" t="str">
        <f>IF(Analysis!$I563="","",IF(Analysis!$I563="Drifting",Analysis!$C563,""))</f>
        <v/>
      </c>
      <c r="I563" s="29" t="str">
        <f>IF(Analysis!$I563="","",IF(Analysis!$I563="Embedded",Analysis!$F563,""))</f>
        <v/>
      </c>
      <c r="J563" s="29" t="str">
        <f>IF(Analysis!$I563="","",IF(Analysis!$I563="Loyal but shallow",Analysis!$F563,""))</f>
        <v/>
      </c>
      <c r="K563" s="29" t="str">
        <f>IF(Analysis!$I563="","",IF(Analysis!$I563="Project-driven",Analysis!$F563,""))</f>
        <v/>
      </c>
      <c r="L563" s="29" t="str">
        <f>IF(Analysis!$I563="","",IF(Analysis!$I563="Drifting",Analysis!$F563,""))</f>
        <v/>
      </c>
      <c r="M563" s="29" t="str">
        <f>IF(Analysis!$I563="","",IF(Analysis!$I563="Embedded",Analysis!$H563,""))</f>
        <v/>
      </c>
      <c r="N563" s="29" t="str">
        <f>IF(Analysis!$I563="","",IF(Analysis!$I563="Loyal but shallow",Analysis!$H563,""))</f>
        <v/>
      </c>
      <c r="O563" s="29" t="str">
        <f>IF(Analysis!$I563="","",IF(Analysis!$I563="Project-driven",Analysis!$H563,""))</f>
        <v/>
      </c>
      <c r="P563" s="29" t="str">
        <f>IF(Analysis!$I563="","",IF(Analysis!$I563="Drifting",Analysis!$H563,""))</f>
        <v/>
      </c>
    </row>
    <row r="564" spans="1:16" x14ac:dyDescent="0.25">
      <c r="A564" s="29" t="str">
        <f>IF(Analysis!$I564="","",IF(Analysis!$I564="Embedded",Analysis!$D564,""))</f>
        <v/>
      </c>
      <c r="B564" s="29" t="str">
        <f>IF(Analysis!$I564="","",IF(Analysis!$I564="Loyal but shallow",Analysis!$D564,""))</f>
        <v/>
      </c>
      <c r="C564" s="29" t="str">
        <f>IF(Analysis!$I564="","",IF(Analysis!$I564="Project-driven",Analysis!$D564,""))</f>
        <v/>
      </c>
      <c r="D564" s="29" t="str">
        <f>IF(Analysis!$I564="","",IF(Analysis!$I564="Drifting",Analysis!$D564,""))</f>
        <v/>
      </c>
      <c r="E564" s="29" t="str">
        <f>IF(Analysis!$I564="","",IF(Analysis!$I564="Embedded",Analysis!$C564,""))</f>
        <v/>
      </c>
      <c r="F564" s="29" t="str">
        <f>IF(Analysis!$I564="","",IF(Analysis!$I564="Loyal but shallow",Analysis!$C564,""))</f>
        <v/>
      </c>
      <c r="G564" s="29" t="str">
        <f>IF(Analysis!$I564="","",IF(Analysis!$I564="Project-driven",Analysis!$C564,""))</f>
        <v/>
      </c>
      <c r="H564" s="29" t="str">
        <f>IF(Analysis!$I564="","",IF(Analysis!$I564="Drifting",Analysis!$C564,""))</f>
        <v/>
      </c>
      <c r="I564" s="29" t="str">
        <f>IF(Analysis!$I564="","",IF(Analysis!$I564="Embedded",Analysis!$F564,""))</f>
        <v/>
      </c>
      <c r="J564" s="29" t="str">
        <f>IF(Analysis!$I564="","",IF(Analysis!$I564="Loyal but shallow",Analysis!$F564,""))</f>
        <v/>
      </c>
      <c r="K564" s="29" t="str">
        <f>IF(Analysis!$I564="","",IF(Analysis!$I564="Project-driven",Analysis!$F564,""))</f>
        <v/>
      </c>
      <c r="L564" s="29" t="str">
        <f>IF(Analysis!$I564="","",IF(Analysis!$I564="Drifting",Analysis!$F564,""))</f>
        <v/>
      </c>
      <c r="M564" s="29" t="str">
        <f>IF(Analysis!$I564="","",IF(Analysis!$I564="Embedded",Analysis!$H564,""))</f>
        <v/>
      </c>
      <c r="N564" s="29" t="str">
        <f>IF(Analysis!$I564="","",IF(Analysis!$I564="Loyal but shallow",Analysis!$H564,""))</f>
        <v/>
      </c>
      <c r="O564" s="29" t="str">
        <f>IF(Analysis!$I564="","",IF(Analysis!$I564="Project-driven",Analysis!$H564,""))</f>
        <v/>
      </c>
      <c r="P564" s="29" t="str">
        <f>IF(Analysis!$I564="","",IF(Analysis!$I564="Drifting",Analysis!$H564,""))</f>
        <v/>
      </c>
    </row>
    <row r="565" spans="1:16" x14ac:dyDescent="0.25">
      <c r="A565" s="29" t="str">
        <f>IF(Analysis!$I565="","",IF(Analysis!$I565="Embedded",Analysis!$D565,""))</f>
        <v/>
      </c>
      <c r="B565" s="29" t="str">
        <f>IF(Analysis!$I565="","",IF(Analysis!$I565="Loyal but shallow",Analysis!$D565,""))</f>
        <v/>
      </c>
      <c r="C565" s="29" t="str">
        <f>IF(Analysis!$I565="","",IF(Analysis!$I565="Project-driven",Analysis!$D565,""))</f>
        <v/>
      </c>
      <c r="D565" s="29" t="str">
        <f>IF(Analysis!$I565="","",IF(Analysis!$I565="Drifting",Analysis!$D565,""))</f>
        <v/>
      </c>
      <c r="E565" s="29" t="str">
        <f>IF(Analysis!$I565="","",IF(Analysis!$I565="Embedded",Analysis!$C565,""))</f>
        <v/>
      </c>
      <c r="F565" s="29" t="str">
        <f>IF(Analysis!$I565="","",IF(Analysis!$I565="Loyal but shallow",Analysis!$C565,""))</f>
        <v/>
      </c>
      <c r="G565" s="29" t="str">
        <f>IF(Analysis!$I565="","",IF(Analysis!$I565="Project-driven",Analysis!$C565,""))</f>
        <v/>
      </c>
      <c r="H565" s="29" t="str">
        <f>IF(Analysis!$I565="","",IF(Analysis!$I565="Drifting",Analysis!$C565,""))</f>
        <v/>
      </c>
      <c r="I565" s="29" t="str">
        <f>IF(Analysis!$I565="","",IF(Analysis!$I565="Embedded",Analysis!$F565,""))</f>
        <v/>
      </c>
      <c r="J565" s="29" t="str">
        <f>IF(Analysis!$I565="","",IF(Analysis!$I565="Loyal but shallow",Analysis!$F565,""))</f>
        <v/>
      </c>
      <c r="K565" s="29" t="str">
        <f>IF(Analysis!$I565="","",IF(Analysis!$I565="Project-driven",Analysis!$F565,""))</f>
        <v/>
      </c>
      <c r="L565" s="29" t="str">
        <f>IF(Analysis!$I565="","",IF(Analysis!$I565="Drifting",Analysis!$F565,""))</f>
        <v/>
      </c>
      <c r="M565" s="29" t="str">
        <f>IF(Analysis!$I565="","",IF(Analysis!$I565="Embedded",Analysis!$H565,""))</f>
        <v/>
      </c>
      <c r="N565" s="29" t="str">
        <f>IF(Analysis!$I565="","",IF(Analysis!$I565="Loyal but shallow",Analysis!$H565,""))</f>
        <v/>
      </c>
      <c r="O565" s="29" t="str">
        <f>IF(Analysis!$I565="","",IF(Analysis!$I565="Project-driven",Analysis!$H565,""))</f>
        <v/>
      </c>
      <c r="P565" s="29" t="str">
        <f>IF(Analysis!$I565="","",IF(Analysis!$I565="Drifting",Analysis!$H565,""))</f>
        <v/>
      </c>
    </row>
    <row r="566" spans="1:16" x14ac:dyDescent="0.25">
      <c r="A566" s="29" t="str">
        <f>IF(Analysis!$I566="","",IF(Analysis!$I566="Embedded",Analysis!$D566,""))</f>
        <v/>
      </c>
      <c r="B566" s="29" t="str">
        <f>IF(Analysis!$I566="","",IF(Analysis!$I566="Loyal but shallow",Analysis!$D566,""))</f>
        <v/>
      </c>
      <c r="C566" s="29" t="str">
        <f>IF(Analysis!$I566="","",IF(Analysis!$I566="Project-driven",Analysis!$D566,""))</f>
        <v/>
      </c>
      <c r="D566" s="29" t="str">
        <f>IF(Analysis!$I566="","",IF(Analysis!$I566="Drifting",Analysis!$D566,""))</f>
        <v/>
      </c>
      <c r="E566" s="29" t="str">
        <f>IF(Analysis!$I566="","",IF(Analysis!$I566="Embedded",Analysis!$C566,""))</f>
        <v/>
      </c>
      <c r="F566" s="29" t="str">
        <f>IF(Analysis!$I566="","",IF(Analysis!$I566="Loyal but shallow",Analysis!$C566,""))</f>
        <v/>
      </c>
      <c r="G566" s="29" t="str">
        <f>IF(Analysis!$I566="","",IF(Analysis!$I566="Project-driven",Analysis!$C566,""))</f>
        <v/>
      </c>
      <c r="H566" s="29" t="str">
        <f>IF(Analysis!$I566="","",IF(Analysis!$I566="Drifting",Analysis!$C566,""))</f>
        <v/>
      </c>
      <c r="I566" s="29" t="str">
        <f>IF(Analysis!$I566="","",IF(Analysis!$I566="Embedded",Analysis!$F566,""))</f>
        <v/>
      </c>
      <c r="J566" s="29" t="str">
        <f>IF(Analysis!$I566="","",IF(Analysis!$I566="Loyal but shallow",Analysis!$F566,""))</f>
        <v/>
      </c>
      <c r="K566" s="29" t="str">
        <f>IF(Analysis!$I566="","",IF(Analysis!$I566="Project-driven",Analysis!$F566,""))</f>
        <v/>
      </c>
      <c r="L566" s="29" t="str">
        <f>IF(Analysis!$I566="","",IF(Analysis!$I566="Drifting",Analysis!$F566,""))</f>
        <v/>
      </c>
      <c r="M566" s="29" t="str">
        <f>IF(Analysis!$I566="","",IF(Analysis!$I566="Embedded",Analysis!$H566,""))</f>
        <v/>
      </c>
      <c r="N566" s="29" t="str">
        <f>IF(Analysis!$I566="","",IF(Analysis!$I566="Loyal but shallow",Analysis!$H566,""))</f>
        <v/>
      </c>
      <c r="O566" s="29" t="str">
        <f>IF(Analysis!$I566="","",IF(Analysis!$I566="Project-driven",Analysis!$H566,""))</f>
        <v/>
      </c>
      <c r="P566" s="29" t="str">
        <f>IF(Analysis!$I566="","",IF(Analysis!$I566="Drifting",Analysis!$H566,""))</f>
        <v/>
      </c>
    </row>
    <row r="567" spans="1:16" x14ac:dyDescent="0.25">
      <c r="A567" s="29" t="str">
        <f>IF(Analysis!$I567="","",IF(Analysis!$I567="Embedded",Analysis!$D567,""))</f>
        <v/>
      </c>
      <c r="B567" s="29" t="str">
        <f>IF(Analysis!$I567="","",IF(Analysis!$I567="Loyal but shallow",Analysis!$D567,""))</f>
        <v/>
      </c>
      <c r="C567" s="29" t="str">
        <f>IF(Analysis!$I567="","",IF(Analysis!$I567="Project-driven",Analysis!$D567,""))</f>
        <v/>
      </c>
      <c r="D567" s="29" t="str">
        <f>IF(Analysis!$I567="","",IF(Analysis!$I567="Drifting",Analysis!$D567,""))</f>
        <v/>
      </c>
      <c r="E567" s="29" t="str">
        <f>IF(Analysis!$I567="","",IF(Analysis!$I567="Embedded",Analysis!$C567,""))</f>
        <v/>
      </c>
      <c r="F567" s="29" t="str">
        <f>IF(Analysis!$I567="","",IF(Analysis!$I567="Loyal but shallow",Analysis!$C567,""))</f>
        <v/>
      </c>
      <c r="G567" s="29" t="str">
        <f>IF(Analysis!$I567="","",IF(Analysis!$I567="Project-driven",Analysis!$C567,""))</f>
        <v/>
      </c>
      <c r="H567" s="29" t="str">
        <f>IF(Analysis!$I567="","",IF(Analysis!$I567="Drifting",Analysis!$C567,""))</f>
        <v/>
      </c>
      <c r="I567" s="29" t="str">
        <f>IF(Analysis!$I567="","",IF(Analysis!$I567="Embedded",Analysis!$F567,""))</f>
        <v/>
      </c>
      <c r="J567" s="29" t="str">
        <f>IF(Analysis!$I567="","",IF(Analysis!$I567="Loyal but shallow",Analysis!$F567,""))</f>
        <v/>
      </c>
      <c r="K567" s="29" t="str">
        <f>IF(Analysis!$I567="","",IF(Analysis!$I567="Project-driven",Analysis!$F567,""))</f>
        <v/>
      </c>
      <c r="L567" s="29" t="str">
        <f>IF(Analysis!$I567="","",IF(Analysis!$I567="Drifting",Analysis!$F567,""))</f>
        <v/>
      </c>
      <c r="M567" s="29" t="str">
        <f>IF(Analysis!$I567="","",IF(Analysis!$I567="Embedded",Analysis!$H567,""))</f>
        <v/>
      </c>
      <c r="N567" s="29" t="str">
        <f>IF(Analysis!$I567="","",IF(Analysis!$I567="Loyal but shallow",Analysis!$H567,""))</f>
        <v/>
      </c>
      <c r="O567" s="29" t="str">
        <f>IF(Analysis!$I567="","",IF(Analysis!$I567="Project-driven",Analysis!$H567,""))</f>
        <v/>
      </c>
      <c r="P567" s="29" t="str">
        <f>IF(Analysis!$I567="","",IF(Analysis!$I567="Drifting",Analysis!$H567,""))</f>
        <v/>
      </c>
    </row>
    <row r="568" spans="1:16" x14ac:dyDescent="0.25">
      <c r="A568" s="29" t="str">
        <f>IF(Analysis!$I568="","",IF(Analysis!$I568="Embedded",Analysis!$D568,""))</f>
        <v/>
      </c>
      <c r="B568" s="29" t="str">
        <f>IF(Analysis!$I568="","",IF(Analysis!$I568="Loyal but shallow",Analysis!$D568,""))</f>
        <v/>
      </c>
      <c r="C568" s="29" t="str">
        <f>IF(Analysis!$I568="","",IF(Analysis!$I568="Project-driven",Analysis!$D568,""))</f>
        <v/>
      </c>
      <c r="D568" s="29" t="str">
        <f>IF(Analysis!$I568="","",IF(Analysis!$I568="Drifting",Analysis!$D568,""))</f>
        <v/>
      </c>
      <c r="E568" s="29" t="str">
        <f>IF(Analysis!$I568="","",IF(Analysis!$I568="Embedded",Analysis!$C568,""))</f>
        <v/>
      </c>
      <c r="F568" s="29" t="str">
        <f>IF(Analysis!$I568="","",IF(Analysis!$I568="Loyal but shallow",Analysis!$C568,""))</f>
        <v/>
      </c>
      <c r="G568" s="29" t="str">
        <f>IF(Analysis!$I568="","",IF(Analysis!$I568="Project-driven",Analysis!$C568,""))</f>
        <v/>
      </c>
      <c r="H568" s="29" t="str">
        <f>IF(Analysis!$I568="","",IF(Analysis!$I568="Drifting",Analysis!$C568,""))</f>
        <v/>
      </c>
      <c r="I568" s="29" t="str">
        <f>IF(Analysis!$I568="","",IF(Analysis!$I568="Embedded",Analysis!$F568,""))</f>
        <v/>
      </c>
      <c r="J568" s="29" t="str">
        <f>IF(Analysis!$I568="","",IF(Analysis!$I568="Loyal but shallow",Analysis!$F568,""))</f>
        <v/>
      </c>
      <c r="K568" s="29" t="str">
        <f>IF(Analysis!$I568="","",IF(Analysis!$I568="Project-driven",Analysis!$F568,""))</f>
        <v/>
      </c>
      <c r="L568" s="29" t="str">
        <f>IF(Analysis!$I568="","",IF(Analysis!$I568="Drifting",Analysis!$F568,""))</f>
        <v/>
      </c>
      <c r="M568" s="29" t="str">
        <f>IF(Analysis!$I568="","",IF(Analysis!$I568="Embedded",Analysis!$H568,""))</f>
        <v/>
      </c>
      <c r="N568" s="29" t="str">
        <f>IF(Analysis!$I568="","",IF(Analysis!$I568="Loyal but shallow",Analysis!$H568,""))</f>
        <v/>
      </c>
      <c r="O568" s="29" t="str">
        <f>IF(Analysis!$I568="","",IF(Analysis!$I568="Project-driven",Analysis!$H568,""))</f>
        <v/>
      </c>
      <c r="P568" s="29" t="str">
        <f>IF(Analysis!$I568="","",IF(Analysis!$I568="Drifting",Analysis!$H568,""))</f>
        <v/>
      </c>
    </row>
    <row r="569" spans="1:16" x14ac:dyDescent="0.25">
      <c r="A569" s="29" t="str">
        <f>IF(Analysis!$I569="","",IF(Analysis!$I569="Embedded",Analysis!$D569,""))</f>
        <v/>
      </c>
      <c r="B569" s="29" t="str">
        <f>IF(Analysis!$I569="","",IF(Analysis!$I569="Loyal but shallow",Analysis!$D569,""))</f>
        <v/>
      </c>
      <c r="C569" s="29" t="str">
        <f>IF(Analysis!$I569="","",IF(Analysis!$I569="Project-driven",Analysis!$D569,""))</f>
        <v/>
      </c>
      <c r="D569" s="29" t="str">
        <f>IF(Analysis!$I569="","",IF(Analysis!$I569="Drifting",Analysis!$D569,""))</f>
        <v/>
      </c>
      <c r="E569" s="29" t="str">
        <f>IF(Analysis!$I569="","",IF(Analysis!$I569="Embedded",Analysis!$C569,""))</f>
        <v/>
      </c>
      <c r="F569" s="29" t="str">
        <f>IF(Analysis!$I569="","",IF(Analysis!$I569="Loyal but shallow",Analysis!$C569,""))</f>
        <v/>
      </c>
      <c r="G569" s="29" t="str">
        <f>IF(Analysis!$I569="","",IF(Analysis!$I569="Project-driven",Analysis!$C569,""))</f>
        <v/>
      </c>
      <c r="H569" s="29" t="str">
        <f>IF(Analysis!$I569="","",IF(Analysis!$I569="Drifting",Analysis!$C569,""))</f>
        <v/>
      </c>
      <c r="I569" s="29" t="str">
        <f>IF(Analysis!$I569="","",IF(Analysis!$I569="Embedded",Analysis!$F569,""))</f>
        <v/>
      </c>
      <c r="J569" s="29" t="str">
        <f>IF(Analysis!$I569="","",IF(Analysis!$I569="Loyal but shallow",Analysis!$F569,""))</f>
        <v/>
      </c>
      <c r="K569" s="29" t="str">
        <f>IF(Analysis!$I569="","",IF(Analysis!$I569="Project-driven",Analysis!$F569,""))</f>
        <v/>
      </c>
      <c r="L569" s="29" t="str">
        <f>IF(Analysis!$I569="","",IF(Analysis!$I569="Drifting",Analysis!$F569,""))</f>
        <v/>
      </c>
      <c r="M569" s="29" t="str">
        <f>IF(Analysis!$I569="","",IF(Analysis!$I569="Embedded",Analysis!$H569,""))</f>
        <v/>
      </c>
      <c r="N569" s="29" t="str">
        <f>IF(Analysis!$I569="","",IF(Analysis!$I569="Loyal but shallow",Analysis!$H569,""))</f>
        <v/>
      </c>
      <c r="O569" s="29" t="str">
        <f>IF(Analysis!$I569="","",IF(Analysis!$I569="Project-driven",Analysis!$H569,""))</f>
        <v/>
      </c>
      <c r="P569" s="29" t="str">
        <f>IF(Analysis!$I569="","",IF(Analysis!$I569="Drifting",Analysis!$H569,""))</f>
        <v/>
      </c>
    </row>
    <row r="570" spans="1:16" x14ac:dyDescent="0.25">
      <c r="A570" s="29" t="str">
        <f>IF(Analysis!$I570="","",IF(Analysis!$I570="Embedded",Analysis!$D570,""))</f>
        <v/>
      </c>
      <c r="B570" s="29" t="str">
        <f>IF(Analysis!$I570="","",IF(Analysis!$I570="Loyal but shallow",Analysis!$D570,""))</f>
        <v/>
      </c>
      <c r="C570" s="29" t="str">
        <f>IF(Analysis!$I570="","",IF(Analysis!$I570="Project-driven",Analysis!$D570,""))</f>
        <v/>
      </c>
      <c r="D570" s="29" t="str">
        <f>IF(Analysis!$I570="","",IF(Analysis!$I570="Drifting",Analysis!$D570,""))</f>
        <v/>
      </c>
      <c r="E570" s="29" t="str">
        <f>IF(Analysis!$I570="","",IF(Analysis!$I570="Embedded",Analysis!$C570,""))</f>
        <v/>
      </c>
      <c r="F570" s="29" t="str">
        <f>IF(Analysis!$I570="","",IF(Analysis!$I570="Loyal but shallow",Analysis!$C570,""))</f>
        <v/>
      </c>
      <c r="G570" s="29" t="str">
        <f>IF(Analysis!$I570="","",IF(Analysis!$I570="Project-driven",Analysis!$C570,""))</f>
        <v/>
      </c>
      <c r="H570" s="29" t="str">
        <f>IF(Analysis!$I570="","",IF(Analysis!$I570="Drifting",Analysis!$C570,""))</f>
        <v/>
      </c>
      <c r="I570" s="29" t="str">
        <f>IF(Analysis!$I570="","",IF(Analysis!$I570="Embedded",Analysis!$F570,""))</f>
        <v/>
      </c>
      <c r="J570" s="29" t="str">
        <f>IF(Analysis!$I570="","",IF(Analysis!$I570="Loyal but shallow",Analysis!$F570,""))</f>
        <v/>
      </c>
      <c r="K570" s="29" t="str">
        <f>IF(Analysis!$I570="","",IF(Analysis!$I570="Project-driven",Analysis!$F570,""))</f>
        <v/>
      </c>
      <c r="L570" s="29" t="str">
        <f>IF(Analysis!$I570="","",IF(Analysis!$I570="Drifting",Analysis!$F570,""))</f>
        <v/>
      </c>
      <c r="M570" s="29" t="str">
        <f>IF(Analysis!$I570="","",IF(Analysis!$I570="Embedded",Analysis!$H570,""))</f>
        <v/>
      </c>
      <c r="N570" s="29" t="str">
        <f>IF(Analysis!$I570="","",IF(Analysis!$I570="Loyal but shallow",Analysis!$H570,""))</f>
        <v/>
      </c>
      <c r="O570" s="29" t="str">
        <f>IF(Analysis!$I570="","",IF(Analysis!$I570="Project-driven",Analysis!$H570,""))</f>
        <v/>
      </c>
      <c r="P570" s="29" t="str">
        <f>IF(Analysis!$I570="","",IF(Analysis!$I570="Drifting",Analysis!$H570,""))</f>
        <v/>
      </c>
    </row>
    <row r="571" spans="1:16" x14ac:dyDescent="0.25">
      <c r="A571" s="29" t="str">
        <f>IF(Analysis!$I571="","",IF(Analysis!$I571="Embedded",Analysis!$D571,""))</f>
        <v/>
      </c>
      <c r="B571" s="29" t="str">
        <f>IF(Analysis!$I571="","",IF(Analysis!$I571="Loyal but shallow",Analysis!$D571,""))</f>
        <v/>
      </c>
      <c r="C571" s="29" t="str">
        <f>IF(Analysis!$I571="","",IF(Analysis!$I571="Project-driven",Analysis!$D571,""))</f>
        <v/>
      </c>
      <c r="D571" s="29" t="str">
        <f>IF(Analysis!$I571="","",IF(Analysis!$I571="Drifting",Analysis!$D571,""))</f>
        <v/>
      </c>
      <c r="E571" s="29" t="str">
        <f>IF(Analysis!$I571="","",IF(Analysis!$I571="Embedded",Analysis!$C571,""))</f>
        <v/>
      </c>
      <c r="F571" s="29" t="str">
        <f>IF(Analysis!$I571="","",IF(Analysis!$I571="Loyal but shallow",Analysis!$C571,""))</f>
        <v/>
      </c>
      <c r="G571" s="29" t="str">
        <f>IF(Analysis!$I571="","",IF(Analysis!$I571="Project-driven",Analysis!$C571,""))</f>
        <v/>
      </c>
      <c r="H571" s="29" t="str">
        <f>IF(Analysis!$I571="","",IF(Analysis!$I571="Drifting",Analysis!$C571,""))</f>
        <v/>
      </c>
      <c r="I571" s="29" t="str">
        <f>IF(Analysis!$I571="","",IF(Analysis!$I571="Embedded",Analysis!$F571,""))</f>
        <v/>
      </c>
      <c r="J571" s="29" t="str">
        <f>IF(Analysis!$I571="","",IF(Analysis!$I571="Loyal but shallow",Analysis!$F571,""))</f>
        <v/>
      </c>
      <c r="K571" s="29" t="str">
        <f>IF(Analysis!$I571="","",IF(Analysis!$I571="Project-driven",Analysis!$F571,""))</f>
        <v/>
      </c>
      <c r="L571" s="29" t="str">
        <f>IF(Analysis!$I571="","",IF(Analysis!$I571="Drifting",Analysis!$F571,""))</f>
        <v/>
      </c>
      <c r="M571" s="29" t="str">
        <f>IF(Analysis!$I571="","",IF(Analysis!$I571="Embedded",Analysis!$H571,""))</f>
        <v/>
      </c>
      <c r="N571" s="29" t="str">
        <f>IF(Analysis!$I571="","",IF(Analysis!$I571="Loyal but shallow",Analysis!$H571,""))</f>
        <v/>
      </c>
      <c r="O571" s="29" t="str">
        <f>IF(Analysis!$I571="","",IF(Analysis!$I571="Project-driven",Analysis!$H571,""))</f>
        <v/>
      </c>
      <c r="P571" s="29" t="str">
        <f>IF(Analysis!$I571="","",IF(Analysis!$I571="Drifting",Analysis!$H571,""))</f>
        <v/>
      </c>
    </row>
    <row r="572" spans="1:16" x14ac:dyDescent="0.25">
      <c r="A572" s="29" t="str">
        <f>IF(Analysis!$I572="","",IF(Analysis!$I572="Embedded",Analysis!$D572,""))</f>
        <v/>
      </c>
      <c r="B572" s="29" t="str">
        <f>IF(Analysis!$I572="","",IF(Analysis!$I572="Loyal but shallow",Analysis!$D572,""))</f>
        <v/>
      </c>
      <c r="C572" s="29" t="str">
        <f>IF(Analysis!$I572="","",IF(Analysis!$I572="Project-driven",Analysis!$D572,""))</f>
        <v/>
      </c>
      <c r="D572" s="29" t="str">
        <f>IF(Analysis!$I572="","",IF(Analysis!$I572="Drifting",Analysis!$D572,""))</f>
        <v/>
      </c>
      <c r="E572" s="29" t="str">
        <f>IF(Analysis!$I572="","",IF(Analysis!$I572="Embedded",Analysis!$C572,""))</f>
        <v/>
      </c>
      <c r="F572" s="29" t="str">
        <f>IF(Analysis!$I572="","",IF(Analysis!$I572="Loyal but shallow",Analysis!$C572,""))</f>
        <v/>
      </c>
      <c r="G572" s="29" t="str">
        <f>IF(Analysis!$I572="","",IF(Analysis!$I572="Project-driven",Analysis!$C572,""))</f>
        <v/>
      </c>
      <c r="H572" s="29" t="str">
        <f>IF(Analysis!$I572="","",IF(Analysis!$I572="Drifting",Analysis!$C572,""))</f>
        <v/>
      </c>
      <c r="I572" s="29" t="str">
        <f>IF(Analysis!$I572="","",IF(Analysis!$I572="Embedded",Analysis!$F572,""))</f>
        <v/>
      </c>
      <c r="J572" s="29" t="str">
        <f>IF(Analysis!$I572="","",IF(Analysis!$I572="Loyal but shallow",Analysis!$F572,""))</f>
        <v/>
      </c>
      <c r="K572" s="29" t="str">
        <f>IF(Analysis!$I572="","",IF(Analysis!$I572="Project-driven",Analysis!$F572,""))</f>
        <v/>
      </c>
      <c r="L572" s="29" t="str">
        <f>IF(Analysis!$I572="","",IF(Analysis!$I572="Drifting",Analysis!$F572,""))</f>
        <v/>
      </c>
      <c r="M572" s="29" t="str">
        <f>IF(Analysis!$I572="","",IF(Analysis!$I572="Embedded",Analysis!$H572,""))</f>
        <v/>
      </c>
      <c r="N572" s="29" t="str">
        <f>IF(Analysis!$I572="","",IF(Analysis!$I572="Loyal but shallow",Analysis!$H572,""))</f>
        <v/>
      </c>
      <c r="O572" s="29" t="str">
        <f>IF(Analysis!$I572="","",IF(Analysis!$I572="Project-driven",Analysis!$H572,""))</f>
        <v/>
      </c>
      <c r="P572" s="29" t="str">
        <f>IF(Analysis!$I572="","",IF(Analysis!$I572="Drifting",Analysis!$H572,""))</f>
        <v/>
      </c>
    </row>
    <row r="573" spans="1:16" x14ac:dyDescent="0.25">
      <c r="A573" s="29" t="str">
        <f>IF(Analysis!$I573="","",IF(Analysis!$I573="Embedded",Analysis!$D573,""))</f>
        <v/>
      </c>
      <c r="B573" s="29" t="str">
        <f>IF(Analysis!$I573="","",IF(Analysis!$I573="Loyal but shallow",Analysis!$D573,""))</f>
        <v/>
      </c>
      <c r="C573" s="29" t="str">
        <f>IF(Analysis!$I573="","",IF(Analysis!$I573="Project-driven",Analysis!$D573,""))</f>
        <v/>
      </c>
      <c r="D573" s="29" t="str">
        <f>IF(Analysis!$I573="","",IF(Analysis!$I573="Drifting",Analysis!$D573,""))</f>
        <v/>
      </c>
      <c r="E573" s="29" t="str">
        <f>IF(Analysis!$I573="","",IF(Analysis!$I573="Embedded",Analysis!$C573,""))</f>
        <v/>
      </c>
      <c r="F573" s="29" t="str">
        <f>IF(Analysis!$I573="","",IF(Analysis!$I573="Loyal but shallow",Analysis!$C573,""))</f>
        <v/>
      </c>
      <c r="G573" s="29" t="str">
        <f>IF(Analysis!$I573="","",IF(Analysis!$I573="Project-driven",Analysis!$C573,""))</f>
        <v/>
      </c>
      <c r="H573" s="29" t="str">
        <f>IF(Analysis!$I573="","",IF(Analysis!$I573="Drifting",Analysis!$C573,""))</f>
        <v/>
      </c>
      <c r="I573" s="29" t="str">
        <f>IF(Analysis!$I573="","",IF(Analysis!$I573="Embedded",Analysis!$F573,""))</f>
        <v/>
      </c>
      <c r="J573" s="29" t="str">
        <f>IF(Analysis!$I573="","",IF(Analysis!$I573="Loyal but shallow",Analysis!$F573,""))</f>
        <v/>
      </c>
      <c r="K573" s="29" t="str">
        <f>IF(Analysis!$I573="","",IF(Analysis!$I573="Project-driven",Analysis!$F573,""))</f>
        <v/>
      </c>
      <c r="L573" s="29" t="str">
        <f>IF(Analysis!$I573="","",IF(Analysis!$I573="Drifting",Analysis!$F573,""))</f>
        <v/>
      </c>
      <c r="M573" s="29" t="str">
        <f>IF(Analysis!$I573="","",IF(Analysis!$I573="Embedded",Analysis!$H573,""))</f>
        <v/>
      </c>
      <c r="N573" s="29" t="str">
        <f>IF(Analysis!$I573="","",IF(Analysis!$I573="Loyal but shallow",Analysis!$H573,""))</f>
        <v/>
      </c>
      <c r="O573" s="29" t="str">
        <f>IF(Analysis!$I573="","",IF(Analysis!$I573="Project-driven",Analysis!$H573,""))</f>
        <v/>
      </c>
      <c r="P573" s="29" t="str">
        <f>IF(Analysis!$I573="","",IF(Analysis!$I573="Drifting",Analysis!$H573,""))</f>
        <v/>
      </c>
    </row>
    <row r="574" spans="1:16" x14ac:dyDescent="0.25">
      <c r="A574" s="29" t="str">
        <f>IF(Analysis!$I574="","",IF(Analysis!$I574="Embedded",Analysis!$D574,""))</f>
        <v/>
      </c>
      <c r="B574" s="29" t="str">
        <f>IF(Analysis!$I574="","",IF(Analysis!$I574="Loyal but shallow",Analysis!$D574,""))</f>
        <v/>
      </c>
      <c r="C574" s="29" t="str">
        <f>IF(Analysis!$I574="","",IF(Analysis!$I574="Project-driven",Analysis!$D574,""))</f>
        <v/>
      </c>
      <c r="D574" s="29" t="str">
        <f>IF(Analysis!$I574="","",IF(Analysis!$I574="Drifting",Analysis!$D574,""))</f>
        <v/>
      </c>
      <c r="E574" s="29" t="str">
        <f>IF(Analysis!$I574="","",IF(Analysis!$I574="Embedded",Analysis!$C574,""))</f>
        <v/>
      </c>
      <c r="F574" s="29" t="str">
        <f>IF(Analysis!$I574="","",IF(Analysis!$I574="Loyal but shallow",Analysis!$C574,""))</f>
        <v/>
      </c>
      <c r="G574" s="29" t="str">
        <f>IF(Analysis!$I574="","",IF(Analysis!$I574="Project-driven",Analysis!$C574,""))</f>
        <v/>
      </c>
      <c r="H574" s="29" t="str">
        <f>IF(Analysis!$I574="","",IF(Analysis!$I574="Drifting",Analysis!$C574,""))</f>
        <v/>
      </c>
      <c r="I574" s="29" t="str">
        <f>IF(Analysis!$I574="","",IF(Analysis!$I574="Embedded",Analysis!$F574,""))</f>
        <v/>
      </c>
      <c r="J574" s="29" t="str">
        <f>IF(Analysis!$I574="","",IF(Analysis!$I574="Loyal but shallow",Analysis!$F574,""))</f>
        <v/>
      </c>
      <c r="K574" s="29" t="str">
        <f>IF(Analysis!$I574="","",IF(Analysis!$I574="Project-driven",Analysis!$F574,""))</f>
        <v/>
      </c>
      <c r="L574" s="29" t="str">
        <f>IF(Analysis!$I574="","",IF(Analysis!$I574="Drifting",Analysis!$F574,""))</f>
        <v/>
      </c>
      <c r="M574" s="29" t="str">
        <f>IF(Analysis!$I574="","",IF(Analysis!$I574="Embedded",Analysis!$H574,""))</f>
        <v/>
      </c>
      <c r="N574" s="29" t="str">
        <f>IF(Analysis!$I574="","",IF(Analysis!$I574="Loyal but shallow",Analysis!$H574,""))</f>
        <v/>
      </c>
      <c r="O574" s="29" t="str">
        <f>IF(Analysis!$I574="","",IF(Analysis!$I574="Project-driven",Analysis!$H574,""))</f>
        <v/>
      </c>
      <c r="P574" s="29" t="str">
        <f>IF(Analysis!$I574="","",IF(Analysis!$I574="Drifting",Analysis!$H574,""))</f>
        <v/>
      </c>
    </row>
    <row r="575" spans="1:16" x14ac:dyDescent="0.25">
      <c r="A575" s="29" t="str">
        <f>IF(Analysis!$I575="","",IF(Analysis!$I575="Embedded",Analysis!$D575,""))</f>
        <v/>
      </c>
      <c r="B575" s="29" t="str">
        <f>IF(Analysis!$I575="","",IF(Analysis!$I575="Loyal but shallow",Analysis!$D575,""))</f>
        <v/>
      </c>
      <c r="C575" s="29" t="str">
        <f>IF(Analysis!$I575="","",IF(Analysis!$I575="Project-driven",Analysis!$D575,""))</f>
        <v/>
      </c>
      <c r="D575" s="29" t="str">
        <f>IF(Analysis!$I575="","",IF(Analysis!$I575="Drifting",Analysis!$D575,""))</f>
        <v/>
      </c>
      <c r="E575" s="29" t="str">
        <f>IF(Analysis!$I575="","",IF(Analysis!$I575="Embedded",Analysis!$C575,""))</f>
        <v/>
      </c>
      <c r="F575" s="29" t="str">
        <f>IF(Analysis!$I575="","",IF(Analysis!$I575="Loyal but shallow",Analysis!$C575,""))</f>
        <v/>
      </c>
      <c r="G575" s="29" t="str">
        <f>IF(Analysis!$I575="","",IF(Analysis!$I575="Project-driven",Analysis!$C575,""))</f>
        <v/>
      </c>
      <c r="H575" s="29" t="str">
        <f>IF(Analysis!$I575="","",IF(Analysis!$I575="Drifting",Analysis!$C575,""))</f>
        <v/>
      </c>
      <c r="I575" s="29" t="str">
        <f>IF(Analysis!$I575="","",IF(Analysis!$I575="Embedded",Analysis!$F575,""))</f>
        <v/>
      </c>
      <c r="J575" s="29" t="str">
        <f>IF(Analysis!$I575="","",IF(Analysis!$I575="Loyal but shallow",Analysis!$F575,""))</f>
        <v/>
      </c>
      <c r="K575" s="29" t="str">
        <f>IF(Analysis!$I575="","",IF(Analysis!$I575="Project-driven",Analysis!$F575,""))</f>
        <v/>
      </c>
      <c r="L575" s="29" t="str">
        <f>IF(Analysis!$I575="","",IF(Analysis!$I575="Drifting",Analysis!$F575,""))</f>
        <v/>
      </c>
      <c r="M575" s="29" t="str">
        <f>IF(Analysis!$I575="","",IF(Analysis!$I575="Embedded",Analysis!$H575,""))</f>
        <v/>
      </c>
      <c r="N575" s="29" t="str">
        <f>IF(Analysis!$I575="","",IF(Analysis!$I575="Loyal but shallow",Analysis!$H575,""))</f>
        <v/>
      </c>
      <c r="O575" s="29" t="str">
        <f>IF(Analysis!$I575="","",IF(Analysis!$I575="Project-driven",Analysis!$H575,""))</f>
        <v/>
      </c>
      <c r="P575" s="29" t="str">
        <f>IF(Analysis!$I575="","",IF(Analysis!$I575="Drifting",Analysis!$H575,""))</f>
        <v/>
      </c>
    </row>
    <row r="576" spans="1:16" x14ac:dyDescent="0.25">
      <c r="A576" s="29" t="str">
        <f>IF(Analysis!$I576="","",IF(Analysis!$I576="Embedded",Analysis!$D576,""))</f>
        <v/>
      </c>
      <c r="B576" s="29" t="str">
        <f>IF(Analysis!$I576="","",IF(Analysis!$I576="Loyal but shallow",Analysis!$D576,""))</f>
        <v/>
      </c>
      <c r="C576" s="29" t="str">
        <f>IF(Analysis!$I576="","",IF(Analysis!$I576="Project-driven",Analysis!$D576,""))</f>
        <v/>
      </c>
      <c r="D576" s="29" t="str">
        <f>IF(Analysis!$I576="","",IF(Analysis!$I576="Drifting",Analysis!$D576,""))</f>
        <v/>
      </c>
      <c r="E576" s="29" t="str">
        <f>IF(Analysis!$I576="","",IF(Analysis!$I576="Embedded",Analysis!$C576,""))</f>
        <v/>
      </c>
      <c r="F576" s="29" t="str">
        <f>IF(Analysis!$I576="","",IF(Analysis!$I576="Loyal but shallow",Analysis!$C576,""))</f>
        <v/>
      </c>
      <c r="G576" s="29" t="str">
        <f>IF(Analysis!$I576="","",IF(Analysis!$I576="Project-driven",Analysis!$C576,""))</f>
        <v/>
      </c>
      <c r="H576" s="29" t="str">
        <f>IF(Analysis!$I576="","",IF(Analysis!$I576="Drifting",Analysis!$C576,""))</f>
        <v/>
      </c>
      <c r="I576" s="29" t="str">
        <f>IF(Analysis!$I576="","",IF(Analysis!$I576="Embedded",Analysis!$F576,""))</f>
        <v/>
      </c>
      <c r="J576" s="29" t="str">
        <f>IF(Analysis!$I576="","",IF(Analysis!$I576="Loyal but shallow",Analysis!$F576,""))</f>
        <v/>
      </c>
      <c r="K576" s="29" t="str">
        <f>IF(Analysis!$I576="","",IF(Analysis!$I576="Project-driven",Analysis!$F576,""))</f>
        <v/>
      </c>
      <c r="L576" s="29" t="str">
        <f>IF(Analysis!$I576="","",IF(Analysis!$I576="Drifting",Analysis!$F576,""))</f>
        <v/>
      </c>
      <c r="M576" s="29" t="str">
        <f>IF(Analysis!$I576="","",IF(Analysis!$I576="Embedded",Analysis!$H576,""))</f>
        <v/>
      </c>
      <c r="N576" s="29" t="str">
        <f>IF(Analysis!$I576="","",IF(Analysis!$I576="Loyal but shallow",Analysis!$H576,""))</f>
        <v/>
      </c>
      <c r="O576" s="29" t="str">
        <f>IF(Analysis!$I576="","",IF(Analysis!$I576="Project-driven",Analysis!$H576,""))</f>
        <v/>
      </c>
      <c r="P576" s="29" t="str">
        <f>IF(Analysis!$I576="","",IF(Analysis!$I576="Drifting",Analysis!$H576,""))</f>
        <v/>
      </c>
    </row>
    <row r="577" spans="1:16" x14ac:dyDescent="0.25">
      <c r="A577" s="29" t="str">
        <f>IF(Analysis!$I577="","",IF(Analysis!$I577="Embedded",Analysis!$D577,""))</f>
        <v/>
      </c>
      <c r="B577" s="29" t="str">
        <f>IF(Analysis!$I577="","",IF(Analysis!$I577="Loyal but shallow",Analysis!$D577,""))</f>
        <v/>
      </c>
      <c r="C577" s="29" t="str">
        <f>IF(Analysis!$I577="","",IF(Analysis!$I577="Project-driven",Analysis!$D577,""))</f>
        <v/>
      </c>
      <c r="D577" s="29" t="str">
        <f>IF(Analysis!$I577="","",IF(Analysis!$I577="Drifting",Analysis!$D577,""))</f>
        <v/>
      </c>
      <c r="E577" s="29" t="str">
        <f>IF(Analysis!$I577="","",IF(Analysis!$I577="Embedded",Analysis!$C577,""))</f>
        <v/>
      </c>
      <c r="F577" s="29" t="str">
        <f>IF(Analysis!$I577="","",IF(Analysis!$I577="Loyal but shallow",Analysis!$C577,""))</f>
        <v/>
      </c>
      <c r="G577" s="29" t="str">
        <f>IF(Analysis!$I577="","",IF(Analysis!$I577="Project-driven",Analysis!$C577,""))</f>
        <v/>
      </c>
      <c r="H577" s="29" t="str">
        <f>IF(Analysis!$I577="","",IF(Analysis!$I577="Drifting",Analysis!$C577,""))</f>
        <v/>
      </c>
      <c r="I577" s="29" t="str">
        <f>IF(Analysis!$I577="","",IF(Analysis!$I577="Embedded",Analysis!$F577,""))</f>
        <v/>
      </c>
      <c r="J577" s="29" t="str">
        <f>IF(Analysis!$I577="","",IF(Analysis!$I577="Loyal but shallow",Analysis!$F577,""))</f>
        <v/>
      </c>
      <c r="K577" s="29" t="str">
        <f>IF(Analysis!$I577="","",IF(Analysis!$I577="Project-driven",Analysis!$F577,""))</f>
        <v/>
      </c>
      <c r="L577" s="29" t="str">
        <f>IF(Analysis!$I577="","",IF(Analysis!$I577="Drifting",Analysis!$F577,""))</f>
        <v/>
      </c>
      <c r="M577" s="29" t="str">
        <f>IF(Analysis!$I577="","",IF(Analysis!$I577="Embedded",Analysis!$H577,""))</f>
        <v/>
      </c>
      <c r="N577" s="29" t="str">
        <f>IF(Analysis!$I577="","",IF(Analysis!$I577="Loyal but shallow",Analysis!$H577,""))</f>
        <v/>
      </c>
      <c r="O577" s="29" t="str">
        <f>IF(Analysis!$I577="","",IF(Analysis!$I577="Project-driven",Analysis!$H577,""))</f>
        <v/>
      </c>
      <c r="P577" s="29" t="str">
        <f>IF(Analysis!$I577="","",IF(Analysis!$I577="Drifting",Analysis!$H577,""))</f>
        <v/>
      </c>
    </row>
    <row r="578" spans="1:16" x14ac:dyDescent="0.25">
      <c r="A578" s="29" t="str">
        <f>IF(Analysis!$I578="","",IF(Analysis!$I578="Embedded",Analysis!$D578,""))</f>
        <v/>
      </c>
      <c r="B578" s="29" t="str">
        <f>IF(Analysis!$I578="","",IF(Analysis!$I578="Loyal but shallow",Analysis!$D578,""))</f>
        <v/>
      </c>
      <c r="C578" s="29" t="str">
        <f>IF(Analysis!$I578="","",IF(Analysis!$I578="Project-driven",Analysis!$D578,""))</f>
        <v/>
      </c>
      <c r="D578" s="29" t="str">
        <f>IF(Analysis!$I578="","",IF(Analysis!$I578="Drifting",Analysis!$D578,""))</f>
        <v/>
      </c>
      <c r="E578" s="29" t="str">
        <f>IF(Analysis!$I578="","",IF(Analysis!$I578="Embedded",Analysis!$C578,""))</f>
        <v/>
      </c>
      <c r="F578" s="29" t="str">
        <f>IF(Analysis!$I578="","",IF(Analysis!$I578="Loyal but shallow",Analysis!$C578,""))</f>
        <v/>
      </c>
      <c r="G578" s="29" t="str">
        <f>IF(Analysis!$I578="","",IF(Analysis!$I578="Project-driven",Analysis!$C578,""))</f>
        <v/>
      </c>
      <c r="H578" s="29" t="str">
        <f>IF(Analysis!$I578="","",IF(Analysis!$I578="Drifting",Analysis!$C578,""))</f>
        <v/>
      </c>
      <c r="I578" s="29" t="str">
        <f>IF(Analysis!$I578="","",IF(Analysis!$I578="Embedded",Analysis!$F578,""))</f>
        <v/>
      </c>
      <c r="J578" s="29" t="str">
        <f>IF(Analysis!$I578="","",IF(Analysis!$I578="Loyal but shallow",Analysis!$F578,""))</f>
        <v/>
      </c>
      <c r="K578" s="29" t="str">
        <f>IF(Analysis!$I578="","",IF(Analysis!$I578="Project-driven",Analysis!$F578,""))</f>
        <v/>
      </c>
      <c r="L578" s="29" t="str">
        <f>IF(Analysis!$I578="","",IF(Analysis!$I578="Drifting",Analysis!$F578,""))</f>
        <v/>
      </c>
      <c r="M578" s="29" t="str">
        <f>IF(Analysis!$I578="","",IF(Analysis!$I578="Embedded",Analysis!$H578,""))</f>
        <v/>
      </c>
      <c r="N578" s="29" t="str">
        <f>IF(Analysis!$I578="","",IF(Analysis!$I578="Loyal but shallow",Analysis!$H578,""))</f>
        <v/>
      </c>
      <c r="O578" s="29" t="str">
        <f>IF(Analysis!$I578="","",IF(Analysis!$I578="Project-driven",Analysis!$H578,""))</f>
        <v/>
      </c>
      <c r="P578" s="29" t="str">
        <f>IF(Analysis!$I578="","",IF(Analysis!$I578="Drifting",Analysis!$H578,""))</f>
        <v/>
      </c>
    </row>
    <row r="579" spans="1:16" x14ac:dyDescent="0.25">
      <c r="A579" s="29" t="str">
        <f>IF(Analysis!$I579="","",IF(Analysis!$I579="Embedded",Analysis!$D579,""))</f>
        <v/>
      </c>
      <c r="B579" s="29" t="str">
        <f>IF(Analysis!$I579="","",IF(Analysis!$I579="Loyal but shallow",Analysis!$D579,""))</f>
        <v/>
      </c>
      <c r="C579" s="29" t="str">
        <f>IF(Analysis!$I579="","",IF(Analysis!$I579="Project-driven",Analysis!$D579,""))</f>
        <v/>
      </c>
      <c r="D579" s="29" t="str">
        <f>IF(Analysis!$I579="","",IF(Analysis!$I579="Drifting",Analysis!$D579,""))</f>
        <v/>
      </c>
      <c r="E579" s="29" t="str">
        <f>IF(Analysis!$I579="","",IF(Analysis!$I579="Embedded",Analysis!$C579,""))</f>
        <v/>
      </c>
      <c r="F579" s="29" t="str">
        <f>IF(Analysis!$I579="","",IF(Analysis!$I579="Loyal but shallow",Analysis!$C579,""))</f>
        <v/>
      </c>
      <c r="G579" s="29" t="str">
        <f>IF(Analysis!$I579="","",IF(Analysis!$I579="Project-driven",Analysis!$C579,""))</f>
        <v/>
      </c>
      <c r="H579" s="29" t="str">
        <f>IF(Analysis!$I579="","",IF(Analysis!$I579="Drifting",Analysis!$C579,""))</f>
        <v/>
      </c>
      <c r="I579" s="29" t="str">
        <f>IF(Analysis!$I579="","",IF(Analysis!$I579="Embedded",Analysis!$F579,""))</f>
        <v/>
      </c>
      <c r="J579" s="29" t="str">
        <f>IF(Analysis!$I579="","",IF(Analysis!$I579="Loyal but shallow",Analysis!$F579,""))</f>
        <v/>
      </c>
      <c r="K579" s="29" t="str">
        <f>IF(Analysis!$I579="","",IF(Analysis!$I579="Project-driven",Analysis!$F579,""))</f>
        <v/>
      </c>
      <c r="L579" s="29" t="str">
        <f>IF(Analysis!$I579="","",IF(Analysis!$I579="Drifting",Analysis!$F579,""))</f>
        <v/>
      </c>
      <c r="M579" s="29" t="str">
        <f>IF(Analysis!$I579="","",IF(Analysis!$I579="Embedded",Analysis!$H579,""))</f>
        <v/>
      </c>
      <c r="N579" s="29" t="str">
        <f>IF(Analysis!$I579="","",IF(Analysis!$I579="Loyal but shallow",Analysis!$H579,""))</f>
        <v/>
      </c>
      <c r="O579" s="29" t="str">
        <f>IF(Analysis!$I579="","",IF(Analysis!$I579="Project-driven",Analysis!$H579,""))</f>
        <v/>
      </c>
      <c r="P579" s="29" t="str">
        <f>IF(Analysis!$I579="","",IF(Analysis!$I579="Drifting",Analysis!$H579,""))</f>
        <v/>
      </c>
    </row>
    <row r="580" spans="1:16" x14ac:dyDescent="0.25">
      <c r="A580" s="29" t="str">
        <f>IF(Analysis!$I580="","",IF(Analysis!$I580="Embedded",Analysis!$D580,""))</f>
        <v/>
      </c>
      <c r="B580" s="29" t="str">
        <f>IF(Analysis!$I580="","",IF(Analysis!$I580="Loyal but shallow",Analysis!$D580,""))</f>
        <v/>
      </c>
      <c r="C580" s="29" t="str">
        <f>IF(Analysis!$I580="","",IF(Analysis!$I580="Project-driven",Analysis!$D580,""))</f>
        <v/>
      </c>
      <c r="D580" s="29" t="str">
        <f>IF(Analysis!$I580="","",IF(Analysis!$I580="Drifting",Analysis!$D580,""))</f>
        <v/>
      </c>
      <c r="E580" s="29" t="str">
        <f>IF(Analysis!$I580="","",IF(Analysis!$I580="Embedded",Analysis!$C580,""))</f>
        <v/>
      </c>
      <c r="F580" s="29" t="str">
        <f>IF(Analysis!$I580="","",IF(Analysis!$I580="Loyal but shallow",Analysis!$C580,""))</f>
        <v/>
      </c>
      <c r="G580" s="29" t="str">
        <f>IF(Analysis!$I580="","",IF(Analysis!$I580="Project-driven",Analysis!$C580,""))</f>
        <v/>
      </c>
      <c r="H580" s="29" t="str">
        <f>IF(Analysis!$I580="","",IF(Analysis!$I580="Drifting",Analysis!$C580,""))</f>
        <v/>
      </c>
      <c r="I580" s="29" t="str">
        <f>IF(Analysis!$I580="","",IF(Analysis!$I580="Embedded",Analysis!$F580,""))</f>
        <v/>
      </c>
      <c r="J580" s="29" t="str">
        <f>IF(Analysis!$I580="","",IF(Analysis!$I580="Loyal but shallow",Analysis!$F580,""))</f>
        <v/>
      </c>
      <c r="K580" s="29" t="str">
        <f>IF(Analysis!$I580="","",IF(Analysis!$I580="Project-driven",Analysis!$F580,""))</f>
        <v/>
      </c>
      <c r="L580" s="29" t="str">
        <f>IF(Analysis!$I580="","",IF(Analysis!$I580="Drifting",Analysis!$F580,""))</f>
        <v/>
      </c>
      <c r="M580" s="29" t="str">
        <f>IF(Analysis!$I580="","",IF(Analysis!$I580="Embedded",Analysis!$H580,""))</f>
        <v/>
      </c>
      <c r="N580" s="29" t="str">
        <f>IF(Analysis!$I580="","",IF(Analysis!$I580="Loyal but shallow",Analysis!$H580,""))</f>
        <v/>
      </c>
      <c r="O580" s="29" t="str">
        <f>IF(Analysis!$I580="","",IF(Analysis!$I580="Project-driven",Analysis!$H580,""))</f>
        <v/>
      </c>
      <c r="P580" s="29" t="str">
        <f>IF(Analysis!$I580="","",IF(Analysis!$I580="Drifting",Analysis!$H580,""))</f>
        <v/>
      </c>
    </row>
    <row r="581" spans="1:16" x14ac:dyDescent="0.25">
      <c r="A581" s="29" t="str">
        <f>IF(Analysis!$I581="","",IF(Analysis!$I581="Embedded",Analysis!$D581,""))</f>
        <v/>
      </c>
      <c r="B581" s="29" t="str">
        <f>IF(Analysis!$I581="","",IF(Analysis!$I581="Loyal but shallow",Analysis!$D581,""))</f>
        <v/>
      </c>
      <c r="C581" s="29" t="str">
        <f>IF(Analysis!$I581="","",IF(Analysis!$I581="Project-driven",Analysis!$D581,""))</f>
        <v/>
      </c>
      <c r="D581" s="29" t="str">
        <f>IF(Analysis!$I581="","",IF(Analysis!$I581="Drifting",Analysis!$D581,""))</f>
        <v/>
      </c>
      <c r="E581" s="29" t="str">
        <f>IF(Analysis!$I581="","",IF(Analysis!$I581="Embedded",Analysis!$C581,""))</f>
        <v/>
      </c>
      <c r="F581" s="29" t="str">
        <f>IF(Analysis!$I581="","",IF(Analysis!$I581="Loyal but shallow",Analysis!$C581,""))</f>
        <v/>
      </c>
      <c r="G581" s="29" t="str">
        <f>IF(Analysis!$I581="","",IF(Analysis!$I581="Project-driven",Analysis!$C581,""))</f>
        <v/>
      </c>
      <c r="H581" s="29" t="str">
        <f>IF(Analysis!$I581="","",IF(Analysis!$I581="Drifting",Analysis!$C581,""))</f>
        <v/>
      </c>
      <c r="I581" s="29" t="str">
        <f>IF(Analysis!$I581="","",IF(Analysis!$I581="Embedded",Analysis!$F581,""))</f>
        <v/>
      </c>
      <c r="J581" s="29" t="str">
        <f>IF(Analysis!$I581="","",IF(Analysis!$I581="Loyal but shallow",Analysis!$F581,""))</f>
        <v/>
      </c>
      <c r="K581" s="29" t="str">
        <f>IF(Analysis!$I581="","",IF(Analysis!$I581="Project-driven",Analysis!$F581,""))</f>
        <v/>
      </c>
      <c r="L581" s="29" t="str">
        <f>IF(Analysis!$I581="","",IF(Analysis!$I581="Drifting",Analysis!$F581,""))</f>
        <v/>
      </c>
      <c r="M581" s="29" t="str">
        <f>IF(Analysis!$I581="","",IF(Analysis!$I581="Embedded",Analysis!$H581,""))</f>
        <v/>
      </c>
      <c r="N581" s="29" t="str">
        <f>IF(Analysis!$I581="","",IF(Analysis!$I581="Loyal but shallow",Analysis!$H581,""))</f>
        <v/>
      </c>
      <c r="O581" s="29" t="str">
        <f>IF(Analysis!$I581="","",IF(Analysis!$I581="Project-driven",Analysis!$H581,""))</f>
        <v/>
      </c>
      <c r="P581" s="29" t="str">
        <f>IF(Analysis!$I581="","",IF(Analysis!$I581="Drifting",Analysis!$H581,""))</f>
        <v/>
      </c>
    </row>
    <row r="582" spans="1:16" x14ac:dyDescent="0.25">
      <c r="A582" s="29" t="str">
        <f>IF(Analysis!$I582="","",IF(Analysis!$I582="Embedded",Analysis!$D582,""))</f>
        <v/>
      </c>
      <c r="B582" s="29" t="str">
        <f>IF(Analysis!$I582="","",IF(Analysis!$I582="Loyal but shallow",Analysis!$D582,""))</f>
        <v/>
      </c>
      <c r="C582" s="29" t="str">
        <f>IF(Analysis!$I582="","",IF(Analysis!$I582="Project-driven",Analysis!$D582,""))</f>
        <v/>
      </c>
      <c r="D582" s="29" t="str">
        <f>IF(Analysis!$I582="","",IF(Analysis!$I582="Drifting",Analysis!$D582,""))</f>
        <v/>
      </c>
      <c r="E582" s="29" t="str">
        <f>IF(Analysis!$I582="","",IF(Analysis!$I582="Embedded",Analysis!$C582,""))</f>
        <v/>
      </c>
      <c r="F582" s="29" t="str">
        <f>IF(Analysis!$I582="","",IF(Analysis!$I582="Loyal but shallow",Analysis!$C582,""))</f>
        <v/>
      </c>
      <c r="G582" s="29" t="str">
        <f>IF(Analysis!$I582="","",IF(Analysis!$I582="Project-driven",Analysis!$C582,""))</f>
        <v/>
      </c>
      <c r="H582" s="29" t="str">
        <f>IF(Analysis!$I582="","",IF(Analysis!$I582="Drifting",Analysis!$C582,""))</f>
        <v/>
      </c>
      <c r="I582" s="29" t="str">
        <f>IF(Analysis!$I582="","",IF(Analysis!$I582="Embedded",Analysis!$F582,""))</f>
        <v/>
      </c>
      <c r="J582" s="29" t="str">
        <f>IF(Analysis!$I582="","",IF(Analysis!$I582="Loyal but shallow",Analysis!$F582,""))</f>
        <v/>
      </c>
      <c r="K582" s="29" t="str">
        <f>IF(Analysis!$I582="","",IF(Analysis!$I582="Project-driven",Analysis!$F582,""))</f>
        <v/>
      </c>
      <c r="L582" s="29" t="str">
        <f>IF(Analysis!$I582="","",IF(Analysis!$I582="Drifting",Analysis!$F582,""))</f>
        <v/>
      </c>
      <c r="M582" s="29" t="str">
        <f>IF(Analysis!$I582="","",IF(Analysis!$I582="Embedded",Analysis!$H582,""))</f>
        <v/>
      </c>
      <c r="N582" s="29" t="str">
        <f>IF(Analysis!$I582="","",IF(Analysis!$I582="Loyal but shallow",Analysis!$H582,""))</f>
        <v/>
      </c>
      <c r="O582" s="29" t="str">
        <f>IF(Analysis!$I582="","",IF(Analysis!$I582="Project-driven",Analysis!$H582,""))</f>
        <v/>
      </c>
      <c r="P582" s="29" t="str">
        <f>IF(Analysis!$I582="","",IF(Analysis!$I582="Drifting",Analysis!$H582,""))</f>
        <v/>
      </c>
    </row>
    <row r="583" spans="1:16" x14ac:dyDescent="0.25">
      <c r="A583" s="29" t="str">
        <f>IF(Analysis!$I583="","",IF(Analysis!$I583="Embedded",Analysis!$D583,""))</f>
        <v/>
      </c>
      <c r="B583" s="29" t="str">
        <f>IF(Analysis!$I583="","",IF(Analysis!$I583="Loyal but shallow",Analysis!$D583,""))</f>
        <v/>
      </c>
      <c r="C583" s="29" t="str">
        <f>IF(Analysis!$I583="","",IF(Analysis!$I583="Project-driven",Analysis!$D583,""))</f>
        <v/>
      </c>
      <c r="D583" s="29" t="str">
        <f>IF(Analysis!$I583="","",IF(Analysis!$I583="Drifting",Analysis!$D583,""))</f>
        <v/>
      </c>
      <c r="E583" s="29" t="str">
        <f>IF(Analysis!$I583="","",IF(Analysis!$I583="Embedded",Analysis!$C583,""))</f>
        <v/>
      </c>
      <c r="F583" s="29" t="str">
        <f>IF(Analysis!$I583="","",IF(Analysis!$I583="Loyal but shallow",Analysis!$C583,""))</f>
        <v/>
      </c>
      <c r="G583" s="29" t="str">
        <f>IF(Analysis!$I583="","",IF(Analysis!$I583="Project-driven",Analysis!$C583,""))</f>
        <v/>
      </c>
      <c r="H583" s="29" t="str">
        <f>IF(Analysis!$I583="","",IF(Analysis!$I583="Drifting",Analysis!$C583,""))</f>
        <v/>
      </c>
      <c r="I583" s="29" t="str">
        <f>IF(Analysis!$I583="","",IF(Analysis!$I583="Embedded",Analysis!$F583,""))</f>
        <v/>
      </c>
      <c r="J583" s="29" t="str">
        <f>IF(Analysis!$I583="","",IF(Analysis!$I583="Loyal but shallow",Analysis!$F583,""))</f>
        <v/>
      </c>
      <c r="K583" s="29" t="str">
        <f>IF(Analysis!$I583="","",IF(Analysis!$I583="Project-driven",Analysis!$F583,""))</f>
        <v/>
      </c>
      <c r="L583" s="29" t="str">
        <f>IF(Analysis!$I583="","",IF(Analysis!$I583="Drifting",Analysis!$F583,""))</f>
        <v/>
      </c>
      <c r="M583" s="29" t="str">
        <f>IF(Analysis!$I583="","",IF(Analysis!$I583="Embedded",Analysis!$H583,""))</f>
        <v/>
      </c>
      <c r="N583" s="29" t="str">
        <f>IF(Analysis!$I583="","",IF(Analysis!$I583="Loyal but shallow",Analysis!$H583,""))</f>
        <v/>
      </c>
      <c r="O583" s="29" t="str">
        <f>IF(Analysis!$I583="","",IF(Analysis!$I583="Project-driven",Analysis!$H583,""))</f>
        <v/>
      </c>
      <c r="P583" s="29" t="str">
        <f>IF(Analysis!$I583="","",IF(Analysis!$I583="Drifting",Analysis!$H583,""))</f>
        <v/>
      </c>
    </row>
    <row r="584" spans="1:16" x14ac:dyDescent="0.25">
      <c r="A584" s="29" t="str">
        <f>IF(Analysis!$I584="","",IF(Analysis!$I584="Embedded",Analysis!$D584,""))</f>
        <v/>
      </c>
      <c r="B584" s="29" t="str">
        <f>IF(Analysis!$I584="","",IF(Analysis!$I584="Loyal but shallow",Analysis!$D584,""))</f>
        <v/>
      </c>
      <c r="C584" s="29" t="str">
        <f>IF(Analysis!$I584="","",IF(Analysis!$I584="Project-driven",Analysis!$D584,""))</f>
        <v/>
      </c>
      <c r="D584" s="29" t="str">
        <f>IF(Analysis!$I584="","",IF(Analysis!$I584="Drifting",Analysis!$D584,""))</f>
        <v/>
      </c>
      <c r="E584" s="29" t="str">
        <f>IF(Analysis!$I584="","",IF(Analysis!$I584="Embedded",Analysis!$C584,""))</f>
        <v/>
      </c>
      <c r="F584" s="29" t="str">
        <f>IF(Analysis!$I584="","",IF(Analysis!$I584="Loyal but shallow",Analysis!$C584,""))</f>
        <v/>
      </c>
      <c r="G584" s="29" t="str">
        <f>IF(Analysis!$I584="","",IF(Analysis!$I584="Project-driven",Analysis!$C584,""))</f>
        <v/>
      </c>
      <c r="H584" s="29" t="str">
        <f>IF(Analysis!$I584="","",IF(Analysis!$I584="Drifting",Analysis!$C584,""))</f>
        <v/>
      </c>
      <c r="I584" s="29" t="str">
        <f>IF(Analysis!$I584="","",IF(Analysis!$I584="Embedded",Analysis!$F584,""))</f>
        <v/>
      </c>
      <c r="J584" s="29" t="str">
        <f>IF(Analysis!$I584="","",IF(Analysis!$I584="Loyal but shallow",Analysis!$F584,""))</f>
        <v/>
      </c>
      <c r="K584" s="29" t="str">
        <f>IF(Analysis!$I584="","",IF(Analysis!$I584="Project-driven",Analysis!$F584,""))</f>
        <v/>
      </c>
      <c r="L584" s="29" t="str">
        <f>IF(Analysis!$I584="","",IF(Analysis!$I584="Drifting",Analysis!$F584,""))</f>
        <v/>
      </c>
      <c r="M584" s="29" t="str">
        <f>IF(Analysis!$I584="","",IF(Analysis!$I584="Embedded",Analysis!$H584,""))</f>
        <v/>
      </c>
      <c r="N584" s="29" t="str">
        <f>IF(Analysis!$I584="","",IF(Analysis!$I584="Loyal but shallow",Analysis!$H584,""))</f>
        <v/>
      </c>
      <c r="O584" s="29" t="str">
        <f>IF(Analysis!$I584="","",IF(Analysis!$I584="Project-driven",Analysis!$H584,""))</f>
        <v/>
      </c>
      <c r="P584" s="29" t="str">
        <f>IF(Analysis!$I584="","",IF(Analysis!$I584="Drifting",Analysis!$H584,""))</f>
        <v/>
      </c>
    </row>
    <row r="585" spans="1:16" x14ac:dyDescent="0.25">
      <c r="A585" s="29" t="str">
        <f>IF(Analysis!$I585="","",IF(Analysis!$I585="Embedded",Analysis!$D585,""))</f>
        <v/>
      </c>
      <c r="B585" s="29" t="str">
        <f>IF(Analysis!$I585="","",IF(Analysis!$I585="Loyal but shallow",Analysis!$D585,""))</f>
        <v/>
      </c>
      <c r="C585" s="29" t="str">
        <f>IF(Analysis!$I585="","",IF(Analysis!$I585="Project-driven",Analysis!$D585,""))</f>
        <v/>
      </c>
      <c r="D585" s="29" t="str">
        <f>IF(Analysis!$I585="","",IF(Analysis!$I585="Drifting",Analysis!$D585,""))</f>
        <v/>
      </c>
      <c r="E585" s="29" t="str">
        <f>IF(Analysis!$I585="","",IF(Analysis!$I585="Embedded",Analysis!$C585,""))</f>
        <v/>
      </c>
      <c r="F585" s="29" t="str">
        <f>IF(Analysis!$I585="","",IF(Analysis!$I585="Loyal but shallow",Analysis!$C585,""))</f>
        <v/>
      </c>
      <c r="G585" s="29" t="str">
        <f>IF(Analysis!$I585="","",IF(Analysis!$I585="Project-driven",Analysis!$C585,""))</f>
        <v/>
      </c>
      <c r="H585" s="29" t="str">
        <f>IF(Analysis!$I585="","",IF(Analysis!$I585="Drifting",Analysis!$C585,""))</f>
        <v/>
      </c>
      <c r="I585" s="29" t="str">
        <f>IF(Analysis!$I585="","",IF(Analysis!$I585="Embedded",Analysis!$F585,""))</f>
        <v/>
      </c>
      <c r="J585" s="29" t="str">
        <f>IF(Analysis!$I585="","",IF(Analysis!$I585="Loyal but shallow",Analysis!$F585,""))</f>
        <v/>
      </c>
      <c r="K585" s="29" t="str">
        <f>IF(Analysis!$I585="","",IF(Analysis!$I585="Project-driven",Analysis!$F585,""))</f>
        <v/>
      </c>
      <c r="L585" s="29" t="str">
        <f>IF(Analysis!$I585="","",IF(Analysis!$I585="Drifting",Analysis!$F585,""))</f>
        <v/>
      </c>
      <c r="M585" s="29" t="str">
        <f>IF(Analysis!$I585="","",IF(Analysis!$I585="Embedded",Analysis!$H585,""))</f>
        <v/>
      </c>
      <c r="N585" s="29" t="str">
        <f>IF(Analysis!$I585="","",IF(Analysis!$I585="Loyal but shallow",Analysis!$H585,""))</f>
        <v/>
      </c>
      <c r="O585" s="29" t="str">
        <f>IF(Analysis!$I585="","",IF(Analysis!$I585="Project-driven",Analysis!$H585,""))</f>
        <v/>
      </c>
      <c r="P585" s="29" t="str">
        <f>IF(Analysis!$I585="","",IF(Analysis!$I585="Drifting",Analysis!$H585,""))</f>
        <v/>
      </c>
    </row>
    <row r="586" spans="1:16" x14ac:dyDescent="0.25">
      <c r="A586" s="29" t="str">
        <f>IF(Analysis!$I586="","",IF(Analysis!$I586="Embedded",Analysis!$D586,""))</f>
        <v/>
      </c>
      <c r="B586" s="29" t="str">
        <f>IF(Analysis!$I586="","",IF(Analysis!$I586="Loyal but shallow",Analysis!$D586,""))</f>
        <v/>
      </c>
      <c r="C586" s="29" t="str">
        <f>IF(Analysis!$I586="","",IF(Analysis!$I586="Project-driven",Analysis!$D586,""))</f>
        <v/>
      </c>
      <c r="D586" s="29" t="str">
        <f>IF(Analysis!$I586="","",IF(Analysis!$I586="Drifting",Analysis!$D586,""))</f>
        <v/>
      </c>
      <c r="E586" s="29" t="str">
        <f>IF(Analysis!$I586="","",IF(Analysis!$I586="Embedded",Analysis!$C586,""))</f>
        <v/>
      </c>
      <c r="F586" s="29" t="str">
        <f>IF(Analysis!$I586="","",IF(Analysis!$I586="Loyal but shallow",Analysis!$C586,""))</f>
        <v/>
      </c>
      <c r="G586" s="29" t="str">
        <f>IF(Analysis!$I586="","",IF(Analysis!$I586="Project-driven",Analysis!$C586,""))</f>
        <v/>
      </c>
      <c r="H586" s="29" t="str">
        <f>IF(Analysis!$I586="","",IF(Analysis!$I586="Drifting",Analysis!$C586,""))</f>
        <v/>
      </c>
      <c r="I586" s="29" t="str">
        <f>IF(Analysis!$I586="","",IF(Analysis!$I586="Embedded",Analysis!$F586,""))</f>
        <v/>
      </c>
      <c r="J586" s="29" t="str">
        <f>IF(Analysis!$I586="","",IF(Analysis!$I586="Loyal but shallow",Analysis!$F586,""))</f>
        <v/>
      </c>
      <c r="K586" s="29" t="str">
        <f>IF(Analysis!$I586="","",IF(Analysis!$I586="Project-driven",Analysis!$F586,""))</f>
        <v/>
      </c>
      <c r="L586" s="29" t="str">
        <f>IF(Analysis!$I586="","",IF(Analysis!$I586="Drifting",Analysis!$F586,""))</f>
        <v/>
      </c>
      <c r="M586" s="29" t="str">
        <f>IF(Analysis!$I586="","",IF(Analysis!$I586="Embedded",Analysis!$H586,""))</f>
        <v/>
      </c>
      <c r="N586" s="29" t="str">
        <f>IF(Analysis!$I586="","",IF(Analysis!$I586="Loyal but shallow",Analysis!$H586,""))</f>
        <v/>
      </c>
      <c r="O586" s="29" t="str">
        <f>IF(Analysis!$I586="","",IF(Analysis!$I586="Project-driven",Analysis!$H586,""))</f>
        <v/>
      </c>
      <c r="P586" s="29" t="str">
        <f>IF(Analysis!$I586="","",IF(Analysis!$I586="Drifting",Analysis!$H586,""))</f>
        <v/>
      </c>
    </row>
    <row r="587" spans="1:16" x14ac:dyDescent="0.25">
      <c r="A587" s="29" t="str">
        <f>IF(Analysis!$I587="","",IF(Analysis!$I587="Embedded",Analysis!$D587,""))</f>
        <v/>
      </c>
      <c r="B587" s="29" t="str">
        <f>IF(Analysis!$I587="","",IF(Analysis!$I587="Loyal but shallow",Analysis!$D587,""))</f>
        <v/>
      </c>
      <c r="C587" s="29" t="str">
        <f>IF(Analysis!$I587="","",IF(Analysis!$I587="Project-driven",Analysis!$D587,""))</f>
        <v/>
      </c>
      <c r="D587" s="29" t="str">
        <f>IF(Analysis!$I587="","",IF(Analysis!$I587="Drifting",Analysis!$D587,""))</f>
        <v/>
      </c>
      <c r="E587" s="29" t="str">
        <f>IF(Analysis!$I587="","",IF(Analysis!$I587="Embedded",Analysis!$C587,""))</f>
        <v/>
      </c>
      <c r="F587" s="29" t="str">
        <f>IF(Analysis!$I587="","",IF(Analysis!$I587="Loyal but shallow",Analysis!$C587,""))</f>
        <v/>
      </c>
      <c r="G587" s="29" t="str">
        <f>IF(Analysis!$I587="","",IF(Analysis!$I587="Project-driven",Analysis!$C587,""))</f>
        <v/>
      </c>
      <c r="H587" s="29" t="str">
        <f>IF(Analysis!$I587="","",IF(Analysis!$I587="Drifting",Analysis!$C587,""))</f>
        <v/>
      </c>
      <c r="I587" s="29" t="str">
        <f>IF(Analysis!$I587="","",IF(Analysis!$I587="Embedded",Analysis!$F587,""))</f>
        <v/>
      </c>
      <c r="J587" s="29" t="str">
        <f>IF(Analysis!$I587="","",IF(Analysis!$I587="Loyal but shallow",Analysis!$F587,""))</f>
        <v/>
      </c>
      <c r="K587" s="29" t="str">
        <f>IF(Analysis!$I587="","",IF(Analysis!$I587="Project-driven",Analysis!$F587,""))</f>
        <v/>
      </c>
      <c r="L587" s="29" t="str">
        <f>IF(Analysis!$I587="","",IF(Analysis!$I587="Drifting",Analysis!$F587,""))</f>
        <v/>
      </c>
      <c r="M587" s="29" t="str">
        <f>IF(Analysis!$I587="","",IF(Analysis!$I587="Embedded",Analysis!$H587,""))</f>
        <v/>
      </c>
      <c r="N587" s="29" t="str">
        <f>IF(Analysis!$I587="","",IF(Analysis!$I587="Loyal but shallow",Analysis!$H587,""))</f>
        <v/>
      </c>
      <c r="O587" s="29" t="str">
        <f>IF(Analysis!$I587="","",IF(Analysis!$I587="Project-driven",Analysis!$H587,""))</f>
        <v/>
      </c>
      <c r="P587" s="29" t="str">
        <f>IF(Analysis!$I587="","",IF(Analysis!$I587="Drifting",Analysis!$H587,""))</f>
        <v/>
      </c>
    </row>
    <row r="588" spans="1:16" x14ac:dyDescent="0.25">
      <c r="A588" s="29" t="str">
        <f>IF(Analysis!$I588="","",IF(Analysis!$I588="Embedded",Analysis!$D588,""))</f>
        <v/>
      </c>
      <c r="B588" s="29" t="str">
        <f>IF(Analysis!$I588="","",IF(Analysis!$I588="Loyal but shallow",Analysis!$D588,""))</f>
        <v/>
      </c>
      <c r="C588" s="29" t="str">
        <f>IF(Analysis!$I588="","",IF(Analysis!$I588="Project-driven",Analysis!$D588,""))</f>
        <v/>
      </c>
      <c r="D588" s="29" t="str">
        <f>IF(Analysis!$I588="","",IF(Analysis!$I588="Drifting",Analysis!$D588,""))</f>
        <v/>
      </c>
      <c r="E588" s="29" t="str">
        <f>IF(Analysis!$I588="","",IF(Analysis!$I588="Embedded",Analysis!$C588,""))</f>
        <v/>
      </c>
      <c r="F588" s="29" t="str">
        <f>IF(Analysis!$I588="","",IF(Analysis!$I588="Loyal but shallow",Analysis!$C588,""))</f>
        <v/>
      </c>
      <c r="G588" s="29" t="str">
        <f>IF(Analysis!$I588="","",IF(Analysis!$I588="Project-driven",Analysis!$C588,""))</f>
        <v/>
      </c>
      <c r="H588" s="29" t="str">
        <f>IF(Analysis!$I588="","",IF(Analysis!$I588="Drifting",Analysis!$C588,""))</f>
        <v/>
      </c>
      <c r="I588" s="29" t="str">
        <f>IF(Analysis!$I588="","",IF(Analysis!$I588="Embedded",Analysis!$F588,""))</f>
        <v/>
      </c>
      <c r="J588" s="29" t="str">
        <f>IF(Analysis!$I588="","",IF(Analysis!$I588="Loyal but shallow",Analysis!$F588,""))</f>
        <v/>
      </c>
      <c r="K588" s="29" t="str">
        <f>IF(Analysis!$I588="","",IF(Analysis!$I588="Project-driven",Analysis!$F588,""))</f>
        <v/>
      </c>
      <c r="L588" s="29" t="str">
        <f>IF(Analysis!$I588="","",IF(Analysis!$I588="Drifting",Analysis!$F588,""))</f>
        <v/>
      </c>
      <c r="M588" s="29" t="str">
        <f>IF(Analysis!$I588="","",IF(Analysis!$I588="Embedded",Analysis!$H588,""))</f>
        <v/>
      </c>
      <c r="N588" s="29" t="str">
        <f>IF(Analysis!$I588="","",IF(Analysis!$I588="Loyal but shallow",Analysis!$H588,""))</f>
        <v/>
      </c>
      <c r="O588" s="29" t="str">
        <f>IF(Analysis!$I588="","",IF(Analysis!$I588="Project-driven",Analysis!$H588,""))</f>
        <v/>
      </c>
      <c r="P588" s="29" t="str">
        <f>IF(Analysis!$I588="","",IF(Analysis!$I588="Drifting",Analysis!$H588,""))</f>
        <v/>
      </c>
    </row>
    <row r="589" spans="1:16" x14ac:dyDescent="0.25">
      <c r="A589" s="29" t="str">
        <f>IF(Analysis!$I589="","",IF(Analysis!$I589="Embedded",Analysis!$D589,""))</f>
        <v/>
      </c>
      <c r="B589" s="29" t="str">
        <f>IF(Analysis!$I589="","",IF(Analysis!$I589="Loyal but shallow",Analysis!$D589,""))</f>
        <v/>
      </c>
      <c r="C589" s="29" t="str">
        <f>IF(Analysis!$I589="","",IF(Analysis!$I589="Project-driven",Analysis!$D589,""))</f>
        <v/>
      </c>
      <c r="D589" s="29" t="str">
        <f>IF(Analysis!$I589="","",IF(Analysis!$I589="Drifting",Analysis!$D589,""))</f>
        <v/>
      </c>
      <c r="E589" s="29" t="str">
        <f>IF(Analysis!$I589="","",IF(Analysis!$I589="Embedded",Analysis!$C589,""))</f>
        <v/>
      </c>
      <c r="F589" s="29" t="str">
        <f>IF(Analysis!$I589="","",IF(Analysis!$I589="Loyal but shallow",Analysis!$C589,""))</f>
        <v/>
      </c>
      <c r="G589" s="29" t="str">
        <f>IF(Analysis!$I589="","",IF(Analysis!$I589="Project-driven",Analysis!$C589,""))</f>
        <v/>
      </c>
      <c r="H589" s="29" t="str">
        <f>IF(Analysis!$I589="","",IF(Analysis!$I589="Drifting",Analysis!$C589,""))</f>
        <v/>
      </c>
      <c r="I589" s="29" t="str">
        <f>IF(Analysis!$I589="","",IF(Analysis!$I589="Embedded",Analysis!$F589,""))</f>
        <v/>
      </c>
      <c r="J589" s="29" t="str">
        <f>IF(Analysis!$I589="","",IF(Analysis!$I589="Loyal but shallow",Analysis!$F589,""))</f>
        <v/>
      </c>
      <c r="K589" s="29" t="str">
        <f>IF(Analysis!$I589="","",IF(Analysis!$I589="Project-driven",Analysis!$F589,""))</f>
        <v/>
      </c>
      <c r="L589" s="29" t="str">
        <f>IF(Analysis!$I589="","",IF(Analysis!$I589="Drifting",Analysis!$F589,""))</f>
        <v/>
      </c>
      <c r="M589" s="29" t="str">
        <f>IF(Analysis!$I589="","",IF(Analysis!$I589="Embedded",Analysis!$H589,""))</f>
        <v/>
      </c>
      <c r="N589" s="29" t="str">
        <f>IF(Analysis!$I589="","",IF(Analysis!$I589="Loyal but shallow",Analysis!$H589,""))</f>
        <v/>
      </c>
      <c r="O589" s="29" t="str">
        <f>IF(Analysis!$I589="","",IF(Analysis!$I589="Project-driven",Analysis!$H589,""))</f>
        <v/>
      </c>
      <c r="P589" s="29" t="str">
        <f>IF(Analysis!$I589="","",IF(Analysis!$I589="Drifting",Analysis!$H589,""))</f>
        <v/>
      </c>
    </row>
    <row r="590" spans="1:16" x14ac:dyDescent="0.25">
      <c r="A590" s="29" t="str">
        <f>IF(Analysis!$I590="","",IF(Analysis!$I590="Embedded",Analysis!$D590,""))</f>
        <v/>
      </c>
      <c r="B590" s="29" t="str">
        <f>IF(Analysis!$I590="","",IF(Analysis!$I590="Loyal but shallow",Analysis!$D590,""))</f>
        <v/>
      </c>
      <c r="C590" s="29" t="str">
        <f>IF(Analysis!$I590="","",IF(Analysis!$I590="Project-driven",Analysis!$D590,""))</f>
        <v/>
      </c>
      <c r="D590" s="29" t="str">
        <f>IF(Analysis!$I590="","",IF(Analysis!$I590="Drifting",Analysis!$D590,""))</f>
        <v/>
      </c>
      <c r="E590" s="29" t="str">
        <f>IF(Analysis!$I590="","",IF(Analysis!$I590="Embedded",Analysis!$C590,""))</f>
        <v/>
      </c>
      <c r="F590" s="29" t="str">
        <f>IF(Analysis!$I590="","",IF(Analysis!$I590="Loyal but shallow",Analysis!$C590,""))</f>
        <v/>
      </c>
      <c r="G590" s="29" t="str">
        <f>IF(Analysis!$I590="","",IF(Analysis!$I590="Project-driven",Analysis!$C590,""))</f>
        <v/>
      </c>
      <c r="H590" s="29" t="str">
        <f>IF(Analysis!$I590="","",IF(Analysis!$I590="Drifting",Analysis!$C590,""))</f>
        <v/>
      </c>
      <c r="I590" s="29" t="str">
        <f>IF(Analysis!$I590="","",IF(Analysis!$I590="Embedded",Analysis!$F590,""))</f>
        <v/>
      </c>
      <c r="J590" s="29" t="str">
        <f>IF(Analysis!$I590="","",IF(Analysis!$I590="Loyal but shallow",Analysis!$F590,""))</f>
        <v/>
      </c>
      <c r="K590" s="29" t="str">
        <f>IF(Analysis!$I590="","",IF(Analysis!$I590="Project-driven",Analysis!$F590,""))</f>
        <v/>
      </c>
      <c r="L590" s="29" t="str">
        <f>IF(Analysis!$I590="","",IF(Analysis!$I590="Drifting",Analysis!$F590,""))</f>
        <v/>
      </c>
      <c r="M590" s="29" t="str">
        <f>IF(Analysis!$I590="","",IF(Analysis!$I590="Embedded",Analysis!$H590,""))</f>
        <v/>
      </c>
      <c r="N590" s="29" t="str">
        <f>IF(Analysis!$I590="","",IF(Analysis!$I590="Loyal but shallow",Analysis!$H590,""))</f>
        <v/>
      </c>
      <c r="O590" s="29" t="str">
        <f>IF(Analysis!$I590="","",IF(Analysis!$I590="Project-driven",Analysis!$H590,""))</f>
        <v/>
      </c>
      <c r="P590" s="29" t="str">
        <f>IF(Analysis!$I590="","",IF(Analysis!$I590="Drifting",Analysis!$H590,""))</f>
        <v/>
      </c>
    </row>
    <row r="591" spans="1:16" x14ac:dyDescent="0.25">
      <c r="A591" s="29" t="str">
        <f>IF(Analysis!$I591="","",IF(Analysis!$I591="Embedded",Analysis!$D591,""))</f>
        <v/>
      </c>
      <c r="B591" s="29" t="str">
        <f>IF(Analysis!$I591="","",IF(Analysis!$I591="Loyal but shallow",Analysis!$D591,""))</f>
        <v/>
      </c>
      <c r="C591" s="29" t="str">
        <f>IF(Analysis!$I591="","",IF(Analysis!$I591="Project-driven",Analysis!$D591,""))</f>
        <v/>
      </c>
      <c r="D591" s="29" t="str">
        <f>IF(Analysis!$I591="","",IF(Analysis!$I591="Drifting",Analysis!$D591,""))</f>
        <v/>
      </c>
      <c r="E591" s="29" t="str">
        <f>IF(Analysis!$I591="","",IF(Analysis!$I591="Embedded",Analysis!$C591,""))</f>
        <v/>
      </c>
      <c r="F591" s="29" t="str">
        <f>IF(Analysis!$I591="","",IF(Analysis!$I591="Loyal but shallow",Analysis!$C591,""))</f>
        <v/>
      </c>
      <c r="G591" s="29" t="str">
        <f>IF(Analysis!$I591="","",IF(Analysis!$I591="Project-driven",Analysis!$C591,""))</f>
        <v/>
      </c>
      <c r="H591" s="29" t="str">
        <f>IF(Analysis!$I591="","",IF(Analysis!$I591="Drifting",Analysis!$C591,""))</f>
        <v/>
      </c>
      <c r="I591" s="29" t="str">
        <f>IF(Analysis!$I591="","",IF(Analysis!$I591="Embedded",Analysis!$F591,""))</f>
        <v/>
      </c>
      <c r="J591" s="29" t="str">
        <f>IF(Analysis!$I591="","",IF(Analysis!$I591="Loyal but shallow",Analysis!$F591,""))</f>
        <v/>
      </c>
      <c r="K591" s="29" t="str">
        <f>IF(Analysis!$I591="","",IF(Analysis!$I591="Project-driven",Analysis!$F591,""))</f>
        <v/>
      </c>
      <c r="L591" s="29" t="str">
        <f>IF(Analysis!$I591="","",IF(Analysis!$I591="Drifting",Analysis!$F591,""))</f>
        <v/>
      </c>
      <c r="M591" s="29" t="str">
        <f>IF(Analysis!$I591="","",IF(Analysis!$I591="Embedded",Analysis!$H591,""))</f>
        <v/>
      </c>
      <c r="N591" s="29" t="str">
        <f>IF(Analysis!$I591="","",IF(Analysis!$I591="Loyal but shallow",Analysis!$H591,""))</f>
        <v/>
      </c>
      <c r="O591" s="29" t="str">
        <f>IF(Analysis!$I591="","",IF(Analysis!$I591="Project-driven",Analysis!$H591,""))</f>
        <v/>
      </c>
      <c r="P591" s="29" t="str">
        <f>IF(Analysis!$I591="","",IF(Analysis!$I591="Drifting",Analysis!$H591,""))</f>
        <v/>
      </c>
    </row>
    <row r="592" spans="1:16" x14ac:dyDescent="0.25">
      <c r="A592" s="29" t="str">
        <f>IF(Analysis!$I592="","",IF(Analysis!$I592="Embedded",Analysis!$D592,""))</f>
        <v/>
      </c>
      <c r="B592" s="29" t="str">
        <f>IF(Analysis!$I592="","",IF(Analysis!$I592="Loyal but shallow",Analysis!$D592,""))</f>
        <v/>
      </c>
      <c r="C592" s="29" t="str">
        <f>IF(Analysis!$I592="","",IF(Analysis!$I592="Project-driven",Analysis!$D592,""))</f>
        <v/>
      </c>
      <c r="D592" s="29" t="str">
        <f>IF(Analysis!$I592="","",IF(Analysis!$I592="Drifting",Analysis!$D592,""))</f>
        <v/>
      </c>
      <c r="E592" s="29" t="str">
        <f>IF(Analysis!$I592="","",IF(Analysis!$I592="Embedded",Analysis!$C592,""))</f>
        <v/>
      </c>
      <c r="F592" s="29" t="str">
        <f>IF(Analysis!$I592="","",IF(Analysis!$I592="Loyal but shallow",Analysis!$C592,""))</f>
        <v/>
      </c>
      <c r="G592" s="29" t="str">
        <f>IF(Analysis!$I592="","",IF(Analysis!$I592="Project-driven",Analysis!$C592,""))</f>
        <v/>
      </c>
      <c r="H592" s="29" t="str">
        <f>IF(Analysis!$I592="","",IF(Analysis!$I592="Drifting",Analysis!$C592,""))</f>
        <v/>
      </c>
      <c r="I592" s="29" t="str">
        <f>IF(Analysis!$I592="","",IF(Analysis!$I592="Embedded",Analysis!$F592,""))</f>
        <v/>
      </c>
      <c r="J592" s="29" t="str">
        <f>IF(Analysis!$I592="","",IF(Analysis!$I592="Loyal but shallow",Analysis!$F592,""))</f>
        <v/>
      </c>
      <c r="K592" s="29" t="str">
        <f>IF(Analysis!$I592="","",IF(Analysis!$I592="Project-driven",Analysis!$F592,""))</f>
        <v/>
      </c>
      <c r="L592" s="29" t="str">
        <f>IF(Analysis!$I592="","",IF(Analysis!$I592="Drifting",Analysis!$F592,""))</f>
        <v/>
      </c>
      <c r="M592" s="29" t="str">
        <f>IF(Analysis!$I592="","",IF(Analysis!$I592="Embedded",Analysis!$H592,""))</f>
        <v/>
      </c>
      <c r="N592" s="29" t="str">
        <f>IF(Analysis!$I592="","",IF(Analysis!$I592="Loyal but shallow",Analysis!$H592,""))</f>
        <v/>
      </c>
      <c r="O592" s="29" t="str">
        <f>IF(Analysis!$I592="","",IF(Analysis!$I592="Project-driven",Analysis!$H592,""))</f>
        <v/>
      </c>
      <c r="P592" s="29" t="str">
        <f>IF(Analysis!$I592="","",IF(Analysis!$I592="Drifting",Analysis!$H592,""))</f>
        <v/>
      </c>
    </row>
    <row r="593" spans="1:16" x14ac:dyDescent="0.25">
      <c r="A593" s="29" t="str">
        <f>IF(Analysis!$I593="","",IF(Analysis!$I593="Embedded",Analysis!$D593,""))</f>
        <v/>
      </c>
      <c r="B593" s="29" t="str">
        <f>IF(Analysis!$I593="","",IF(Analysis!$I593="Loyal but shallow",Analysis!$D593,""))</f>
        <v/>
      </c>
      <c r="C593" s="29" t="str">
        <f>IF(Analysis!$I593="","",IF(Analysis!$I593="Project-driven",Analysis!$D593,""))</f>
        <v/>
      </c>
      <c r="D593" s="29" t="str">
        <f>IF(Analysis!$I593="","",IF(Analysis!$I593="Drifting",Analysis!$D593,""))</f>
        <v/>
      </c>
      <c r="E593" s="29" t="str">
        <f>IF(Analysis!$I593="","",IF(Analysis!$I593="Embedded",Analysis!$C593,""))</f>
        <v/>
      </c>
      <c r="F593" s="29" t="str">
        <f>IF(Analysis!$I593="","",IF(Analysis!$I593="Loyal but shallow",Analysis!$C593,""))</f>
        <v/>
      </c>
      <c r="G593" s="29" t="str">
        <f>IF(Analysis!$I593="","",IF(Analysis!$I593="Project-driven",Analysis!$C593,""))</f>
        <v/>
      </c>
      <c r="H593" s="29" t="str">
        <f>IF(Analysis!$I593="","",IF(Analysis!$I593="Drifting",Analysis!$C593,""))</f>
        <v/>
      </c>
      <c r="I593" s="29" t="str">
        <f>IF(Analysis!$I593="","",IF(Analysis!$I593="Embedded",Analysis!$F593,""))</f>
        <v/>
      </c>
      <c r="J593" s="29" t="str">
        <f>IF(Analysis!$I593="","",IF(Analysis!$I593="Loyal but shallow",Analysis!$F593,""))</f>
        <v/>
      </c>
      <c r="K593" s="29" t="str">
        <f>IF(Analysis!$I593="","",IF(Analysis!$I593="Project-driven",Analysis!$F593,""))</f>
        <v/>
      </c>
      <c r="L593" s="29" t="str">
        <f>IF(Analysis!$I593="","",IF(Analysis!$I593="Drifting",Analysis!$F593,""))</f>
        <v/>
      </c>
      <c r="M593" s="29" t="str">
        <f>IF(Analysis!$I593="","",IF(Analysis!$I593="Embedded",Analysis!$H593,""))</f>
        <v/>
      </c>
      <c r="N593" s="29" t="str">
        <f>IF(Analysis!$I593="","",IF(Analysis!$I593="Loyal but shallow",Analysis!$H593,""))</f>
        <v/>
      </c>
      <c r="O593" s="29" t="str">
        <f>IF(Analysis!$I593="","",IF(Analysis!$I593="Project-driven",Analysis!$H593,""))</f>
        <v/>
      </c>
      <c r="P593" s="29" t="str">
        <f>IF(Analysis!$I593="","",IF(Analysis!$I593="Drifting",Analysis!$H593,""))</f>
        <v/>
      </c>
    </row>
    <row r="594" spans="1:16" x14ac:dyDescent="0.25">
      <c r="A594" s="29" t="str">
        <f>IF(Analysis!$I594="","",IF(Analysis!$I594="Embedded",Analysis!$D594,""))</f>
        <v/>
      </c>
      <c r="B594" s="29" t="str">
        <f>IF(Analysis!$I594="","",IF(Analysis!$I594="Loyal but shallow",Analysis!$D594,""))</f>
        <v/>
      </c>
      <c r="C594" s="29" t="str">
        <f>IF(Analysis!$I594="","",IF(Analysis!$I594="Project-driven",Analysis!$D594,""))</f>
        <v/>
      </c>
      <c r="D594" s="29" t="str">
        <f>IF(Analysis!$I594="","",IF(Analysis!$I594="Drifting",Analysis!$D594,""))</f>
        <v/>
      </c>
      <c r="E594" s="29" t="str">
        <f>IF(Analysis!$I594="","",IF(Analysis!$I594="Embedded",Analysis!$C594,""))</f>
        <v/>
      </c>
      <c r="F594" s="29" t="str">
        <f>IF(Analysis!$I594="","",IF(Analysis!$I594="Loyal but shallow",Analysis!$C594,""))</f>
        <v/>
      </c>
      <c r="G594" s="29" t="str">
        <f>IF(Analysis!$I594="","",IF(Analysis!$I594="Project-driven",Analysis!$C594,""))</f>
        <v/>
      </c>
      <c r="H594" s="29" t="str">
        <f>IF(Analysis!$I594="","",IF(Analysis!$I594="Drifting",Analysis!$C594,""))</f>
        <v/>
      </c>
      <c r="I594" s="29" t="str">
        <f>IF(Analysis!$I594="","",IF(Analysis!$I594="Embedded",Analysis!$F594,""))</f>
        <v/>
      </c>
      <c r="J594" s="29" t="str">
        <f>IF(Analysis!$I594="","",IF(Analysis!$I594="Loyal but shallow",Analysis!$F594,""))</f>
        <v/>
      </c>
      <c r="K594" s="29" t="str">
        <f>IF(Analysis!$I594="","",IF(Analysis!$I594="Project-driven",Analysis!$F594,""))</f>
        <v/>
      </c>
      <c r="L594" s="29" t="str">
        <f>IF(Analysis!$I594="","",IF(Analysis!$I594="Drifting",Analysis!$F594,""))</f>
        <v/>
      </c>
      <c r="M594" s="29" t="str">
        <f>IF(Analysis!$I594="","",IF(Analysis!$I594="Embedded",Analysis!$H594,""))</f>
        <v/>
      </c>
      <c r="N594" s="29" t="str">
        <f>IF(Analysis!$I594="","",IF(Analysis!$I594="Loyal but shallow",Analysis!$H594,""))</f>
        <v/>
      </c>
      <c r="O594" s="29" t="str">
        <f>IF(Analysis!$I594="","",IF(Analysis!$I594="Project-driven",Analysis!$H594,""))</f>
        <v/>
      </c>
      <c r="P594" s="29" t="str">
        <f>IF(Analysis!$I594="","",IF(Analysis!$I594="Drifting",Analysis!$H594,""))</f>
        <v/>
      </c>
    </row>
    <row r="595" spans="1:16" x14ac:dyDescent="0.25">
      <c r="A595" s="29" t="str">
        <f>IF(Analysis!$I595="","",IF(Analysis!$I595="Embedded",Analysis!$D595,""))</f>
        <v/>
      </c>
      <c r="B595" s="29" t="str">
        <f>IF(Analysis!$I595="","",IF(Analysis!$I595="Loyal but shallow",Analysis!$D595,""))</f>
        <v/>
      </c>
      <c r="C595" s="29" t="str">
        <f>IF(Analysis!$I595="","",IF(Analysis!$I595="Project-driven",Analysis!$D595,""))</f>
        <v/>
      </c>
      <c r="D595" s="29" t="str">
        <f>IF(Analysis!$I595="","",IF(Analysis!$I595="Drifting",Analysis!$D595,""))</f>
        <v/>
      </c>
      <c r="E595" s="29" t="str">
        <f>IF(Analysis!$I595="","",IF(Analysis!$I595="Embedded",Analysis!$C595,""))</f>
        <v/>
      </c>
      <c r="F595" s="29" t="str">
        <f>IF(Analysis!$I595="","",IF(Analysis!$I595="Loyal but shallow",Analysis!$C595,""))</f>
        <v/>
      </c>
      <c r="G595" s="29" t="str">
        <f>IF(Analysis!$I595="","",IF(Analysis!$I595="Project-driven",Analysis!$C595,""))</f>
        <v/>
      </c>
      <c r="H595" s="29" t="str">
        <f>IF(Analysis!$I595="","",IF(Analysis!$I595="Drifting",Analysis!$C595,""))</f>
        <v/>
      </c>
      <c r="I595" s="29" t="str">
        <f>IF(Analysis!$I595="","",IF(Analysis!$I595="Embedded",Analysis!$F595,""))</f>
        <v/>
      </c>
      <c r="J595" s="29" t="str">
        <f>IF(Analysis!$I595="","",IF(Analysis!$I595="Loyal but shallow",Analysis!$F595,""))</f>
        <v/>
      </c>
      <c r="K595" s="29" t="str">
        <f>IF(Analysis!$I595="","",IF(Analysis!$I595="Project-driven",Analysis!$F595,""))</f>
        <v/>
      </c>
      <c r="L595" s="29" t="str">
        <f>IF(Analysis!$I595="","",IF(Analysis!$I595="Drifting",Analysis!$F595,""))</f>
        <v/>
      </c>
      <c r="M595" s="29" t="str">
        <f>IF(Analysis!$I595="","",IF(Analysis!$I595="Embedded",Analysis!$H595,""))</f>
        <v/>
      </c>
      <c r="N595" s="29" t="str">
        <f>IF(Analysis!$I595="","",IF(Analysis!$I595="Loyal but shallow",Analysis!$H595,""))</f>
        <v/>
      </c>
      <c r="O595" s="29" t="str">
        <f>IF(Analysis!$I595="","",IF(Analysis!$I595="Project-driven",Analysis!$H595,""))</f>
        <v/>
      </c>
      <c r="P595" s="29" t="str">
        <f>IF(Analysis!$I595="","",IF(Analysis!$I595="Drifting",Analysis!$H595,""))</f>
        <v/>
      </c>
    </row>
    <row r="596" spans="1:16" x14ac:dyDescent="0.25">
      <c r="A596" s="29" t="str">
        <f>IF(Analysis!$I596="","",IF(Analysis!$I596="Embedded",Analysis!$D596,""))</f>
        <v/>
      </c>
      <c r="B596" s="29" t="str">
        <f>IF(Analysis!$I596="","",IF(Analysis!$I596="Loyal but shallow",Analysis!$D596,""))</f>
        <v/>
      </c>
      <c r="C596" s="29" t="str">
        <f>IF(Analysis!$I596="","",IF(Analysis!$I596="Project-driven",Analysis!$D596,""))</f>
        <v/>
      </c>
      <c r="D596" s="29" t="str">
        <f>IF(Analysis!$I596="","",IF(Analysis!$I596="Drifting",Analysis!$D596,""))</f>
        <v/>
      </c>
      <c r="E596" s="29" t="str">
        <f>IF(Analysis!$I596="","",IF(Analysis!$I596="Embedded",Analysis!$C596,""))</f>
        <v/>
      </c>
      <c r="F596" s="29" t="str">
        <f>IF(Analysis!$I596="","",IF(Analysis!$I596="Loyal but shallow",Analysis!$C596,""))</f>
        <v/>
      </c>
      <c r="G596" s="29" t="str">
        <f>IF(Analysis!$I596="","",IF(Analysis!$I596="Project-driven",Analysis!$C596,""))</f>
        <v/>
      </c>
      <c r="H596" s="29" t="str">
        <f>IF(Analysis!$I596="","",IF(Analysis!$I596="Drifting",Analysis!$C596,""))</f>
        <v/>
      </c>
      <c r="I596" s="29" t="str">
        <f>IF(Analysis!$I596="","",IF(Analysis!$I596="Embedded",Analysis!$F596,""))</f>
        <v/>
      </c>
      <c r="J596" s="29" t="str">
        <f>IF(Analysis!$I596="","",IF(Analysis!$I596="Loyal but shallow",Analysis!$F596,""))</f>
        <v/>
      </c>
      <c r="K596" s="29" t="str">
        <f>IF(Analysis!$I596="","",IF(Analysis!$I596="Project-driven",Analysis!$F596,""))</f>
        <v/>
      </c>
      <c r="L596" s="29" t="str">
        <f>IF(Analysis!$I596="","",IF(Analysis!$I596="Drifting",Analysis!$F596,""))</f>
        <v/>
      </c>
      <c r="M596" s="29" t="str">
        <f>IF(Analysis!$I596="","",IF(Analysis!$I596="Embedded",Analysis!$H596,""))</f>
        <v/>
      </c>
      <c r="N596" s="29" t="str">
        <f>IF(Analysis!$I596="","",IF(Analysis!$I596="Loyal but shallow",Analysis!$H596,""))</f>
        <v/>
      </c>
      <c r="O596" s="29" t="str">
        <f>IF(Analysis!$I596="","",IF(Analysis!$I596="Project-driven",Analysis!$H596,""))</f>
        <v/>
      </c>
      <c r="P596" s="29" t="str">
        <f>IF(Analysis!$I596="","",IF(Analysis!$I596="Drifting",Analysis!$H596,""))</f>
        <v/>
      </c>
    </row>
    <row r="597" spans="1:16" x14ac:dyDescent="0.25">
      <c r="A597" s="29" t="str">
        <f>IF(Analysis!$I597="","",IF(Analysis!$I597="Embedded",Analysis!$D597,""))</f>
        <v/>
      </c>
      <c r="B597" s="29" t="str">
        <f>IF(Analysis!$I597="","",IF(Analysis!$I597="Loyal but shallow",Analysis!$D597,""))</f>
        <v/>
      </c>
      <c r="C597" s="29" t="str">
        <f>IF(Analysis!$I597="","",IF(Analysis!$I597="Project-driven",Analysis!$D597,""))</f>
        <v/>
      </c>
      <c r="D597" s="29" t="str">
        <f>IF(Analysis!$I597="","",IF(Analysis!$I597="Drifting",Analysis!$D597,""))</f>
        <v/>
      </c>
      <c r="E597" s="29" t="str">
        <f>IF(Analysis!$I597="","",IF(Analysis!$I597="Embedded",Analysis!$C597,""))</f>
        <v/>
      </c>
      <c r="F597" s="29" t="str">
        <f>IF(Analysis!$I597="","",IF(Analysis!$I597="Loyal but shallow",Analysis!$C597,""))</f>
        <v/>
      </c>
      <c r="G597" s="29" t="str">
        <f>IF(Analysis!$I597="","",IF(Analysis!$I597="Project-driven",Analysis!$C597,""))</f>
        <v/>
      </c>
      <c r="H597" s="29" t="str">
        <f>IF(Analysis!$I597="","",IF(Analysis!$I597="Drifting",Analysis!$C597,""))</f>
        <v/>
      </c>
      <c r="I597" s="29" t="str">
        <f>IF(Analysis!$I597="","",IF(Analysis!$I597="Embedded",Analysis!$F597,""))</f>
        <v/>
      </c>
      <c r="J597" s="29" t="str">
        <f>IF(Analysis!$I597="","",IF(Analysis!$I597="Loyal but shallow",Analysis!$F597,""))</f>
        <v/>
      </c>
      <c r="K597" s="29" t="str">
        <f>IF(Analysis!$I597="","",IF(Analysis!$I597="Project-driven",Analysis!$F597,""))</f>
        <v/>
      </c>
      <c r="L597" s="29" t="str">
        <f>IF(Analysis!$I597="","",IF(Analysis!$I597="Drifting",Analysis!$F597,""))</f>
        <v/>
      </c>
      <c r="M597" s="29" t="str">
        <f>IF(Analysis!$I597="","",IF(Analysis!$I597="Embedded",Analysis!$H597,""))</f>
        <v/>
      </c>
      <c r="N597" s="29" t="str">
        <f>IF(Analysis!$I597="","",IF(Analysis!$I597="Loyal but shallow",Analysis!$H597,""))</f>
        <v/>
      </c>
      <c r="O597" s="29" t="str">
        <f>IF(Analysis!$I597="","",IF(Analysis!$I597="Project-driven",Analysis!$H597,""))</f>
        <v/>
      </c>
      <c r="P597" s="29" t="str">
        <f>IF(Analysis!$I597="","",IF(Analysis!$I597="Drifting",Analysis!$H597,""))</f>
        <v/>
      </c>
    </row>
    <row r="598" spans="1:16" x14ac:dyDescent="0.25">
      <c r="A598" s="29" t="str">
        <f>IF(Analysis!$I598="","",IF(Analysis!$I598="Embedded",Analysis!$D598,""))</f>
        <v/>
      </c>
      <c r="B598" s="29" t="str">
        <f>IF(Analysis!$I598="","",IF(Analysis!$I598="Loyal but shallow",Analysis!$D598,""))</f>
        <v/>
      </c>
      <c r="C598" s="29" t="str">
        <f>IF(Analysis!$I598="","",IF(Analysis!$I598="Project-driven",Analysis!$D598,""))</f>
        <v/>
      </c>
      <c r="D598" s="29" t="str">
        <f>IF(Analysis!$I598="","",IF(Analysis!$I598="Drifting",Analysis!$D598,""))</f>
        <v/>
      </c>
      <c r="E598" s="29" t="str">
        <f>IF(Analysis!$I598="","",IF(Analysis!$I598="Embedded",Analysis!$C598,""))</f>
        <v/>
      </c>
      <c r="F598" s="29" t="str">
        <f>IF(Analysis!$I598="","",IF(Analysis!$I598="Loyal but shallow",Analysis!$C598,""))</f>
        <v/>
      </c>
      <c r="G598" s="29" t="str">
        <f>IF(Analysis!$I598="","",IF(Analysis!$I598="Project-driven",Analysis!$C598,""))</f>
        <v/>
      </c>
      <c r="H598" s="29" t="str">
        <f>IF(Analysis!$I598="","",IF(Analysis!$I598="Drifting",Analysis!$C598,""))</f>
        <v/>
      </c>
      <c r="I598" s="29" t="str">
        <f>IF(Analysis!$I598="","",IF(Analysis!$I598="Embedded",Analysis!$F598,""))</f>
        <v/>
      </c>
      <c r="J598" s="29" t="str">
        <f>IF(Analysis!$I598="","",IF(Analysis!$I598="Loyal but shallow",Analysis!$F598,""))</f>
        <v/>
      </c>
      <c r="K598" s="29" t="str">
        <f>IF(Analysis!$I598="","",IF(Analysis!$I598="Project-driven",Analysis!$F598,""))</f>
        <v/>
      </c>
      <c r="L598" s="29" t="str">
        <f>IF(Analysis!$I598="","",IF(Analysis!$I598="Drifting",Analysis!$F598,""))</f>
        <v/>
      </c>
      <c r="M598" s="29" t="str">
        <f>IF(Analysis!$I598="","",IF(Analysis!$I598="Embedded",Analysis!$H598,""))</f>
        <v/>
      </c>
      <c r="N598" s="29" t="str">
        <f>IF(Analysis!$I598="","",IF(Analysis!$I598="Loyal but shallow",Analysis!$H598,""))</f>
        <v/>
      </c>
      <c r="O598" s="29" t="str">
        <f>IF(Analysis!$I598="","",IF(Analysis!$I598="Project-driven",Analysis!$H598,""))</f>
        <v/>
      </c>
      <c r="P598" s="29" t="str">
        <f>IF(Analysis!$I598="","",IF(Analysis!$I598="Drifting",Analysis!$H598,""))</f>
        <v/>
      </c>
    </row>
    <row r="599" spans="1:16" x14ac:dyDescent="0.25">
      <c r="A599" s="29" t="str">
        <f>IF(Analysis!$I599="","",IF(Analysis!$I599="Embedded",Analysis!$D599,""))</f>
        <v/>
      </c>
      <c r="B599" s="29" t="str">
        <f>IF(Analysis!$I599="","",IF(Analysis!$I599="Loyal but shallow",Analysis!$D599,""))</f>
        <v/>
      </c>
      <c r="C599" s="29" t="str">
        <f>IF(Analysis!$I599="","",IF(Analysis!$I599="Project-driven",Analysis!$D599,""))</f>
        <v/>
      </c>
      <c r="D599" s="29" t="str">
        <f>IF(Analysis!$I599="","",IF(Analysis!$I599="Drifting",Analysis!$D599,""))</f>
        <v/>
      </c>
      <c r="E599" s="29" t="str">
        <f>IF(Analysis!$I599="","",IF(Analysis!$I599="Embedded",Analysis!$C599,""))</f>
        <v/>
      </c>
      <c r="F599" s="29" t="str">
        <f>IF(Analysis!$I599="","",IF(Analysis!$I599="Loyal but shallow",Analysis!$C599,""))</f>
        <v/>
      </c>
      <c r="G599" s="29" t="str">
        <f>IF(Analysis!$I599="","",IF(Analysis!$I599="Project-driven",Analysis!$C599,""))</f>
        <v/>
      </c>
      <c r="H599" s="29" t="str">
        <f>IF(Analysis!$I599="","",IF(Analysis!$I599="Drifting",Analysis!$C599,""))</f>
        <v/>
      </c>
      <c r="I599" s="29" t="str">
        <f>IF(Analysis!$I599="","",IF(Analysis!$I599="Embedded",Analysis!$F599,""))</f>
        <v/>
      </c>
      <c r="J599" s="29" t="str">
        <f>IF(Analysis!$I599="","",IF(Analysis!$I599="Loyal but shallow",Analysis!$F599,""))</f>
        <v/>
      </c>
      <c r="K599" s="29" t="str">
        <f>IF(Analysis!$I599="","",IF(Analysis!$I599="Project-driven",Analysis!$F599,""))</f>
        <v/>
      </c>
      <c r="L599" s="29" t="str">
        <f>IF(Analysis!$I599="","",IF(Analysis!$I599="Drifting",Analysis!$F599,""))</f>
        <v/>
      </c>
      <c r="M599" s="29" t="str">
        <f>IF(Analysis!$I599="","",IF(Analysis!$I599="Embedded",Analysis!$H599,""))</f>
        <v/>
      </c>
      <c r="N599" s="29" t="str">
        <f>IF(Analysis!$I599="","",IF(Analysis!$I599="Loyal but shallow",Analysis!$H599,""))</f>
        <v/>
      </c>
      <c r="O599" s="29" t="str">
        <f>IF(Analysis!$I599="","",IF(Analysis!$I599="Project-driven",Analysis!$H599,""))</f>
        <v/>
      </c>
      <c r="P599" s="29" t="str">
        <f>IF(Analysis!$I599="","",IF(Analysis!$I599="Drifting",Analysis!$H599,""))</f>
        <v/>
      </c>
    </row>
    <row r="600" spans="1:16" x14ac:dyDescent="0.25">
      <c r="A600" s="29" t="str">
        <f>IF(Analysis!$I600="","",IF(Analysis!$I600="Embedded",Analysis!$D600,""))</f>
        <v/>
      </c>
      <c r="B600" s="29" t="str">
        <f>IF(Analysis!$I600="","",IF(Analysis!$I600="Loyal but shallow",Analysis!$D600,""))</f>
        <v/>
      </c>
      <c r="C600" s="29" t="str">
        <f>IF(Analysis!$I600="","",IF(Analysis!$I600="Project-driven",Analysis!$D600,""))</f>
        <v/>
      </c>
      <c r="D600" s="29" t="str">
        <f>IF(Analysis!$I600="","",IF(Analysis!$I600="Drifting",Analysis!$D600,""))</f>
        <v/>
      </c>
      <c r="E600" s="29" t="str">
        <f>IF(Analysis!$I600="","",IF(Analysis!$I600="Embedded",Analysis!$C600,""))</f>
        <v/>
      </c>
      <c r="F600" s="29" t="str">
        <f>IF(Analysis!$I600="","",IF(Analysis!$I600="Loyal but shallow",Analysis!$C600,""))</f>
        <v/>
      </c>
      <c r="G600" s="29" t="str">
        <f>IF(Analysis!$I600="","",IF(Analysis!$I600="Project-driven",Analysis!$C600,""))</f>
        <v/>
      </c>
      <c r="H600" s="29" t="str">
        <f>IF(Analysis!$I600="","",IF(Analysis!$I600="Drifting",Analysis!$C600,""))</f>
        <v/>
      </c>
      <c r="I600" s="29" t="str">
        <f>IF(Analysis!$I600="","",IF(Analysis!$I600="Embedded",Analysis!$F600,""))</f>
        <v/>
      </c>
      <c r="J600" s="29" t="str">
        <f>IF(Analysis!$I600="","",IF(Analysis!$I600="Loyal but shallow",Analysis!$F600,""))</f>
        <v/>
      </c>
      <c r="K600" s="29" t="str">
        <f>IF(Analysis!$I600="","",IF(Analysis!$I600="Project-driven",Analysis!$F600,""))</f>
        <v/>
      </c>
      <c r="L600" s="29" t="str">
        <f>IF(Analysis!$I600="","",IF(Analysis!$I600="Drifting",Analysis!$F600,""))</f>
        <v/>
      </c>
      <c r="M600" s="29" t="str">
        <f>IF(Analysis!$I600="","",IF(Analysis!$I600="Embedded",Analysis!$H600,""))</f>
        <v/>
      </c>
      <c r="N600" s="29" t="str">
        <f>IF(Analysis!$I600="","",IF(Analysis!$I600="Loyal but shallow",Analysis!$H600,""))</f>
        <v/>
      </c>
      <c r="O600" s="29" t="str">
        <f>IF(Analysis!$I600="","",IF(Analysis!$I600="Project-driven",Analysis!$H600,""))</f>
        <v/>
      </c>
      <c r="P600" s="29" t="str">
        <f>IF(Analysis!$I600="","",IF(Analysis!$I600="Drifting",Analysis!$H600,""))</f>
        <v/>
      </c>
    </row>
    <row r="601" spans="1:16" x14ac:dyDescent="0.25">
      <c r="A601" s="29" t="str">
        <f>IF(Analysis!$I601="","",IF(Analysis!$I601="Embedded",Analysis!$D601,""))</f>
        <v/>
      </c>
      <c r="B601" s="29" t="str">
        <f>IF(Analysis!$I601="","",IF(Analysis!$I601="Loyal but shallow",Analysis!$D601,""))</f>
        <v/>
      </c>
      <c r="C601" s="29" t="str">
        <f>IF(Analysis!$I601="","",IF(Analysis!$I601="Project-driven",Analysis!$D601,""))</f>
        <v/>
      </c>
      <c r="D601" s="29" t="str">
        <f>IF(Analysis!$I601="","",IF(Analysis!$I601="Drifting",Analysis!$D601,""))</f>
        <v/>
      </c>
      <c r="E601" s="29" t="str">
        <f>IF(Analysis!$I601="","",IF(Analysis!$I601="Embedded",Analysis!$C601,""))</f>
        <v/>
      </c>
      <c r="F601" s="29" t="str">
        <f>IF(Analysis!$I601="","",IF(Analysis!$I601="Loyal but shallow",Analysis!$C601,""))</f>
        <v/>
      </c>
      <c r="G601" s="29" t="str">
        <f>IF(Analysis!$I601="","",IF(Analysis!$I601="Project-driven",Analysis!$C601,""))</f>
        <v/>
      </c>
      <c r="H601" s="29" t="str">
        <f>IF(Analysis!$I601="","",IF(Analysis!$I601="Drifting",Analysis!$C601,""))</f>
        <v/>
      </c>
      <c r="I601" s="29" t="str">
        <f>IF(Analysis!$I601="","",IF(Analysis!$I601="Embedded",Analysis!$F601,""))</f>
        <v/>
      </c>
      <c r="J601" s="29" t="str">
        <f>IF(Analysis!$I601="","",IF(Analysis!$I601="Loyal but shallow",Analysis!$F601,""))</f>
        <v/>
      </c>
      <c r="K601" s="29" t="str">
        <f>IF(Analysis!$I601="","",IF(Analysis!$I601="Project-driven",Analysis!$F601,""))</f>
        <v/>
      </c>
      <c r="L601" s="29" t="str">
        <f>IF(Analysis!$I601="","",IF(Analysis!$I601="Drifting",Analysis!$F601,""))</f>
        <v/>
      </c>
      <c r="M601" s="29" t="str">
        <f>IF(Analysis!$I601="","",IF(Analysis!$I601="Embedded",Analysis!$H601,""))</f>
        <v/>
      </c>
      <c r="N601" s="29" t="str">
        <f>IF(Analysis!$I601="","",IF(Analysis!$I601="Loyal but shallow",Analysis!$H601,""))</f>
        <v/>
      </c>
      <c r="O601" s="29" t="str">
        <f>IF(Analysis!$I601="","",IF(Analysis!$I601="Project-driven",Analysis!$H601,""))</f>
        <v/>
      </c>
      <c r="P601" s="29" t="str">
        <f>IF(Analysis!$I601="","",IF(Analysis!$I601="Drifting",Analysis!$H601,""))</f>
        <v/>
      </c>
    </row>
    <row r="602" spans="1:16" x14ac:dyDescent="0.25">
      <c r="A602" s="29" t="str">
        <f>IF(Analysis!$I602="","",IF(Analysis!$I602="Embedded",Analysis!$D602,""))</f>
        <v/>
      </c>
      <c r="B602" s="29" t="str">
        <f>IF(Analysis!$I602="","",IF(Analysis!$I602="Loyal but shallow",Analysis!$D602,""))</f>
        <v/>
      </c>
      <c r="C602" s="29" t="str">
        <f>IF(Analysis!$I602="","",IF(Analysis!$I602="Project-driven",Analysis!$D602,""))</f>
        <v/>
      </c>
      <c r="D602" s="29" t="str">
        <f>IF(Analysis!$I602="","",IF(Analysis!$I602="Drifting",Analysis!$D602,""))</f>
        <v/>
      </c>
      <c r="E602" s="29" t="str">
        <f>IF(Analysis!$I602="","",IF(Analysis!$I602="Embedded",Analysis!$C602,""))</f>
        <v/>
      </c>
      <c r="F602" s="29" t="str">
        <f>IF(Analysis!$I602="","",IF(Analysis!$I602="Loyal but shallow",Analysis!$C602,""))</f>
        <v/>
      </c>
      <c r="G602" s="29" t="str">
        <f>IF(Analysis!$I602="","",IF(Analysis!$I602="Project-driven",Analysis!$C602,""))</f>
        <v/>
      </c>
      <c r="H602" s="29" t="str">
        <f>IF(Analysis!$I602="","",IF(Analysis!$I602="Drifting",Analysis!$C602,""))</f>
        <v/>
      </c>
      <c r="I602" s="29" t="str">
        <f>IF(Analysis!$I602="","",IF(Analysis!$I602="Embedded",Analysis!$F602,""))</f>
        <v/>
      </c>
      <c r="J602" s="29" t="str">
        <f>IF(Analysis!$I602="","",IF(Analysis!$I602="Loyal but shallow",Analysis!$F602,""))</f>
        <v/>
      </c>
      <c r="K602" s="29" t="str">
        <f>IF(Analysis!$I602="","",IF(Analysis!$I602="Project-driven",Analysis!$F602,""))</f>
        <v/>
      </c>
      <c r="L602" s="29" t="str">
        <f>IF(Analysis!$I602="","",IF(Analysis!$I602="Drifting",Analysis!$F602,""))</f>
        <v/>
      </c>
      <c r="M602" s="29" t="str">
        <f>IF(Analysis!$I602="","",IF(Analysis!$I602="Embedded",Analysis!$H602,""))</f>
        <v/>
      </c>
      <c r="N602" s="29" t="str">
        <f>IF(Analysis!$I602="","",IF(Analysis!$I602="Loyal but shallow",Analysis!$H602,""))</f>
        <v/>
      </c>
      <c r="O602" s="29" t="str">
        <f>IF(Analysis!$I602="","",IF(Analysis!$I602="Project-driven",Analysis!$H602,""))</f>
        <v/>
      </c>
      <c r="P602" s="29" t="str">
        <f>IF(Analysis!$I602="","",IF(Analysis!$I602="Drifting",Analysis!$H602,""))</f>
        <v/>
      </c>
    </row>
    <row r="603" spans="1:16" x14ac:dyDescent="0.25">
      <c r="A603" s="29" t="str">
        <f>IF(Analysis!$I603="","",IF(Analysis!$I603="Embedded",Analysis!$D603,""))</f>
        <v/>
      </c>
      <c r="B603" s="29" t="str">
        <f>IF(Analysis!$I603="","",IF(Analysis!$I603="Loyal but shallow",Analysis!$D603,""))</f>
        <v/>
      </c>
      <c r="C603" s="29" t="str">
        <f>IF(Analysis!$I603="","",IF(Analysis!$I603="Project-driven",Analysis!$D603,""))</f>
        <v/>
      </c>
      <c r="D603" s="29" t="str">
        <f>IF(Analysis!$I603="","",IF(Analysis!$I603="Drifting",Analysis!$D603,""))</f>
        <v/>
      </c>
      <c r="E603" s="29" t="str">
        <f>IF(Analysis!$I603="","",IF(Analysis!$I603="Embedded",Analysis!$C603,""))</f>
        <v/>
      </c>
      <c r="F603" s="29" t="str">
        <f>IF(Analysis!$I603="","",IF(Analysis!$I603="Loyal but shallow",Analysis!$C603,""))</f>
        <v/>
      </c>
      <c r="G603" s="29" t="str">
        <f>IF(Analysis!$I603="","",IF(Analysis!$I603="Project-driven",Analysis!$C603,""))</f>
        <v/>
      </c>
      <c r="H603" s="29" t="str">
        <f>IF(Analysis!$I603="","",IF(Analysis!$I603="Drifting",Analysis!$C603,""))</f>
        <v/>
      </c>
      <c r="I603" s="29" t="str">
        <f>IF(Analysis!$I603="","",IF(Analysis!$I603="Embedded",Analysis!$F603,""))</f>
        <v/>
      </c>
      <c r="J603" s="29" t="str">
        <f>IF(Analysis!$I603="","",IF(Analysis!$I603="Loyal but shallow",Analysis!$F603,""))</f>
        <v/>
      </c>
      <c r="K603" s="29" t="str">
        <f>IF(Analysis!$I603="","",IF(Analysis!$I603="Project-driven",Analysis!$F603,""))</f>
        <v/>
      </c>
      <c r="L603" s="29" t="str">
        <f>IF(Analysis!$I603="","",IF(Analysis!$I603="Drifting",Analysis!$F603,""))</f>
        <v/>
      </c>
      <c r="M603" s="29" t="str">
        <f>IF(Analysis!$I603="","",IF(Analysis!$I603="Embedded",Analysis!$H603,""))</f>
        <v/>
      </c>
      <c r="N603" s="29" t="str">
        <f>IF(Analysis!$I603="","",IF(Analysis!$I603="Loyal but shallow",Analysis!$H603,""))</f>
        <v/>
      </c>
      <c r="O603" s="29" t="str">
        <f>IF(Analysis!$I603="","",IF(Analysis!$I603="Project-driven",Analysis!$H603,""))</f>
        <v/>
      </c>
      <c r="P603" s="29" t="str">
        <f>IF(Analysis!$I603="","",IF(Analysis!$I603="Drifting",Analysis!$H603,""))</f>
        <v/>
      </c>
    </row>
    <row r="604" spans="1:16" x14ac:dyDescent="0.25">
      <c r="A604" s="29" t="str">
        <f>IF(Analysis!$I604="","",IF(Analysis!$I604="Embedded",Analysis!$D604,""))</f>
        <v/>
      </c>
      <c r="B604" s="29" t="str">
        <f>IF(Analysis!$I604="","",IF(Analysis!$I604="Loyal but shallow",Analysis!$D604,""))</f>
        <v/>
      </c>
      <c r="C604" s="29" t="str">
        <f>IF(Analysis!$I604="","",IF(Analysis!$I604="Project-driven",Analysis!$D604,""))</f>
        <v/>
      </c>
      <c r="D604" s="29" t="str">
        <f>IF(Analysis!$I604="","",IF(Analysis!$I604="Drifting",Analysis!$D604,""))</f>
        <v/>
      </c>
      <c r="E604" s="29" t="str">
        <f>IF(Analysis!$I604="","",IF(Analysis!$I604="Embedded",Analysis!$C604,""))</f>
        <v/>
      </c>
      <c r="F604" s="29" t="str">
        <f>IF(Analysis!$I604="","",IF(Analysis!$I604="Loyal but shallow",Analysis!$C604,""))</f>
        <v/>
      </c>
      <c r="G604" s="29" t="str">
        <f>IF(Analysis!$I604="","",IF(Analysis!$I604="Project-driven",Analysis!$C604,""))</f>
        <v/>
      </c>
      <c r="H604" s="29" t="str">
        <f>IF(Analysis!$I604="","",IF(Analysis!$I604="Drifting",Analysis!$C604,""))</f>
        <v/>
      </c>
      <c r="I604" s="29" t="str">
        <f>IF(Analysis!$I604="","",IF(Analysis!$I604="Embedded",Analysis!$F604,""))</f>
        <v/>
      </c>
      <c r="J604" s="29" t="str">
        <f>IF(Analysis!$I604="","",IF(Analysis!$I604="Loyal but shallow",Analysis!$F604,""))</f>
        <v/>
      </c>
      <c r="K604" s="29" t="str">
        <f>IF(Analysis!$I604="","",IF(Analysis!$I604="Project-driven",Analysis!$F604,""))</f>
        <v/>
      </c>
      <c r="L604" s="29" t="str">
        <f>IF(Analysis!$I604="","",IF(Analysis!$I604="Drifting",Analysis!$F604,""))</f>
        <v/>
      </c>
      <c r="M604" s="29" t="str">
        <f>IF(Analysis!$I604="","",IF(Analysis!$I604="Embedded",Analysis!$H604,""))</f>
        <v/>
      </c>
      <c r="N604" s="29" t="str">
        <f>IF(Analysis!$I604="","",IF(Analysis!$I604="Loyal but shallow",Analysis!$H604,""))</f>
        <v/>
      </c>
      <c r="O604" s="29" t="str">
        <f>IF(Analysis!$I604="","",IF(Analysis!$I604="Project-driven",Analysis!$H604,""))</f>
        <v/>
      </c>
      <c r="P604" s="29" t="str">
        <f>IF(Analysis!$I604="","",IF(Analysis!$I604="Drifting",Analysis!$H604,""))</f>
        <v/>
      </c>
    </row>
    <row r="605" spans="1:16" x14ac:dyDescent="0.25">
      <c r="A605" s="29" t="str">
        <f>IF(Analysis!$I605="","",IF(Analysis!$I605="Embedded",Analysis!$D605,""))</f>
        <v/>
      </c>
      <c r="B605" s="29" t="str">
        <f>IF(Analysis!$I605="","",IF(Analysis!$I605="Loyal but shallow",Analysis!$D605,""))</f>
        <v/>
      </c>
      <c r="C605" s="29" t="str">
        <f>IF(Analysis!$I605="","",IF(Analysis!$I605="Project-driven",Analysis!$D605,""))</f>
        <v/>
      </c>
      <c r="D605" s="29" t="str">
        <f>IF(Analysis!$I605="","",IF(Analysis!$I605="Drifting",Analysis!$D605,""))</f>
        <v/>
      </c>
      <c r="E605" s="29" t="str">
        <f>IF(Analysis!$I605="","",IF(Analysis!$I605="Embedded",Analysis!$C605,""))</f>
        <v/>
      </c>
      <c r="F605" s="29" t="str">
        <f>IF(Analysis!$I605="","",IF(Analysis!$I605="Loyal but shallow",Analysis!$C605,""))</f>
        <v/>
      </c>
      <c r="G605" s="29" t="str">
        <f>IF(Analysis!$I605="","",IF(Analysis!$I605="Project-driven",Analysis!$C605,""))</f>
        <v/>
      </c>
      <c r="H605" s="29" t="str">
        <f>IF(Analysis!$I605="","",IF(Analysis!$I605="Drifting",Analysis!$C605,""))</f>
        <v/>
      </c>
      <c r="I605" s="29" t="str">
        <f>IF(Analysis!$I605="","",IF(Analysis!$I605="Embedded",Analysis!$F605,""))</f>
        <v/>
      </c>
      <c r="J605" s="29" t="str">
        <f>IF(Analysis!$I605="","",IF(Analysis!$I605="Loyal but shallow",Analysis!$F605,""))</f>
        <v/>
      </c>
      <c r="K605" s="29" t="str">
        <f>IF(Analysis!$I605="","",IF(Analysis!$I605="Project-driven",Analysis!$F605,""))</f>
        <v/>
      </c>
      <c r="L605" s="29" t="str">
        <f>IF(Analysis!$I605="","",IF(Analysis!$I605="Drifting",Analysis!$F605,""))</f>
        <v/>
      </c>
      <c r="M605" s="29" t="str">
        <f>IF(Analysis!$I605="","",IF(Analysis!$I605="Embedded",Analysis!$H605,""))</f>
        <v/>
      </c>
      <c r="N605" s="29" t="str">
        <f>IF(Analysis!$I605="","",IF(Analysis!$I605="Loyal but shallow",Analysis!$H605,""))</f>
        <v/>
      </c>
      <c r="O605" s="29" t="str">
        <f>IF(Analysis!$I605="","",IF(Analysis!$I605="Project-driven",Analysis!$H605,""))</f>
        <v/>
      </c>
      <c r="P605" s="29" t="str">
        <f>IF(Analysis!$I605="","",IF(Analysis!$I605="Drifting",Analysis!$H605,""))</f>
        <v/>
      </c>
    </row>
    <row r="606" spans="1:16" x14ac:dyDescent="0.25">
      <c r="A606" s="29" t="str">
        <f>IF(Analysis!$I606="","",IF(Analysis!$I606="Embedded",Analysis!$D606,""))</f>
        <v/>
      </c>
      <c r="B606" s="29" t="str">
        <f>IF(Analysis!$I606="","",IF(Analysis!$I606="Loyal but shallow",Analysis!$D606,""))</f>
        <v/>
      </c>
      <c r="C606" s="29" t="str">
        <f>IF(Analysis!$I606="","",IF(Analysis!$I606="Project-driven",Analysis!$D606,""))</f>
        <v/>
      </c>
      <c r="D606" s="29" t="str">
        <f>IF(Analysis!$I606="","",IF(Analysis!$I606="Drifting",Analysis!$D606,""))</f>
        <v/>
      </c>
      <c r="E606" s="29" t="str">
        <f>IF(Analysis!$I606="","",IF(Analysis!$I606="Embedded",Analysis!$C606,""))</f>
        <v/>
      </c>
      <c r="F606" s="29" t="str">
        <f>IF(Analysis!$I606="","",IF(Analysis!$I606="Loyal but shallow",Analysis!$C606,""))</f>
        <v/>
      </c>
      <c r="G606" s="29" t="str">
        <f>IF(Analysis!$I606="","",IF(Analysis!$I606="Project-driven",Analysis!$C606,""))</f>
        <v/>
      </c>
      <c r="H606" s="29" t="str">
        <f>IF(Analysis!$I606="","",IF(Analysis!$I606="Drifting",Analysis!$C606,""))</f>
        <v/>
      </c>
      <c r="I606" s="29" t="str">
        <f>IF(Analysis!$I606="","",IF(Analysis!$I606="Embedded",Analysis!$F606,""))</f>
        <v/>
      </c>
      <c r="J606" s="29" t="str">
        <f>IF(Analysis!$I606="","",IF(Analysis!$I606="Loyal but shallow",Analysis!$F606,""))</f>
        <v/>
      </c>
      <c r="K606" s="29" t="str">
        <f>IF(Analysis!$I606="","",IF(Analysis!$I606="Project-driven",Analysis!$F606,""))</f>
        <v/>
      </c>
      <c r="L606" s="29" t="str">
        <f>IF(Analysis!$I606="","",IF(Analysis!$I606="Drifting",Analysis!$F606,""))</f>
        <v/>
      </c>
      <c r="M606" s="29" t="str">
        <f>IF(Analysis!$I606="","",IF(Analysis!$I606="Embedded",Analysis!$H606,""))</f>
        <v/>
      </c>
      <c r="N606" s="29" t="str">
        <f>IF(Analysis!$I606="","",IF(Analysis!$I606="Loyal but shallow",Analysis!$H606,""))</f>
        <v/>
      </c>
      <c r="O606" s="29" t="str">
        <f>IF(Analysis!$I606="","",IF(Analysis!$I606="Project-driven",Analysis!$H606,""))</f>
        <v/>
      </c>
      <c r="P606" s="29" t="str">
        <f>IF(Analysis!$I606="","",IF(Analysis!$I606="Drifting",Analysis!$H606,""))</f>
        <v/>
      </c>
    </row>
    <row r="607" spans="1:16" x14ac:dyDescent="0.25">
      <c r="A607" s="29" t="str">
        <f>IF(Analysis!$I607="","",IF(Analysis!$I607="Embedded",Analysis!$D607,""))</f>
        <v/>
      </c>
      <c r="B607" s="29" t="str">
        <f>IF(Analysis!$I607="","",IF(Analysis!$I607="Loyal but shallow",Analysis!$D607,""))</f>
        <v/>
      </c>
      <c r="C607" s="29" t="str">
        <f>IF(Analysis!$I607="","",IF(Analysis!$I607="Project-driven",Analysis!$D607,""))</f>
        <v/>
      </c>
      <c r="D607" s="29" t="str">
        <f>IF(Analysis!$I607="","",IF(Analysis!$I607="Drifting",Analysis!$D607,""))</f>
        <v/>
      </c>
      <c r="E607" s="29" t="str">
        <f>IF(Analysis!$I607="","",IF(Analysis!$I607="Embedded",Analysis!$C607,""))</f>
        <v/>
      </c>
      <c r="F607" s="29" t="str">
        <f>IF(Analysis!$I607="","",IF(Analysis!$I607="Loyal but shallow",Analysis!$C607,""))</f>
        <v/>
      </c>
      <c r="G607" s="29" t="str">
        <f>IF(Analysis!$I607="","",IF(Analysis!$I607="Project-driven",Analysis!$C607,""))</f>
        <v/>
      </c>
      <c r="H607" s="29" t="str">
        <f>IF(Analysis!$I607="","",IF(Analysis!$I607="Drifting",Analysis!$C607,""))</f>
        <v/>
      </c>
      <c r="I607" s="29" t="str">
        <f>IF(Analysis!$I607="","",IF(Analysis!$I607="Embedded",Analysis!$F607,""))</f>
        <v/>
      </c>
      <c r="J607" s="29" t="str">
        <f>IF(Analysis!$I607="","",IF(Analysis!$I607="Loyal but shallow",Analysis!$F607,""))</f>
        <v/>
      </c>
      <c r="K607" s="29" t="str">
        <f>IF(Analysis!$I607="","",IF(Analysis!$I607="Project-driven",Analysis!$F607,""))</f>
        <v/>
      </c>
      <c r="L607" s="29" t="str">
        <f>IF(Analysis!$I607="","",IF(Analysis!$I607="Drifting",Analysis!$F607,""))</f>
        <v/>
      </c>
      <c r="M607" s="29" t="str">
        <f>IF(Analysis!$I607="","",IF(Analysis!$I607="Embedded",Analysis!$H607,""))</f>
        <v/>
      </c>
      <c r="N607" s="29" t="str">
        <f>IF(Analysis!$I607="","",IF(Analysis!$I607="Loyal but shallow",Analysis!$H607,""))</f>
        <v/>
      </c>
      <c r="O607" s="29" t="str">
        <f>IF(Analysis!$I607="","",IF(Analysis!$I607="Project-driven",Analysis!$H607,""))</f>
        <v/>
      </c>
      <c r="P607" s="29" t="str">
        <f>IF(Analysis!$I607="","",IF(Analysis!$I607="Drifting",Analysis!$H607,""))</f>
        <v/>
      </c>
    </row>
    <row r="608" spans="1:16" x14ac:dyDescent="0.25">
      <c r="A608" s="29" t="str">
        <f>IF(Analysis!$I608="","",IF(Analysis!$I608="Embedded",Analysis!$D608,""))</f>
        <v/>
      </c>
      <c r="B608" s="29" t="str">
        <f>IF(Analysis!$I608="","",IF(Analysis!$I608="Loyal but shallow",Analysis!$D608,""))</f>
        <v/>
      </c>
      <c r="C608" s="29" t="str">
        <f>IF(Analysis!$I608="","",IF(Analysis!$I608="Project-driven",Analysis!$D608,""))</f>
        <v/>
      </c>
      <c r="D608" s="29" t="str">
        <f>IF(Analysis!$I608="","",IF(Analysis!$I608="Drifting",Analysis!$D608,""))</f>
        <v/>
      </c>
      <c r="E608" s="29" t="str">
        <f>IF(Analysis!$I608="","",IF(Analysis!$I608="Embedded",Analysis!$C608,""))</f>
        <v/>
      </c>
      <c r="F608" s="29" t="str">
        <f>IF(Analysis!$I608="","",IF(Analysis!$I608="Loyal but shallow",Analysis!$C608,""))</f>
        <v/>
      </c>
      <c r="G608" s="29" t="str">
        <f>IF(Analysis!$I608="","",IF(Analysis!$I608="Project-driven",Analysis!$C608,""))</f>
        <v/>
      </c>
      <c r="H608" s="29" t="str">
        <f>IF(Analysis!$I608="","",IF(Analysis!$I608="Drifting",Analysis!$C608,""))</f>
        <v/>
      </c>
      <c r="I608" s="29" t="str">
        <f>IF(Analysis!$I608="","",IF(Analysis!$I608="Embedded",Analysis!$F608,""))</f>
        <v/>
      </c>
      <c r="J608" s="29" t="str">
        <f>IF(Analysis!$I608="","",IF(Analysis!$I608="Loyal but shallow",Analysis!$F608,""))</f>
        <v/>
      </c>
      <c r="K608" s="29" t="str">
        <f>IF(Analysis!$I608="","",IF(Analysis!$I608="Project-driven",Analysis!$F608,""))</f>
        <v/>
      </c>
      <c r="L608" s="29" t="str">
        <f>IF(Analysis!$I608="","",IF(Analysis!$I608="Drifting",Analysis!$F608,""))</f>
        <v/>
      </c>
      <c r="M608" s="29" t="str">
        <f>IF(Analysis!$I608="","",IF(Analysis!$I608="Embedded",Analysis!$H608,""))</f>
        <v/>
      </c>
      <c r="N608" s="29" t="str">
        <f>IF(Analysis!$I608="","",IF(Analysis!$I608="Loyal but shallow",Analysis!$H608,""))</f>
        <v/>
      </c>
      <c r="O608" s="29" t="str">
        <f>IF(Analysis!$I608="","",IF(Analysis!$I608="Project-driven",Analysis!$H608,""))</f>
        <v/>
      </c>
      <c r="P608" s="29" t="str">
        <f>IF(Analysis!$I608="","",IF(Analysis!$I608="Drifting",Analysis!$H608,""))</f>
        <v/>
      </c>
    </row>
    <row r="609" spans="1:16" x14ac:dyDescent="0.25">
      <c r="A609" s="29" t="str">
        <f>IF(Analysis!$I609="","",IF(Analysis!$I609="Embedded",Analysis!$D609,""))</f>
        <v/>
      </c>
      <c r="B609" s="29" t="str">
        <f>IF(Analysis!$I609="","",IF(Analysis!$I609="Loyal but shallow",Analysis!$D609,""))</f>
        <v/>
      </c>
      <c r="C609" s="29" t="str">
        <f>IF(Analysis!$I609="","",IF(Analysis!$I609="Project-driven",Analysis!$D609,""))</f>
        <v/>
      </c>
      <c r="D609" s="29" t="str">
        <f>IF(Analysis!$I609="","",IF(Analysis!$I609="Drifting",Analysis!$D609,""))</f>
        <v/>
      </c>
      <c r="E609" s="29" t="str">
        <f>IF(Analysis!$I609="","",IF(Analysis!$I609="Embedded",Analysis!$C609,""))</f>
        <v/>
      </c>
      <c r="F609" s="29" t="str">
        <f>IF(Analysis!$I609="","",IF(Analysis!$I609="Loyal but shallow",Analysis!$C609,""))</f>
        <v/>
      </c>
      <c r="G609" s="29" t="str">
        <f>IF(Analysis!$I609="","",IF(Analysis!$I609="Project-driven",Analysis!$C609,""))</f>
        <v/>
      </c>
      <c r="H609" s="29" t="str">
        <f>IF(Analysis!$I609="","",IF(Analysis!$I609="Drifting",Analysis!$C609,""))</f>
        <v/>
      </c>
      <c r="I609" s="29" t="str">
        <f>IF(Analysis!$I609="","",IF(Analysis!$I609="Embedded",Analysis!$F609,""))</f>
        <v/>
      </c>
      <c r="J609" s="29" t="str">
        <f>IF(Analysis!$I609="","",IF(Analysis!$I609="Loyal but shallow",Analysis!$F609,""))</f>
        <v/>
      </c>
      <c r="K609" s="29" t="str">
        <f>IF(Analysis!$I609="","",IF(Analysis!$I609="Project-driven",Analysis!$F609,""))</f>
        <v/>
      </c>
      <c r="L609" s="29" t="str">
        <f>IF(Analysis!$I609="","",IF(Analysis!$I609="Drifting",Analysis!$F609,""))</f>
        <v/>
      </c>
      <c r="M609" s="29" t="str">
        <f>IF(Analysis!$I609="","",IF(Analysis!$I609="Embedded",Analysis!$H609,""))</f>
        <v/>
      </c>
      <c r="N609" s="29" t="str">
        <f>IF(Analysis!$I609="","",IF(Analysis!$I609="Loyal but shallow",Analysis!$H609,""))</f>
        <v/>
      </c>
      <c r="O609" s="29" t="str">
        <f>IF(Analysis!$I609="","",IF(Analysis!$I609="Project-driven",Analysis!$H609,""))</f>
        <v/>
      </c>
      <c r="P609" s="29" t="str">
        <f>IF(Analysis!$I609="","",IF(Analysis!$I609="Drifting",Analysis!$H609,""))</f>
        <v/>
      </c>
    </row>
    <row r="610" spans="1:16" x14ac:dyDescent="0.25">
      <c r="A610" s="29" t="str">
        <f>IF(Analysis!$I610="","",IF(Analysis!$I610="Embedded",Analysis!$D610,""))</f>
        <v/>
      </c>
      <c r="B610" s="29" t="str">
        <f>IF(Analysis!$I610="","",IF(Analysis!$I610="Loyal but shallow",Analysis!$D610,""))</f>
        <v/>
      </c>
      <c r="C610" s="29" t="str">
        <f>IF(Analysis!$I610="","",IF(Analysis!$I610="Project-driven",Analysis!$D610,""))</f>
        <v/>
      </c>
      <c r="D610" s="29" t="str">
        <f>IF(Analysis!$I610="","",IF(Analysis!$I610="Drifting",Analysis!$D610,""))</f>
        <v/>
      </c>
      <c r="E610" s="29" t="str">
        <f>IF(Analysis!$I610="","",IF(Analysis!$I610="Embedded",Analysis!$C610,""))</f>
        <v/>
      </c>
      <c r="F610" s="29" t="str">
        <f>IF(Analysis!$I610="","",IF(Analysis!$I610="Loyal but shallow",Analysis!$C610,""))</f>
        <v/>
      </c>
      <c r="G610" s="29" t="str">
        <f>IF(Analysis!$I610="","",IF(Analysis!$I610="Project-driven",Analysis!$C610,""))</f>
        <v/>
      </c>
      <c r="H610" s="29" t="str">
        <f>IF(Analysis!$I610="","",IF(Analysis!$I610="Drifting",Analysis!$C610,""))</f>
        <v/>
      </c>
      <c r="I610" s="29" t="str">
        <f>IF(Analysis!$I610="","",IF(Analysis!$I610="Embedded",Analysis!$F610,""))</f>
        <v/>
      </c>
      <c r="J610" s="29" t="str">
        <f>IF(Analysis!$I610="","",IF(Analysis!$I610="Loyal but shallow",Analysis!$F610,""))</f>
        <v/>
      </c>
      <c r="K610" s="29" t="str">
        <f>IF(Analysis!$I610="","",IF(Analysis!$I610="Project-driven",Analysis!$F610,""))</f>
        <v/>
      </c>
      <c r="L610" s="29" t="str">
        <f>IF(Analysis!$I610="","",IF(Analysis!$I610="Drifting",Analysis!$F610,""))</f>
        <v/>
      </c>
      <c r="M610" s="29" t="str">
        <f>IF(Analysis!$I610="","",IF(Analysis!$I610="Embedded",Analysis!$H610,""))</f>
        <v/>
      </c>
      <c r="N610" s="29" t="str">
        <f>IF(Analysis!$I610="","",IF(Analysis!$I610="Loyal but shallow",Analysis!$H610,""))</f>
        <v/>
      </c>
      <c r="O610" s="29" t="str">
        <f>IF(Analysis!$I610="","",IF(Analysis!$I610="Project-driven",Analysis!$H610,""))</f>
        <v/>
      </c>
      <c r="P610" s="29" t="str">
        <f>IF(Analysis!$I610="","",IF(Analysis!$I610="Drifting",Analysis!$H610,""))</f>
        <v/>
      </c>
    </row>
    <row r="611" spans="1:16" x14ac:dyDescent="0.25">
      <c r="A611" s="29" t="str">
        <f>IF(Analysis!$I611="","",IF(Analysis!$I611="Embedded",Analysis!$D611,""))</f>
        <v/>
      </c>
      <c r="B611" s="29" t="str">
        <f>IF(Analysis!$I611="","",IF(Analysis!$I611="Loyal but shallow",Analysis!$D611,""))</f>
        <v/>
      </c>
      <c r="C611" s="29" t="str">
        <f>IF(Analysis!$I611="","",IF(Analysis!$I611="Project-driven",Analysis!$D611,""))</f>
        <v/>
      </c>
      <c r="D611" s="29" t="str">
        <f>IF(Analysis!$I611="","",IF(Analysis!$I611="Drifting",Analysis!$D611,""))</f>
        <v/>
      </c>
      <c r="E611" s="29" t="str">
        <f>IF(Analysis!$I611="","",IF(Analysis!$I611="Embedded",Analysis!$C611,""))</f>
        <v/>
      </c>
      <c r="F611" s="29" t="str">
        <f>IF(Analysis!$I611="","",IF(Analysis!$I611="Loyal but shallow",Analysis!$C611,""))</f>
        <v/>
      </c>
      <c r="G611" s="29" t="str">
        <f>IF(Analysis!$I611="","",IF(Analysis!$I611="Project-driven",Analysis!$C611,""))</f>
        <v/>
      </c>
      <c r="H611" s="29" t="str">
        <f>IF(Analysis!$I611="","",IF(Analysis!$I611="Drifting",Analysis!$C611,""))</f>
        <v/>
      </c>
      <c r="I611" s="29" t="str">
        <f>IF(Analysis!$I611="","",IF(Analysis!$I611="Embedded",Analysis!$F611,""))</f>
        <v/>
      </c>
      <c r="J611" s="29" t="str">
        <f>IF(Analysis!$I611="","",IF(Analysis!$I611="Loyal but shallow",Analysis!$F611,""))</f>
        <v/>
      </c>
      <c r="K611" s="29" t="str">
        <f>IF(Analysis!$I611="","",IF(Analysis!$I611="Project-driven",Analysis!$F611,""))</f>
        <v/>
      </c>
      <c r="L611" s="29" t="str">
        <f>IF(Analysis!$I611="","",IF(Analysis!$I611="Drifting",Analysis!$F611,""))</f>
        <v/>
      </c>
      <c r="M611" s="29" t="str">
        <f>IF(Analysis!$I611="","",IF(Analysis!$I611="Embedded",Analysis!$H611,""))</f>
        <v/>
      </c>
      <c r="N611" s="29" t="str">
        <f>IF(Analysis!$I611="","",IF(Analysis!$I611="Loyal but shallow",Analysis!$H611,""))</f>
        <v/>
      </c>
      <c r="O611" s="29" t="str">
        <f>IF(Analysis!$I611="","",IF(Analysis!$I611="Project-driven",Analysis!$H611,""))</f>
        <v/>
      </c>
      <c r="P611" s="29" t="str">
        <f>IF(Analysis!$I611="","",IF(Analysis!$I611="Drifting",Analysis!$H611,""))</f>
        <v/>
      </c>
    </row>
    <row r="612" spans="1:16" x14ac:dyDescent="0.25">
      <c r="A612" s="29" t="str">
        <f>IF(Analysis!$I612="","",IF(Analysis!$I612="Embedded",Analysis!$D612,""))</f>
        <v/>
      </c>
      <c r="B612" s="29" t="str">
        <f>IF(Analysis!$I612="","",IF(Analysis!$I612="Loyal but shallow",Analysis!$D612,""))</f>
        <v/>
      </c>
      <c r="C612" s="29" t="str">
        <f>IF(Analysis!$I612="","",IF(Analysis!$I612="Project-driven",Analysis!$D612,""))</f>
        <v/>
      </c>
      <c r="D612" s="29" t="str">
        <f>IF(Analysis!$I612="","",IF(Analysis!$I612="Drifting",Analysis!$D612,""))</f>
        <v/>
      </c>
      <c r="E612" s="29" t="str">
        <f>IF(Analysis!$I612="","",IF(Analysis!$I612="Embedded",Analysis!$C612,""))</f>
        <v/>
      </c>
      <c r="F612" s="29" t="str">
        <f>IF(Analysis!$I612="","",IF(Analysis!$I612="Loyal but shallow",Analysis!$C612,""))</f>
        <v/>
      </c>
      <c r="G612" s="29" t="str">
        <f>IF(Analysis!$I612="","",IF(Analysis!$I612="Project-driven",Analysis!$C612,""))</f>
        <v/>
      </c>
      <c r="H612" s="29" t="str">
        <f>IF(Analysis!$I612="","",IF(Analysis!$I612="Drifting",Analysis!$C612,""))</f>
        <v/>
      </c>
      <c r="I612" s="29" t="str">
        <f>IF(Analysis!$I612="","",IF(Analysis!$I612="Embedded",Analysis!$F612,""))</f>
        <v/>
      </c>
      <c r="J612" s="29" t="str">
        <f>IF(Analysis!$I612="","",IF(Analysis!$I612="Loyal but shallow",Analysis!$F612,""))</f>
        <v/>
      </c>
      <c r="K612" s="29" t="str">
        <f>IF(Analysis!$I612="","",IF(Analysis!$I612="Project-driven",Analysis!$F612,""))</f>
        <v/>
      </c>
      <c r="L612" s="29" t="str">
        <f>IF(Analysis!$I612="","",IF(Analysis!$I612="Drifting",Analysis!$F612,""))</f>
        <v/>
      </c>
      <c r="M612" s="29" t="str">
        <f>IF(Analysis!$I612="","",IF(Analysis!$I612="Embedded",Analysis!$H612,""))</f>
        <v/>
      </c>
      <c r="N612" s="29" t="str">
        <f>IF(Analysis!$I612="","",IF(Analysis!$I612="Loyal but shallow",Analysis!$H612,""))</f>
        <v/>
      </c>
      <c r="O612" s="29" t="str">
        <f>IF(Analysis!$I612="","",IF(Analysis!$I612="Project-driven",Analysis!$H612,""))</f>
        <v/>
      </c>
      <c r="P612" s="29" t="str">
        <f>IF(Analysis!$I612="","",IF(Analysis!$I612="Drifting",Analysis!$H612,""))</f>
        <v/>
      </c>
    </row>
    <row r="613" spans="1:16" x14ac:dyDescent="0.25">
      <c r="A613" s="29" t="str">
        <f>IF(Analysis!$I613="","",IF(Analysis!$I613="Embedded",Analysis!$D613,""))</f>
        <v/>
      </c>
      <c r="B613" s="29" t="str">
        <f>IF(Analysis!$I613="","",IF(Analysis!$I613="Loyal but shallow",Analysis!$D613,""))</f>
        <v/>
      </c>
      <c r="C613" s="29" t="str">
        <f>IF(Analysis!$I613="","",IF(Analysis!$I613="Project-driven",Analysis!$D613,""))</f>
        <v/>
      </c>
      <c r="D613" s="29" t="str">
        <f>IF(Analysis!$I613="","",IF(Analysis!$I613="Drifting",Analysis!$D613,""))</f>
        <v/>
      </c>
      <c r="E613" s="29" t="str">
        <f>IF(Analysis!$I613="","",IF(Analysis!$I613="Embedded",Analysis!$C613,""))</f>
        <v/>
      </c>
      <c r="F613" s="29" t="str">
        <f>IF(Analysis!$I613="","",IF(Analysis!$I613="Loyal but shallow",Analysis!$C613,""))</f>
        <v/>
      </c>
      <c r="G613" s="29" t="str">
        <f>IF(Analysis!$I613="","",IF(Analysis!$I613="Project-driven",Analysis!$C613,""))</f>
        <v/>
      </c>
      <c r="H613" s="29" t="str">
        <f>IF(Analysis!$I613="","",IF(Analysis!$I613="Drifting",Analysis!$C613,""))</f>
        <v/>
      </c>
      <c r="I613" s="29" t="str">
        <f>IF(Analysis!$I613="","",IF(Analysis!$I613="Embedded",Analysis!$F613,""))</f>
        <v/>
      </c>
      <c r="J613" s="29" t="str">
        <f>IF(Analysis!$I613="","",IF(Analysis!$I613="Loyal but shallow",Analysis!$F613,""))</f>
        <v/>
      </c>
      <c r="K613" s="29" t="str">
        <f>IF(Analysis!$I613="","",IF(Analysis!$I613="Project-driven",Analysis!$F613,""))</f>
        <v/>
      </c>
      <c r="L613" s="29" t="str">
        <f>IF(Analysis!$I613="","",IF(Analysis!$I613="Drifting",Analysis!$F613,""))</f>
        <v/>
      </c>
      <c r="M613" s="29" t="str">
        <f>IF(Analysis!$I613="","",IF(Analysis!$I613="Embedded",Analysis!$H613,""))</f>
        <v/>
      </c>
      <c r="N613" s="29" t="str">
        <f>IF(Analysis!$I613="","",IF(Analysis!$I613="Loyal but shallow",Analysis!$H613,""))</f>
        <v/>
      </c>
      <c r="O613" s="29" t="str">
        <f>IF(Analysis!$I613="","",IF(Analysis!$I613="Project-driven",Analysis!$H613,""))</f>
        <v/>
      </c>
      <c r="P613" s="29" t="str">
        <f>IF(Analysis!$I613="","",IF(Analysis!$I613="Drifting",Analysis!$H613,""))</f>
        <v/>
      </c>
    </row>
    <row r="614" spans="1:16" x14ac:dyDescent="0.25">
      <c r="A614" s="29" t="str">
        <f>IF(Analysis!$I614="","",IF(Analysis!$I614="Embedded",Analysis!$D614,""))</f>
        <v/>
      </c>
      <c r="B614" s="29" t="str">
        <f>IF(Analysis!$I614="","",IF(Analysis!$I614="Loyal but shallow",Analysis!$D614,""))</f>
        <v/>
      </c>
      <c r="C614" s="29" t="str">
        <f>IF(Analysis!$I614="","",IF(Analysis!$I614="Project-driven",Analysis!$D614,""))</f>
        <v/>
      </c>
      <c r="D614" s="29" t="str">
        <f>IF(Analysis!$I614="","",IF(Analysis!$I614="Drifting",Analysis!$D614,""))</f>
        <v/>
      </c>
      <c r="E614" s="29" t="str">
        <f>IF(Analysis!$I614="","",IF(Analysis!$I614="Embedded",Analysis!$C614,""))</f>
        <v/>
      </c>
      <c r="F614" s="29" t="str">
        <f>IF(Analysis!$I614="","",IF(Analysis!$I614="Loyal but shallow",Analysis!$C614,""))</f>
        <v/>
      </c>
      <c r="G614" s="29" t="str">
        <f>IF(Analysis!$I614="","",IF(Analysis!$I614="Project-driven",Analysis!$C614,""))</f>
        <v/>
      </c>
      <c r="H614" s="29" t="str">
        <f>IF(Analysis!$I614="","",IF(Analysis!$I614="Drifting",Analysis!$C614,""))</f>
        <v/>
      </c>
      <c r="I614" s="29" t="str">
        <f>IF(Analysis!$I614="","",IF(Analysis!$I614="Embedded",Analysis!$F614,""))</f>
        <v/>
      </c>
      <c r="J614" s="29" t="str">
        <f>IF(Analysis!$I614="","",IF(Analysis!$I614="Loyal but shallow",Analysis!$F614,""))</f>
        <v/>
      </c>
      <c r="K614" s="29" t="str">
        <f>IF(Analysis!$I614="","",IF(Analysis!$I614="Project-driven",Analysis!$F614,""))</f>
        <v/>
      </c>
      <c r="L614" s="29" t="str">
        <f>IF(Analysis!$I614="","",IF(Analysis!$I614="Drifting",Analysis!$F614,""))</f>
        <v/>
      </c>
      <c r="M614" s="29" t="str">
        <f>IF(Analysis!$I614="","",IF(Analysis!$I614="Embedded",Analysis!$H614,""))</f>
        <v/>
      </c>
      <c r="N614" s="29" t="str">
        <f>IF(Analysis!$I614="","",IF(Analysis!$I614="Loyal but shallow",Analysis!$H614,""))</f>
        <v/>
      </c>
      <c r="O614" s="29" t="str">
        <f>IF(Analysis!$I614="","",IF(Analysis!$I614="Project-driven",Analysis!$H614,""))</f>
        <v/>
      </c>
      <c r="P614" s="29" t="str">
        <f>IF(Analysis!$I614="","",IF(Analysis!$I614="Drifting",Analysis!$H614,""))</f>
        <v/>
      </c>
    </row>
    <row r="615" spans="1:16" x14ac:dyDescent="0.25">
      <c r="A615" s="29" t="str">
        <f>IF(Analysis!$I615="","",IF(Analysis!$I615="Embedded",Analysis!$D615,""))</f>
        <v/>
      </c>
      <c r="B615" s="29" t="str">
        <f>IF(Analysis!$I615="","",IF(Analysis!$I615="Loyal but shallow",Analysis!$D615,""))</f>
        <v/>
      </c>
      <c r="C615" s="29" t="str">
        <f>IF(Analysis!$I615="","",IF(Analysis!$I615="Project-driven",Analysis!$D615,""))</f>
        <v/>
      </c>
      <c r="D615" s="29" t="str">
        <f>IF(Analysis!$I615="","",IF(Analysis!$I615="Drifting",Analysis!$D615,""))</f>
        <v/>
      </c>
      <c r="E615" s="29" t="str">
        <f>IF(Analysis!$I615="","",IF(Analysis!$I615="Embedded",Analysis!$C615,""))</f>
        <v/>
      </c>
      <c r="F615" s="29" t="str">
        <f>IF(Analysis!$I615="","",IF(Analysis!$I615="Loyal but shallow",Analysis!$C615,""))</f>
        <v/>
      </c>
      <c r="G615" s="29" t="str">
        <f>IF(Analysis!$I615="","",IF(Analysis!$I615="Project-driven",Analysis!$C615,""))</f>
        <v/>
      </c>
      <c r="H615" s="29" t="str">
        <f>IF(Analysis!$I615="","",IF(Analysis!$I615="Drifting",Analysis!$C615,""))</f>
        <v/>
      </c>
      <c r="I615" s="29" t="str">
        <f>IF(Analysis!$I615="","",IF(Analysis!$I615="Embedded",Analysis!$F615,""))</f>
        <v/>
      </c>
      <c r="J615" s="29" t="str">
        <f>IF(Analysis!$I615="","",IF(Analysis!$I615="Loyal but shallow",Analysis!$F615,""))</f>
        <v/>
      </c>
      <c r="K615" s="29" t="str">
        <f>IF(Analysis!$I615="","",IF(Analysis!$I615="Project-driven",Analysis!$F615,""))</f>
        <v/>
      </c>
      <c r="L615" s="29" t="str">
        <f>IF(Analysis!$I615="","",IF(Analysis!$I615="Drifting",Analysis!$F615,""))</f>
        <v/>
      </c>
      <c r="M615" s="29" t="str">
        <f>IF(Analysis!$I615="","",IF(Analysis!$I615="Embedded",Analysis!$H615,""))</f>
        <v/>
      </c>
      <c r="N615" s="29" t="str">
        <f>IF(Analysis!$I615="","",IF(Analysis!$I615="Loyal but shallow",Analysis!$H615,""))</f>
        <v/>
      </c>
      <c r="O615" s="29" t="str">
        <f>IF(Analysis!$I615="","",IF(Analysis!$I615="Project-driven",Analysis!$H615,""))</f>
        <v/>
      </c>
      <c r="P615" s="29" t="str">
        <f>IF(Analysis!$I615="","",IF(Analysis!$I615="Drifting",Analysis!$H615,""))</f>
        <v/>
      </c>
    </row>
    <row r="616" spans="1:16" x14ac:dyDescent="0.25">
      <c r="A616" s="29" t="str">
        <f>IF(Analysis!$I616="","",IF(Analysis!$I616="Embedded",Analysis!$D616,""))</f>
        <v/>
      </c>
      <c r="B616" s="29" t="str">
        <f>IF(Analysis!$I616="","",IF(Analysis!$I616="Loyal but shallow",Analysis!$D616,""))</f>
        <v/>
      </c>
      <c r="C616" s="29" t="str">
        <f>IF(Analysis!$I616="","",IF(Analysis!$I616="Project-driven",Analysis!$D616,""))</f>
        <v/>
      </c>
      <c r="D616" s="29" t="str">
        <f>IF(Analysis!$I616="","",IF(Analysis!$I616="Drifting",Analysis!$D616,""))</f>
        <v/>
      </c>
      <c r="E616" s="29" t="str">
        <f>IF(Analysis!$I616="","",IF(Analysis!$I616="Embedded",Analysis!$C616,""))</f>
        <v/>
      </c>
      <c r="F616" s="29" t="str">
        <f>IF(Analysis!$I616="","",IF(Analysis!$I616="Loyal but shallow",Analysis!$C616,""))</f>
        <v/>
      </c>
      <c r="G616" s="29" t="str">
        <f>IF(Analysis!$I616="","",IF(Analysis!$I616="Project-driven",Analysis!$C616,""))</f>
        <v/>
      </c>
      <c r="H616" s="29" t="str">
        <f>IF(Analysis!$I616="","",IF(Analysis!$I616="Drifting",Analysis!$C616,""))</f>
        <v/>
      </c>
      <c r="I616" s="29" t="str">
        <f>IF(Analysis!$I616="","",IF(Analysis!$I616="Embedded",Analysis!$F616,""))</f>
        <v/>
      </c>
      <c r="J616" s="29" t="str">
        <f>IF(Analysis!$I616="","",IF(Analysis!$I616="Loyal but shallow",Analysis!$F616,""))</f>
        <v/>
      </c>
      <c r="K616" s="29" t="str">
        <f>IF(Analysis!$I616="","",IF(Analysis!$I616="Project-driven",Analysis!$F616,""))</f>
        <v/>
      </c>
      <c r="L616" s="29" t="str">
        <f>IF(Analysis!$I616="","",IF(Analysis!$I616="Drifting",Analysis!$F616,""))</f>
        <v/>
      </c>
      <c r="M616" s="29" t="str">
        <f>IF(Analysis!$I616="","",IF(Analysis!$I616="Embedded",Analysis!$H616,""))</f>
        <v/>
      </c>
      <c r="N616" s="29" t="str">
        <f>IF(Analysis!$I616="","",IF(Analysis!$I616="Loyal but shallow",Analysis!$H616,""))</f>
        <v/>
      </c>
      <c r="O616" s="29" t="str">
        <f>IF(Analysis!$I616="","",IF(Analysis!$I616="Project-driven",Analysis!$H616,""))</f>
        <v/>
      </c>
      <c r="P616" s="29" t="str">
        <f>IF(Analysis!$I616="","",IF(Analysis!$I616="Drifting",Analysis!$H616,""))</f>
        <v/>
      </c>
    </row>
    <row r="617" spans="1:16" x14ac:dyDescent="0.25">
      <c r="A617" s="29" t="str">
        <f>IF(Analysis!$I617="","",IF(Analysis!$I617="Embedded",Analysis!$D617,""))</f>
        <v/>
      </c>
      <c r="B617" s="29" t="str">
        <f>IF(Analysis!$I617="","",IF(Analysis!$I617="Loyal but shallow",Analysis!$D617,""))</f>
        <v/>
      </c>
      <c r="C617" s="29" t="str">
        <f>IF(Analysis!$I617="","",IF(Analysis!$I617="Project-driven",Analysis!$D617,""))</f>
        <v/>
      </c>
      <c r="D617" s="29" t="str">
        <f>IF(Analysis!$I617="","",IF(Analysis!$I617="Drifting",Analysis!$D617,""))</f>
        <v/>
      </c>
      <c r="E617" s="29" t="str">
        <f>IF(Analysis!$I617="","",IF(Analysis!$I617="Embedded",Analysis!$C617,""))</f>
        <v/>
      </c>
      <c r="F617" s="29" t="str">
        <f>IF(Analysis!$I617="","",IF(Analysis!$I617="Loyal but shallow",Analysis!$C617,""))</f>
        <v/>
      </c>
      <c r="G617" s="29" t="str">
        <f>IF(Analysis!$I617="","",IF(Analysis!$I617="Project-driven",Analysis!$C617,""))</f>
        <v/>
      </c>
      <c r="H617" s="29" t="str">
        <f>IF(Analysis!$I617="","",IF(Analysis!$I617="Drifting",Analysis!$C617,""))</f>
        <v/>
      </c>
      <c r="I617" s="29" t="str">
        <f>IF(Analysis!$I617="","",IF(Analysis!$I617="Embedded",Analysis!$F617,""))</f>
        <v/>
      </c>
      <c r="J617" s="29" t="str">
        <f>IF(Analysis!$I617="","",IF(Analysis!$I617="Loyal but shallow",Analysis!$F617,""))</f>
        <v/>
      </c>
      <c r="K617" s="29" t="str">
        <f>IF(Analysis!$I617="","",IF(Analysis!$I617="Project-driven",Analysis!$F617,""))</f>
        <v/>
      </c>
      <c r="L617" s="29" t="str">
        <f>IF(Analysis!$I617="","",IF(Analysis!$I617="Drifting",Analysis!$F617,""))</f>
        <v/>
      </c>
      <c r="M617" s="29" t="str">
        <f>IF(Analysis!$I617="","",IF(Analysis!$I617="Embedded",Analysis!$H617,""))</f>
        <v/>
      </c>
      <c r="N617" s="29" t="str">
        <f>IF(Analysis!$I617="","",IF(Analysis!$I617="Loyal but shallow",Analysis!$H617,""))</f>
        <v/>
      </c>
      <c r="O617" s="29" t="str">
        <f>IF(Analysis!$I617="","",IF(Analysis!$I617="Project-driven",Analysis!$H617,""))</f>
        <v/>
      </c>
      <c r="P617" s="29" t="str">
        <f>IF(Analysis!$I617="","",IF(Analysis!$I617="Drifting",Analysis!$H617,""))</f>
        <v/>
      </c>
    </row>
    <row r="618" spans="1:16" x14ac:dyDescent="0.25">
      <c r="A618" s="29" t="str">
        <f>IF(Analysis!$I618="","",IF(Analysis!$I618="Embedded",Analysis!$D618,""))</f>
        <v/>
      </c>
      <c r="B618" s="29" t="str">
        <f>IF(Analysis!$I618="","",IF(Analysis!$I618="Loyal but shallow",Analysis!$D618,""))</f>
        <v/>
      </c>
      <c r="C618" s="29" t="str">
        <f>IF(Analysis!$I618="","",IF(Analysis!$I618="Project-driven",Analysis!$D618,""))</f>
        <v/>
      </c>
      <c r="D618" s="29" t="str">
        <f>IF(Analysis!$I618="","",IF(Analysis!$I618="Drifting",Analysis!$D618,""))</f>
        <v/>
      </c>
      <c r="E618" s="29" t="str">
        <f>IF(Analysis!$I618="","",IF(Analysis!$I618="Embedded",Analysis!$C618,""))</f>
        <v/>
      </c>
      <c r="F618" s="29" t="str">
        <f>IF(Analysis!$I618="","",IF(Analysis!$I618="Loyal but shallow",Analysis!$C618,""))</f>
        <v/>
      </c>
      <c r="G618" s="29" t="str">
        <f>IF(Analysis!$I618="","",IF(Analysis!$I618="Project-driven",Analysis!$C618,""))</f>
        <v/>
      </c>
      <c r="H618" s="29" t="str">
        <f>IF(Analysis!$I618="","",IF(Analysis!$I618="Drifting",Analysis!$C618,""))</f>
        <v/>
      </c>
      <c r="I618" s="29" t="str">
        <f>IF(Analysis!$I618="","",IF(Analysis!$I618="Embedded",Analysis!$F618,""))</f>
        <v/>
      </c>
      <c r="J618" s="29" t="str">
        <f>IF(Analysis!$I618="","",IF(Analysis!$I618="Loyal but shallow",Analysis!$F618,""))</f>
        <v/>
      </c>
      <c r="K618" s="29" t="str">
        <f>IF(Analysis!$I618="","",IF(Analysis!$I618="Project-driven",Analysis!$F618,""))</f>
        <v/>
      </c>
      <c r="L618" s="29" t="str">
        <f>IF(Analysis!$I618="","",IF(Analysis!$I618="Drifting",Analysis!$F618,""))</f>
        <v/>
      </c>
      <c r="M618" s="29" t="str">
        <f>IF(Analysis!$I618="","",IF(Analysis!$I618="Embedded",Analysis!$H618,""))</f>
        <v/>
      </c>
      <c r="N618" s="29" t="str">
        <f>IF(Analysis!$I618="","",IF(Analysis!$I618="Loyal but shallow",Analysis!$H618,""))</f>
        <v/>
      </c>
      <c r="O618" s="29" t="str">
        <f>IF(Analysis!$I618="","",IF(Analysis!$I618="Project-driven",Analysis!$H618,""))</f>
        <v/>
      </c>
      <c r="P618" s="29" t="str">
        <f>IF(Analysis!$I618="","",IF(Analysis!$I618="Drifting",Analysis!$H618,""))</f>
        <v/>
      </c>
    </row>
    <row r="619" spans="1:16" x14ac:dyDescent="0.25">
      <c r="A619" s="29" t="str">
        <f>IF(Analysis!$I619="","",IF(Analysis!$I619="Embedded",Analysis!$D619,""))</f>
        <v/>
      </c>
      <c r="B619" s="29" t="str">
        <f>IF(Analysis!$I619="","",IF(Analysis!$I619="Loyal but shallow",Analysis!$D619,""))</f>
        <v/>
      </c>
      <c r="C619" s="29" t="str">
        <f>IF(Analysis!$I619="","",IF(Analysis!$I619="Project-driven",Analysis!$D619,""))</f>
        <v/>
      </c>
      <c r="D619" s="29" t="str">
        <f>IF(Analysis!$I619="","",IF(Analysis!$I619="Drifting",Analysis!$D619,""))</f>
        <v/>
      </c>
      <c r="E619" s="29" t="str">
        <f>IF(Analysis!$I619="","",IF(Analysis!$I619="Embedded",Analysis!$C619,""))</f>
        <v/>
      </c>
      <c r="F619" s="29" t="str">
        <f>IF(Analysis!$I619="","",IF(Analysis!$I619="Loyal but shallow",Analysis!$C619,""))</f>
        <v/>
      </c>
      <c r="G619" s="29" t="str">
        <f>IF(Analysis!$I619="","",IF(Analysis!$I619="Project-driven",Analysis!$C619,""))</f>
        <v/>
      </c>
      <c r="H619" s="29" t="str">
        <f>IF(Analysis!$I619="","",IF(Analysis!$I619="Drifting",Analysis!$C619,""))</f>
        <v/>
      </c>
      <c r="I619" s="29" t="str">
        <f>IF(Analysis!$I619="","",IF(Analysis!$I619="Embedded",Analysis!$F619,""))</f>
        <v/>
      </c>
      <c r="J619" s="29" t="str">
        <f>IF(Analysis!$I619="","",IF(Analysis!$I619="Loyal but shallow",Analysis!$F619,""))</f>
        <v/>
      </c>
      <c r="K619" s="29" t="str">
        <f>IF(Analysis!$I619="","",IF(Analysis!$I619="Project-driven",Analysis!$F619,""))</f>
        <v/>
      </c>
      <c r="L619" s="29" t="str">
        <f>IF(Analysis!$I619="","",IF(Analysis!$I619="Drifting",Analysis!$F619,""))</f>
        <v/>
      </c>
      <c r="M619" s="29" t="str">
        <f>IF(Analysis!$I619="","",IF(Analysis!$I619="Embedded",Analysis!$H619,""))</f>
        <v/>
      </c>
      <c r="N619" s="29" t="str">
        <f>IF(Analysis!$I619="","",IF(Analysis!$I619="Loyal but shallow",Analysis!$H619,""))</f>
        <v/>
      </c>
      <c r="O619" s="29" t="str">
        <f>IF(Analysis!$I619="","",IF(Analysis!$I619="Project-driven",Analysis!$H619,""))</f>
        <v/>
      </c>
      <c r="P619" s="29" t="str">
        <f>IF(Analysis!$I619="","",IF(Analysis!$I619="Drifting",Analysis!$H619,""))</f>
        <v/>
      </c>
    </row>
    <row r="620" spans="1:16" x14ac:dyDescent="0.25">
      <c r="A620" s="29" t="str">
        <f>IF(Analysis!$I620="","",IF(Analysis!$I620="Embedded",Analysis!$D620,""))</f>
        <v/>
      </c>
      <c r="B620" s="29" t="str">
        <f>IF(Analysis!$I620="","",IF(Analysis!$I620="Loyal but shallow",Analysis!$D620,""))</f>
        <v/>
      </c>
      <c r="C620" s="29" t="str">
        <f>IF(Analysis!$I620="","",IF(Analysis!$I620="Project-driven",Analysis!$D620,""))</f>
        <v/>
      </c>
      <c r="D620" s="29" t="str">
        <f>IF(Analysis!$I620="","",IF(Analysis!$I620="Drifting",Analysis!$D620,""))</f>
        <v/>
      </c>
      <c r="E620" s="29" t="str">
        <f>IF(Analysis!$I620="","",IF(Analysis!$I620="Embedded",Analysis!$C620,""))</f>
        <v/>
      </c>
      <c r="F620" s="29" t="str">
        <f>IF(Analysis!$I620="","",IF(Analysis!$I620="Loyal but shallow",Analysis!$C620,""))</f>
        <v/>
      </c>
      <c r="G620" s="29" t="str">
        <f>IF(Analysis!$I620="","",IF(Analysis!$I620="Project-driven",Analysis!$C620,""))</f>
        <v/>
      </c>
      <c r="H620" s="29" t="str">
        <f>IF(Analysis!$I620="","",IF(Analysis!$I620="Drifting",Analysis!$C620,""))</f>
        <v/>
      </c>
      <c r="I620" s="29" t="str">
        <f>IF(Analysis!$I620="","",IF(Analysis!$I620="Embedded",Analysis!$F620,""))</f>
        <v/>
      </c>
      <c r="J620" s="29" t="str">
        <f>IF(Analysis!$I620="","",IF(Analysis!$I620="Loyal but shallow",Analysis!$F620,""))</f>
        <v/>
      </c>
      <c r="K620" s="29" t="str">
        <f>IF(Analysis!$I620="","",IF(Analysis!$I620="Project-driven",Analysis!$F620,""))</f>
        <v/>
      </c>
      <c r="L620" s="29" t="str">
        <f>IF(Analysis!$I620="","",IF(Analysis!$I620="Drifting",Analysis!$F620,""))</f>
        <v/>
      </c>
      <c r="M620" s="29" t="str">
        <f>IF(Analysis!$I620="","",IF(Analysis!$I620="Embedded",Analysis!$H620,""))</f>
        <v/>
      </c>
      <c r="N620" s="29" t="str">
        <f>IF(Analysis!$I620="","",IF(Analysis!$I620="Loyal but shallow",Analysis!$H620,""))</f>
        <v/>
      </c>
      <c r="O620" s="29" t="str">
        <f>IF(Analysis!$I620="","",IF(Analysis!$I620="Project-driven",Analysis!$H620,""))</f>
        <v/>
      </c>
      <c r="P620" s="29" t="str">
        <f>IF(Analysis!$I620="","",IF(Analysis!$I620="Drifting",Analysis!$H620,""))</f>
        <v/>
      </c>
    </row>
    <row r="621" spans="1:16" x14ac:dyDescent="0.25">
      <c r="A621" s="29" t="str">
        <f>IF(Analysis!$I621="","",IF(Analysis!$I621="Embedded",Analysis!$D621,""))</f>
        <v/>
      </c>
      <c r="B621" s="29" t="str">
        <f>IF(Analysis!$I621="","",IF(Analysis!$I621="Loyal but shallow",Analysis!$D621,""))</f>
        <v/>
      </c>
      <c r="C621" s="29" t="str">
        <f>IF(Analysis!$I621="","",IF(Analysis!$I621="Project-driven",Analysis!$D621,""))</f>
        <v/>
      </c>
      <c r="D621" s="29" t="str">
        <f>IF(Analysis!$I621="","",IF(Analysis!$I621="Drifting",Analysis!$D621,""))</f>
        <v/>
      </c>
      <c r="E621" s="29" t="str">
        <f>IF(Analysis!$I621="","",IF(Analysis!$I621="Embedded",Analysis!$C621,""))</f>
        <v/>
      </c>
      <c r="F621" s="29" t="str">
        <f>IF(Analysis!$I621="","",IF(Analysis!$I621="Loyal but shallow",Analysis!$C621,""))</f>
        <v/>
      </c>
      <c r="G621" s="29" t="str">
        <f>IF(Analysis!$I621="","",IF(Analysis!$I621="Project-driven",Analysis!$C621,""))</f>
        <v/>
      </c>
      <c r="H621" s="29" t="str">
        <f>IF(Analysis!$I621="","",IF(Analysis!$I621="Drifting",Analysis!$C621,""))</f>
        <v/>
      </c>
      <c r="I621" s="29" t="str">
        <f>IF(Analysis!$I621="","",IF(Analysis!$I621="Embedded",Analysis!$F621,""))</f>
        <v/>
      </c>
      <c r="J621" s="29" t="str">
        <f>IF(Analysis!$I621="","",IF(Analysis!$I621="Loyal but shallow",Analysis!$F621,""))</f>
        <v/>
      </c>
      <c r="K621" s="29" t="str">
        <f>IF(Analysis!$I621="","",IF(Analysis!$I621="Project-driven",Analysis!$F621,""))</f>
        <v/>
      </c>
      <c r="L621" s="29" t="str">
        <f>IF(Analysis!$I621="","",IF(Analysis!$I621="Drifting",Analysis!$F621,""))</f>
        <v/>
      </c>
      <c r="M621" s="29" t="str">
        <f>IF(Analysis!$I621="","",IF(Analysis!$I621="Embedded",Analysis!$H621,""))</f>
        <v/>
      </c>
      <c r="N621" s="29" t="str">
        <f>IF(Analysis!$I621="","",IF(Analysis!$I621="Loyal but shallow",Analysis!$H621,""))</f>
        <v/>
      </c>
      <c r="O621" s="29" t="str">
        <f>IF(Analysis!$I621="","",IF(Analysis!$I621="Project-driven",Analysis!$H621,""))</f>
        <v/>
      </c>
      <c r="P621" s="29" t="str">
        <f>IF(Analysis!$I621="","",IF(Analysis!$I621="Drifting",Analysis!$H621,""))</f>
        <v/>
      </c>
    </row>
    <row r="622" spans="1:16" x14ac:dyDescent="0.25">
      <c r="A622" s="29" t="str">
        <f>IF(Analysis!$I622="","",IF(Analysis!$I622="Embedded",Analysis!$D622,""))</f>
        <v/>
      </c>
      <c r="B622" s="29" t="str">
        <f>IF(Analysis!$I622="","",IF(Analysis!$I622="Loyal but shallow",Analysis!$D622,""))</f>
        <v/>
      </c>
      <c r="C622" s="29" t="str">
        <f>IF(Analysis!$I622="","",IF(Analysis!$I622="Project-driven",Analysis!$D622,""))</f>
        <v/>
      </c>
      <c r="D622" s="29" t="str">
        <f>IF(Analysis!$I622="","",IF(Analysis!$I622="Drifting",Analysis!$D622,""))</f>
        <v/>
      </c>
      <c r="E622" s="29" t="str">
        <f>IF(Analysis!$I622="","",IF(Analysis!$I622="Embedded",Analysis!$C622,""))</f>
        <v/>
      </c>
      <c r="F622" s="29" t="str">
        <f>IF(Analysis!$I622="","",IF(Analysis!$I622="Loyal but shallow",Analysis!$C622,""))</f>
        <v/>
      </c>
      <c r="G622" s="29" t="str">
        <f>IF(Analysis!$I622="","",IF(Analysis!$I622="Project-driven",Analysis!$C622,""))</f>
        <v/>
      </c>
      <c r="H622" s="29" t="str">
        <f>IF(Analysis!$I622="","",IF(Analysis!$I622="Drifting",Analysis!$C622,""))</f>
        <v/>
      </c>
      <c r="I622" s="29" t="str">
        <f>IF(Analysis!$I622="","",IF(Analysis!$I622="Embedded",Analysis!$F622,""))</f>
        <v/>
      </c>
      <c r="J622" s="29" t="str">
        <f>IF(Analysis!$I622="","",IF(Analysis!$I622="Loyal but shallow",Analysis!$F622,""))</f>
        <v/>
      </c>
      <c r="K622" s="29" t="str">
        <f>IF(Analysis!$I622="","",IF(Analysis!$I622="Project-driven",Analysis!$F622,""))</f>
        <v/>
      </c>
      <c r="L622" s="29" t="str">
        <f>IF(Analysis!$I622="","",IF(Analysis!$I622="Drifting",Analysis!$F622,""))</f>
        <v/>
      </c>
      <c r="M622" s="29" t="str">
        <f>IF(Analysis!$I622="","",IF(Analysis!$I622="Embedded",Analysis!$H622,""))</f>
        <v/>
      </c>
      <c r="N622" s="29" t="str">
        <f>IF(Analysis!$I622="","",IF(Analysis!$I622="Loyal but shallow",Analysis!$H622,""))</f>
        <v/>
      </c>
      <c r="O622" s="29" t="str">
        <f>IF(Analysis!$I622="","",IF(Analysis!$I622="Project-driven",Analysis!$H622,""))</f>
        <v/>
      </c>
      <c r="P622" s="29" t="str">
        <f>IF(Analysis!$I622="","",IF(Analysis!$I622="Drifting",Analysis!$H622,""))</f>
        <v/>
      </c>
    </row>
    <row r="623" spans="1:16" x14ac:dyDescent="0.25">
      <c r="A623" s="29" t="str">
        <f>IF(Analysis!$I623="","",IF(Analysis!$I623="Embedded",Analysis!$D623,""))</f>
        <v/>
      </c>
      <c r="B623" s="29" t="str">
        <f>IF(Analysis!$I623="","",IF(Analysis!$I623="Loyal but shallow",Analysis!$D623,""))</f>
        <v/>
      </c>
      <c r="C623" s="29" t="str">
        <f>IF(Analysis!$I623="","",IF(Analysis!$I623="Project-driven",Analysis!$D623,""))</f>
        <v/>
      </c>
      <c r="D623" s="29" t="str">
        <f>IF(Analysis!$I623="","",IF(Analysis!$I623="Drifting",Analysis!$D623,""))</f>
        <v/>
      </c>
      <c r="E623" s="29" t="str">
        <f>IF(Analysis!$I623="","",IF(Analysis!$I623="Embedded",Analysis!$C623,""))</f>
        <v/>
      </c>
      <c r="F623" s="29" t="str">
        <f>IF(Analysis!$I623="","",IF(Analysis!$I623="Loyal but shallow",Analysis!$C623,""))</f>
        <v/>
      </c>
      <c r="G623" s="29" t="str">
        <f>IF(Analysis!$I623="","",IF(Analysis!$I623="Project-driven",Analysis!$C623,""))</f>
        <v/>
      </c>
      <c r="H623" s="29" t="str">
        <f>IF(Analysis!$I623="","",IF(Analysis!$I623="Drifting",Analysis!$C623,""))</f>
        <v/>
      </c>
      <c r="I623" s="29" t="str">
        <f>IF(Analysis!$I623="","",IF(Analysis!$I623="Embedded",Analysis!$F623,""))</f>
        <v/>
      </c>
      <c r="J623" s="29" t="str">
        <f>IF(Analysis!$I623="","",IF(Analysis!$I623="Loyal but shallow",Analysis!$F623,""))</f>
        <v/>
      </c>
      <c r="K623" s="29" t="str">
        <f>IF(Analysis!$I623="","",IF(Analysis!$I623="Project-driven",Analysis!$F623,""))</f>
        <v/>
      </c>
      <c r="L623" s="29" t="str">
        <f>IF(Analysis!$I623="","",IF(Analysis!$I623="Drifting",Analysis!$F623,""))</f>
        <v/>
      </c>
      <c r="M623" s="29" t="str">
        <f>IF(Analysis!$I623="","",IF(Analysis!$I623="Embedded",Analysis!$H623,""))</f>
        <v/>
      </c>
      <c r="N623" s="29" t="str">
        <f>IF(Analysis!$I623="","",IF(Analysis!$I623="Loyal but shallow",Analysis!$H623,""))</f>
        <v/>
      </c>
      <c r="O623" s="29" t="str">
        <f>IF(Analysis!$I623="","",IF(Analysis!$I623="Project-driven",Analysis!$H623,""))</f>
        <v/>
      </c>
      <c r="P623" s="29" t="str">
        <f>IF(Analysis!$I623="","",IF(Analysis!$I623="Drifting",Analysis!$H623,""))</f>
        <v/>
      </c>
    </row>
    <row r="624" spans="1:16" x14ac:dyDescent="0.25">
      <c r="A624" s="29" t="str">
        <f>IF(Analysis!$I624="","",IF(Analysis!$I624="Embedded",Analysis!$D624,""))</f>
        <v/>
      </c>
      <c r="B624" s="29" t="str">
        <f>IF(Analysis!$I624="","",IF(Analysis!$I624="Loyal but shallow",Analysis!$D624,""))</f>
        <v/>
      </c>
      <c r="C624" s="29" t="str">
        <f>IF(Analysis!$I624="","",IF(Analysis!$I624="Project-driven",Analysis!$D624,""))</f>
        <v/>
      </c>
      <c r="D624" s="29" t="str">
        <f>IF(Analysis!$I624="","",IF(Analysis!$I624="Drifting",Analysis!$D624,""))</f>
        <v/>
      </c>
      <c r="E624" s="29" t="str">
        <f>IF(Analysis!$I624="","",IF(Analysis!$I624="Embedded",Analysis!$C624,""))</f>
        <v/>
      </c>
      <c r="F624" s="29" t="str">
        <f>IF(Analysis!$I624="","",IF(Analysis!$I624="Loyal but shallow",Analysis!$C624,""))</f>
        <v/>
      </c>
      <c r="G624" s="29" t="str">
        <f>IF(Analysis!$I624="","",IF(Analysis!$I624="Project-driven",Analysis!$C624,""))</f>
        <v/>
      </c>
      <c r="H624" s="29" t="str">
        <f>IF(Analysis!$I624="","",IF(Analysis!$I624="Drifting",Analysis!$C624,""))</f>
        <v/>
      </c>
      <c r="I624" s="29" t="str">
        <f>IF(Analysis!$I624="","",IF(Analysis!$I624="Embedded",Analysis!$F624,""))</f>
        <v/>
      </c>
      <c r="J624" s="29" t="str">
        <f>IF(Analysis!$I624="","",IF(Analysis!$I624="Loyal but shallow",Analysis!$F624,""))</f>
        <v/>
      </c>
      <c r="K624" s="29" t="str">
        <f>IF(Analysis!$I624="","",IF(Analysis!$I624="Project-driven",Analysis!$F624,""))</f>
        <v/>
      </c>
      <c r="L624" s="29" t="str">
        <f>IF(Analysis!$I624="","",IF(Analysis!$I624="Drifting",Analysis!$F624,""))</f>
        <v/>
      </c>
      <c r="M624" s="29" t="str">
        <f>IF(Analysis!$I624="","",IF(Analysis!$I624="Embedded",Analysis!$H624,""))</f>
        <v/>
      </c>
      <c r="N624" s="29" t="str">
        <f>IF(Analysis!$I624="","",IF(Analysis!$I624="Loyal but shallow",Analysis!$H624,""))</f>
        <v/>
      </c>
      <c r="O624" s="29" t="str">
        <f>IF(Analysis!$I624="","",IF(Analysis!$I624="Project-driven",Analysis!$H624,""))</f>
        <v/>
      </c>
      <c r="P624" s="29" t="str">
        <f>IF(Analysis!$I624="","",IF(Analysis!$I624="Drifting",Analysis!$H624,""))</f>
        <v/>
      </c>
    </row>
    <row r="625" spans="1:16" x14ac:dyDescent="0.25">
      <c r="A625" s="29" t="str">
        <f>IF(Analysis!$I625="","",IF(Analysis!$I625="Embedded",Analysis!$D625,""))</f>
        <v/>
      </c>
      <c r="B625" s="29" t="str">
        <f>IF(Analysis!$I625="","",IF(Analysis!$I625="Loyal but shallow",Analysis!$D625,""))</f>
        <v/>
      </c>
      <c r="C625" s="29" t="str">
        <f>IF(Analysis!$I625="","",IF(Analysis!$I625="Project-driven",Analysis!$D625,""))</f>
        <v/>
      </c>
      <c r="D625" s="29" t="str">
        <f>IF(Analysis!$I625="","",IF(Analysis!$I625="Drifting",Analysis!$D625,""))</f>
        <v/>
      </c>
      <c r="E625" s="29" t="str">
        <f>IF(Analysis!$I625="","",IF(Analysis!$I625="Embedded",Analysis!$C625,""))</f>
        <v/>
      </c>
      <c r="F625" s="29" t="str">
        <f>IF(Analysis!$I625="","",IF(Analysis!$I625="Loyal but shallow",Analysis!$C625,""))</f>
        <v/>
      </c>
      <c r="G625" s="29" t="str">
        <f>IF(Analysis!$I625="","",IF(Analysis!$I625="Project-driven",Analysis!$C625,""))</f>
        <v/>
      </c>
      <c r="H625" s="29" t="str">
        <f>IF(Analysis!$I625="","",IF(Analysis!$I625="Drifting",Analysis!$C625,""))</f>
        <v/>
      </c>
      <c r="I625" s="29" t="str">
        <f>IF(Analysis!$I625="","",IF(Analysis!$I625="Embedded",Analysis!$F625,""))</f>
        <v/>
      </c>
      <c r="J625" s="29" t="str">
        <f>IF(Analysis!$I625="","",IF(Analysis!$I625="Loyal but shallow",Analysis!$F625,""))</f>
        <v/>
      </c>
      <c r="K625" s="29" t="str">
        <f>IF(Analysis!$I625="","",IF(Analysis!$I625="Project-driven",Analysis!$F625,""))</f>
        <v/>
      </c>
      <c r="L625" s="29" t="str">
        <f>IF(Analysis!$I625="","",IF(Analysis!$I625="Drifting",Analysis!$F625,""))</f>
        <v/>
      </c>
      <c r="M625" s="29" t="str">
        <f>IF(Analysis!$I625="","",IF(Analysis!$I625="Embedded",Analysis!$H625,""))</f>
        <v/>
      </c>
      <c r="N625" s="29" t="str">
        <f>IF(Analysis!$I625="","",IF(Analysis!$I625="Loyal but shallow",Analysis!$H625,""))</f>
        <v/>
      </c>
      <c r="O625" s="29" t="str">
        <f>IF(Analysis!$I625="","",IF(Analysis!$I625="Project-driven",Analysis!$H625,""))</f>
        <v/>
      </c>
      <c r="P625" s="29" t="str">
        <f>IF(Analysis!$I625="","",IF(Analysis!$I625="Drifting",Analysis!$H625,""))</f>
        <v/>
      </c>
    </row>
    <row r="626" spans="1:16" x14ac:dyDescent="0.25">
      <c r="A626" s="29" t="str">
        <f>IF(Analysis!$I626="","",IF(Analysis!$I626="Embedded",Analysis!$D626,""))</f>
        <v/>
      </c>
      <c r="B626" s="29" t="str">
        <f>IF(Analysis!$I626="","",IF(Analysis!$I626="Loyal but shallow",Analysis!$D626,""))</f>
        <v/>
      </c>
      <c r="C626" s="29" t="str">
        <f>IF(Analysis!$I626="","",IF(Analysis!$I626="Project-driven",Analysis!$D626,""))</f>
        <v/>
      </c>
      <c r="D626" s="29" t="str">
        <f>IF(Analysis!$I626="","",IF(Analysis!$I626="Drifting",Analysis!$D626,""))</f>
        <v/>
      </c>
      <c r="E626" s="29" t="str">
        <f>IF(Analysis!$I626="","",IF(Analysis!$I626="Embedded",Analysis!$C626,""))</f>
        <v/>
      </c>
      <c r="F626" s="29" t="str">
        <f>IF(Analysis!$I626="","",IF(Analysis!$I626="Loyal but shallow",Analysis!$C626,""))</f>
        <v/>
      </c>
      <c r="G626" s="29" t="str">
        <f>IF(Analysis!$I626="","",IF(Analysis!$I626="Project-driven",Analysis!$C626,""))</f>
        <v/>
      </c>
      <c r="H626" s="29" t="str">
        <f>IF(Analysis!$I626="","",IF(Analysis!$I626="Drifting",Analysis!$C626,""))</f>
        <v/>
      </c>
      <c r="I626" s="29" t="str">
        <f>IF(Analysis!$I626="","",IF(Analysis!$I626="Embedded",Analysis!$F626,""))</f>
        <v/>
      </c>
      <c r="J626" s="29" t="str">
        <f>IF(Analysis!$I626="","",IF(Analysis!$I626="Loyal but shallow",Analysis!$F626,""))</f>
        <v/>
      </c>
      <c r="K626" s="29" t="str">
        <f>IF(Analysis!$I626="","",IF(Analysis!$I626="Project-driven",Analysis!$F626,""))</f>
        <v/>
      </c>
      <c r="L626" s="29" t="str">
        <f>IF(Analysis!$I626="","",IF(Analysis!$I626="Drifting",Analysis!$F626,""))</f>
        <v/>
      </c>
      <c r="M626" s="29" t="str">
        <f>IF(Analysis!$I626="","",IF(Analysis!$I626="Embedded",Analysis!$H626,""))</f>
        <v/>
      </c>
      <c r="N626" s="29" t="str">
        <f>IF(Analysis!$I626="","",IF(Analysis!$I626="Loyal but shallow",Analysis!$H626,""))</f>
        <v/>
      </c>
      <c r="O626" s="29" t="str">
        <f>IF(Analysis!$I626="","",IF(Analysis!$I626="Project-driven",Analysis!$H626,""))</f>
        <v/>
      </c>
      <c r="P626" s="29" t="str">
        <f>IF(Analysis!$I626="","",IF(Analysis!$I626="Drifting",Analysis!$H626,""))</f>
        <v/>
      </c>
    </row>
    <row r="627" spans="1:16" x14ac:dyDescent="0.25">
      <c r="A627" s="29" t="str">
        <f>IF(Analysis!$I627="","",IF(Analysis!$I627="Embedded",Analysis!$D627,""))</f>
        <v/>
      </c>
      <c r="B627" s="29" t="str">
        <f>IF(Analysis!$I627="","",IF(Analysis!$I627="Loyal but shallow",Analysis!$D627,""))</f>
        <v/>
      </c>
      <c r="C627" s="29" t="str">
        <f>IF(Analysis!$I627="","",IF(Analysis!$I627="Project-driven",Analysis!$D627,""))</f>
        <v/>
      </c>
      <c r="D627" s="29" t="str">
        <f>IF(Analysis!$I627="","",IF(Analysis!$I627="Drifting",Analysis!$D627,""))</f>
        <v/>
      </c>
      <c r="E627" s="29" t="str">
        <f>IF(Analysis!$I627="","",IF(Analysis!$I627="Embedded",Analysis!$C627,""))</f>
        <v/>
      </c>
      <c r="F627" s="29" t="str">
        <f>IF(Analysis!$I627="","",IF(Analysis!$I627="Loyal but shallow",Analysis!$C627,""))</f>
        <v/>
      </c>
      <c r="G627" s="29" t="str">
        <f>IF(Analysis!$I627="","",IF(Analysis!$I627="Project-driven",Analysis!$C627,""))</f>
        <v/>
      </c>
      <c r="H627" s="29" t="str">
        <f>IF(Analysis!$I627="","",IF(Analysis!$I627="Drifting",Analysis!$C627,""))</f>
        <v/>
      </c>
      <c r="I627" s="29" t="str">
        <f>IF(Analysis!$I627="","",IF(Analysis!$I627="Embedded",Analysis!$F627,""))</f>
        <v/>
      </c>
      <c r="J627" s="29" t="str">
        <f>IF(Analysis!$I627="","",IF(Analysis!$I627="Loyal but shallow",Analysis!$F627,""))</f>
        <v/>
      </c>
      <c r="K627" s="29" t="str">
        <f>IF(Analysis!$I627="","",IF(Analysis!$I627="Project-driven",Analysis!$F627,""))</f>
        <v/>
      </c>
      <c r="L627" s="29" t="str">
        <f>IF(Analysis!$I627="","",IF(Analysis!$I627="Drifting",Analysis!$F627,""))</f>
        <v/>
      </c>
      <c r="M627" s="29" t="str">
        <f>IF(Analysis!$I627="","",IF(Analysis!$I627="Embedded",Analysis!$H627,""))</f>
        <v/>
      </c>
      <c r="N627" s="29" t="str">
        <f>IF(Analysis!$I627="","",IF(Analysis!$I627="Loyal but shallow",Analysis!$H627,""))</f>
        <v/>
      </c>
      <c r="O627" s="29" t="str">
        <f>IF(Analysis!$I627="","",IF(Analysis!$I627="Project-driven",Analysis!$H627,""))</f>
        <v/>
      </c>
      <c r="P627" s="29" t="str">
        <f>IF(Analysis!$I627="","",IF(Analysis!$I627="Drifting",Analysis!$H627,""))</f>
        <v/>
      </c>
    </row>
    <row r="628" spans="1:16" x14ac:dyDescent="0.25">
      <c r="A628" s="29" t="str">
        <f>IF(Analysis!$I628="","",IF(Analysis!$I628="Embedded",Analysis!$D628,""))</f>
        <v/>
      </c>
      <c r="B628" s="29" t="str">
        <f>IF(Analysis!$I628="","",IF(Analysis!$I628="Loyal but shallow",Analysis!$D628,""))</f>
        <v/>
      </c>
      <c r="C628" s="29" t="str">
        <f>IF(Analysis!$I628="","",IF(Analysis!$I628="Project-driven",Analysis!$D628,""))</f>
        <v/>
      </c>
      <c r="D628" s="29" t="str">
        <f>IF(Analysis!$I628="","",IF(Analysis!$I628="Drifting",Analysis!$D628,""))</f>
        <v/>
      </c>
      <c r="E628" s="29" t="str">
        <f>IF(Analysis!$I628="","",IF(Analysis!$I628="Embedded",Analysis!$C628,""))</f>
        <v/>
      </c>
      <c r="F628" s="29" t="str">
        <f>IF(Analysis!$I628="","",IF(Analysis!$I628="Loyal but shallow",Analysis!$C628,""))</f>
        <v/>
      </c>
      <c r="G628" s="29" t="str">
        <f>IF(Analysis!$I628="","",IF(Analysis!$I628="Project-driven",Analysis!$C628,""))</f>
        <v/>
      </c>
      <c r="H628" s="29" t="str">
        <f>IF(Analysis!$I628="","",IF(Analysis!$I628="Drifting",Analysis!$C628,""))</f>
        <v/>
      </c>
      <c r="I628" s="29" t="str">
        <f>IF(Analysis!$I628="","",IF(Analysis!$I628="Embedded",Analysis!$F628,""))</f>
        <v/>
      </c>
      <c r="J628" s="29" t="str">
        <f>IF(Analysis!$I628="","",IF(Analysis!$I628="Loyal but shallow",Analysis!$F628,""))</f>
        <v/>
      </c>
      <c r="K628" s="29" t="str">
        <f>IF(Analysis!$I628="","",IF(Analysis!$I628="Project-driven",Analysis!$F628,""))</f>
        <v/>
      </c>
      <c r="L628" s="29" t="str">
        <f>IF(Analysis!$I628="","",IF(Analysis!$I628="Drifting",Analysis!$F628,""))</f>
        <v/>
      </c>
      <c r="M628" s="29" t="str">
        <f>IF(Analysis!$I628="","",IF(Analysis!$I628="Embedded",Analysis!$H628,""))</f>
        <v/>
      </c>
      <c r="N628" s="29" t="str">
        <f>IF(Analysis!$I628="","",IF(Analysis!$I628="Loyal but shallow",Analysis!$H628,""))</f>
        <v/>
      </c>
      <c r="O628" s="29" t="str">
        <f>IF(Analysis!$I628="","",IF(Analysis!$I628="Project-driven",Analysis!$H628,""))</f>
        <v/>
      </c>
      <c r="P628" s="29" t="str">
        <f>IF(Analysis!$I628="","",IF(Analysis!$I628="Drifting",Analysis!$H628,""))</f>
        <v/>
      </c>
    </row>
    <row r="629" spans="1:16" x14ac:dyDescent="0.25">
      <c r="A629" s="29" t="str">
        <f>IF(Analysis!$I629="","",IF(Analysis!$I629="Embedded",Analysis!$D629,""))</f>
        <v/>
      </c>
      <c r="B629" s="29" t="str">
        <f>IF(Analysis!$I629="","",IF(Analysis!$I629="Loyal but shallow",Analysis!$D629,""))</f>
        <v/>
      </c>
      <c r="C629" s="29" t="str">
        <f>IF(Analysis!$I629="","",IF(Analysis!$I629="Project-driven",Analysis!$D629,""))</f>
        <v/>
      </c>
      <c r="D629" s="29" t="str">
        <f>IF(Analysis!$I629="","",IF(Analysis!$I629="Drifting",Analysis!$D629,""))</f>
        <v/>
      </c>
      <c r="E629" s="29" t="str">
        <f>IF(Analysis!$I629="","",IF(Analysis!$I629="Embedded",Analysis!$C629,""))</f>
        <v/>
      </c>
      <c r="F629" s="29" t="str">
        <f>IF(Analysis!$I629="","",IF(Analysis!$I629="Loyal but shallow",Analysis!$C629,""))</f>
        <v/>
      </c>
      <c r="G629" s="29" t="str">
        <f>IF(Analysis!$I629="","",IF(Analysis!$I629="Project-driven",Analysis!$C629,""))</f>
        <v/>
      </c>
      <c r="H629" s="29" t="str">
        <f>IF(Analysis!$I629="","",IF(Analysis!$I629="Drifting",Analysis!$C629,""))</f>
        <v/>
      </c>
      <c r="I629" s="29" t="str">
        <f>IF(Analysis!$I629="","",IF(Analysis!$I629="Embedded",Analysis!$F629,""))</f>
        <v/>
      </c>
      <c r="J629" s="29" t="str">
        <f>IF(Analysis!$I629="","",IF(Analysis!$I629="Loyal but shallow",Analysis!$F629,""))</f>
        <v/>
      </c>
      <c r="K629" s="29" t="str">
        <f>IF(Analysis!$I629="","",IF(Analysis!$I629="Project-driven",Analysis!$F629,""))</f>
        <v/>
      </c>
      <c r="L629" s="29" t="str">
        <f>IF(Analysis!$I629="","",IF(Analysis!$I629="Drifting",Analysis!$F629,""))</f>
        <v/>
      </c>
      <c r="M629" s="29" t="str">
        <f>IF(Analysis!$I629="","",IF(Analysis!$I629="Embedded",Analysis!$H629,""))</f>
        <v/>
      </c>
      <c r="N629" s="29" t="str">
        <f>IF(Analysis!$I629="","",IF(Analysis!$I629="Loyal but shallow",Analysis!$H629,""))</f>
        <v/>
      </c>
      <c r="O629" s="29" t="str">
        <f>IF(Analysis!$I629="","",IF(Analysis!$I629="Project-driven",Analysis!$H629,""))</f>
        <v/>
      </c>
      <c r="P629" s="29" t="str">
        <f>IF(Analysis!$I629="","",IF(Analysis!$I629="Drifting",Analysis!$H629,""))</f>
        <v/>
      </c>
    </row>
    <row r="630" spans="1:16" x14ac:dyDescent="0.25">
      <c r="A630" s="29" t="str">
        <f>IF(Analysis!$I630="","",IF(Analysis!$I630="Embedded",Analysis!$D630,""))</f>
        <v/>
      </c>
      <c r="B630" s="29" t="str">
        <f>IF(Analysis!$I630="","",IF(Analysis!$I630="Loyal but shallow",Analysis!$D630,""))</f>
        <v/>
      </c>
      <c r="C630" s="29" t="str">
        <f>IF(Analysis!$I630="","",IF(Analysis!$I630="Project-driven",Analysis!$D630,""))</f>
        <v/>
      </c>
      <c r="D630" s="29" t="str">
        <f>IF(Analysis!$I630="","",IF(Analysis!$I630="Drifting",Analysis!$D630,""))</f>
        <v/>
      </c>
      <c r="E630" s="29" t="str">
        <f>IF(Analysis!$I630="","",IF(Analysis!$I630="Embedded",Analysis!$C630,""))</f>
        <v/>
      </c>
      <c r="F630" s="29" t="str">
        <f>IF(Analysis!$I630="","",IF(Analysis!$I630="Loyal but shallow",Analysis!$C630,""))</f>
        <v/>
      </c>
      <c r="G630" s="29" t="str">
        <f>IF(Analysis!$I630="","",IF(Analysis!$I630="Project-driven",Analysis!$C630,""))</f>
        <v/>
      </c>
      <c r="H630" s="29" t="str">
        <f>IF(Analysis!$I630="","",IF(Analysis!$I630="Drifting",Analysis!$C630,""))</f>
        <v/>
      </c>
      <c r="I630" s="29" t="str">
        <f>IF(Analysis!$I630="","",IF(Analysis!$I630="Embedded",Analysis!$F630,""))</f>
        <v/>
      </c>
      <c r="J630" s="29" t="str">
        <f>IF(Analysis!$I630="","",IF(Analysis!$I630="Loyal but shallow",Analysis!$F630,""))</f>
        <v/>
      </c>
      <c r="K630" s="29" t="str">
        <f>IF(Analysis!$I630="","",IF(Analysis!$I630="Project-driven",Analysis!$F630,""))</f>
        <v/>
      </c>
      <c r="L630" s="29" t="str">
        <f>IF(Analysis!$I630="","",IF(Analysis!$I630="Drifting",Analysis!$F630,""))</f>
        <v/>
      </c>
      <c r="M630" s="29" t="str">
        <f>IF(Analysis!$I630="","",IF(Analysis!$I630="Embedded",Analysis!$H630,""))</f>
        <v/>
      </c>
      <c r="N630" s="29" t="str">
        <f>IF(Analysis!$I630="","",IF(Analysis!$I630="Loyal but shallow",Analysis!$H630,""))</f>
        <v/>
      </c>
      <c r="O630" s="29" t="str">
        <f>IF(Analysis!$I630="","",IF(Analysis!$I630="Project-driven",Analysis!$H630,""))</f>
        <v/>
      </c>
      <c r="P630" s="29" t="str">
        <f>IF(Analysis!$I630="","",IF(Analysis!$I630="Drifting",Analysis!$H630,""))</f>
        <v/>
      </c>
    </row>
    <row r="631" spans="1:16" x14ac:dyDescent="0.25">
      <c r="A631" s="29" t="str">
        <f>IF(Analysis!$I631="","",IF(Analysis!$I631="Embedded",Analysis!$D631,""))</f>
        <v/>
      </c>
      <c r="B631" s="29" t="str">
        <f>IF(Analysis!$I631="","",IF(Analysis!$I631="Loyal but shallow",Analysis!$D631,""))</f>
        <v/>
      </c>
      <c r="C631" s="29" t="str">
        <f>IF(Analysis!$I631="","",IF(Analysis!$I631="Project-driven",Analysis!$D631,""))</f>
        <v/>
      </c>
      <c r="D631" s="29" t="str">
        <f>IF(Analysis!$I631="","",IF(Analysis!$I631="Drifting",Analysis!$D631,""))</f>
        <v/>
      </c>
      <c r="E631" s="29" t="str">
        <f>IF(Analysis!$I631="","",IF(Analysis!$I631="Embedded",Analysis!$C631,""))</f>
        <v/>
      </c>
      <c r="F631" s="29" t="str">
        <f>IF(Analysis!$I631="","",IF(Analysis!$I631="Loyal but shallow",Analysis!$C631,""))</f>
        <v/>
      </c>
      <c r="G631" s="29" t="str">
        <f>IF(Analysis!$I631="","",IF(Analysis!$I631="Project-driven",Analysis!$C631,""))</f>
        <v/>
      </c>
      <c r="H631" s="29" t="str">
        <f>IF(Analysis!$I631="","",IF(Analysis!$I631="Drifting",Analysis!$C631,""))</f>
        <v/>
      </c>
      <c r="I631" s="29" t="str">
        <f>IF(Analysis!$I631="","",IF(Analysis!$I631="Embedded",Analysis!$F631,""))</f>
        <v/>
      </c>
      <c r="J631" s="29" t="str">
        <f>IF(Analysis!$I631="","",IF(Analysis!$I631="Loyal but shallow",Analysis!$F631,""))</f>
        <v/>
      </c>
      <c r="K631" s="29" t="str">
        <f>IF(Analysis!$I631="","",IF(Analysis!$I631="Project-driven",Analysis!$F631,""))</f>
        <v/>
      </c>
      <c r="L631" s="29" t="str">
        <f>IF(Analysis!$I631="","",IF(Analysis!$I631="Drifting",Analysis!$F631,""))</f>
        <v/>
      </c>
      <c r="M631" s="29" t="str">
        <f>IF(Analysis!$I631="","",IF(Analysis!$I631="Embedded",Analysis!$H631,""))</f>
        <v/>
      </c>
      <c r="N631" s="29" t="str">
        <f>IF(Analysis!$I631="","",IF(Analysis!$I631="Loyal but shallow",Analysis!$H631,""))</f>
        <v/>
      </c>
      <c r="O631" s="29" t="str">
        <f>IF(Analysis!$I631="","",IF(Analysis!$I631="Project-driven",Analysis!$H631,""))</f>
        <v/>
      </c>
      <c r="P631" s="29" t="str">
        <f>IF(Analysis!$I631="","",IF(Analysis!$I631="Drifting",Analysis!$H631,""))</f>
        <v/>
      </c>
    </row>
    <row r="632" spans="1:16" x14ac:dyDescent="0.25">
      <c r="A632" s="29" t="str">
        <f>IF(Analysis!$I632="","",IF(Analysis!$I632="Embedded",Analysis!$D632,""))</f>
        <v/>
      </c>
      <c r="B632" s="29" t="str">
        <f>IF(Analysis!$I632="","",IF(Analysis!$I632="Loyal but shallow",Analysis!$D632,""))</f>
        <v/>
      </c>
      <c r="C632" s="29" t="str">
        <f>IF(Analysis!$I632="","",IF(Analysis!$I632="Project-driven",Analysis!$D632,""))</f>
        <v/>
      </c>
      <c r="D632" s="29" t="str">
        <f>IF(Analysis!$I632="","",IF(Analysis!$I632="Drifting",Analysis!$D632,""))</f>
        <v/>
      </c>
      <c r="E632" s="29" t="str">
        <f>IF(Analysis!$I632="","",IF(Analysis!$I632="Embedded",Analysis!$C632,""))</f>
        <v/>
      </c>
      <c r="F632" s="29" t="str">
        <f>IF(Analysis!$I632="","",IF(Analysis!$I632="Loyal but shallow",Analysis!$C632,""))</f>
        <v/>
      </c>
      <c r="G632" s="29" t="str">
        <f>IF(Analysis!$I632="","",IF(Analysis!$I632="Project-driven",Analysis!$C632,""))</f>
        <v/>
      </c>
      <c r="H632" s="29" t="str">
        <f>IF(Analysis!$I632="","",IF(Analysis!$I632="Drifting",Analysis!$C632,""))</f>
        <v/>
      </c>
      <c r="I632" s="29" t="str">
        <f>IF(Analysis!$I632="","",IF(Analysis!$I632="Embedded",Analysis!$F632,""))</f>
        <v/>
      </c>
      <c r="J632" s="29" t="str">
        <f>IF(Analysis!$I632="","",IF(Analysis!$I632="Loyal but shallow",Analysis!$F632,""))</f>
        <v/>
      </c>
      <c r="K632" s="29" t="str">
        <f>IF(Analysis!$I632="","",IF(Analysis!$I632="Project-driven",Analysis!$F632,""))</f>
        <v/>
      </c>
      <c r="L632" s="29" t="str">
        <f>IF(Analysis!$I632="","",IF(Analysis!$I632="Drifting",Analysis!$F632,""))</f>
        <v/>
      </c>
      <c r="M632" s="29" t="str">
        <f>IF(Analysis!$I632="","",IF(Analysis!$I632="Embedded",Analysis!$H632,""))</f>
        <v/>
      </c>
      <c r="N632" s="29" t="str">
        <f>IF(Analysis!$I632="","",IF(Analysis!$I632="Loyal but shallow",Analysis!$H632,""))</f>
        <v/>
      </c>
      <c r="O632" s="29" t="str">
        <f>IF(Analysis!$I632="","",IF(Analysis!$I632="Project-driven",Analysis!$H632,""))</f>
        <v/>
      </c>
      <c r="P632" s="29" t="str">
        <f>IF(Analysis!$I632="","",IF(Analysis!$I632="Drifting",Analysis!$H632,""))</f>
        <v/>
      </c>
    </row>
    <row r="633" spans="1:16" x14ac:dyDescent="0.25">
      <c r="A633" s="29" t="str">
        <f>IF(Analysis!$I633="","",IF(Analysis!$I633="Embedded",Analysis!$D633,""))</f>
        <v/>
      </c>
      <c r="B633" s="29" t="str">
        <f>IF(Analysis!$I633="","",IF(Analysis!$I633="Loyal but shallow",Analysis!$D633,""))</f>
        <v/>
      </c>
      <c r="C633" s="29" t="str">
        <f>IF(Analysis!$I633="","",IF(Analysis!$I633="Project-driven",Analysis!$D633,""))</f>
        <v/>
      </c>
      <c r="D633" s="29" t="str">
        <f>IF(Analysis!$I633="","",IF(Analysis!$I633="Drifting",Analysis!$D633,""))</f>
        <v/>
      </c>
      <c r="E633" s="29" t="str">
        <f>IF(Analysis!$I633="","",IF(Analysis!$I633="Embedded",Analysis!$C633,""))</f>
        <v/>
      </c>
      <c r="F633" s="29" t="str">
        <f>IF(Analysis!$I633="","",IF(Analysis!$I633="Loyal but shallow",Analysis!$C633,""))</f>
        <v/>
      </c>
      <c r="G633" s="29" t="str">
        <f>IF(Analysis!$I633="","",IF(Analysis!$I633="Project-driven",Analysis!$C633,""))</f>
        <v/>
      </c>
      <c r="H633" s="29" t="str">
        <f>IF(Analysis!$I633="","",IF(Analysis!$I633="Drifting",Analysis!$C633,""))</f>
        <v/>
      </c>
      <c r="I633" s="29" t="str">
        <f>IF(Analysis!$I633="","",IF(Analysis!$I633="Embedded",Analysis!$F633,""))</f>
        <v/>
      </c>
      <c r="J633" s="29" t="str">
        <f>IF(Analysis!$I633="","",IF(Analysis!$I633="Loyal but shallow",Analysis!$F633,""))</f>
        <v/>
      </c>
      <c r="K633" s="29" t="str">
        <f>IF(Analysis!$I633="","",IF(Analysis!$I633="Project-driven",Analysis!$F633,""))</f>
        <v/>
      </c>
      <c r="L633" s="29" t="str">
        <f>IF(Analysis!$I633="","",IF(Analysis!$I633="Drifting",Analysis!$F633,""))</f>
        <v/>
      </c>
      <c r="M633" s="29" t="str">
        <f>IF(Analysis!$I633="","",IF(Analysis!$I633="Embedded",Analysis!$H633,""))</f>
        <v/>
      </c>
      <c r="N633" s="29" t="str">
        <f>IF(Analysis!$I633="","",IF(Analysis!$I633="Loyal but shallow",Analysis!$H633,""))</f>
        <v/>
      </c>
      <c r="O633" s="29" t="str">
        <f>IF(Analysis!$I633="","",IF(Analysis!$I633="Project-driven",Analysis!$H633,""))</f>
        <v/>
      </c>
      <c r="P633" s="29" t="str">
        <f>IF(Analysis!$I633="","",IF(Analysis!$I633="Drifting",Analysis!$H633,""))</f>
        <v/>
      </c>
    </row>
    <row r="634" spans="1:16" x14ac:dyDescent="0.25">
      <c r="A634" s="29" t="str">
        <f>IF(Analysis!$I634="","",IF(Analysis!$I634="Embedded",Analysis!$D634,""))</f>
        <v/>
      </c>
      <c r="B634" s="29" t="str">
        <f>IF(Analysis!$I634="","",IF(Analysis!$I634="Loyal but shallow",Analysis!$D634,""))</f>
        <v/>
      </c>
      <c r="C634" s="29" t="str">
        <f>IF(Analysis!$I634="","",IF(Analysis!$I634="Project-driven",Analysis!$D634,""))</f>
        <v/>
      </c>
      <c r="D634" s="29" t="str">
        <f>IF(Analysis!$I634="","",IF(Analysis!$I634="Drifting",Analysis!$D634,""))</f>
        <v/>
      </c>
      <c r="E634" s="29" t="str">
        <f>IF(Analysis!$I634="","",IF(Analysis!$I634="Embedded",Analysis!$C634,""))</f>
        <v/>
      </c>
      <c r="F634" s="29" t="str">
        <f>IF(Analysis!$I634="","",IF(Analysis!$I634="Loyal but shallow",Analysis!$C634,""))</f>
        <v/>
      </c>
      <c r="G634" s="29" t="str">
        <f>IF(Analysis!$I634="","",IF(Analysis!$I634="Project-driven",Analysis!$C634,""))</f>
        <v/>
      </c>
      <c r="H634" s="29" t="str">
        <f>IF(Analysis!$I634="","",IF(Analysis!$I634="Drifting",Analysis!$C634,""))</f>
        <v/>
      </c>
      <c r="I634" s="29" t="str">
        <f>IF(Analysis!$I634="","",IF(Analysis!$I634="Embedded",Analysis!$F634,""))</f>
        <v/>
      </c>
      <c r="J634" s="29" t="str">
        <f>IF(Analysis!$I634="","",IF(Analysis!$I634="Loyal but shallow",Analysis!$F634,""))</f>
        <v/>
      </c>
      <c r="K634" s="29" t="str">
        <f>IF(Analysis!$I634="","",IF(Analysis!$I634="Project-driven",Analysis!$F634,""))</f>
        <v/>
      </c>
      <c r="L634" s="29" t="str">
        <f>IF(Analysis!$I634="","",IF(Analysis!$I634="Drifting",Analysis!$F634,""))</f>
        <v/>
      </c>
      <c r="M634" s="29" t="str">
        <f>IF(Analysis!$I634="","",IF(Analysis!$I634="Embedded",Analysis!$H634,""))</f>
        <v/>
      </c>
      <c r="N634" s="29" t="str">
        <f>IF(Analysis!$I634="","",IF(Analysis!$I634="Loyal but shallow",Analysis!$H634,""))</f>
        <v/>
      </c>
      <c r="O634" s="29" t="str">
        <f>IF(Analysis!$I634="","",IF(Analysis!$I634="Project-driven",Analysis!$H634,""))</f>
        <v/>
      </c>
      <c r="P634" s="29" t="str">
        <f>IF(Analysis!$I634="","",IF(Analysis!$I634="Drifting",Analysis!$H634,""))</f>
        <v/>
      </c>
    </row>
    <row r="635" spans="1:16" x14ac:dyDescent="0.25">
      <c r="A635" s="29" t="str">
        <f>IF(Analysis!$I635="","",IF(Analysis!$I635="Embedded",Analysis!$D635,""))</f>
        <v/>
      </c>
      <c r="B635" s="29" t="str">
        <f>IF(Analysis!$I635="","",IF(Analysis!$I635="Loyal but shallow",Analysis!$D635,""))</f>
        <v/>
      </c>
      <c r="C635" s="29" t="str">
        <f>IF(Analysis!$I635="","",IF(Analysis!$I635="Project-driven",Analysis!$D635,""))</f>
        <v/>
      </c>
      <c r="D635" s="29" t="str">
        <f>IF(Analysis!$I635="","",IF(Analysis!$I635="Drifting",Analysis!$D635,""))</f>
        <v/>
      </c>
      <c r="E635" s="29" t="str">
        <f>IF(Analysis!$I635="","",IF(Analysis!$I635="Embedded",Analysis!$C635,""))</f>
        <v/>
      </c>
      <c r="F635" s="29" t="str">
        <f>IF(Analysis!$I635="","",IF(Analysis!$I635="Loyal but shallow",Analysis!$C635,""))</f>
        <v/>
      </c>
      <c r="G635" s="29" t="str">
        <f>IF(Analysis!$I635="","",IF(Analysis!$I635="Project-driven",Analysis!$C635,""))</f>
        <v/>
      </c>
      <c r="H635" s="29" t="str">
        <f>IF(Analysis!$I635="","",IF(Analysis!$I635="Drifting",Analysis!$C635,""))</f>
        <v/>
      </c>
      <c r="I635" s="29" t="str">
        <f>IF(Analysis!$I635="","",IF(Analysis!$I635="Embedded",Analysis!$F635,""))</f>
        <v/>
      </c>
      <c r="J635" s="29" t="str">
        <f>IF(Analysis!$I635="","",IF(Analysis!$I635="Loyal but shallow",Analysis!$F635,""))</f>
        <v/>
      </c>
      <c r="K635" s="29" t="str">
        <f>IF(Analysis!$I635="","",IF(Analysis!$I635="Project-driven",Analysis!$F635,""))</f>
        <v/>
      </c>
      <c r="L635" s="29" t="str">
        <f>IF(Analysis!$I635="","",IF(Analysis!$I635="Drifting",Analysis!$F635,""))</f>
        <v/>
      </c>
      <c r="M635" s="29" t="str">
        <f>IF(Analysis!$I635="","",IF(Analysis!$I635="Embedded",Analysis!$H635,""))</f>
        <v/>
      </c>
      <c r="N635" s="29" t="str">
        <f>IF(Analysis!$I635="","",IF(Analysis!$I635="Loyal but shallow",Analysis!$H635,""))</f>
        <v/>
      </c>
      <c r="O635" s="29" t="str">
        <f>IF(Analysis!$I635="","",IF(Analysis!$I635="Project-driven",Analysis!$H635,""))</f>
        <v/>
      </c>
      <c r="P635" s="29" t="str">
        <f>IF(Analysis!$I635="","",IF(Analysis!$I635="Drifting",Analysis!$H635,""))</f>
        <v/>
      </c>
    </row>
    <row r="636" spans="1:16" x14ac:dyDescent="0.25">
      <c r="A636" s="29" t="str">
        <f>IF(Analysis!$I636="","",IF(Analysis!$I636="Embedded",Analysis!$D636,""))</f>
        <v/>
      </c>
      <c r="B636" s="29" t="str">
        <f>IF(Analysis!$I636="","",IF(Analysis!$I636="Loyal but shallow",Analysis!$D636,""))</f>
        <v/>
      </c>
      <c r="C636" s="29" t="str">
        <f>IF(Analysis!$I636="","",IF(Analysis!$I636="Project-driven",Analysis!$D636,""))</f>
        <v/>
      </c>
      <c r="D636" s="29" t="str">
        <f>IF(Analysis!$I636="","",IF(Analysis!$I636="Drifting",Analysis!$D636,""))</f>
        <v/>
      </c>
      <c r="E636" s="29" t="str">
        <f>IF(Analysis!$I636="","",IF(Analysis!$I636="Embedded",Analysis!$C636,""))</f>
        <v/>
      </c>
      <c r="F636" s="29" t="str">
        <f>IF(Analysis!$I636="","",IF(Analysis!$I636="Loyal but shallow",Analysis!$C636,""))</f>
        <v/>
      </c>
      <c r="G636" s="29" t="str">
        <f>IF(Analysis!$I636="","",IF(Analysis!$I636="Project-driven",Analysis!$C636,""))</f>
        <v/>
      </c>
      <c r="H636" s="29" t="str">
        <f>IF(Analysis!$I636="","",IF(Analysis!$I636="Drifting",Analysis!$C636,""))</f>
        <v/>
      </c>
      <c r="I636" s="29" t="str">
        <f>IF(Analysis!$I636="","",IF(Analysis!$I636="Embedded",Analysis!$F636,""))</f>
        <v/>
      </c>
      <c r="J636" s="29" t="str">
        <f>IF(Analysis!$I636="","",IF(Analysis!$I636="Loyal but shallow",Analysis!$F636,""))</f>
        <v/>
      </c>
      <c r="K636" s="29" t="str">
        <f>IF(Analysis!$I636="","",IF(Analysis!$I636="Project-driven",Analysis!$F636,""))</f>
        <v/>
      </c>
      <c r="L636" s="29" t="str">
        <f>IF(Analysis!$I636="","",IF(Analysis!$I636="Drifting",Analysis!$F636,""))</f>
        <v/>
      </c>
      <c r="M636" s="29" t="str">
        <f>IF(Analysis!$I636="","",IF(Analysis!$I636="Embedded",Analysis!$H636,""))</f>
        <v/>
      </c>
      <c r="N636" s="29" t="str">
        <f>IF(Analysis!$I636="","",IF(Analysis!$I636="Loyal but shallow",Analysis!$H636,""))</f>
        <v/>
      </c>
      <c r="O636" s="29" t="str">
        <f>IF(Analysis!$I636="","",IF(Analysis!$I636="Project-driven",Analysis!$H636,""))</f>
        <v/>
      </c>
      <c r="P636" s="29" t="str">
        <f>IF(Analysis!$I636="","",IF(Analysis!$I636="Drifting",Analysis!$H636,""))</f>
        <v/>
      </c>
    </row>
    <row r="637" spans="1:16" x14ac:dyDescent="0.25">
      <c r="A637" s="29" t="str">
        <f>IF(Analysis!$I637="","",IF(Analysis!$I637="Embedded",Analysis!$D637,""))</f>
        <v/>
      </c>
      <c r="B637" s="29" t="str">
        <f>IF(Analysis!$I637="","",IF(Analysis!$I637="Loyal but shallow",Analysis!$D637,""))</f>
        <v/>
      </c>
      <c r="C637" s="29" t="str">
        <f>IF(Analysis!$I637="","",IF(Analysis!$I637="Project-driven",Analysis!$D637,""))</f>
        <v/>
      </c>
      <c r="D637" s="29" t="str">
        <f>IF(Analysis!$I637="","",IF(Analysis!$I637="Drifting",Analysis!$D637,""))</f>
        <v/>
      </c>
      <c r="E637" s="29" t="str">
        <f>IF(Analysis!$I637="","",IF(Analysis!$I637="Embedded",Analysis!$C637,""))</f>
        <v/>
      </c>
      <c r="F637" s="29" t="str">
        <f>IF(Analysis!$I637="","",IF(Analysis!$I637="Loyal but shallow",Analysis!$C637,""))</f>
        <v/>
      </c>
      <c r="G637" s="29" t="str">
        <f>IF(Analysis!$I637="","",IF(Analysis!$I637="Project-driven",Analysis!$C637,""))</f>
        <v/>
      </c>
      <c r="H637" s="29" t="str">
        <f>IF(Analysis!$I637="","",IF(Analysis!$I637="Drifting",Analysis!$C637,""))</f>
        <v/>
      </c>
      <c r="I637" s="29" t="str">
        <f>IF(Analysis!$I637="","",IF(Analysis!$I637="Embedded",Analysis!$F637,""))</f>
        <v/>
      </c>
      <c r="J637" s="29" t="str">
        <f>IF(Analysis!$I637="","",IF(Analysis!$I637="Loyal but shallow",Analysis!$F637,""))</f>
        <v/>
      </c>
      <c r="K637" s="29" t="str">
        <f>IF(Analysis!$I637="","",IF(Analysis!$I637="Project-driven",Analysis!$F637,""))</f>
        <v/>
      </c>
      <c r="L637" s="29" t="str">
        <f>IF(Analysis!$I637="","",IF(Analysis!$I637="Drifting",Analysis!$F637,""))</f>
        <v/>
      </c>
      <c r="M637" s="29" t="str">
        <f>IF(Analysis!$I637="","",IF(Analysis!$I637="Embedded",Analysis!$H637,""))</f>
        <v/>
      </c>
      <c r="N637" s="29" t="str">
        <f>IF(Analysis!$I637="","",IF(Analysis!$I637="Loyal but shallow",Analysis!$H637,""))</f>
        <v/>
      </c>
      <c r="O637" s="29" t="str">
        <f>IF(Analysis!$I637="","",IF(Analysis!$I637="Project-driven",Analysis!$H637,""))</f>
        <v/>
      </c>
      <c r="P637" s="29" t="str">
        <f>IF(Analysis!$I637="","",IF(Analysis!$I637="Drifting",Analysis!$H637,""))</f>
        <v/>
      </c>
    </row>
    <row r="638" spans="1:16" x14ac:dyDescent="0.25">
      <c r="A638" s="29" t="str">
        <f>IF(Analysis!$I638="","",IF(Analysis!$I638="Embedded",Analysis!$D638,""))</f>
        <v/>
      </c>
      <c r="B638" s="29" t="str">
        <f>IF(Analysis!$I638="","",IF(Analysis!$I638="Loyal but shallow",Analysis!$D638,""))</f>
        <v/>
      </c>
      <c r="C638" s="29" t="str">
        <f>IF(Analysis!$I638="","",IF(Analysis!$I638="Project-driven",Analysis!$D638,""))</f>
        <v/>
      </c>
      <c r="D638" s="29" t="str">
        <f>IF(Analysis!$I638="","",IF(Analysis!$I638="Drifting",Analysis!$D638,""))</f>
        <v/>
      </c>
      <c r="E638" s="29" t="str">
        <f>IF(Analysis!$I638="","",IF(Analysis!$I638="Embedded",Analysis!$C638,""))</f>
        <v/>
      </c>
      <c r="F638" s="29" t="str">
        <f>IF(Analysis!$I638="","",IF(Analysis!$I638="Loyal but shallow",Analysis!$C638,""))</f>
        <v/>
      </c>
      <c r="G638" s="29" t="str">
        <f>IF(Analysis!$I638="","",IF(Analysis!$I638="Project-driven",Analysis!$C638,""))</f>
        <v/>
      </c>
      <c r="H638" s="29" t="str">
        <f>IF(Analysis!$I638="","",IF(Analysis!$I638="Drifting",Analysis!$C638,""))</f>
        <v/>
      </c>
      <c r="I638" s="29" t="str">
        <f>IF(Analysis!$I638="","",IF(Analysis!$I638="Embedded",Analysis!$F638,""))</f>
        <v/>
      </c>
      <c r="J638" s="29" t="str">
        <f>IF(Analysis!$I638="","",IF(Analysis!$I638="Loyal but shallow",Analysis!$F638,""))</f>
        <v/>
      </c>
      <c r="K638" s="29" t="str">
        <f>IF(Analysis!$I638="","",IF(Analysis!$I638="Project-driven",Analysis!$F638,""))</f>
        <v/>
      </c>
      <c r="L638" s="29" t="str">
        <f>IF(Analysis!$I638="","",IF(Analysis!$I638="Drifting",Analysis!$F638,""))</f>
        <v/>
      </c>
      <c r="M638" s="29" t="str">
        <f>IF(Analysis!$I638="","",IF(Analysis!$I638="Embedded",Analysis!$H638,""))</f>
        <v/>
      </c>
      <c r="N638" s="29" t="str">
        <f>IF(Analysis!$I638="","",IF(Analysis!$I638="Loyal but shallow",Analysis!$H638,""))</f>
        <v/>
      </c>
      <c r="O638" s="29" t="str">
        <f>IF(Analysis!$I638="","",IF(Analysis!$I638="Project-driven",Analysis!$H638,""))</f>
        <v/>
      </c>
      <c r="P638" s="29" t="str">
        <f>IF(Analysis!$I638="","",IF(Analysis!$I638="Drifting",Analysis!$H638,""))</f>
        <v/>
      </c>
    </row>
    <row r="639" spans="1:16" x14ac:dyDescent="0.25">
      <c r="A639" s="29" t="str">
        <f>IF(Analysis!$I639="","",IF(Analysis!$I639="Embedded",Analysis!$D639,""))</f>
        <v/>
      </c>
      <c r="B639" s="29" t="str">
        <f>IF(Analysis!$I639="","",IF(Analysis!$I639="Loyal but shallow",Analysis!$D639,""))</f>
        <v/>
      </c>
      <c r="C639" s="29" t="str">
        <f>IF(Analysis!$I639="","",IF(Analysis!$I639="Project-driven",Analysis!$D639,""))</f>
        <v/>
      </c>
      <c r="D639" s="29" t="str">
        <f>IF(Analysis!$I639="","",IF(Analysis!$I639="Drifting",Analysis!$D639,""))</f>
        <v/>
      </c>
      <c r="E639" s="29" t="str">
        <f>IF(Analysis!$I639="","",IF(Analysis!$I639="Embedded",Analysis!$C639,""))</f>
        <v/>
      </c>
      <c r="F639" s="29" t="str">
        <f>IF(Analysis!$I639="","",IF(Analysis!$I639="Loyal but shallow",Analysis!$C639,""))</f>
        <v/>
      </c>
      <c r="G639" s="29" t="str">
        <f>IF(Analysis!$I639="","",IF(Analysis!$I639="Project-driven",Analysis!$C639,""))</f>
        <v/>
      </c>
      <c r="H639" s="29" t="str">
        <f>IF(Analysis!$I639="","",IF(Analysis!$I639="Drifting",Analysis!$C639,""))</f>
        <v/>
      </c>
      <c r="I639" s="29" t="str">
        <f>IF(Analysis!$I639="","",IF(Analysis!$I639="Embedded",Analysis!$F639,""))</f>
        <v/>
      </c>
      <c r="J639" s="29" t="str">
        <f>IF(Analysis!$I639="","",IF(Analysis!$I639="Loyal but shallow",Analysis!$F639,""))</f>
        <v/>
      </c>
      <c r="K639" s="29" t="str">
        <f>IF(Analysis!$I639="","",IF(Analysis!$I639="Project-driven",Analysis!$F639,""))</f>
        <v/>
      </c>
      <c r="L639" s="29" t="str">
        <f>IF(Analysis!$I639="","",IF(Analysis!$I639="Drifting",Analysis!$F639,""))</f>
        <v/>
      </c>
      <c r="M639" s="29" t="str">
        <f>IF(Analysis!$I639="","",IF(Analysis!$I639="Embedded",Analysis!$H639,""))</f>
        <v/>
      </c>
      <c r="N639" s="29" t="str">
        <f>IF(Analysis!$I639="","",IF(Analysis!$I639="Loyal but shallow",Analysis!$H639,""))</f>
        <v/>
      </c>
      <c r="O639" s="29" t="str">
        <f>IF(Analysis!$I639="","",IF(Analysis!$I639="Project-driven",Analysis!$H639,""))</f>
        <v/>
      </c>
      <c r="P639" s="29" t="str">
        <f>IF(Analysis!$I639="","",IF(Analysis!$I639="Drifting",Analysis!$H639,""))</f>
        <v/>
      </c>
    </row>
    <row r="640" spans="1:16" x14ac:dyDescent="0.25">
      <c r="A640" s="29" t="str">
        <f>IF(Analysis!$I640="","",IF(Analysis!$I640="Embedded",Analysis!$D640,""))</f>
        <v/>
      </c>
      <c r="B640" s="29" t="str">
        <f>IF(Analysis!$I640="","",IF(Analysis!$I640="Loyal but shallow",Analysis!$D640,""))</f>
        <v/>
      </c>
      <c r="C640" s="29" t="str">
        <f>IF(Analysis!$I640="","",IF(Analysis!$I640="Project-driven",Analysis!$D640,""))</f>
        <v/>
      </c>
      <c r="D640" s="29" t="str">
        <f>IF(Analysis!$I640="","",IF(Analysis!$I640="Drifting",Analysis!$D640,""))</f>
        <v/>
      </c>
      <c r="E640" s="29" t="str">
        <f>IF(Analysis!$I640="","",IF(Analysis!$I640="Embedded",Analysis!$C640,""))</f>
        <v/>
      </c>
      <c r="F640" s="29" t="str">
        <f>IF(Analysis!$I640="","",IF(Analysis!$I640="Loyal but shallow",Analysis!$C640,""))</f>
        <v/>
      </c>
      <c r="G640" s="29" t="str">
        <f>IF(Analysis!$I640="","",IF(Analysis!$I640="Project-driven",Analysis!$C640,""))</f>
        <v/>
      </c>
      <c r="H640" s="29" t="str">
        <f>IF(Analysis!$I640="","",IF(Analysis!$I640="Drifting",Analysis!$C640,""))</f>
        <v/>
      </c>
      <c r="I640" s="29" t="str">
        <f>IF(Analysis!$I640="","",IF(Analysis!$I640="Embedded",Analysis!$F640,""))</f>
        <v/>
      </c>
      <c r="J640" s="29" t="str">
        <f>IF(Analysis!$I640="","",IF(Analysis!$I640="Loyal but shallow",Analysis!$F640,""))</f>
        <v/>
      </c>
      <c r="K640" s="29" t="str">
        <f>IF(Analysis!$I640="","",IF(Analysis!$I640="Project-driven",Analysis!$F640,""))</f>
        <v/>
      </c>
      <c r="L640" s="29" t="str">
        <f>IF(Analysis!$I640="","",IF(Analysis!$I640="Drifting",Analysis!$F640,""))</f>
        <v/>
      </c>
      <c r="M640" s="29" t="str">
        <f>IF(Analysis!$I640="","",IF(Analysis!$I640="Embedded",Analysis!$H640,""))</f>
        <v/>
      </c>
      <c r="N640" s="29" t="str">
        <f>IF(Analysis!$I640="","",IF(Analysis!$I640="Loyal but shallow",Analysis!$H640,""))</f>
        <v/>
      </c>
      <c r="O640" s="29" t="str">
        <f>IF(Analysis!$I640="","",IF(Analysis!$I640="Project-driven",Analysis!$H640,""))</f>
        <v/>
      </c>
      <c r="P640" s="29" t="str">
        <f>IF(Analysis!$I640="","",IF(Analysis!$I640="Drifting",Analysis!$H640,""))</f>
        <v/>
      </c>
    </row>
    <row r="641" spans="1:16" x14ac:dyDescent="0.25">
      <c r="A641" s="29" t="str">
        <f>IF(Analysis!$I641="","",IF(Analysis!$I641="Embedded",Analysis!$D641,""))</f>
        <v/>
      </c>
      <c r="B641" s="29" t="str">
        <f>IF(Analysis!$I641="","",IF(Analysis!$I641="Loyal but shallow",Analysis!$D641,""))</f>
        <v/>
      </c>
      <c r="C641" s="29" t="str">
        <f>IF(Analysis!$I641="","",IF(Analysis!$I641="Project-driven",Analysis!$D641,""))</f>
        <v/>
      </c>
      <c r="D641" s="29" t="str">
        <f>IF(Analysis!$I641="","",IF(Analysis!$I641="Drifting",Analysis!$D641,""))</f>
        <v/>
      </c>
      <c r="E641" s="29" t="str">
        <f>IF(Analysis!$I641="","",IF(Analysis!$I641="Embedded",Analysis!$C641,""))</f>
        <v/>
      </c>
      <c r="F641" s="29" t="str">
        <f>IF(Analysis!$I641="","",IF(Analysis!$I641="Loyal but shallow",Analysis!$C641,""))</f>
        <v/>
      </c>
      <c r="G641" s="29" t="str">
        <f>IF(Analysis!$I641="","",IF(Analysis!$I641="Project-driven",Analysis!$C641,""))</f>
        <v/>
      </c>
      <c r="H641" s="29" t="str">
        <f>IF(Analysis!$I641="","",IF(Analysis!$I641="Drifting",Analysis!$C641,""))</f>
        <v/>
      </c>
      <c r="I641" s="29" t="str">
        <f>IF(Analysis!$I641="","",IF(Analysis!$I641="Embedded",Analysis!$F641,""))</f>
        <v/>
      </c>
      <c r="J641" s="29" t="str">
        <f>IF(Analysis!$I641="","",IF(Analysis!$I641="Loyal but shallow",Analysis!$F641,""))</f>
        <v/>
      </c>
      <c r="K641" s="29" t="str">
        <f>IF(Analysis!$I641="","",IF(Analysis!$I641="Project-driven",Analysis!$F641,""))</f>
        <v/>
      </c>
      <c r="L641" s="29" t="str">
        <f>IF(Analysis!$I641="","",IF(Analysis!$I641="Drifting",Analysis!$F641,""))</f>
        <v/>
      </c>
      <c r="M641" s="29" t="str">
        <f>IF(Analysis!$I641="","",IF(Analysis!$I641="Embedded",Analysis!$H641,""))</f>
        <v/>
      </c>
      <c r="N641" s="29" t="str">
        <f>IF(Analysis!$I641="","",IF(Analysis!$I641="Loyal but shallow",Analysis!$H641,""))</f>
        <v/>
      </c>
      <c r="O641" s="29" t="str">
        <f>IF(Analysis!$I641="","",IF(Analysis!$I641="Project-driven",Analysis!$H641,""))</f>
        <v/>
      </c>
      <c r="P641" s="29" t="str">
        <f>IF(Analysis!$I641="","",IF(Analysis!$I641="Drifting",Analysis!$H641,""))</f>
        <v/>
      </c>
    </row>
    <row r="642" spans="1:16" x14ac:dyDescent="0.25">
      <c r="A642" s="29" t="str">
        <f>IF(Analysis!$I642="","",IF(Analysis!$I642="Embedded",Analysis!$D642,""))</f>
        <v/>
      </c>
      <c r="B642" s="29" t="str">
        <f>IF(Analysis!$I642="","",IF(Analysis!$I642="Loyal but shallow",Analysis!$D642,""))</f>
        <v/>
      </c>
      <c r="C642" s="29" t="str">
        <f>IF(Analysis!$I642="","",IF(Analysis!$I642="Project-driven",Analysis!$D642,""))</f>
        <v/>
      </c>
      <c r="D642" s="29" t="str">
        <f>IF(Analysis!$I642="","",IF(Analysis!$I642="Drifting",Analysis!$D642,""))</f>
        <v/>
      </c>
      <c r="E642" s="29" t="str">
        <f>IF(Analysis!$I642="","",IF(Analysis!$I642="Embedded",Analysis!$C642,""))</f>
        <v/>
      </c>
      <c r="F642" s="29" t="str">
        <f>IF(Analysis!$I642="","",IF(Analysis!$I642="Loyal but shallow",Analysis!$C642,""))</f>
        <v/>
      </c>
      <c r="G642" s="29" t="str">
        <f>IF(Analysis!$I642="","",IF(Analysis!$I642="Project-driven",Analysis!$C642,""))</f>
        <v/>
      </c>
      <c r="H642" s="29" t="str">
        <f>IF(Analysis!$I642="","",IF(Analysis!$I642="Drifting",Analysis!$C642,""))</f>
        <v/>
      </c>
      <c r="I642" s="29" t="str">
        <f>IF(Analysis!$I642="","",IF(Analysis!$I642="Embedded",Analysis!$F642,""))</f>
        <v/>
      </c>
      <c r="J642" s="29" t="str">
        <f>IF(Analysis!$I642="","",IF(Analysis!$I642="Loyal but shallow",Analysis!$F642,""))</f>
        <v/>
      </c>
      <c r="K642" s="29" t="str">
        <f>IF(Analysis!$I642="","",IF(Analysis!$I642="Project-driven",Analysis!$F642,""))</f>
        <v/>
      </c>
      <c r="L642" s="29" t="str">
        <f>IF(Analysis!$I642="","",IF(Analysis!$I642="Drifting",Analysis!$F642,""))</f>
        <v/>
      </c>
      <c r="M642" s="29" t="str">
        <f>IF(Analysis!$I642="","",IF(Analysis!$I642="Embedded",Analysis!$H642,""))</f>
        <v/>
      </c>
      <c r="N642" s="29" t="str">
        <f>IF(Analysis!$I642="","",IF(Analysis!$I642="Loyal but shallow",Analysis!$H642,""))</f>
        <v/>
      </c>
      <c r="O642" s="29" t="str">
        <f>IF(Analysis!$I642="","",IF(Analysis!$I642="Project-driven",Analysis!$H642,""))</f>
        <v/>
      </c>
      <c r="P642" s="29" t="str">
        <f>IF(Analysis!$I642="","",IF(Analysis!$I642="Drifting",Analysis!$H642,""))</f>
        <v/>
      </c>
    </row>
    <row r="643" spans="1:16" x14ac:dyDescent="0.25">
      <c r="A643" s="29" t="str">
        <f>IF(Analysis!$I643="","",IF(Analysis!$I643="Embedded",Analysis!$D643,""))</f>
        <v/>
      </c>
      <c r="B643" s="29" t="str">
        <f>IF(Analysis!$I643="","",IF(Analysis!$I643="Loyal but shallow",Analysis!$D643,""))</f>
        <v/>
      </c>
      <c r="C643" s="29" t="str">
        <f>IF(Analysis!$I643="","",IF(Analysis!$I643="Project-driven",Analysis!$D643,""))</f>
        <v/>
      </c>
      <c r="D643" s="29" t="str">
        <f>IF(Analysis!$I643="","",IF(Analysis!$I643="Drifting",Analysis!$D643,""))</f>
        <v/>
      </c>
      <c r="E643" s="29" t="str">
        <f>IF(Analysis!$I643="","",IF(Analysis!$I643="Embedded",Analysis!$C643,""))</f>
        <v/>
      </c>
      <c r="F643" s="29" t="str">
        <f>IF(Analysis!$I643="","",IF(Analysis!$I643="Loyal but shallow",Analysis!$C643,""))</f>
        <v/>
      </c>
      <c r="G643" s="29" t="str">
        <f>IF(Analysis!$I643="","",IF(Analysis!$I643="Project-driven",Analysis!$C643,""))</f>
        <v/>
      </c>
      <c r="H643" s="29" t="str">
        <f>IF(Analysis!$I643="","",IF(Analysis!$I643="Drifting",Analysis!$C643,""))</f>
        <v/>
      </c>
      <c r="I643" s="29" t="str">
        <f>IF(Analysis!$I643="","",IF(Analysis!$I643="Embedded",Analysis!$F643,""))</f>
        <v/>
      </c>
      <c r="J643" s="29" t="str">
        <f>IF(Analysis!$I643="","",IF(Analysis!$I643="Loyal but shallow",Analysis!$F643,""))</f>
        <v/>
      </c>
      <c r="K643" s="29" t="str">
        <f>IF(Analysis!$I643="","",IF(Analysis!$I643="Project-driven",Analysis!$F643,""))</f>
        <v/>
      </c>
      <c r="L643" s="29" t="str">
        <f>IF(Analysis!$I643="","",IF(Analysis!$I643="Drifting",Analysis!$F643,""))</f>
        <v/>
      </c>
      <c r="M643" s="29" t="str">
        <f>IF(Analysis!$I643="","",IF(Analysis!$I643="Embedded",Analysis!$H643,""))</f>
        <v/>
      </c>
      <c r="N643" s="29" t="str">
        <f>IF(Analysis!$I643="","",IF(Analysis!$I643="Loyal but shallow",Analysis!$H643,""))</f>
        <v/>
      </c>
      <c r="O643" s="29" t="str">
        <f>IF(Analysis!$I643="","",IF(Analysis!$I643="Project-driven",Analysis!$H643,""))</f>
        <v/>
      </c>
      <c r="P643" s="29" t="str">
        <f>IF(Analysis!$I643="","",IF(Analysis!$I643="Drifting",Analysis!$H643,""))</f>
        <v/>
      </c>
    </row>
    <row r="644" spans="1:16" x14ac:dyDescent="0.25">
      <c r="A644" s="29" t="str">
        <f>IF(Analysis!$I644="","",IF(Analysis!$I644="Embedded",Analysis!$D644,""))</f>
        <v/>
      </c>
      <c r="B644" s="29" t="str">
        <f>IF(Analysis!$I644="","",IF(Analysis!$I644="Loyal but shallow",Analysis!$D644,""))</f>
        <v/>
      </c>
      <c r="C644" s="29" t="str">
        <f>IF(Analysis!$I644="","",IF(Analysis!$I644="Project-driven",Analysis!$D644,""))</f>
        <v/>
      </c>
      <c r="D644" s="29" t="str">
        <f>IF(Analysis!$I644="","",IF(Analysis!$I644="Drifting",Analysis!$D644,""))</f>
        <v/>
      </c>
      <c r="E644" s="29" t="str">
        <f>IF(Analysis!$I644="","",IF(Analysis!$I644="Embedded",Analysis!$C644,""))</f>
        <v/>
      </c>
      <c r="F644" s="29" t="str">
        <f>IF(Analysis!$I644="","",IF(Analysis!$I644="Loyal but shallow",Analysis!$C644,""))</f>
        <v/>
      </c>
      <c r="G644" s="29" t="str">
        <f>IF(Analysis!$I644="","",IF(Analysis!$I644="Project-driven",Analysis!$C644,""))</f>
        <v/>
      </c>
      <c r="H644" s="29" t="str">
        <f>IF(Analysis!$I644="","",IF(Analysis!$I644="Drifting",Analysis!$C644,""))</f>
        <v/>
      </c>
      <c r="I644" s="29" t="str">
        <f>IF(Analysis!$I644="","",IF(Analysis!$I644="Embedded",Analysis!$F644,""))</f>
        <v/>
      </c>
      <c r="J644" s="29" t="str">
        <f>IF(Analysis!$I644="","",IF(Analysis!$I644="Loyal but shallow",Analysis!$F644,""))</f>
        <v/>
      </c>
      <c r="K644" s="29" t="str">
        <f>IF(Analysis!$I644="","",IF(Analysis!$I644="Project-driven",Analysis!$F644,""))</f>
        <v/>
      </c>
      <c r="L644" s="29" t="str">
        <f>IF(Analysis!$I644="","",IF(Analysis!$I644="Drifting",Analysis!$F644,""))</f>
        <v/>
      </c>
      <c r="M644" s="29" t="str">
        <f>IF(Analysis!$I644="","",IF(Analysis!$I644="Embedded",Analysis!$H644,""))</f>
        <v/>
      </c>
      <c r="N644" s="29" t="str">
        <f>IF(Analysis!$I644="","",IF(Analysis!$I644="Loyal but shallow",Analysis!$H644,""))</f>
        <v/>
      </c>
      <c r="O644" s="29" t="str">
        <f>IF(Analysis!$I644="","",IF(Analysis!$I644="Project-driven",Analysis!$H644,""))</f>
        <v/>
      </c>
      <c r="P644" s="29" t="str">
        <f>IF(Analysis!$I644="","",IF(Analysis!$I644="Drifting",Analysis!$H644,""))</f>
        <v/>
      </c>
    </row>
    <row r="645" spans="1:16" x14ac:dyDescent="0.25">
      <c r="A645" s="29" t="str">
        <f>IF(Analysis!$I645="","",IF(Analysis!$I645="Embedded",Analysis!$D645,""))</f>
        <v/>
      </c>
      <c r="B645" s="29" t="str">
        <f>IF(Analysis!$I645="","",IF(Analysis!$I645="Loyal but shallow",Analysis!$D645,""))</f>
        <v/>
      </c>
      <c r="C645" s="29" t="str">
        <f>IF(Analysis!$I645="","",IF(Analysis!$I645="Project-driven",Analysis!$D645,""))</f>
        <v/>
      </c>
      <c r="D645" s="29" t="str">
        <f>IF(Analysis!$I645="","",IF(Analysis!$I645="Drifting",Analysis!$D645,""))</f>
        <v/>
      </c>
      <c r="E645" s="29" t="str">
        <f>IF(Analysis!$I645="","",IF(Analysis!$I645="Embedded",Analysis!$C645,""))</f>
        <v/>
      </c>
      <c r="F645" s="29" t="str">
        <f>IF(Analysis!$I645="","",IF(Analysis!$I645="Loyal but shallow",Analysis!$C645,""))</f>
        <v/>
      </c>
      <c r="G645" s="29" t="str">
        <f>IF(Analysis!$I645="","",IF(Analysis!$I645="Project-driven",Analysis!$C645,""))</f>
        <v/>
      </c>
      <c r="H645" s="29" t="str">
        <f>IF(Analysis!$I645="","",IF(Analysis!$I645="Drifting",Analysis!$C645,""))</f>
        <v/>
      </c>
      <c r="I645" s="29" t="str">
        <f>IF(Analysis!$I645="","",IF(Analysis!$I645="Embedded",Analysis!$F645,""))</f>
        <v/>
      </c>
      <c r="J645" s="29" t="str">
        <f>IF(Analysis!$I645="","",IF(Analysis!$I645="Loyal but shallow",Analysis!$F645,""))</f>
        <v/>
      </c>
      <c r="K645" s="29" t="str">
        <f>IF(Analysis!$I645="","",IF(Analysis!$I645="Project-driven",Analysis!$F645,""))</f>
        <v/>
      </c>
      <c r="L645" s="29" t="str">
        <f>IF(Analysis!$I645="","",IF(Analysis!$I645="Drifting",Analysis!$F645,""))</f>
        <v/>
      </c>
      <c r="M645" s="29" t="str">
        <f>IF(Analysis!$I645="","",IF(Analysis!$I645="Embedded",Analysis!$H645,""))</f>
        <v/>
      </c>
      <c r="N645" s="29" t="str">
        <f>IF(Analysis!$I645="","",IF(Analysis!$I645="Loyal but shallow",Analysis!$H645,""))</f>
        <v/>
      </c>
      <c r="O645" s="29" t="str">
        <f>IF(Analysis!$I645="","",IF(Analysis!$I645="Project-driven",Analysis!$H645,""))</f>
        <v/>
      </c>
      <c r="P645" s="29" t="str">
        <f>IF(Analysis!$I645="","",IF(Analysis!$I645="Drifting",Analysis!$H645,""))</f>
        <v/>
      </c>
    </row>
    <row r="646" spans="1:16" x14ac:dyDescent="0.25">
      <c r="A646" s="29" t="str">
        <f>IF(Analysis!$I646="","",IF(Analysis!$I646="Embedded",Analysis!$D646,""))</f>
        <v/>
      </c>
      <c r="B646" s="29" t="str">
        <f>IF(Analysis!$I646="","",IF(Analysis!$I646="Loyal but shallow",Analysis!$D646,""))</f>
        <v/>
      </c>
      <c r="C646" s="29" t="str">
        <f>IF(Analysis!$I646="","",IF(Analysis!$I646="Project-driven",Analysis!$D646,""))</f>
        <v/>
      </c>
      <c r="D646" s="29" t="str">
        <f>IF(Analysis!$I646="","",IF(Analysis!$I646="Drifting",Analysis!$D646,""))</f>
        <v/>
      </c>
      <c r="E646" s="29" t="str">
        <f>IF(Analysis!$I646="","",IF(Analysis!$I646="Embedded",Analysis!$C646,""))</f>
        <v/>
      </c>
      <c r="F646" s="29" t="str">
        <f>IF(Analysis!$I646="","",IF(Analysis!$I646="Loyal but shallow",Analysis!$C646,""))</f>
        <v/>
      </c>
      <c r="G646" s="29" t="str">
        <f>IF(Analysis!$I646="","",IF(Analysis!$I646="Project-driven",Analysis!$C646,""))</f>
        <v/>
      </c>
      <c r="H646" s="29" t="str">
        <f>IF(Analysis!$I646="","",IF(Analysis!$I646="Drifting",Analysis!$C646,""))</f>
        <v/>
      </c>
      <c r="I646" s="29" t="str">
        <f>IF(Analysis!$I646="","",IF(Analysis!$I646="Embedded",Analysis!$F646,""))</f>
        <v/>
      </c>
      <c r="J646" s="29" t="str">
        <f>IF(Analysis!$I646="","",IF(Analysis!$I646="Loyal but shallow",Analysis!$F646,""))</f>
        <v/>
      </c>
      <c r="K646" s="29" t="str">
        <f>IF(Analysis!$I646="","",IF(Analysis!$I646="Project-driven",Analysis!$F646,""))</f>
        <v/>
      </c>
      <c r="L646" s="29" t="str">
        <f>IF(Analysis!$I646="","",IF(Analysis!$I646="Drifting",Analysis!$F646,""))</f>
        <v/>
      </c>
      <c r="M646" s="29" t="str">
        <f>IF(Analysis!$I646="","",IF(Analysis!$I646="Embedded",Analysis!$H646,""))</f>
        <v/>
      </c>
      <c r="N646" s="29" t="str">
        <f>IF(Analysis!$I646="","",IF(Analysis!$I646="Loyal but shallow",Analysis!$H646,""))</f>
        <v/>
      </c>
      <c r="O646" s="29" t="str">
        <f>IF(Analysis!$I646="","",IF(Analysis!$I646="Project-driven",Analysis!$H646,""))</f>
        <v/>
      </c>
      <c r="P646" s="29" t="str">
        <f>IF(Analysis!$I646="","",IF(Analysis!$I646="Drifting",Analysis!$H646,""))</f>
        <v/>
      </c>
    </row>
    <row r="647" spans="1:16" x14ac:dyDescent="0.25">
      <c r="A647" s="29" t="str">
        <f>IF(Analysis!$I647="","",IF(Analysis!$I647="Embedded",Analysis!$D647,""))</f>
        <v/>
      </c>
      <c r="B647" s="29" t="str">
        <f>IF(Analysis!$I647="","",IF(Analysis!$I647="Loyal but shallow",Analysis!$D647,""))</f>
        <v/>
      </c>
      <c r="C647" s="29" t="str">
        <f>IF(Analysis!$I647="","",IF(Analysis!$I647="Project-driven",Analysis!$D647,""))</f>
        <v/>
      </c>
      <c r="D647" s="29" t="str">
        <f>IF(Analysis!$I647="","",IF(Analysis!$I647="Drifting",Analysis!$D647,""))</f>
        <v/>
      </c>
      <c r="E647" s="29" t="str">
        <f>IF(Analysis!$I647="","",IF(Analysis!$I647="Embedded",Analysis!$C647,""))</f>
        <v/>
      </c>
      <c r="F647" s="29" t="str">
        <f>IF(Analysis!$I647="","",IF(Analysis!$I647="Loyal but shallow",Analysis!$C647,""))</f>
        <v/>
      </c>
      <c r="G647" s="29" t="str">
        <f>IF(Analysis!$I647="","",IF(Analysis!$I647="Project-driven",Analysis!$C647,""))</f>
        <v/>
      </c>
      <c r="H647" s="29" t="str">
        <f>IF(Analysis!$I647="","",IF(Analysis!$I647="Drifting",Analysis!$C647,""))</f>
        <v/>
      </c>
      <c r="I647" s="29" t="str">
        <f>IF(Analysis!$I647="","",IF(Analysis!$I647="Embedded",Analysis!$F647,""))</f>
        <v/>
      </c>
      <c r="J647" s="29" t="str">
        <f>IF(Analysis!$I647="","",IF(Analysis!$I647="Loyal but shallow",Analysis!$F647,""))</f>
        <v/>
      </c>
      <c r="K647" s="29" t="str">
        <f>IF(Analysis!$I647="","",IF(Analysis!$I647="Project-driven",Analysis!$F647,""))</f>
        <v/>
      </c>
      <c r="L647" s="29" t="str">
        <f>IF(Analysis!$I647="","",IF(Analysis!$I647="Drifting",Analysis!$F647,""))</f>
        <v/>
      </c>
      <c r="M647" s="29" t="str">
        <f>IF(Analysis!$I647="","",IF(Analysis!$I647="Embedded",Analysis!$H647,""))</f>
        <v/>
      </c>
      <c r="N647" s="29" t="str">
        <f>IF(Analysis!$I647="","",IF(Analysis!$I647="Loyal but shallow",Analysis!$H647,""))</f>
        <v/>
      </c>
      <c r="O647" s="29" t="str">
        <f>IF(Analysis!$I647="","",IF(Analysis!$I647="Project-driven",Analysis!$H647,""))</f>
        <v/>
      </c>
      <c r="P647" s="29" t="str">
        <f>IF(Analysis!$I647="","",IF(Analysis!$I647="Drifting",Analysis!$H647,""))</f>
        <v/>
      </c>
    </row>
    <row r="648" spans="1:16" x14ac:dyDescent="0.25">
      <c r="A648" s="29" t="str">
        <f>IF(Analysis!$I648="","",IF(Analysis!$I648="Embedded",Analysis!$D648,""))</f>
        <v/>
      </c>
      <c r="B648" s="29" t="str">
        <f>IF(Analysis!$I648="","",IF(Analysis!$I648="Loyal but shallow",Analysis!$D648,""))</f>
        <v/>
      </c>
      <c r="C648" s="29" t="str">
        <f>IF(Analysis!$I648="","",IF(Analysis!$I648="Project-driven",Analysis!$D648,""))</f>
        <v/>
      </c>
      <c r="D648" s="29" t="str">
        <f>IF(Analysis!$I648="","",IF(Analysis!$I648="Drifting",Analysis!$D648,""))</f>
        <v/>
      </c>
      <c r="E648" s="29" t="str">
        <f>IF(Analysis!$I648="","",IF(Analysis!$I648="Embedded",Analysis!$C648,""))</f>
        <v/>
      </c>
      <c r="F648" s="29" t="str">
        <f>IF(Analysis!$I648="","",IF(Analysis!$I648="Loyal but shallow",Analysis!$C648,""))</f>
        <v/>
      </c>
      <c r="G648" s="29" t="str">
        <f>IF(Analysis!$I648="","",IF(Analysis!$I648="Project-driven",Analysis!$C648,""))</f>
        <v/>
      </c>
      <c r="H648" s="29" t="str">
        <f>IF(Analysis!$I648="","",IF(Analysis!$I648="Drifting",Analysis!$C648,""))</f>
        <v/>
      </c>
      <c r="I648" s="29" t="str">
        <f>IF(Analysis!$I648="","",IF(Analysis!$I648="Embedded",Analysis!$F648,""))</f>
        <v/>
      </c>
      <c r="J648" s="29" t="str">
        <f>IF(Analysis!$I648="","",IF(Analysis!$I648="Loyal but shallow",Analysis!$F648,""))</f>
        <v/>
      </c>
      <c r="K648" s="29" t="str">
        <f>IF(Analysis!$I648="","",IF(Analysis!$I648="Project-driven",Analysis!$F648,""))</f>
        <v/>
      </c>
      <c r="L648" s="29" t="str">
        <f>IF(Analysis!$I648="","",IF(Analysis!$I648="Drifting",Analysis!$F648,""))</f>
        <v/>
      </c>
      <c r="M648" s="29" t="str">
        <f>IF(Analysis!$I648="","",IF(Analysis!$I648="Embedded",Analysis!$H648,""))</f>
        <v/>
      </c>
      <c r="N648" s="29" t="str">
        <f>IF(Analysis!$I648="","",IF(Analysis!$I648="Loyal but shallow",Analysis!$H648,""))</f>
        <v/>
      </c>
      <c r="O648" s="29" t="str">
        <f>IF(Analysis!$I648="","",IF(Analysis!$I648="Project-driven",Analysis!$H648,""))</f>
        <v/>
      </c>
      <c r="P648" s="29" t="str">
        <f>IF(Analysis!$I648="","",IF(Analysis!$I648="Drifting",Analysis!$H648,""))</f>
        <v/>
      </c>
    </row>
    <row r="649" spans="1:16" x14ac:dyDescent="0.25">
      <c r="A649" s="29" t="str">
        <f>IF(Analysis!$I649="","",IF(Analysis!$I649="Embedded",Analysis!$D649,""))</f>
        <v/>
      </c>
      <c r="B649" s="29" t="str">
        <f>IF(Analysis!$I649="","",IF(Analysis!$I649="Loyal but shallow",Analysis!$D649,""))</f>
        <v/>
      </c>
      <c r="C649" s="29" t="str">
        <f>IF(Analysis!$I649="","",IF(Analysis!$I649="Project-driven",Analysis!$D649,""))</f>
        <v/>
      </c>
      <c r="D649" s="29" t="str">
        <f>IF(Analysis!$I649="","",IF(Analysis!$I649="Drifting",Analysis!$D649,""))</f>
        <v/>
      </c>
      <c r="E649" s="29" t="str">
        <f>IF(Analysis!$I649="","",IF(Analysis!$I649="Embedded",Analysis!$C649,""))</f>
        <v/>
      </c>
      <c r="F649" s="29" t="str">
        <f>IF(Analysis!$I649="","",IF(Analysis!$I649="Loyal but shallow",Analysis!$C649,""))</f>
        <v/>
      </c>
      <c r="G649" s="29" t="str">
        <f>IF(Analysis!$I649="","",IF(Analysis!$I649="Project-driven",Analysis!$C649,""))</f>
        <v/>
      </c>
      <c r="H649" s="29" t="str">
        <f>IF(Analysis!$I649="","",IF(Analysis!$I649="Drifting",Analysis!$C649,""))</f>
        <v/>
      </c>
      <c r="I649" s="29" t="str">
        <f>IF(Analysis!$I649="","",IF(Analysis!$I649="Embedded",Analysis!$F649,""))</f>
        <v/>
      </c>
      <c r="J649" s="29" t="str">
        <f>IF(Analysis!$I649="","",IF(Analysis!$I649="Loyal but shallow",Analysis!$F649,""))</f>
        <v/>
      </c>
      <c r="K649" s="29" t="str">
        <f>IF(Analysis!$I649="","",IF(Analysis!$I649="Project-driven",Analysis!$F649,""))</f>
        <v/>
      </c>
      <c r="L649" s="29" t="str">
        <f>IF(Analysis!$I649="","",IF(Analysis!$I649="Drifting",Analysis!$F649,""))</f>
        <v/>
      </c>
      <c r="M649" s="29" t="str">
        <f>IF(Analysis!$I649="","",IF(Analysis!$I649="Embedded",Analysis!$H649,""))</f>
        <v/>
      </c>
      <c r="N649" s="29" t="str">
        <f>IF(Analysis!$I649="","",IF(Analysis!$I649="Loyal but shallow",Analysis!$H649,""))</f>
        <v/>
      </c>
      <c r="O649" s="29" t="str">
        <f>IF(Analysis!$I649="","",IF(Analysis!$I649="Project-driven",Analysis!$H649,""))</f>
        <v/>
      </c>
      <c r="P649" s="29" t="str">
        <f>IF(Analysis!$I649="","",IF(Analysis!$I649="Drifting",Analysis!$H649,""))</f>
        <v/>
      </c>
    </row>
    <row r="650" spans="1:16" x14ac:dyDescent="0.25">
      <c r="A650" s="29" t="str">
        <f>IF(Analysis!$I650="","",IF(Analysis!$I650="Embedded",Analysis!$D650,""))</f>
        <v/>
      </c>
      <c r="B650" s="29" t="str">
        <f>IF(Analysis!$I650="","",IF(Analysis!$I650="Loyal but shallow",Analysis!$D650,""))</f>
        <v/>
      </c>
      <c r="C650" s="29" t="str">
        <f>IF(Analysis!$I650="","",IF(Analysis!$I650="Project-driven",Analysis!$D650,""))</f>
        <v/>
      </c>
      <c r="D650" s="29" t="str">
        <f>IF(Analysis!$I650="","",IF(Analysis!$I650="Drifting",Analysis!$D650,""))</f>
        <v/>
      </c>
      <c r="E650" s="29" t="str">
        <f>IF(Analysis!$I650="","",IF(Analysis!$I650="Embedded",Analysis!$C650,""))</f>
        <v/>
      </c>
      <c r="F650" s="29" t="str">
        <f>IF(Analysis!$I650="","",IF(Analysis!$I650="Loyal but shallow",Analysis!$C650,""))</f>
        <v/>
      </c>
      <c r="G650" s="29" t="str">
        <f>IF(Analysis!$I650="","",IF(Analysis!$I650="Project-driven",Analysis!$C650,""))</f>
        <v/>
      </c>
      <c r="H650" s="29" t="str">
        <f>IF(Analysis!$I650="","",IF(Analysis!$I650="Drifting",Analysis!$C650,""))</f>
        <v/>
      </c>
      <c r="I650" s="29" t="str">
        <f>IF(Analysis!$I650="","",IF(Analysis!$I650="Embedded",Analysis!$F650,""))</f>
        <v/>
      </c>
      <c r="J650" s="29" t="str">
        <f>IF(Analysis!$I650="","",IF(Analysis!$I650="Loyal but shallow",Analysis!$F650,""))</f>
        <v/>
      </c>
      <c r="K650" s="29" t="str">
        <f>IF(Analysis!$I650="","",IF(Analysis!$I650="Project-driven",Analysis!$F650,""))</f>
        <v/>
      </c>
      <c r="L650" s="29" t="str">
        <f>IF(Analysis!$I650="","",IF(Analysis!$I650="Drifting",Analysis!$F650,""))</f>
        <v/>
      </c>
      <c r="M650" s="29" t="str">
        <f>IF(Analysis!$I650="","",IF(Analysis!$I650="Embedded",Analysis!$H650,""))</f>
        <v/>
      </c>
      <c r="N650" s="29" t="str">
        <f>IF(Analysis!$I650="","",IF(Analysis!$I650="Loyal but shallow",Analysis!$H650,""))</f>
        <v/>
      </c>
      <c r="O650" s="29" t="str">
        <f>IF(Analysis!$I650="","",IF(Analysis!$I650="Project-driven",Analysis!$H650,""))</f>
        <v/>
      </c>
      <c r="P650" s="29" t="str">
        <f>IF(Analysis!$I650="","",IF(Analysis!$I650="Drifting",Analysis!$H650,""))</f>
        <v/>
      </c>
    </row>
    <row r="651" spans="1:16" x14ac:dyDescent="0.25">
      <c r="A651" s="29" t="str">
        <f>IF(Analysis!$I651="","",IF(Analysis!$I651="Embedded",Analysis!$D651,""))</f>
        <v/>
      </c>
      <c r="B651" s="29" t="str">
        <f>IF(Analysis!$I651="","",IF(Analysis!$I651="Loyal but shallow",Analysis!$D651,""))</f>
        <v/>
      </c>
      <c r="C651" s="29" t="str">
        <f>IF(Analysis!$I651="","",IF(Analysis!$I651="Project-driven",Analysis!$D651,""))</f>
        <v/>
      </c>
      <c r="D651" s="29" t="str">
        <f>IF(Analysis!$I651="","",IF(Analysis!$I651="Drifting",Analysis!$D651,""))</f>
        <v/>
      </c>
      <c r="E651" s="29" t="str">
        <f>IF(Analysis!$I651="","",IF(Analysis!$I651="Embedded",Analysis!$C651,""))</f>
        <v/>
      </c>
      <c r="F651" s="29" t="str">
        <f>IF(Analysis!$I651="","",IF(Analysis!$I651="Loyal but shallow",Analysis!$C651,""))</f>
        <v/>
      </c>
      <c r="G651" s="29" t="str">
        <f>IF(Analysis!$I651="","",IF(Analysis!$I651="Project-driven",Analysis!$C651,""))</f>
        <v/>
      </c>
      <c r="H651" s="29" t="str">
        <f>IF(Analysis!$I651="","",IF(Analysis!$I651="Drifting",Analysis!$C651,""))</f>
        <v/>
      </c>
      <c r="I651" s="29" t="str">
        <f>IF(Analysis!$I651="","",IF(Analysis!$I651="Embedded",Analysis!$F651,""))</f>
        <v/>
      </c>
      <c r="J651" s="29" t="str">
        <f>IF(Analysis!$I651="","",IF(Analysis!$I651="Loyal but shallow",Analysis!$F651,""))</f>
        <v/>
      </c>
      <c r="K651" s="29" t="str">
        <f>IF(Analysis!$I651="","",IF(Analysis!$I651="Project-driven",Analysis!$F651,""))</f>
        <v/>
      </c>
      <c r="L651" s="29" t="str">
        <f>IF(Analysis!$I651="","",IF(Analysis!$I651="Drifting",Analysis!$F651,""))</f>
        <v/>
      </c>
      <c r="M651" s="29" t="str">
        <f>IF(Analysis!$I651="","",IF(Analysis!$I651="Embedded",Analysis!$H651,""))</f>
        <v/>
      </c>
      <c r="N651" s="29" t="str">
        <f>IF(Analysis!$I651="","",IF(Analysis!$I651="Loyal but shallow",Analysis!$H651,""))</f>
        <v/>
      </c>
      <c r="O651" s="29" t="str">
        <f>IF(Analysis!$I651="","",IF(Analysis!$I651="Project-driven",Analysis!$H651,""))</f>
        <v/>
      </c>
      <c r="P651" s="29" t="str">
        <f>IF(Analysis!$I651="","",IF(Analysis!$I651="Drifting",Analysis!$H651,""))</f>
        <v/>
      </c>
    </row>
    <row r="652" spans="1:16" x14ac:dyDescent="0.25">
      <c r="A652" s="29" t="str">
        <f>IF(Analysis!$I652="","",IF(Analysis!$I652="Embedded",Analysis!$D652,""))</f>
        <v/>
      </c>
      <c r="B652" s="29" t="str">
        <f>IF(Analysis!$I652="","",IF(Analysis!$I652="Loyal but shallow",Analysis!$D652,""))</f>
        <v/>
      </c>
      <c r="C652" s="29" t="str">
        <f>IF(Analysis!$I652="","",IF(Analysis!$I652="Project-driven",Analysis!$D652,""))</f>
        <v/>
      </c>
      <c r="D652" s="29" t="str">
        <f>IF(Analysis!$I652="","",IF(Analysis!$I652="Drifting",Analysis!$D652,""))</f>
        <v/>
      </c>
      <c r="E652" s="29" t="str">
        <f>IF(Analysis!$I652="","",IF(Analysis!$I652="Embedded",Analysis!$C652,""))</f>
        <v/>
      </c>
      <c r="F652" s="29" t="str">
        <f>IF(Analysis!$I652="","",IF(Analysis!$I652="Loyal but shallow",Analysis!$C652,""))</f>
        <v/>
      </c>
      <c r="G652" s="29" t="str">
        <f>IF(Analysis!$I652="","",IF(Analysis!$I652="Project-driven",Analysis!$C652,""))</f>
        <v/>
      </c>
      <c r="H652" s="29" t="str">
        <f>IF(Analysis!$I652="","",IF(Analysis!$I652="Drifting",Analysis!$C652,""))</f>
        <v/>
      </c>
      <c r="I652" s="29" t="str">
        <f>IF(Analysis!$I652="","",IF(Analysis!$I652="Embedded",Analysis!$F652,""))</f>
        <v/>
      </c>
      <c r="J652" s="29" t="str">
        <f>IF(Analysis!$I652="","",IF(Analysis!$I652="Loyal but shallow",Analysis!$F652,""))</f>
        <v/>
      </c>
      <c r="K652" s="29" t="str">
        <f>IF(Analysis!$I652="","",IF(Analysis!$I652="Project-driven",Analysis!$F652,""))</f>
        <v/>
      </c>
      <c r="L652" s="29" t="str">
        <f>IF(Analysis!$I652="","",IF(Analysis!$I652="Drifting",Analysis!$F652,""))</f>
        <v/>
      </c>
      <c r="M652" s="29" t="str">
        <f>IF(Analysis!$I652="","",IF(Analysis!$I652="Embedded",Analysis!$H652,""))</f>
        <v/>
      </c>
      <c r="N652" s="29" t="str">
        <f>IF(Analysis!$I652="","",IF(Analysis!$I652="Loyal but shallow",Analysis!$H652,""))</f>
        <v/>
      </c>
      <c r="O652" s="29" t="str">
        <f>IF(Analysis!$I652="","",IF(Analysis!$I652="Project-driven",Analysis!$H652,""))</f>
        <v/>
      </c>
      <c r="P652" s="29" t="str">
        <f>IF(Analysis!$I652="","",IF(Analysis!$I652="Drifting",Analysis!$H652,""))</f>
        <v/>
      </c>
    </row>
    <row r="653" spans="1:16" x14ac:dyDescent="0.25">
      <c r="A653" s="29" t="str">
        <f>IF(Analysis!$I653="","",IF(Analysis!$I653="Embedded",Analysis!$D653,""))</f>
        <v/>
      </c>
      <c r="B653" s="29" t="str">
        <f>IF(Analysis!$I653="","",IF(Analysis!$I653="Loyal but shallow",Analysis!$D653,""))</f>
        <v/>
      </c>
      <c r="C653" s="29" t="str">
        <f>IF(Analysis!$I653="","",IF(Analysis!$I653="Project-driven",Analysis!$D653,""))</f>
        <v/>
      </c>
      <c r="D653" s="29" t="str">
        <f>IF(Analysis!$I653="","",IF(Analysis!$I653="Drifting",Analysis!$D653,""))</f>
        <v/>
      </c>
      <c r="E653" s="29" t="str">
        <f>IF(Analysis!$I653="","",IF(Analysis!$I653="Embedded",Analysis!$C653,""))</f>
        <v/>
      </c>
      <c r="F653" s="29" t="str">
        <f>IF(Analysis!$I653="","",IF(Analysis!$I653="Loyal but shallow",Analysis!$C653,""))</f>
        <v/>
      </c>
      <c r="G653" s="29" t="str">
        <f>IF(Analysis!$I653="","",IF(Analysis!$I653="Project-driven",Analysis!$C653,""))</f>
        <v/>
      </c>
      <c r="H653" s="29" t="str">
        <f>IF(Analysis!$I653="","",IF(Analysis!$I653="Drifting",Analysis!$C653,""))</f>
        <v/>
      </c>
      <c r="I653" s="29" t="str">
        <f>IF(Analysis!$I653="","",IF(Analysis!$I653="Embedded",Analysis!$F653,""))</f>
        <v/>
      </c>
      <c r="J653" s="29" t="str">
        <f>IF(Analysis!$I653="","",IF(Analysis!$I653="Loyal but shallow",Analysis!$F653,""))</f>
        <v/>
      </c>
      <c r="K653" s="29" t="str">
        <f>IF(Analysis!$I653="","",IF(Analysis!$I653="Project-driven",Analysis!$F653,""))</f>
        <v/>
      </c>
      <c r="L653" s="29" t="str">
        <f>IF(Analysis!$I653="","",IF(Analysis!$I653="Drifting",Analysis!$F653,""))</f>
        <v/>
      </c>
      <c r="M653" s="29" t="str">
        <f>IF(Analysis!$I653="","",IF(Analysis!$I653="Embedded",Analysis!$H653,""))</f>
        <v/>
      </c>
      <c r="N653" s="29" t="str">
        <f>IF(Analysis!$I653="","",IF(Analysis!$I653="Loyal but shallow",Analysis!$H653,""))</f>
        <v/>
      </c>
      <c r="O653" s="29" t="str">
        <f>IF(Analysis!$I653="","",IF(Analysis!$I653="Project-driven",Analysis!$H653,""))</f>
        <v/>
      </c>
      <c r="P653" s="29" t="str">
        <f>IF(Analysis!$I653="","",IF(Analysis!$I653="Drifting",Analysis!$H653,""))</f>
        <v/>
      </c>
    </row>
    <row r="654" spans="1:16" x14ac:dyDescent="0.25">
      <c r="A654" s="29" t="str">
        <f>IF(Analysis!$I654="","",IF(Analysis!$I654="Embedded",Analysis!$D654,""))</f>
        <v/>
      </c>
      <c r="B654" s="29" t="str">
        <f>IF(Analysis!$I654="","",IF(Analysis!$I654="Loyal but shallow",Analysis!$D654,""))</f>
        <v/>
      </c>
      <c r="C654" s="29" t="str">
        <f>IF(Analysis!$I654="","",IF(Analysis!$I654="Project-driven",Analysis!$D654,""))</f>
        <v/>
      </c>
      <c r="D654" s="29" t="str">
        <f>IF(Analysis!$I654="","",IF(Analysis!$I654="Drifting",Analysis!$D654,""))</f>
        <v/>
      </c>
      <c r="E654" s="29" t="str">
        <f>IF(Analysis!$I654="","",IF(Analysis!$I654="Embedded",Analysis!$C654,""))</f>
        <v/>
      </c>
      <c r="F654" s="29" t="str">
        <f>IF(Analysis!$I654="","",IF(Analysis!$I654="Loyal but shallow",Analysis!$C654,""))</f>
        <v/>
      </c>
      <c r="G654" s="29" t="str">
        <f>IF(Analysis!$I654="","",IF(Analysis!$I654="Project-driven",Analysis!$C654,""))</f>
        <v/>
      </c>
      <c r="H654" s="29" t="str">
        <f>IF(Analysis!$I654="","",IF(Analysis!$I654="Drifting",Analysis!$C654,""))</f>
        <v/>
      </c>
      <c r="I654" s="29" t="str">
        <f>IF(Analysis!$I654="","",IF(Analysis!$I654="Embedded",Analysis!$F654,""))</f>
        <v/>
      </c>
      <c r="J654" s="29" t="str">
        <f>IF(Analysis!$I654="","",IF(Analysis!$I654="Loyal but shallow",Analysis!$F654,""))</f>
        <v/>
      </c>
      <c r="K654" s="29" t="str">
        <f>IF(Analysis!$I654="","",IF(Analysis!$I654="Project-driven",Analysis!$F654,""))</f>
        <v/>
      </c>
      <c r="L654" s="29" t="str">
        <f>IF(Analysis!$I654="","",IF(Analysis!$I654="Drifting",Analysis!$F654,""))</f>
        <v/>
      </c>
      <c r="M654" s="29" t="str">
        <f>IF(Analysis!$I654="","",IF(Analysis!$I654="Embedded",Analysis!$H654,""))</f>
        <v/>
      </c>
      <c r="N654" s="29" t="str">
        <f>IF(Analysis!$I654="","",IF(Analysis!$I654="Loyal but shallow",Analysis!$H654,""))</f>
        <v/>
      </c>
      <c r="O654" s="29" t="str">
        <f>IF(Analysis!$I654="","",IF(Analysis!$I654="Project-driven",Analysis!$H654,""))</f>
        <v/>
      </c>
      <c r="P654" s="29" t="str">
        <f>IF(Analysis!$I654="","",IF(Analysis!$I654="Drifting",Analysis!$H654,""))</f>
        <v/>
      </c>
    </row>
    <row r="655" spans="1:16" x14ac:dyDescent="0.25">
      <c r="A655" s="29" t="str">
        <f>IF(Analysis!$I655="","",IF(Analysis!$I655="Embedded",Analysis!$D655,""))</f>
        <v/>
      </c>
      <c r="B655" s="29" t="str">
        <f>IF(Analysis!$I655="","",IF(Analysis!$I655="Loyal but shallow",Analysis!$D655,""))</f>
        <v/>
      </c>
      <c r="C655" s="29" t="str">
        <f>IF(Analysis!$I655="","",IF(Analysis!$I655="Project-driven",Analysis!$D655,""))</f>
        <v/>
      </c>
      <c r="D655" s="29" t="str">
        <f>IF(Analysis!$I655="","",IF(Analysis!$I655="Drifting",Analysis!$D655,""))</f>
        <v/>
      </c>
      <c r="E655" s="29" t="str">
        <f>IF(Analysis!$I655="","",IF(Analysis!$I655="Embedded",Analysis!$C655,""))</f>
        <v/>
      </c>
      <c r="F655" s="29" t="str">
        <f>IF(Analysis!$I655="","",IF(Analysis!$I655="Loyal but shallow",Analysis!$C655,""))</f>
        <v/>
      </c>
      <c r="G655" s="29" t="str">
        <f>IF(Analysis!$I655="","",IF(Analysis!$I655="Project-driven",Analysis!$C655,""))</f>
        <v/>
      </c>
      <c r="H655" s="29" t="str">
        <f>IF(Analysis!$I655="","",IF(Analysis!$I655="Drifting",Analysis!$C655,""))</f>
        <v/>
      </c>
      <c r="I655" s="29" t="str">
        <f>IF(Analysis!$I655="","",IF(Analysis!$I655="Embedded",Analysis!$F655,""))</f>
        <v/>
      </c>
      <c r="J655" s="29" t="str">
        <f>IF(Analysis!$I655="","",IF(Analysis!$I655="Loyal but shallow",Analysis!$F655,""))</f>
        <v/>
      </c>
      <c r="K655" s="29" t="str">
        <f>IF(Analysis!$I655="","",IF(Analysis!$I655="Project-driven",Analysis!$F655,""))</f>
        <v/>
      </c>
      <c r="L655" s="29" t="str">
        <f>IF(Analysis!$I655="","",IF(Analysis!$I655="Drifting",Analysis!$F655,""))</f>
        <v/>
      </c>
      <c r="M655" s="29" t="str">
        <f>IF(Analysis!$I655="","",IF(Analysis!$I655="Embedded",Analysis!$H655,""))</f>
        <v/>
      </c>
      <c r="N655" s="29" t="str">
        <f>IF(Analysis!$I655="","",IF(Analysis!$I655="Loyal but shallow",Analysis!$H655,""))</f>
        <v/>
      </c>
      <c r="O655" s="29" t="str">
        <f>IF(Analysis!$I655="","",IF(Analysis!$I655="Project-driven",Analysis!$H655,""))</f>
        <v/>
      </c>
      <c r="P655" s="29" t="str">
        <f>IF(Analysis!$I655="","",IF(Analysis!$I655="Drifting",Analysis!$H655,""))</f>
        <v/>
      </c>
    </row>
    <row r="656" spans="1:16" x14ac:dyDescent="0.25">
      <c r="A656" s="29" t="str">
        <f>IF(Analysis!$I656="","",IF(Analysis!$I656="Embedded",Analysis!$D656,""))</f>
        <v/>
      </c>
      <c r="B656" s="29" t="str">
        <f>IF(Analysis!$I656="","",IF(Analysis!$I656="Loyal but shallow",Analysis!$D656,""))</f>
        <v/>
      </c>
      <c r="C656" s="29" t="str">
        <f>IF(Analysis!$I656="","",IF(Analysis!$I656="Project-driven",Analysis!$D656,""))</f>
        <v/>
      </c>
      <c r="D656" s="29" t="str">
        <f>IF(Analysis!$I656="","",IF(Analysis!$I656="Drifting",Analysis!$D656,""))</f>
        <v/>
      </c>
      <c r="E656" s="29" t="str">
        <f>IF(Analysis!$I656="","",IF(Analysis!$I656="Embedded",Analysis!$C656,""))</f>
        <v/>
      </c>
      <c r="F656" s="29" t="str">
        <f>IF(Analysis!$I656="","",IF(Analysis!$I656="Loyal but shallow",Analysis!$C656,""))</f>
        <v/>
      </c>
      <c r="G656" s="29" t="str">
        <f>IF(Analysis!$I656="","",IF(Analysis!$I656="Project-driven",Analysis!$C656,""))</f>
        <v/>
      </c>
      <c r="H656" s="29" t="str">
        <f>IF(Analysis!$I656="","",IF(Analysis!$I656="Drifting",Analysis!$C656,""))</f>
        <v/>
      </c>
      <c r="I656" s="29" t="str">
        <f>IF(Analysis!$I656="","",IF(Analysis!$I656="Embedded",Analysis!$F656,""))</f>
        <v/>
      </c>
      <c r="J656" s="29" t="str">
        <f>IF(Analysis!$I656="","",IF(Analysis!$I656="Loyal but shallow",Analysis!$F656,""))</f>
        <v/>
      </c>
      <c r="K656" s="29" t="str">
        <f>IF(Analysis!$I656="","",IF(Analysis!$I656="Project-driven",Analysis!$F656,""))</f>
        <v/>
      </c>
      <c r="L656" s="29" t="str">
        <f>IF(Analysis!$I656="","",IF(Analysis!$I656="Drifting",Analysis!$F656,""))</f>
        <v/>
      </c>
      <c r="M656" s="29" t="str">
        <f>IF(Analysis!$I656="","",IF(Analysis!$I656="Embedded",Analysis!$H656,""))</f>
        <v/>
      </c>
      <c r="N656" s="29" t="str">
        <f>IF(Analysis!$I656="","",IF(Analysis!$I656="Loyal but shallow",Analysis!$H656,""))</f>
        <v/>
      </c>
      <c r="O656" s="29" t="str">
        <f>IF(Analysis!$I656="","",IF(Analysis!$I656="Project-driven",Analysis!$H656,""))</f>
        <v/>
      </c>
      <c r="P656" s="29" t="str">
        <f>IF(Analysis!$I656="","",IF(Analysis!$I656="Drifting",Analysis!$H656,""))</f>
        <v/>
      </c>
    </row>
    <row r="657" spans="1:16" x14ac:dyDescent="0.25">
      <c r="A657" s="29" t="str">
        <f>IF(Analysis!$I657="","",IF(Analysis!$I657="Embedded",Analysis!$D657,""))</f>
        <v/>
      </c>
      <c r="B657" s="29" t="str">
        <f>IF(Analysis!$I657="","",IF(Analysis!$I657="Loyal but shallow",Analysis!$D657,""))</f>
        <v/>
      </c>
      <c r="C657" s="29" t="str">
        <f>IF(Analysis!$I657="","",IF(Analysis!$I657="Project-driven",Analysis!$D657,""))</f>
        <v/>
      </c>
      <c r="D657" s="29" t="str">
        <f>IF(Analysis!$I657="","",IF(Analysis!$I657="Drifting",Analysis!$D657,""))</f>
        <v/>
      </c>
      <c r="E657" s="29" t="str">
        <f>IF(Analysis!$I657="","",IF(Analysis!$I657="Embedded",Analysis!$C657,""))</f>
        <v/>
      </c>
      <c r="F657" s="29" t="str">
        <f>IF(Analysis!$I657="","",IF(Analysis!$I657="Loyal but shallow",Analysis!$C657,""))</f>
        <v/>
      </c>
      <c r="G657" s="29" t="str">
        <f>IF(Analysis!$I657="","",IF(Analysis!$I657="Project-driven",Analysis!$C657,""))</f>
        <v/>
      </c>
      <c r="H657" s="29" t="str">
        <f>IF(Analysis!$I657="","",IF(Analysis!$I657="Drifting",Analysis!$C657,""))</f>
        <v/>
      </c>
      <c r="I657" s="29" t="str">
        <f>IF(Analysis!$I657="","",IF(Analysis!$I657="Embedded",Analysis!$F657,""))</f>
        <v/>
      </c>
      <c r="J657" s="29" t="str">
        <f>IF(Analysis!$I657="","",IF(Analysis!$I657="Loyal but shallow",Analysis!$F657,""))</f>
        <v/>
      </c>
      <c r="K657" s="29" t="str">
        <f>IF(Analysis!$I657="","",IF(Analysis!$I657="Project-driven",Analysis!$F657,""))</f>
        <v/>
      </c>
      <c r="L657" s="29" t="str">
        <f>IF(Analysis!$I657="","",IF(Analysis!$I657="Drifting",Analysis!$F657,""))</f>
        <v/>
      </c>
      <c r="M657" s="29" t="str">
        <f>IF(Analysis!$I657="","",IF(Analysis!$I657="Embedded",Analysis!$H657,""))</f>
        <v/>
      </c>
      <c r="N657" s="29" t="str">
        <f>IF(Analysis!$I657="","",IF(Analysis!$I657="Loyal but shallow",Analysis!$H657,""))</f>
        <v/>
      </c>
      <c r="O657" s="29" t="str">
        <f>IF(Analysis!$I657="","",IF(Analysis!$I657="Project-driven",Analysis!$H657,""))</f>
        <v/>
      </c>
      <c r="P657" s="29" t="str">
        <f>IF(Analysis!$I657="","",IF(Analysis!$I657="Drifting",Analysis!$H657,""))</f>
        <v/>
      </c>
    </row>
    <row r="658" spans="1:16" x14ac:dyDescent="0.25">
      <c r="A658" s="29" t="str">
        <f>IF(Analysis!$I658="","",IF(Analysis!$I658="Embedded",Analysis!$D658,""))</f>
        <v/>
      </c>
      <c r="B658" s="29" t="str">
        <f>IF(Analysis!$I658="","",IF(Analysis!$I658="Loyal but shallow",Analysis!$D658,""))</f>
        <v/>
      </c>
      <c r="C658" s="29" t="str">
        <f>IF(Analysis!$I658="","",IF(Analysis!$I658="Project-driven",Analysis!$D658,""))</f>
        <v/>
      </c>
      <c r="D658" s="29" t="str">
        <f>IF(Analysis!$I658="","",IF(Analysis!$I658="Drifting",Analysis!$D658,""))</f>
        <v/>
      </c>
      <c r="E658" s="29" t="str">
        <f>IF(Analysis!$I658="","",IF(Analysis!$I658="Embedded",Analysis!$C658,""))</f>
        <v/>
      </c>
      <c r="F658" s="29" t="str">
        <f>IF(Analysis!$I658="","",IF(Analysis!$I658="Loyal but shallow",Analysis!$C658,""))</f>
        <v/>
      </c>
      <c r="G658" s="29" t="str">
        <f>IF(Analysis!$I658="","",IF(Analysis!$I658="Project-driven",Analysis!$C658,""))</f>
        <v/>
      </c>
      <c r="H658" s="29" t="str">
        <f>IF(Analysis!$I658="","",IF(Analysis!$I658="Drifting",Analysis!$C658,""))</f>
        <v/>
      </c>
      <c r="I658" s="29" t="str">
        <f>IF(Analysis!$I658="","",IF(Analysis!$I658="Embedded",Analysis!$F658,""))</f>
        <v/>
      </c>
      <c r="J658" s="29" t="str">
        <f>IF(Analysis!$I658="","",IF(Analysis!$I658="Loyal but shallow",Analysis!$F658,""))</f>
        <v/>
      </c>
      <c r="K658" s="29" t="str">
        <f>IF(Analysis!$I658="","",IF(Analysis!$I658="Project-driven",Analysis!$F658,""))</f>
        <v/>
      </c>
      <c r="L658" s="29" t="str">
        <f>IF(Analysis!$I658="","",IF(Analysis!$I658="Drifting",Analysis!$F658,""))</f>
        <v/>
      </c>
      <c r="M658" s="29" t="str">
        <f>IF(Analysis!$I658="","",IF(Analysis!$I658="Embedded",Analysis!$H658,""))</f>
        <v/>
      </c>
      <c r="N658" s="29" t="str">
        <f>IF(Analysis!$I658="","",IF(Analysis!$I658="Loyal but shallow",Analysis!$H658,""))</f>
        <v/>
      </c>
      <c r="O658" s="29" t="str">
        <f>IF(Analysis!$I658="","",IF(Analysis!$I658="Project-driven",Analysis!$H658,""))</f>
        <v/>
      </c>
      <c r="P658" s="29" t="str">
        <f>IF(Analysis!$I658="","",IF(Analysis!$I658="Drifting",Analysis!$H658,""))</f>
        <v/>
      </c>
    </row>
    <row r="659" spans="1:16" x14ac:dyDescent="0.25">
      <c r="A659" s="29" t="str">
        <f>IF(Analysis!$I659="","",IF(Analysis!$I659="Embedded",Analysis!$D659,""))</f>
        <v/>
      </c>
      <c r="B659" s="29" t="str">
        <f>IF(Analysis!$I659="","",IF(Analysis!$I659="Loyal but shallow",Analysis!$D659,""))</f>
        <v/>
      </c>
      <c r="C659" s="29" t="str">
        <f>IF(Analysis!$I659="","",IF(Analysis!$I659="Project-driven",Analysis!$D659,""))</f>
        <v/>
      </c>
      <c r="D659" s="29" t="str">
        <f>IF(Analysis!$I659="","",IF(Analysis!$I659="Drifting",Analysis!$D659,""))</f>
        <v/>
      </c>
      <c r="E659" s="29" t="str">
        <f>IF(Analysis!$I659="","",IF(Analysis!$I659="Embedded",Analysis!$C659,""))</f>
        <v/>
      </c>
      <c r="F659" s="29" t="str">
        <f>IF(Analysis!$I659="","",IF(Analysis!$I659="Loyal but shallow",Analysis!$C659,""))</f>
        <v/>
      </c>
      <c r="G659" s="29" t="str">
        <f>IF(Analysis!$I659="","",IF(Analysis!$I659="Project-driven",Analysis!$C659,""))</f>
        <v/>
      </c>
      <c r="H659" s="29" t="str">
        <f>IF(Analysis!$I659="","",IF(Analysis!$I659="Drifting",Analysis!$C659,""))</f>
        <v/>
      </c>
      <c r="I659" s="29" t="str">
        <f>IF(Analysis!$I659="","",IF(Analysis!$I659="Embedded",Analysis!$F659,""))</f>
        <v/>
      </c>
      <c r="J659" s="29" t="str">
        <f>IF(Analysis!$I659="","",IF(Analysis!$I659="Loyal but shallow",Analysis!$F659,""))</f>
        <v/>
      </c>
      <c r="K659" s="29" t="str">
        <f>IF(Analysis!$I659="","",IF(Analysis!$I659="Project-driven",Analysis!$F659,""))</f>
        <v/>
      </c>
      <c r="L659" s="29" t="str">
        <f>IF(Analysis!$I659="","",IF(Analysis!$I659="Drifting",Analysis!$F659,""))</f>
        <v/>
      </c>
      <c r="M659" s="29" t="str">
        <f>IF(Analysis!$I659="","",IF(Analysis!$I659="Embedded",Analysis!$H659,""))</f>
        <v/>
      </c>
      <c r="N659" s="29" t="str">
        <f>IF(Analysis!$I659="","",IF(Analysis!$I659="Loyal but shallow",Analysis!$H659,""))</f>
        <v/>
      </c>
      <c r="O659" s="29" t="str">
        <f>IF(Analysis!$I659="","",IF(Analysis!$I659="Project-driven",Analysis!$H659,""))</f>
        <v/>
      </c>
      <c r="P659" s="29" t="str">
        <f>IF(Analysis!$I659="","",IF(Analysis!$I659="Drifting",Analysis!$H659,""))</f>
        <v/>
      </c>
    </row>
    <row r="660" spans="1:16" x14ac:dyDescent="0.25">
      <c r="A660" s="29" t="str">
        <f>IF(Analysis!$I660="","",IF(Analysis!$I660="Embedded",Analysis!$D660,""))</f>
        <v/>
      </c>
      <c r="B660" s="29" t="str">
        <f>IF(Analysis!$I660="","",IF(Analysis!$I660="Loyal but shallow",Analysis!$D660,""))</f>
        <v/>
      </c>
      <c r="C660" s="29" t="str">
        <f>IF(Analysis!$I660="","",IF(Analysis!$I660="Project-driven",Analysis!$D660,""))</f>
        <v/>
      </c>
      <c r="D660" s="29" t="str">
        <f>IF(Analysis!$I660="","",IF(Analysis!$I660="Drifting",Analysis!$D660,""))</f>
        <v/>
      </c>
      <c r="E660" s="29" t="str">
        <f>IF(Analysis!$I660="","",IF(Analysis!$I660="Embedded",Analysis!$C660,""))</f>
        <v/>
      </c>
      <c r="F660" s="29" t="str">
        <f>IF(Analysis!$I660="","",IF(Analysis!$I660="Loyal but shallow",Analysis!$C660,""))</f>
        <v/>
      </c>
      <c r="G660" s="29" t="str">
        <f>IF(Analysis!$I660="","",IF(Analysis!$I660="Project-driven",Analysis!$C660,""))</f>
        <v/>
      </c>
      <c r="H660" s="29" t="str">
        <f>IF(Analysis!$I660="","",IF(Analysis!$I660="Drifting",Analysis!$C660,""))</f>
        <v/>
      </c>
      <c r="I660" s="29" t="str">
        <f>IF(Analysis!$I660="","",IF(Analysis!$I660="Embedded",Analysis!$F660,""))</f>
        <v/>
      </c>
      <c r="J660" s="29" t="str">
        <f>IF(Analysis!$I660="","",IF(Analysis!$I660="Loyal but shallow",Analysis!$F660,""))</f>
        <v/>
      </c>
      <c r="K660" s="29" t="str">
        <f>IF(Analysis!$I660="","",IF(Analysis!$I660="Project-driven",Analysis!$F660,""))</f>
        <v/>
      </c>
      <c r="L660" s="29" t="str">
        <f>IF(Analysis!$I660="","",IF(Analysis!$I660="Drifting",Analysis!$F660,""))</f>
        <v/>
      </c>
      <c r="M660" s="29" t="str">
        <f>IF(Analysis!$I660="","",IF(Analysis!$I660="Embedded",Analysis!$H660,""))</f>
        <v/>
      </c>
      <c r="N660" s="29" t="str">
        <f>IF(Analysis!$I660="","",IF(Analysis!$I660="Loyal but shallow",Analysis!$H660,""))</f>
        <v/>
      </c>
      <c r="O660" s="29" t="str">
        <f>IF(Analysis!$I660="","",IF(Analysis!$I660="Project-driven",Analysis!$H660,""))</f>
        <v/>
      </c>
      <c r="P660" s="29" t="str">
        <f>IF(Analysis!$I660="","",IF(Analysis!$I660="Drifting",Analysis!$H660,""))</f>
        <v/>
      </c>
    </row>
    <row r="661" spans="1:16" x14ac:dyDescent="0.25">
      <c r="A661" s="29" t="str">
        <f>IF(Analysis!$I661="","",IF(Analysis!$I661="Embedded",Analysis!$D661,""))</f>
        <v/>
      </c>
      <c r="B661" s="29" t="str">
        <f>IF(Analysis!$I661="","",IF(Analysis!$I661="Loyal but shallow",Analysis!$D661,""))</f>
        <v/>
      </c>
      <c r="C661" s="29" t="str">
        <f>IF(Analysis!$I661="","",IF(Analysis!$I661="Project-driven",Analysis!$D661,""))</f>
        <v/>
      </c>
      <c r="D661" s="29" t="str">
        <f>IF(Analysis!$I661="","",IF(Analysis!$I661="Drifting",Analysis!$D661,""))</f>
        <v/>
      </c>
      <c r="E661" s="29" t="str">
        <f>IF(Analysis!$I661="","",IF(Analysis!$I661="Embedded",Analysis!$C661,""))</f>
        <v/>
      </c>
      <c r="F661" s="29" t="str">
        <f>IF(Analysis!$I661="","",IF(Analysis!$I661="Loyal but shallow",Analysis!$C661,""))</f>
        <v/>
      </c>
      <c r="G661" s="29" t="str">
        <f>IF(Analysis!$I661="","",IF(Analysis!$I661="Project-driven",Analysis!$C661,""))</f>
        <v/>
      </c>
      <c r="H661" s="29" t="str">
        <f>IF(Analysis!$I661="","",IF(Analysis!$I661="Drifting",Analysis!$C661,""))</f>
        <v/>
      </c>
      <c r="I661" s="29" t="str">
        <f>IF(Analysis!$I661="","",IF(Analysis!$I661="Embedded",Analysis!$F661,""))</f>
        <v/>
      </c>
      <c r="J661" s="29" t="str">
        <f>IF(Analysis!$I661="","",IF(Analysis!$I661="Loyal but shallow",Analysis!$F661,""))</f>
        <v/>
      </c>
      <c r="K661" s="29" t="str">
        <f>IF(Analysis!$I661="","",IF(Analysis!$I661="Project-driven",Analysis!$F661,""))</f>
        <v/>
      </c>
      <c r="L661" s="29" t="str">
        <f>IF(Analysis!$I661="","",IF(Analysis!$I661="Drifting",Analysis!$F661,""))</f>
        <v/>
      </c>
      <c r="M661" s="29" t="str">
        <f>IF(Analysis!$I661="","",IF(Analysis!$I661="Embedded",Analysis!$H661,""))</f>
        <v/>
      </c>
      <c r="N661" s="29" t="str">
        <f>IF(Analysis!$I661="","",IF(Analysis!$I661="Loyal but shallow",Analysis!$H661,""))</f>
        <v/>
      </c>
      <c r="O661" s="29" t="str">
        <f>IF(Analysis!$I661="","",IF(Analysis!$I661="Project-driven",Analysis!$H661,""))</f>
        <v/>
      </c>
      <c r="P661" s="29" t="str">
        <f>IF(Analysis!$I661="","",IF(Analysis!$I661="Drifting",Analysis!$H661,""))</f>
        <v/>
      </c>
    </row>
    <row r="662" spans="1:16" x14ac:dyDescent="0.25">
      <c r="A662" s="29" t="str">
        <f>IF(Analysis!$I662="","",IF(Analysis!$I662="Embedded",Analysis!$D662,""))</f>
        <v/>
      </c>
      <c r="B662" s="29" t="str">
        <f>IF(Analysis!$I662="","",IF(Analysis!$I662="Loyal but shallow",Analysis!$D662,""))</f>
        <v/>
      </c>
      <c r="C662" s="29" t="str">
        <f>IF(Analysis!$I662="","",IF(Analysis!$I662="Project-driven",Analysis!$D662,""))</f>
        <v/>
      </c>
      <c r="D662" s="29" t="str">
        <f>IF(Analysis!$I662="","",IF(Analysis!$I662="Drifting",Analysis!$D662,""))</f>
        <v/>
      </c>
      <c r="E662" s="29" t="str">
        <f>IF(Analysis!$I662="","",IF(Analysis!$I662="Embedded",Analysis!$C662,""))</f>
        <v/>
      </c>
      <c r="F662" s="29" t="str">
        <f>IF(Analysis!$I662="","",IF(Analysis!$I662="Loyal but shallow",Analysis!$C662,""))</f>
        <v/>
      </c>
      <c r="G662" s="29" t="str">
        <f>IF(Analysis!$I662="","",IF(Analysis!$I662="Project-driven",Analysis!$C662,""))</f>
        <v/>
      </c>
      <c r="H662" s="29" t="str">
        <f>IF(Analysis!$I662="","",IF(Analysis!$I662="Drifting",Analysis!$C662,""))</f>
        <v/>
      </c>
      <c r="I662" s="29" t="str">
        <f>IF(Analysis!$I662="","",IF(Analysis!$I662="Embedded",Analysis!$F662,""))</f>
        <v/>
      </c>
      <c r="J662" s="29" t="str">
        <f>IF(Analysis!$I662="","",IF(Analysis!$I662="Loyal but shallow",Analysis!$F662,""))</f>
        <v/>
      </c>
      <c r="K662" s="29" t="str">
        <f>IF(Analysis!$I662="","",IF(Analysis!$I662="Project-driven",Analysis!$F662,""))</f>
        <v/>
      </c>
      <c r="L662" s="29" t="str">
        <f>IF(Analysis!$I662="","",IF(Analysis!$I662="Drifting",Analysis!$F662,""))</f>
        <v/>
      </c>
      <c r="M662" s="29" t="str">
        <f>IF(Analysis!$I662="","",IF(Analysis!$I662="Embedded",Analysis!$H662,""))</f>
        <v/>
      </c>
      <c r="N662" s="29" t="str">
        <f>IF(Analysis!$I662="","",IF(Analysis!$I662="Loyal but shallow",Analysis!$H662,""))</f>
        <v/>
      </c>
      <c r="O662" s="29" t="str">
        <f>IF(Analysis!$I662="","",IF(Analysis!$I662="Project-driven",Analysis!$H662,""))</f>
        <v/>
      </c>
      <c r="P662" s="29" t="str">
        <f>IF(Analysis!$I662="","",IF(Analysis!$I662="Drifting",Analysis!$H662,""))</f>
        <v/>
      </c>
    </row>
    <row r="663" spans="1:16" x14ac:dyDescent="0.25">
      <c r="A663" s="29" t="str">
        <f>IF(Analysis!$I663="","",IF(Analysis!$I663="Embedded",Analysis!$D663,""))</f>
        <v/>
      </c>
      <c r="B663" s="29" t="str">
        <f>IF(Analysis!$I663="","",IF(Analysis!$I663="Loyal but shallow",Analysis!$D663,""))</f>
        <v/>
      </c>
      <c r="C663" s="29" t="str">
        <f>IF(Analysis!$I663="","",IF(Analysis!$I663="Project-driven",Analysis!$D663,""))</f>
        <v/>
      </c>
      <c r="D663" s="29" t="str">
        <f>IF(Analysis!$I663="","",IF(Analysis!$I663="Drifting",Analysis!$D663,""))</f>
        <v/>
      </c>
      <c r="E663" s="29" t="str">
        <f>IF(Analysis!$I663="","",IF(Analysis!$I663="Embedded",Analysis!$C663,""))</f>
        <v/>
      </c>
      <c r="F663" s="29" t="str">
        <f>IF(Analysis!$I663="","",IF(Analysis!$I663="Loyal but shallow",Analysis!$C663,""))</f>
        <v/>
      </c>
      <c r="G663" s="29" t="str">
        <f>IF(Analysis!$I663="","",IF(Analysis!$I663="Project-driven",Analysis!$C663,""))</f>
        <v/>
      </c>
      <c r="H663" s="29" t="str">
        <f>IF(Analysis!$I663="","",IF(Analysis!$I663="Drifting",Analysis!$C663,""))</f>
        <v/>
      </c>
      <c r="I663" s="29" t="str">
        <f>IF(Analysis!$I663="","",IF(Analysis!$I663="Embedded",Analysis!$F663,""))</f>
        <v/>
      </c>
      <c r="J663" s="29" t="str">
        <f>IF(Analysis!$I663="","",IF(Analysis!$I663="Loyal but shallow",Analysis!$F663,""))</f>
        <v/>
      </c>
      <c r="K663" s="29" t="str">
        <f>IF(Analysis!$I663="","",IF(Analysis!$I663="Project-driven",Analysis!$F663,""))</f>
        <v/>
      </c>
      <c r="L663" s="29" t="str">
        <f>IF(Analysis!$I663="","",IF(Analysis!$I663="Drifting",Analysis!$F663,""))</f>
        <v/>
      </c>
      <c r="M663" s="29" t="str">
        <f>IF(Analysis!$I663="","",IF(Analysis!$I663="Embedded",Analysis!$H663,""))</f>
        <v/>
      </c>
      <c r="N663" s="29" t="str">
        <f>IF(Analysis!$I663="","",IF(Analysis!$I663="Loyal but shallow",Analysis!$H663,""))</f>
        <v/>
      </c>
      <c r="O663" s="29" t="str">
        <f>IF(Analysis!$I663="","",IF(Analysis!$I663="Project-driven",Analysis!$H663,""))</f>
        <v/>
      </c>
      <c r="P663" s="29" t="str">
        <f>IF(Analysis!$I663="","",IF(Analysis!$I663="Drifting",Analysis!$H663,""))</f>
        <v/>
      </c>
    </row>
    <row r="664" spans="1:16" x14ac:dyDescent="0.25">
      <c r="A664" s="29" t="str">
        <f>IF(Analysis!$I664="","",IF(Analysis!$I664="Embedded",Analysis!$D664,""))</f>
        <v/>
      </c>
      <c r="B664" s="29" t="str">
        <f>IF(Analysis!$I664="","",IF(Analysis!$I664="Loyal but shallow",Analysis!$D664,""))</f>
        <v/>
      </c>
      <c r="C664" s="29" t="str">
        <f>IF(Analysis!$I664="","",IF(Analysis!$I664="Project-driven",Analysis!$D664,""))</f>
        <v/>
      </c>
      <c r="D664" s="29" t="str">
        <f>IF(Analysis!$I664="","",IF(Analysis!$I664="Drifting",Analysis!$D664,""))</f>
        <v/>
      </c>
      <c r="E664" s="29" t="str">
        <f>IF(Analysis!$I664="","",IF(Analysis!$I664="Embedded",Analysis!$C664,""))</f>
        <v/>
      </c>
      <c r="F664" s="29" t="str">
        <f>IF(Analysis!$I664="","",IF(Analysis!$I664="Loyal but shallow",Analysis!$C664,""))</f>
        <v/>
      </c>
      <c r="G664" s="29" t="str">
        <f>IF(Analysis!$I664="","",IF(Analysis!$I664="Project-driven",Analysis!$C664,""))</f>
        <v/>
      </c>
      <c r="H664" s="29" t="str">
        <f>IF(Analysis!$I664="","",IF(Analysis!$I664="Drifting",Analysis!$C664,""))</f>
        <v/>
      </c>
      <c r="I664" s="29" t="str">
        <f>IF(Analysis!$I664="","",IF(Analysis!$I664="Embedded",Analysis!$F664,""))</f>
        <v/>
      </c>
      <c r="J664" s="29" t="str">
        <f>IF(Analysis!$I664="","",IF(Analysis!$I664="Loyal but shallow",Analysis!$F664,""))</f>
        <v/>
      </c>
      <c r="K664" s="29" t="str">
        <f>IF(Analysis!$I664="","",IF(Analysis!$I664="Project-driven",Analysis!$F664,""))</f>
        <v/>
      </c>
      <c r="L664" s="29" t="str">
        <f>IF(Analysis!$I664="","",IF(Analysis!$I664="Drifting",Analysis!$F664,""))</f>
        <v/>
      </c>
      <c r="M664" s="29" t="str">
        <f>IF(Analysis!$I664="","",IF(Analysis!$I664="Embedded",Analysis!$H664,""))</f>
        <v/>
      </c>
      <c r="N664" s="29" t="str">
        <f>IF(Analysis!$I664="","",IF(Analysis!$I664="Loyal but shallow",Analysis!$H664,""))</f>
        <v/>
      </c>
      <c r="O664" s="29" t="str">
        <f>IF(Analysis!$I664="","",IF(Analysis!$I664="Project-driven",Analysis!$H664,""))</f>
        <v/>
      </c>
      <c r="P664" s="29" t="str">
        <f>IF(Analysis!$I664="","",IF(Analysis!$I664="Drifting",Analysis!$H664,""))</f>
        <v/>
      </c>
    </row>
    <row r="665" spans="1:16" x14ac:dyDescent="0.25">
      <c r="A665" s="29" t="str">
        <f>IF(Analysis!$I665="","",IF(Analysis!$I665="Embedded",Analysis!$D665,""))</f>
        <v/>
      </c>
      <c r="B665" s="29" t="str">
        <f>IF(Analysis!$I665="","",IF(Analysis!$I665="Loyal but shallow",Analysis!$D665,""))</f>
        <v/>
      </c>
      <c r="C665" s="29" t="str">
        <f>IF(Analysis!$I665="","",IF(Analysis!$I665="Project-driven",Analysis!$D665,""))</f>
        <v/>
      </c>
      <c r="D665" s="29" t="str">
        <f>IF(Analysis!$I665="","",IF(Analysis!$I665="Drifting",Analysis!$D665,""))</f>
        <v/>
      </c>
      <c r="E665" s="29" t="str">
        <f>IF(Analysis!$I665="","",IF(Analysis!$I665="Embedded",Analysis!$C665,""))</f>
        <v/>
      </c>
      <c r="F665" s="29" t="str">
        <f>IF(Analysis!$I665="","",IF(Analysis!$I665="Loyal but shallow",Analysis!$C665,""))</f>
        <v/>
      </c>
      <c r="G665" s="29" t="str">
        <f>IF(Analysis!$I665="","",IF(Analysis!$I665="Project-driven",Analysis!$C665,""))</f>
        <v/>
      </c>
      <c r="H665" s="29" t="str">
        <f>IF(Analysis!$I665="","",IF(Analysis!$I665="Drifting",Analysis!$C665,""))</f>
        <v/>
      </c>
      <c r="I665" s="29" t="str">
        <f>IF(Analysis!$I665="","",IF(Analysis!$I665="Embedded",Analysis!$F665,""))</f>
        <v/>
      </c>
      <c r="J665" s="29" t="str">
        <f>IF(Analysis!$I665="","",IF(Analysis!$I665="Loyal but shallow",Analysis!$F665,""))</f>
        <v/>
      </c>
      <c r="K665" s="29" t="str">
        <f>IF(Analysis!$I665="","",IF(Analysis!$I665="Project-driven",Analysis!$F665,""))</f>
        <v/>
      </c>
      <c r="L665" s="29" t="str">
        <f>IF(Analysis!$I665="","",IF(Analysis!$I665="Drifting",Analysis!$F665,""))</f>
        <v/>
      </c>
      <c r="M665" s="29" t="str">
        <f>IF(Analysis!$I665="","",IF(Analysis!$I665="Embedded",Analysis!$H665,""))</f>
        <v/>
      </c>
      <c r="N665" s="29" t="str">
        <f>IF(Analysis!$I665="","",IF(Analysis!$I665="Loyal but shallow",Analysis!$H665,""))</f>
        <v/>
      </c>
      <c r="O665" s="29" t="str">
        <f>IF(Analysis!$I665="","",IF(Analysis!$I665="Project-driven",Analysis!$H665,""))</f>
        <v/>
      </c>
      <c r="P665" s="29" t="str">
        <f>IF(Analysis!$I665="","",IF(Analysis!$I665="Drifting",Analysis!$H665,""))</f>
        <v/>
      </c>
    </row>
    <row r="666" spans="1:16" x14ac:dyDescent="0.25">
      <c r="A666" s="29" t="str">
        <f>IF(Analysis!$I666="","",IF(Analysis!$I666="Embedded",Analysis!$D666,""))</f>
        <v/>
      </c>
      <c r="B666" s="29" t="str">
        <f>IF(Analysis!$I666="","",IF(Analysis!$I666="Loyal but shallow",Analysis!$D666,""))</f>
        <v/>
      </c>
      <c r="C666" s="29" t="str">
        <f>IF(Analysis!$I666="","",IF(Analysis!$I666="Project-driven",Analysis!$D666,""))</f>
        <v/>
      </c>
      <c r="D666" s="29" t="str">
        <f>IF(Analysis!$I666="","",IF(Analysis!$I666="Drifting",Analysis!$D666,""))</f>
        <v/>
      </c>
      <c r="E666" s="29" t="str">
        <f>IF(Analysis!$I666="","",IF(Analysis!$I666="Embedded",Analysis!$C666,""))</f>
        <v/>
      </c>
      <c r="F666" s="29" t="str">
        <f>IF(Analysis!$I666="","",IF(Analysis!$I666="Loyal but shallow",Analysis!$C666,""))</f>
        <v/>
      </c>
      <c r="G666" s="29" t="str">
        <f>IF(Analysis!$I666="","",IF(Analysis!$I666="Project-driven",Analysis!$C666,""))</f>
        <v/>
      </c>
      <c r="H666" s="29" t="str">
        <f>IF(Analysis!$I666="","",IF(Analysis!$I666="Drifting",Analysis!$C666,""))</f>
        <v/>
      </c>
      <c r="I666" s="29" t="str">
        <f>IF(Analysis!$I666="","",IF(Analysis!$I666="Embedded",Analysis!$F666,""))</f>
        <v/>
      </c>
      <c r="J666" s="29" t="str">
        <f>IF(Analysis!$I666="","",IF(Analysis!$I666="Loyal but shallow",Analysis!$F666,""))</f>
        <v/>
      </c>
      <c r="K666" s="29" t="str">
        <f>IF(Analysis!$I666="","",IF(Analysis!$I666="Project-driven",Analysis!$F666,""))</f>
        <v/>
      </c>
      <c r="L666" s="29" t="str">
        <f>IF(Analysis!$I666="","",IF(Analysis!$I666="Drifting",Analysis!$F666,""))</f>
        <v/>
      </c>
      <c r="M666" s="29" t="str">
        <f>IF(Analysis!$I666="","",IF(Analysis!$I666="Embedded",Analysis!$H666,""))</f>
        <v/>
      </c>
      <c r="N666" s="29" t="str">
        <f>IF(Analysis!$I666="","",IF(Analysis!$I666="Loyal but shallow",Analysis!$H666,""))</f>
        <v/>
      </c>
      <c r="O666" s="29" t="str">
        <f>IF(Analysis!$I666="","",IF(Analysis!$I666="Project-driven",Analysis!$H666,""))</f>
        <v/>
      </c>
      <c r="P666" s="29" t="str">
        <f>IF(Analysis!$I666="","",IF(Analysis!$I666="Drifting",Analysis!$H666,""))</f>
        <v/>
      </c>
    </row>
    <row r="667" spans="1:16" x14ac:dyDescent="0.25">
      <c r="A667" s="29" t="str">
        <f>IF(Analysis!$I667="","",IF(Analysis!$I667="Embedded",Analysis!$D667,""))</f>
        <v/>
      </c>
      <c r="B667" s="29" t="str">
        <f>IF(Analysis!$I667="","",IF(Analysis!$I667="Loyal but shallow",Analysis!$D667,""))</f>
        <v/>
      </c>
      <c r="C667" s="29" t="str">
        <f>IF(Analysis!$I667="","",IF(Analysis!$I667="Project-driven",Analysis!$D667,""))</f>
        <v/>
      </c>
      <c r="D667" s="29" t="str">
        <f>IF(Analysis!$I667="","",IF(Analysis!$I667="Drifting",Analysis!$D667,""))</f>
        <v/>
      </c>
      <c r="E667" s="29" t="str">
        <f>IF(Analysis!$I667="","",IF(Analysis!$I667="Embedded",Analysis!$C667,""))</f>
        <v/>
      </c>
      <c r="F667" s="29" t="str">
        <f>IF(Analysis!$I667="","",IF(Analysis!$I667="Loyal but shallow",Analysis!$C667,""))</f>
        <v/>
      </c>
      <c r="G667" s="29" t="str">
        <f>IF(Analysis!$I667="","",IF(Analysis!$I667="Project-driven",Analysis!$C667,""))</f>
        <v/>
      </c>
      <c r="H667" s="29" t="str">
        <f>IF(Analysis!$I667="","",IF(Analysis!$I667="Drifting",Analysis!$C667,""))</f>
        <v/>
      </c>
      <c r="I667" s="29" t="str">
        <f>IF(Analysis!$I667="","",IF(Analysis!$I667="Embedded",Analysis!$F667,""))</f>
        <v/>
      </c>
      <c r="J667" s="29" t="str">
        <f>IF(Analysis!$I667="","",IF(Analysis!$I667="Loyal but shallow",Analysis!$F667,""))</f>
        <v/>
      </c>
      <c r="K667" s="29" t="str">
        <f>IF(Analysis!$I667="","",IF(Analysis!$I667="Project-driven",Analysis!$F667,""))</f>
        <v/>
      </c>
      <c r="L667" s="29" t="str">
        <f>IF(Analysis!$I667="","",IF(Analysis!$I667="Drifting",Analysis!$F667,""))</f>
        <v/>
      </c>
      <c r="M667" s="29" t="str">
        <f>IF(Analysis!$I667="","",IF(Analysis!$I667="Embedded",Analysis!$H667,""))</f>
        <v/>
      </c>
      <c r="N667" s="29" t="str">
        <f>IF(Analysis!$I667="","",IF(Analysis!$I667="Loyal but shallow",Analysis!$H667,""))</f>
        <v/>
      </c>
      <c r="O667" s="29" t="str">
        <f>IF(Analysis!$I667="","",IF(Analysis!$I667="Project-driven",Analysis!$H667,""))</f>
        <v/>
      </c>
      <c r="P667" s="29" t="str">
        <f>IF(Analysis!$I667="","",IF(Analysis!$I667="Drifting",Analysis!$H667,""))</f>
        <v/>
      </c>
    </row>
    <row r="668" spans="1:16" x14ac:dyDescent="0.25">
      <c r="A668" s="29" t="str">
        <f>IF(Analysis!$I668="","",IF(Analysis!$I668="Embedded",Analysis!$D668,""))</f>
        <v/>
      </c>
      <c r="B668" s="29" t="str">
        <f>IF(Analysis!$I668="","",IF(Analysis!$I668="Loyal but shallow",Analysis!$D668,""))</f>
        <v/>
      </c>
      <c r="C668" s="29" t="str">
        <f>IF(Analysis!$I668="","",IF(Analysis!$I668="Project-driven",Analysis!$D668,""))</f>
        <v/>
      </c>
      <c r="D668" s="29" t="str">
        <f>IF(Analysis!$I668="","",IF(Analysis!$I668="Drifting",Analysis!$D668,""))</f>
        <v/>
      </c>
      <c r="E668" s="29" t="str">
        <f>IF(Analysis!$I668="","",IF(Analysis!$I668="Embedded",Analysis!$C668,""))</f>
        <v/>
      </c>
      <c r="F668" s="29" t="str">
        <f>IF(Analysis!$I668="","",IF(Analysis!$I668="Loyal but shallow",Analysis!$C668,""))</f>
        <v/>
      </c>
      <c r="G668" s="29" t="str">
        <f>IF(Analysis!$I668="","",IF(Analysis!$I668="Project-driven",Analysis!$C668,""))</f>
        <v/>
      </c>
      <c r="H668" s="29" t="str">
        <f>IF(Analysis!$I668="","",IF(Analysis!$I668="Drifting",Analysis!$C668,""))</f>
        <v/>
      </c>
      <c r="I668" s="29" t="str">
        <f>IF(Analysis!$I668="","",IF(Analysis!$I668="Embedded",Analysis!$F668,""))</f>
        <v/>
      </c>
      <c r="J668" s="29" t="str">
        <f>IF(Analysis!$I668="","",IF(Analysis!$I668="Loyal but shallow",Analysis!$F668,""))</f>
        <v/>
      </c>
      <c r="K668" s="29" t="str">
        <f>IF(Analysis!$I668="","",IF(Analysis!$I668="Project-driven",Analysis!$F668,""))</f>
        <v/>
      </c>
      <c r="L668" s="29" t="str">
        <f>IF(Analysis!$I668="","",IF(Analysis!$I668="Drifting",Analysis!$F668,""))</f>
        <v/>
      </c>
      <c r="M668" s="29" t="str">
        <f>IF(Analysis!$I668="","",IF(Analysis!$I668="Embedded",Analysis!$H668,""))</f>
        <v/>
      </c>
      <c r="N668" s="29" t="str">
        <f>IF(Analysis!$I668="","",IF(Analysis!$I668="Loyal but shallow",Analysis!$H668,""))</f>
        <v/>
      </c>
      <c r="O668" s="29" t="str">
        <f>IF(Analysis!$I668="","",IF(Analysis!$I668="Project-driven",Analysis!$H668,""))</f>
        <v/>
      </c>
      <c r="P668" s="29" t="str">
        <f>IF(Analysis!$I668="","",IF(Analysis!$I668="Drifting",Analysis!$H668,""))</f>
        <v/>
      </c>
    </row>
    <row r="669" spans="1:16" x14ac:dyDescent="0.25">
      <c r="A669" s="29" t="str">
        <f>IF(Analysis!$I669="","",IF(Analysis!$I669="Embedded",Analysis!$D669,""))</f>
        <v/>
      </c>
      <c r="B669" s="29" t="str">
        <f>IF(Analysis!$I669="","",IF(Analysis!$I669="Loyal but shallow",Analysis!$D669,""))</f>
        <v/>
      </c>
      <c r="C669" s="29" t="str">
        <f>IF(Analysis!$I669="","",IF(Analysis!$I669="Project-driven",Analysis!$D669,""))</f>
        <v/>
      </c>
      <c r="D669" s="29" t="str">
        <f>IF(Analysis!$I669="","",IF(Analysis!$I669="Drifting",Analysis!$D669,""))</f>
        <v/>
      </c>
      <c r="E669" s="29" t="str">
        <f>IF(Analysis!$I669="","",IF(Analysis!$I669="Embedded",Analysis!$C669,""))</f>
        <v/>
      </c>
      <c r="F669" s="29" t="str">
        <f>IF(Analysis!$I669="","",IF(Analysis!$I669="Loyal but shallow",Analysis!$C669,""))</f>
        <v/>
      </c>
      <c r="G669" s="29" t="str">
        <f>IF(Analysis!$I669="","",IF(Analysis!$I669="Project-driven",Analysis!$C669,""))</f>
        <v/>
      </c>
      <c r="H669" s="29" t="str">
        <f>IF(Analysis!$I669="","",IF(Analysis!$I669="Drifting",Analysis!$C669,""))</f>
        <v/>
      </c>
      <c r="I669" s="29" t="str">
        <f>IF(Analysis!$I669="","",IF(Analysis!$I669="Embedded",Analysis!$F669,""))</f>
        <v/>
      </c>
      <c r="J669" s="29" t="str">
        <f>IF(Analysis!$I669="","",IF(Analysis!$I669="Loyal but shallow",Analysis!$F669,""))</f>
        <v/>
      </c>
      <c r="K669" s="29" t="str">
        <f>IF(Analysis!$I669="","",IF(Analysis!$I669="Project-driven",Analysis!$F669,""))</f>
        <v/>
      </c>
      <c r="L669" s="29" t="str">
        <f>IF(Analysis!$I669="","",IF(Analysis!$I669="Drifting",Analysis!$F669,""))</f>
        <v/>
      </c>
      <c r="M669" s="29" t="str">
        <f>IF(Analysis!$I669="","",IF(Analysis!$I669="Embedded",Analysis!$H669,""))</f>
        <v/>
      </c>
      <c r="N669" s="29" t="str">
        <f>IF(Analysis!$I669="","",IF(Analysis!$I669="Loyal but shallow",Analysis!$H669,""))</f>
        <v/>
      </c>
      <c r="O669" s="29" t="str">
        <f>IF(Analysis!$I669="","",IF(Analysis!$I669="Project-driven",Analysis!$H669,""))</f>
        <v/>
      </c>
      <c r="P669" s="29" t="str">
        <f>IF(Analysis!$I669="","",IF(Analysis!$I669="Drifting",Analysis!$H669,""))</f>
        <v/>
      </c>
    </row>
    <row r="670" spans="1:16" x14ac:dyDescent="0.25">
      <c r="A670" s="29" t="str">
        <f>IF(Analysis!$I670="","",IF(Analysis!$I670="Embedded",Analysis!$D670,""))</f>
        <v/>
      </c>
      <c r="B670" s="29" t="str">
        <f>IF(Analysis!$I670="","",IF(Analysis!$I670="Loyal but shallow",Analysis!$D670,""))</f>
        <v/>
      </c>
      <c r="C670" s="29" t="str">
        <f>IF(Analysis!$I670="","",IF(Analysis!$I670="Project-driven",Analysis!$D670,""))</f>
        <v/>
      </c>
      <c r="D670" s="29" t="str">
        <f>IF(Analysis!$I670="","",IF(Analysis!$I670="Drifting",Analysis!$D670,""))</f>
        <v/>
      </c>
      <c r="E670" s="29" t="str">
        <f>IF(Analysis!$I670="","",IF(Analysis!$I670="Embedded",Analysis!$C670,""))</f>
        <v/>
      </c>
      <c r="F670" s="29" t="str">
        <f>IF(Analysis!$I670="","",IF(Analysis!$I670="Loyal but shallow",Analysis!$C670,""))</f>
        <v/>
      </c>
      <c r="G670" s="29" t="str">
        <f>IF(Analysis!$I670="","",IF(Analysis!$I670="Project-driven",Analysis!$C670,""))</f>
        <v/>
      </c>
      <c r="H670" s="29" t="str">
        <f>IF(Analysis!$I670="","",IF(Analysis!$I670="Drifting",Analysis!$C670,""))</f>
        <v/>
      </c>
      <c r="I670" s="29" t="str">
        <f>IF(Analysis!$I670="","",IF(Analysis!$I670="Embedded",Analysis!$F670,""))</f>
        <v/>
      </c>
      <c r="J670" s="29" t="str">
        <f>IF(Analysis!$I670="","",IF(Analysis!$I670="Loyal but shallow",Analysis!$F670,""))</f>
        <v/>
      </c>
      <c r="K670" s="29" t="str">
        <f>IF(Analysis!$I670="","",IF(Analysis!$I670="Project-driven",Analysis!$F670,""))</f>
        <v/>
      </c>
      <c r="L670" s="29" t="str">
        <f>IF(Analysis!$I670="","",IF(Analysis!$I670="Drifting",Analysis!$F670,""))</f>
        <v/>
      </c>
      <c r="M670" s="29" t="str">
        <f>IF(Analysis!$I670="","",IF(Analysis!$I670="Embedded",Analysis!$H670,""))</f>
        <v/>
      </c>
      <c r="N670" s="29" t="str">
        <f>IF(Analysis!$I670="","",IF(Analysis!$I670="Loyal but shallow",Analysis!$H670,""))</f>
        <v/>
      </c>
      <c r="O670" s="29" t="str">
        <f>IF(Analysis!$I670="","",IF(Analysis!$I670="Project-driven",Analysis!$H670,""))</f>
        <v/>
      </c>
      <c r="P670" s="29" t="str">
        <f>IF(Analysis!$I670="","",IF(Analysis!$I670="Drifting",Analysis!$H670,""))</f>
        <v/>
      </c>
    </row>
    <row r="671" spans="1:16" x14ac:dyDescent="0.25">
      <c r="A671" s="29" t="str">
        <f>IF(Analysis!$I671="","",IF(Analysis!$I671="Embedded",Analysis!$D671,""))</f>
        <v/>
      </c>
      <c r="B671" s="29" t="str">
        <f>IF(Analysis!$I671="","",IF(Analysis!$I671="Loyal but shallow",Analysis!$D671,""))</f>
        <v/>
      </c>
      <c r="C671" s="29" t="str">
        <f>IF(Analysis!$I671="","",IF(Analysis!$I671="Project-driven",Analysis!$D671,""))</f>
        <v/>
      </c>
      <c r="D671" s="29" t="str">
        <f>IF(Analysis!$I671="","",IF(Analysis!$I671="Drifting",Analysis!$D671,""))</f>
        <v/>
      </c>
      <c r="E671" s="29" t="str">
        <f>IF(Analysis!$I671="","",IF(Analysis!$I671="Embedded",Analysis!$C671,""))</f>
        <v/>
      </c>
      <c r="F671" s="29" t="str">
        <f>IF(Analysis!$I671="","",IF(Analysis!$I671="Loyal but shallow",Analysis!$C671,""))</f>
        <v/>
      </c>
      <c r="G671" s="29" t="str">
        <f>IF(Analysis!$I671="","",IF(Analysis!$I671="Project-driven",Analysis!$C671,""))</f>
        <v/>
      </c>
      <c r="H671" s="29" t="str">
        <f>IF(Analysis!$I671="","",IF(Analysis!$I671="Drifting",Analysis!$C671,""))</f>
        <v/>
      </c>
      <c r="I671" s="29" t="str">
        <f>IF(Analysis!$I671="","",IF(Analysis!$I671="Embedded",Analysis!$F671,""))</f>
        <v/>
      </c>
      <c r="J671" s="29" t="str">
        <f>IF(Analysis!$I671="","",IF(Analysis!$I671="Loyal but shallow",Analysis!$F671,""))</f>
        <v/>
      </c>
      <c r="K671" s="29" t="str">
        <f>IF(Analysis!$I671="","",IF(Analysis!$I671="Project-driven",Analysis!$F671,""))</f>
        <v/>
      </c>
      <c r="L671" s="29" t="str">
        <f>IF(Analysis!$I671="","",IF(Analysis!$I671="Drifting",Analysis!$F671,""))</f>
        <v/>
      </c>
      <c r="M671" s="29" t="str">
        <f>IF(Analysis!$I671="","",IF(Analysis!$I671="Embedded",Analysis!$H671,""))</f>
        <v/>
      </c>
      <c r="N671" s="29" t="str">
        <f>IF(Analysis!$I671="","",IF(Analysis!$I671="Loyal but shallow",Analysis!$H671,""))</f>
        <v/>
      </c>
      <c r="O671" s="29" t="str">
        <f>IF(Analysis!$I671="","",IF(Analysis!$I671="Project-driven",Analysis!$H671,""))</f>
        <v/>
      </c>
      <c r="P671" s="29" t="str">
        <f>IF(Analysis!$I671="","",IF(Analysis!$I671="Drifting",Analysis!$H671,""))</f>
        <v/>
      </c>
    </row>
    <row r="672" spans="1:16" x14ac:dyDescent="0.25">
      <c r="A672" s="29" t="str">
        <f>IF(Analysis!$I672="","",IF(Analysis!$I672="Embedded",Analysis!$D672,""))</f>
        <v/>
      </c>
      <c r="B672" s="29" t="str">
        <f>IF(Analysis!$I672="","",IF(Analysis!$I672="Loyal but shallow",Analysis!$D672,""))</f>
        <v/>
      </c>
      <c r="C672" s="29" t="str">
        <f>IF(Analysis!$I672="","",IF(Analysis!$I672="Project-driven",Analysis!$D672,""))</f>
        <v/>
      </c>
      <c r="D672" s="29" t="str">
        <f>IF(Analysis!$I672="","",IF(Analysis!$I672="Drifting",Analysis!$D672,""))</f>
        <v/>
      </c>
      <c r="E672" s="29" t="str">
        <f>IF(Analysis!$I672="","",IF(Analysis!$I672="Embedded",Analysis!$C672,""))</f>
        <v/>
      </c>
      <c r="F672" s="29" t="str">
        <f>IF(Analysis!$I672="","",IF(Analysis!$I672="Loyal but shallow",Analysis!$C672,""))</f>
        <v/>
      </c>
      <c r="G672" s="29" t="str">
        <f>IF(Analysis!$I672="","",IF(Analysis!$I672="Project-driven",Analysis!$C672,""))</f>
        <v/>
      </c>
      <c r="H672" s="29" t="str">
        <f>IF(Analysis!$I672="","",IF(Analysis!$I672="Drifting",Analysis!$C672,""))</f>
        <v/>
      </c>
      <c r="I672" s="29" t="str">
        <f>IF(Analysis!$I672="","",IF(Analysis!$I672="Embedded",Analysis!$F672,""))</f>
        <v/>
      </c>
      <c r="J672" s="29" t="str">
        <f>IF(Analysis!$I672="","",IF(Analysis!$I672="Loyal but shallow",Analysis!$F672,""))</f>
        <v/>
      </c>
      <c r="K672" s="29" t="str">
        <f>IF(Analysis!$I672="","",IF(Analysis!$I672="Project-driven",Analysis!$F672,""))</f>
        <v/>
      </c>
      <c r="L672" s="29" t="str">
        <f>IF(Analysis!$I672="","",IF(Analysis!$I672="Drifting",Analysis!$F672,""))</f>
        <v/>
      </c>
      <c r="M672" s="29" t="str">
        <f>IF(Analysis!$I672="","",IF(Analysis!$I672="Embedded",Analysis!$H672,""))</f>
        <v/>
      </c>
      <c r="N672" s="29" t="str">
        <f>IF(Analysis!$I672="","",IF(Analysis!$I672="Loyal but shallow",Analysis!$H672,""))</f>
        <v/>
      </c>
      <c r="O672" s="29" t="str">
        <f>IF(Analysis!$I672="","",IF(Analysis!$I672="Project-driven",Analysis!$H672,""))</f>
        <v/>
      </c>
      <c r="P672" s="29" t="str">
        <f>IF(Analysis!$I672="","",IF(Analysis!$I672="Drifting",Analysis!$H672,""))</f>
        <v/>
      </c>
    </row>
    <row r="673" spans="1:16" x14ac:dyDescent="0.25">
      <c r="A673" s="29" t="str">
        <f>IF(Analysis!$I673="","",IF(Analysis!$I673="Embedded",Analysis!$D673,""))</f>
        <v/>
      </c>
      <c r="B673" s="29" t="str">
        <f>IF(Analysis!$I673="","",IF(Analysis!$I673="Loyal but shallow",Analysis!$D673,""))</f>
        <v/>
      </c>
      <c r="C673" s="29" t="str">
        <f>IF(Analysis!$I673="","",IF(Analysis!$I673="Project-driven",Analysis!$D673,""))</f>
        <v/>
      </c>
      <c r="D673" s="29" t="str">
        <f>IF(Analysis!$I673="","",IF(Analysis!$I673="Drifting",Analysis!$D673,""))</f>
        <v/>
      </c>
      <c r="E673" s="29" t="str">
        <f>IF(Analysis!$I673="","",IF(Analysis!$I673="Embedded",Analysis!$C673,""))</f>
        <v/>
      </c>
      <c r="F673" s="29" t="str">
        <f>IF(Analysis!$I673="","",IF(Analysis!$I673="Loyal but shallow",Analysis!$C673,""))</f>
        <v/>
      </c>
      <c r="G673" s="29" t="str">
        <f>IF(Analysis!$I673="","",IF(Analysis!$I673="Project-driven",Analysis!$C673,""))</f>
        <v/>
      </c>
      <c r="H673" s="29" t="str">
        <f>IF(Analysis!$I673="","",IF(Analysis!$I673="Drifting",Analysis!$C673,""))</f>
        <v/>
      </c>
      <c r="I673" s="29" t="str">
        <f>IF(Analysis!$I673="","",IF(Analysis!$I673="Embedded",Analysis!$F673,""))</f>
        <v/>
      </c>
      <c r="J673" s="29" t="str">
        <f>IF(Analysis!$I673="","",IF(Analysis!$I673="Loyal but shallow",Analysis!$F673,""))</f>
        <v/>
      </c>
      <c r="K673" s="29" t="str">
        <f>IF(Analysis!$I673="","",IF(Analysis!$I673="Project-driven",Analysis!$F673,""))</f>
        <v/>
      </c>
      <c r="L673" s="29" t="str">
        <f>IF(Analysis!$I673="","",IF(Analysis!$I673="Drifting",Analysis!$F673,""))</f>
        <v/>
      </c>
      <c r="M673" s="29" t="str">
        <f>IF(Analysis!$I673="","",IF(Analysis!$I673="Embedded",Analysis!$H673,""))</f>
        <v/>
      </c>
      <c r="N673" s="29" t="str">
        <f>IF(Analysis!$I673="","",IF(Analysis!$I673="Loyal but shallow",Analysis!$H673,""))</f>
        <v/>
      </c>
      <c r="O673" s="29" t="str">
        <f>IF(Analysis!$I673="","",IF(Analysis!$I673="Project-driven",Analysis!$H673,""))</f>
        <v/>
      </c>
      <c r="P673" s="29" t="str">
        <f>IF(Analysis!$I673="","",IF(Analysis!$I673="Drifting",Analysis!$H673,""))</f>
        <v/>
      </c>
    </row>
    <row r="674" spans="1:16" x14ac:dyDescent="0.25">
      <c r="A674" s="29" t="str">
        <f>IF(Analysis!$I674="","",IF(Analysis!$I674="Embedded",Analysis!$D674,""))</f>
        <v/>
      </c>
      <c r="B674" s="29" t="str">
        <f>IF(Analysis!$I674="","",IF(Analysis!$I674="Loyal but shallow",Analysis!$D674,""))</f>
        <v/>
      </c>
      <c r="C674" s="29" t="str">
        <f>IF(Analysis!$I674="","",IF(Analysis!$I674="Project-driven",Analysis!$D674,""))</f>
        <v/>
      </c>
      <c r="D674" s="29" t="str">
        <f>IF(Analysis!$I674="","",IF(Analysis!$I674="Drifting",Analysis!$D674,""))</f>
        <v/>
      </c>
      <c r="E674" s="29" t="str">
        <f>IF(Analysis!$I674="","",IF(Analysis!$I674="Embedded",Analysis!$C674,""))</f>
        <v/>
      </c>
      <c r="F674" s="29" t="str">
        <f>IF(Analysis!$I674="","",IF(Analysis!$I674="Loyal but shallow",Analysis!$C674,""))</f>
        <v/>
      </c>
      <c r="G674" s="29" t="str">
        <f>IF(Analysis!$I674="","",IF(Analysis!$I674="Project-driven",Analysis!$C674,""))</f>
        <v/>
      </c>
      <c r="H674" s="29" t="str">
        <f>IF(Analysis!$I674="","",IF(Analysis!$I674="Drifting",Analysis!$C674,""))</f>
        <v/>
      </c>
      <c r="I674" s="29" t="str">
        <f>IF(Analysis!$I674="","",IF(Analysis!$I674="Embedded",Analysis!$F674,""))</f>
        <v/>
      </c>
      <c r="J674" s="29" t="str">
        <f>IF(Analysis!$I674="","",IF(Analysis!$I674="Loyal but shallow",Analysis!$F674,""))</f>
        <v/>
      </c>
      <c r="K674" s="29" t="str">
        <f>IF(Analysis!$I674="","",IF(Analysis!$I674="Project-driven",Analysis!$F674,""))</f>
        <v/>
      </c>
      <c r="L674" s="29" t="str">
        <f>IF(Analysis!$I674="","",IF(Analysis!$I674="Drifting",Analysis!$F674,""))</f>
        <v/>
      </c>
      <c r="M674" s="29" t="str">
        <f>IF(Analysis!$I674="","",IF(Analysis!$I674="Embedded",Analysis!$H674,""))</f>
        <v/>
      </c>
      <c r="N674" s="29" t="str">
        <f>IF(Analysis!$I674="","",IF(Analysis!$I674="Loyal but shallow",Analysis!$H674,""))</f>
        <v/>
      </c>
      <c r="O674" s="29" t="str">
        <f>IF(Analysis!$I674="","",IF(Analysis!$I674="Project-driven",Analysis!$H674,""))</f>
        <v/>
      </c>
      <c r="P674" s="29" t="str">
        <f>IF(Analysis!$I674="","",IF(Analysis!$I674="Drifting",Analysis!$H674,""))</f>
        <v/>
      </c>
    </row>
    <row r="675" spans="1:16" x14ac:dyDescent="0.25">
      <c r="A675" s="29" t="str">
        <f>IF(Analysis!$I675="","",IF(Analysis!$I675="Embedded",Analysis!$D675,""))</f>
        <v/>
      </c>
      <c r="B675" s="29" t="str">
        <f>IF(Analysis!$I675="","",IF(Analysis!$I675="Loyal but shallow",Analysis!$D675,""))</f>
        <v/>
      </c>
      <c r="C675" s="29" t="str">
        <f>IF(Analysis!$I675="","",IF(Analysis!$I675="Project-driven",Analysis!$D675,""))</f>
        <v/>
      </c>
      <c r="D675" s="29" t="str">
        <f>IF(Analysis!$I675="","",IF(Analysis!$I675="Drifting",Analysis!$D675,""))</f>
        <v/>
      </c>
      <c r="E675" s="29" t="str">
        <f>IF(Analysis!$I675="","",IF(Analysis!$I675="Embedded",Analysis!$C675,""))</f>
        <v/>
      </c>
      <c r="F675" s="29" t="str">
        <f>IF(Analysis!$I675="","",IF(Analysis!$I675="Loyal but shallow",Analysis!$C675,""))</f>
        <v/>
      </c>
      <c r="G675" s="29" t="str">
        <f>IF(Analysis!$I675="","",IF(Analysis!$I675="Project-driven",Analysis!$C675,""))</f>
        <v/>
      </c>
      <c r="H675" s="29" t="str">
        <f>IF(Analysis!$I675="","",IF(Analysis!$I675="Drifting",Analysis!$C675,""))</f>
        <v/>
      </c>
      <c r="I675" s="29" t="str">
        <f>IF(Analysis!$I675="","",IF(Analysis!$I675="Embedded",Analysis!$F675,""))</f>
        <v/>
      </c>
      <c r="J675" s="29" t="str">
        <f>IF(Analysis!$I675="","",IF(Analysis!$I675="Loyal but shallow",Analysis!$F675,""))</f>
        <v/>
      </c>
      <c r="K675" s="29" t="str">
        <f>IF(Analysis!$I675="","",IF(Analysis!$I675="Project-driven",Analysis!$F675,""))</f>
        <v/>
      </c>
      <c r="L675" s="29" t="str">
        <f>IF(Analysis!$I675="","",IF(Analysis!$I675="Drifting",Analysis!$F675,""))</f>
        <v/>
      </c>
      <c r="M675" s="29" t="str">
        <f>IF(Analysis!$I675="","",IF(Analysis!$I675="Embedded",Analysis!$H675,""))</f>
        <v/>
      </c>
      <c r="N675" s="29" t="str">
        <f>IF(Analysis!$I675="","",IF(Analysis!$I675="Loyal but shallow",Analysis!$H675,""))</f>
        <v/>
      </c>
      <c r="O675" s="29" t="str">
        <f>IF(Analysis!$I675="","",IF(Analysis!$I675="Project-driven",Analysis!$H675,""))</f>
        <v/>
      </c>
      <c r="P675" s="29" t="str">
        <f>IF(Analysis!$I675="","",IF(Analysis!$I675="Drifting",Analysis!$H675,""))</f>
        <v/>
      </c>
    </row>
    <row r="676" spans="1:16" x14ac:dyDescent="0.25">
      <c r="A676" s="29" t="str">
        <f>IF(Analysis!$I676="","",IF(Analysis!$I676="Embedded",Analysis!$D676,""))</f>
        <v/>
      </c>
      <c r="B676" s="29" t="str">
        <f>IF(Analysis!$I676="","",IF(Analysis!$I676="Loyal but shallow",Analysis!$D676,""))</f>
        <v/>
      </c>
      <c r="C676" s="29" t="str">
        <f>IF(Analysis!$I676="","",IF(Analysis!$I676="Project-driven",Analysis!$D676,""))</f>
        <v/>
      </c>
      <c r="D676" s="29" t="str">
        <f>IF(Analysis!$I676="","",IF(Analysis!$I676="Drifting",Analysis!$D676,""))</f>
        <v/>
      </c>
      <c r="E676" s="29" t="str">
        <f>IF(Analysis!$I676="","",IF(Analysis!$I676="Embedded",Analysis!$C676,""))</f>
        <v/>
      </c>
      <c r="F676" s="29" t="str">
        <f>IF(Analysis!$I676="","",IF(Analysis!$I676="Loyal but shallow",Analysis!$C676,""))</f>
        <v/>
      </c>
      <c r="G676" s="29" t="str">
        <f>IF(Analysis!$I676="","",IF(Analysis!$I676="Project-driven",Analysis!$C676,""))</f>
        <v/>
      </c>
      <c r="H676" s="29" t="str">
        <f>IF(Analysis!$I676="","",IF(Analysis!$I676="Drifting",Analysis!$C676,""))</f>
        <v/>
      </c>
      <c r="I676" s="29" t="str">
        <f>IF(Analysis!$I676="","",IF(Analysis!$I676="Embedded",Analysis!$F676,""))</f>
        <v/>
      </c>
      <c r="J676" s="29" t="str">
        <f>IF(Analysis!$I676="","",IF(Analysis!$I676="Loyal but shallow",Analysis!$F676,""))</f>
        <v/>
      </c>
      <c r="K676" s="29" t="str">
        <f>IF(Analysis!$I676="","",IF(Analysis!$I676="Project-driven",Analysis!$F676,""))</f>
        <v/>
      </c>
      <c r="L676" s="29" t="str">
        <f>IF(Analysis!$I676="","",IF(Analysis!$I676="Drifting",Analysis!$F676,""))</f>
        <v/>
      </c>
      <c r="M676" s="29" t="str">
        <f>IF(Analysis!$I676="","",IF(Analysis!$I676="Embedded",Analysis!$H676,""))</f>
        <v/>
      </c>
      <c r="N676" s="29" t="str">
        <f>IF(Analysis!$I676="","",IF(Analysis!$I676="Loyal but shallow",Analysis!$H676,""))</f>
        <v/>
      </c>
      <c r="O676" s="29" t="str">
        <f>IF(Analysis!$I676="","",IF(Analysis!$I676="Project-driven",Analysis!$H676,""))</f>
        <v/>
      </c>
      <c r="P676" s="29" t="str">
        <f>IF(Analysis!$I676="","",IF(Analysis!$I676="Drifting",Analysis!$H676,""))</f>
        <v/>
      </c>
    </row>
    <row r="677" spans="1:16" x14ac:dyDescent="0.25">
      <c r="A677" s="29" t="str">
        <f>IF(Analysis!$I677="","",IF(Analysis!$I677="Embedded",Analysis!$D677,""))</f>
        <v/>
      </c>
      <c r="B677" s="29" t="str">
        <f>IF(Analysis!$I677="","",IF(Analysis!$I677="Loyal but shallow",Analysis!$D677,""))</f>
        <v/>
      </c>
      <c r="C677" s="29" t="str">
        <f>IF(Analysis!$I677="","",IF(Analysis!$I677="Project-driven",Analysis!$D677,""))</f>
        <v/>
      </c>
      <c r="D677" s="29" t="str">
        <f>IF(Analysis!$I677="","",IF(Analysis!$I677="Drifting",Analysis!$D677,""))</f>
        <v/>
      </c>
      <c r="E677" s="29" t="str">
        <f>IF(Analysis!$I677="","",IF(Analysis!$I677="Embedded",Analysis!$C677,""))</f>
        <v/>
      </c>
      <c r="F677" s="29" t="str">
        <f>IF(Analysis!$I677="","",IF(Analysis!$I677="Loyal but shallow",Analysis!$C677,""))</f>
        <v/>
      </c>
      <c r="G677" s="29" t="str">
        <f>IF(Analysis!$I677="","",IF(Analysis!$I677="Project-driven",Analysis!$C677,""))</f>
        <v/>
      </c>
      <c r="H677" s="29" t="str">
        <f>IF(Analysis!$I677="","",IF(Analysis!$I677="Drifting",Analysis!$C677,""))</f>
        <v/>
      </c>
      <c r="I677" s="29" t="str">
        <f>IF(Analysis!$I677="","",IF(Analysis!$I677="Embedded",Analysis!$F677,""))</f>
        <v/>
      </c>
      <c r="J677" s="29" t="str">
        <f>IF(Analysis!$I677="","",IF(Analysis!$I677="Loyal but shallow",Analysis!$F677,""))</f>
        <v/>
      </c>
      <c r="K677" s="29" t="str">
        <f>IF(Analysis!$I677="","",IF(Analysis!$I677="Project-driven",Analysis!$F677,""))</f>
        <v/>
      </c>
      <c r="L677" s="29" t="str">
        <f>IF(Analysis!$I677="","",IF(Analysis!$I677="Drifting",Analysis!$F677,""))</f>
        <v/>
      </c>
      <c r="M677" s="29" t="str">
        <f>IF(Analysis!$I677="","",IF(Analysis!$I677="Embedded",Analysis!$H677,""))</f>
        <v/>
      </c>
      <c r="N677" s="29" t="str">
        <f>IF(Analysis!$I677="","",IF(Analysis!$I677="Loyal but shallow",Analysis!$H677,""))</f>
        <v/>
      </c>
      <c r="O677" s="29" t="str">
        <f>IF(Analysis!$I677="","",IF(Analysis!$I677="Project-driven",Analysis!$H677,""))</f>
        <v/>
      </c>
      <c r="P677" s="29" t="str">
        <f>IF(Analysis!$I677="","",IF(Analysis!$I677="Drifting",Analysis!$H677,""))</f>
        <v/>
      </c>
    </row>
    <row r="678" spans="1:16" x14ac:dyDescent="0.25">
      <c r="A678" s="29" t="str">
        <f>IF(Analysis!$I678="","",IF(Analysis!$I678="Embedded",Analysis!$D678,""))</f>
        <v/>
      </c>
      <c r="B678" s="29" t="str">
        <f>IF(Analysis!$I678="","",IF(Analysis!$I678="Loyal but shallow",Analysis!$D678,""))</f>
        <v/>
      </c>
      <c r="C678" s="29" t="str">
        <f>IF(Analysis!$I678="","",IF(Analysis!$I678="Project-driven",Analysis!$D678,""))</f>
        <v/>
      </c>
      <c r="D678" s="29" t="str">
        <f>IF(Analysis!$I678="","",IF(Analysis!$I678="Drifting",Analysis!$D678,""))</f>
        <v/>
      </c>
      <c r="E678" s="29" t="str">
        <f>IF(Analysis!$I678="","",IF(Analysis!$I678="Embedded",Analysis!$C678,""))</f>
        <v/>
      </c>
      <c r="F678" s="29" t="str">
        <f>IF(Analysis!$I678="","",IF(Analysis!$I678="Loyal but shallow",Analysis!$C678,""))</f>
        <v/>
      </c>
      <c r="G678" s="29" t="str">
        <f>IF(Analysis!$I678="","",IF(Analysis!$I678="Project-driven",Analysis!$C678,""))</f>
        <v/>
      </c>
      <c r="H678" s="29" t="str">
        <f>IF(Analysis!$I678="","",IF(Analysis!$I678="Drifting",Analysis!$C678,""))</f>
        <v/>
      </c>
      <c r="I678" s="29" t="str">
        <f>IF(Analysis!$I678="","",IF(Analysis!$I678="Embedded",Analysis!$F678,""))</f>
        <v/>
      </c>
      <c r="J678" s="29" t="str">
        <f>IF(Analysis!$I678="","",IF(Analysis!$I678="Loyal but shallow",Analysis!$F678,""))</f>
        <v/>
      </c>
      <c r="K678" s="29" t="str">
        <f>IF(Analysis!$I678="","",IF(Analysis!$I678="Project-driven",Analysis!$F678,""))</f>
        <v/>
      </c>
      <c r="L678" s="29" t="str">
        <f>IF(Analysis!$I678="","",IF(Analysis!$I678="Drifting",Analysis!$F678,""))</f>
        <v/>
      </c>
      <c r="M678" s="29" t="str">
        <f>IF(Analysis!$I678="","",IF(Analysis!$I678="Embedded",Analysis!$H678,""))</f>
        <v/>
      </c>
      <c r="N678" s="29" t="str">
        <f>IF(Analysis!$I678="","",IF(Analysis!$I678="Loyal but shallow",Analysis!$H678,""))</f>
        <v/>
      </c>
      <c r="O678" s="29" t="str">
        <f>IF(Analysis!$I678="","",IF(Analysis!$I678="Project-driven",Analysis!$H678,""))</f>
        <v/>
      </c>
      <c r="P678" s="29" t="str">
        <f>IF(Analysis!$I678="","",IF(Analysis!$I678="Drifting",Analysis!$H678,""))</f>
        <v/>
      </c>
    </row>
    <row r="679" spans="1:16" x14ac:dyDescent="0.25">
      <c r="A679" s="29" t="str">
        <f>IF(Analysis!$I679="","",IF(Analysis!$I679="Embedded",Analysis!$D679,""))</f>
        <v/>
      </c>
      <c r="B679" s="29" t="str">
        <f>IF(Analysis!$I679="","",IF(Analysis!$I679="Loyal but shallow",Analysis!$D679,""))</f>
        <v/>
      </c>
      <c r="C679" s="29" t="str">
        <f>IF(Analysis!$I679="","",IF(Analysis!$I679="Project-driven",Analysis!$D679,""))</f>
        <v/>
      </c>
      <c r="D679" s="29" t="str">
        <f>IF(Analysis!$I679="","",IF(Analysis!$I679="Drifting",Analysis!$D679,""))</f>
        <v/>
      </c>
      <c r="E679" s="29" t="str">
        <f>IF(Analysis!$I679="","",IF(Analysis!$I679="Embedded",Analysis!$C679,""))</f>
        <v/>
      </c>
      <c r="F679" s="29" t="str">
        <f>IF(Analysis!$I679="","",IF(Analysis!$I679="Loyal but shallow",Analysis!$C679,""))</f>
        <v/>
      </c>
      <c r="G679" s="29" t="str">
        <f>IF(Analysis!$I679="","",IF(Analysis!$I679="Project-driven",Analysis!$C679,""))</f>
        <v/>
      </c>
      <c r="H679" s="29" t="str">
        <f>IF(Analysis!$I679="","",IF(Analysis!$I679="Drifting",Analysis!$C679,""))</f>
        <v/>
      </c>
      <c r="I679" s="29" t="str">
        <f>IF(Analysis!$I679="","",IF(Analysis!$I679="Embedded",Analysis!$F679,""))</f>
        <v/>
      </c>
      <c r="J679" s="29" t="str">
        <f>IF(Analysis!$I679="","",IF(Analysis!$I679="Loyal but shallow",Analysis!$F679,""))</f>
        <v/>
      </c>
      <c r="K679" s="29" t="str">
        <f>IF(Analysis!$I679="","",IF(Analysis!$I679="Project-driven",Analysis!$F679,""))</f>
        <v/>
      </c>
      <c r="L679" s="29" t="str">
        <f>IF(Analysis!$I679="","",IF(Analysis!$I679="Drifting",Analysis!$F679,""))</f>
        <v/>
      </c>
      <c r="M679" s="29" t="str">
        <f>IF(Analysis!$I679="","",IF(Analysis!$I679="Embedded",Analysis!$H679,""))</f>
        <v/>
      </c>
      <c r="N679" s="29" t="str">
        <f>IF(Analysis!$I679="","",IF(Analysis!$I679="Loyal but shallow",Analysis!$H679,""))</f>
        <v/>
      </c>
      <c r="O679" s="29" t="str">
        <f>IF(Analysis!$I679="","",IF(Analysis!$I679="Project-driven",Analysis!$H679,""))</f>
        <v/>
      </c>
      <c r="P679" s="29" t="str">
        <f>IF(Analysis!$I679="","",IF(Analysis!$I679="Drifting",Analysis!$H679,""))</f>
        <v/>
      </c>
    </row>
    <row r="680" spans="1:16" x14ac:dyDescent="0.25">
      <c r="A680" s="29" t="str">
        <f>IF(Analysis!$I680="","",IF(Analysis!$I680="Embedded",Analysis!$D680,""))</f>
        <v/>
      </c>
      <c r="B680" s="29" t="str">
        <f>IF(Analysis!$I680="","",IF(Analysis!$I680="Loyal but shallow",Analysis!$D680,""))</f>
        <v/>
      </c>
      <c r="C680" s="29" t="str">
        <f>IF(Analysis!$I680="","",IF(Analysis!$I680="Project-driven",Analysis!$D680,""))</f>
        <v/>
      </c>
      <c r="D680" s="29" t="str">
        <f>IF(Analysis!$I680="","",IF(Analysis!$I680="Drifting",Analysis!$D680,""))</f>
        <v/>
      </c>
      <c r="E680" s="29" t="str">
        <f>IF(Analysis!$I680="","",IF(Analysis!$I680="Embedded",Analysis!$C680,""))</f>
        <v/>
      </c>
      <c r="F680" s="29" t="str">
        <f>IF(Analysis!$I680="","",IF(Analysis!$I680="Loyal but shallow",Analysis!$C680,""))</f>
        <v/>
      </c>
      <c r="G680" s="29" t="str">
        <f>IF(Analysis!$I680="","",IF(Analysis!$I680="Project-driven",Analysis!$C680,""))</f>
        <v/>
      </c>
      <c r="H680" s="29" t="str">
        <f>IF(Analysis!$I680="","",IF(Analysis!$I680="Drifting",Analysis!$C680,""))</f>
        <v/>
      </c>
      <c r="I680" s="29" t="str">
        <f>IF(Analysis!$I680="","",IF(Analysis!$I680="Embedded",Analysis!$F680,""))</f>
        <v/>
      </c>
      <c r="J680" s="29" t="str">
        <f>IF(Analysis!$I680="","",IF(Analysis!$I680="Loyal but shallow",Analysis!$F680,""))</f>
        <v/>
      </c>
      <c r="K680" s="29" t="str">
        <f>IF(Analysis!$I680="","",IF(Analysis!$I680="Project-driven",Analysis!$F680,""))</f>
        <v/>
      </c>
      <c r="L680" s="29" t="str">
        <f>IF(Analysis!$I680="","",IF(Analysis!$I680="Drifting",Analysis!$F680,""))</f>
        <v/>
      </c>
      <c r="M680" s="29" t="str">
        <f>IF(Analysis!$I680="","",IF(Analysis!$I680="Embedded",Analysis!$H680,""))</f>
        <v/>
      </c>
      <c r="N680" s="29" t="str">
        <f>IF(Analysis!$I680="","",IF(Analysis!$I680="Loyal but shallow",Analysis!$H680,""))</f>
        <v/>
      </c>
      <c r="O680" s="29" t="str">
        <f>IF(Analysis!$I680="","",IF(Analysis!$I680="Project-driven",Analysis!$H680,""))</f>
        <v/>
      </c>
      <c r="P680" s="29" t="str">
        <f>IF(Analysis!$I680="","",IF(Analysis!$I680="Drifting",Analysis!$H680,""))</f>
        <v/>
      </c>
    </row>
    <row r="681" spans="1:16" x14ac:dyDescent="0.25">
      <c r="A681" s="29" t="str">
        <f>IF(Analysis!$I681="","",IF(Analysis!$I681="Embedded",Analysis!$D681,""))</f>
        <v/>
      </c>
      <c r="B681" s="29" t="str">
        <f>IF(Analysis!$I681="","",IF(Analysis!$I681="Loyal but shallow",Analysis!$D681,""))</f>
        <v/>
      </c>
      <c r="C681" s="29" t="str">
        <f>IF(Analysis!$I681="","",IF(Analysis!$I681="Project-driven",Analysis!$D681,""))</f>
        <v/>
      </c>
      <c r="D681" s="29" t="str">
        <f>IF(Analysis!$I681="","",IF(Analysis!$I681="Drifting",Analysis!$D681,""))</f>
        <v/>
      </c>
      <c r="E681" s="29" t="str">
        <f>IF(Analysis!$I681="","",IF(Analysis!$I681="Embedded",Analysis!$C681,""))</f>
        <v/>
      </c>
      <c r="F681" s="29" t="str">
        <f>IF(Analysis!$I681="","",IF(Analysis!$I681="Loyal but shallow",Analysis!$C681,""))</f>
        <v/>
      </c>
      <c r="G681" s="29" t="str">
        <f>IF(Analysis!$I681="","",IF(Analysis!$I681="Project-driven",Analysis!$C681,""))</f>
        <v/>
      </c>
      <c r="H681" s="29" t="str">
        <f>IF(Analysis!$I681="","",IF(Analysis!$I681="Drifting",Analysis!$C681,""))</f>
        <v/>
      </c>
      <c r="I681" s="29" t="str">
        <f>IF(Analysis!$I681="","",IF(Analysis!$I681="Embedded",Analysis!$F681,""))</f>
        <v/>
      </c>
      <c r="J681" s="29" t="str">
        <f>IF(Analysis!$I681="","",IF(Analysis!$I681="Loyal but shallow",Analysis!$F681,""))</f>
        <v/>
      </c>
      <c r="K681" s="29" t="str">
        <f>IF(Analysis!$I681="","",IF(Analysis!$I681="Project-driven",Analysis!$F681,""))</f>
        <v/>
      </c>
      <c r="L681" s="29" t="str">
        <f>IF(Analysis!$I681="","",IF(Analysis!$I681="Drifting",Analysis!$F681,""))</f>
        <v/>
      </c>
      <c r="M681" s="29" t="str">
        <f>IF(Analysis!$I681="","",IF(Analysis!$I681="Embedded",Analysis!$H681,""))</f>
        <v/>
      </c>
      <c r="N681" s="29" t="str">
        <f>IF(Analysis!$I681="","",IF(Analysis!$I681="Loyal but shallow",Analysis!$H681,""))</f>
        <v/>
      </c>
      <c r="O681" s="29" t="str">
        <f>IF(Analysis!$I681="","",IF(Analysis!$I681="Project-driven",Analysis!$H681,""))</f>
        <v/>
      </c>
      <c r="P681" s="29" t="str">
        <f>IF(Analysis!$I681="","",IF(Analysis!$I681="Drifting",Analysis!$H681,""))</f>
        <v/>
      </c>
    </row>
    <row r="682" spans="1:16" x14ac:dyDescent="0.25">
      <c r="A682" s="29" t="str">
        <f>IF(Analysis!$I682="","",IF(Analysis!$I682="Embedded",Analysis!$D682,""))</f>
        <v/>
      </c>
      <c r="B682" s="29" t="str">
        <f>IF(Analysis!$I682="","",IF(Analysis!$I682="Loyal but shallow",Analysis!$D682,""))</f>
        <v/>
      </c>
      <c r="C682" s="29" t="str">
        <f>IF(Analysis!$I682="","",IF(Analysis!$I682="Project-driven",Analysis!$D682,""))</f>
        <v/>
      </c>
      <c r="D682" s="29" t="str">
        <f>IF(Analysis!$I682="","",IF(Analysis!$I682="Drifting",Analysis!$D682,""))</f>
        <v/>
      </c>
      <c r="E682" s="29" t="str">
        <f>IF(Analysis!$I682="","",IF(Analysis!$I682="Embedded",Analysis!$C682,""))</f>
        <v/>
      </c>
      <c r="F682" s="29" t="str">
        <f>IF(Analysis!$I682="","",IF(Analysis!$I682="Loyal but shallow",Analysis!$C682,""))</f>
        <v/>
      </c>
      <c r="G682" s="29" t="str">
        <f>IF(Analysis!$I682="","",IF(Analysis!$I682="Project-driven",Analysis!$C682,""))</f>
        <v/>
      </c>
      <c r="H682" s="29" t="str">
        <f>IF(Analysis!$I682="","",IF(Analysis!$I682="Drifting",Analysis!$C682,""))</f>
        <v/>
      </c>
      <c r="I682" s="29" t="str">
        <f>IF(Analysis!$I682="","",IF(Analysis!$I682="Embedded",Analysis!$F682,""))</f>
        <v/>
      </c>
      <c r="J682" s="29" t="str">
        <f>IF(Analysis!$I682="","",IF(Analysis!$I682="Loyal but shallow",Analysis!$F682,""))</f>
        <v/>
      </c>
      <c r="K682" s="29" t="str">
        <f>IF(Analysis!$I682="","",IF(Analysis!$I682="Project-driven",Analysis!$F682,""))</f>
        <v/>
      </c>
      <c r="L682" s="29" t="str">
        <f>IF(Analysis!$I682="","",IF(Analysis!$I682="Drifting",Analysis!$F682,""))</f>
        <v/>
      </c>
      <c r="M682" s="29" t="str">
        <f>IF(Analysis!$I682="","",IF(Analysis!$I682="Embedded",Analysis!$H682,""))</f>
        <v/>
      </c>
      <c r="N682" s="29" t="str">
        <f>IF(Analysis!$I682="","",IF(Analysis!$I682="Loyal but shallow",Analysis!$H682,""))</f>
        <v/>
      </c>
      <c r="O682" s="29" t="str">
        <f>IF(Analysis!$I682="","",IF(Analysis!$I682="Project-driven",Analysis!$H682,""))</f>
        <v/>
      </c>
      <c r="P682" s="29" t="str">
        <f>IF(Analysis!$I682="","",IF(Analysis!$I682="Drifting",Analysis!$H682,""))</f>
        <v/>
      </c>
    </row>
    <row r="683" spans="1:16" x14ac:dyDescent="0.25">
      <c r="A683" s="29" t="str">
        <f>IF(Analysis!$I683="","",IF(Analysis!$I683="Embedded",Analysis!$D683,""))</f>
        <v/>
      </c>
      <c r="B683" s="29" t="str">
        <f>IF(Analysis!$I683="","",IF(Analysis!$I683="Loyal but shallow",Analysis!$D683,""))</f>
        <v/>
      </c>
      <c r="C683" s="29" t="str">
        <f>IF(Analysis!$I683="","",IF(Analysis!$I683="Project-driven",Analysis!$D683,""))</f>
        <v/>
      </c>
      <c r="D683" s="29" t="str">
        <f>IF(Analysis!$I683="","",IF(Analysis!$I683="Drifting",Analysis!$D683,""))</f>
        <v/>
      </c>
      <c r="E683" s="29" t="str">
        <f>IF(Analysis!$I683="","",IF(Analysis!$I683="Embedded",Analysis!$C683,""))</f>
        <v/>
      </c>
      <c r="F683" s="29" t="str">
        <f>IF(Analysis!$I683="","",IF(Analysis!$I683="Loyal but shallow",Analysis!$C683,""))</f>
        <v/>
      </c>
      <c r="G683" s="29" t="str">
        <f>IF(Analysis!$I683="","",IF(Analysis!$I683="Project-driven",Analysis!$C683,""))</f>
        <v/>
      </c>
      <c r="H683" s="29" t="str">
        <f>IF(Analysis!$I683="","",IF(Analysis!$I683="Drifting",Analysis!$C683,""))</f>
        <v/>
      </c>
      <c r="I683" s="29" t="str">
        <f>IF(Analysis!$I683="","",IF(Analysis!$I683="Embedded",Analysis!$F683,""))</f>
        <v/>
      </c>
      <c r="J683" s="29" t="str">
        <f>IF(Analysis!$I683="","",IF(Analysis!$I683="Loyal but shallow",Analysis!$F683,""))</f>
        <v/>
      </c>
      <c r="K683" s="29" t="str">
        <f>IF(Analysis!$I683="","",IF(Analysis!$I683="Project-driven",Analysis!$F683,""))</f>
        <v/>
      </c>
      <c r="L683" s="29" t="str">
        <f>IF(Analysis!$I683="","",IF(Analysis!$I683="Drifting",Analysis!$F683,""))</f>
        <v/>
      </c>
      <c r="M683" s="29" t="str">
        <f>IF(Analysis!$I683="","",IF(Analysis!$I683="Embedded",Analysis!$H683,""))</f>
        <v/>
      </c>
      <c r="N683" s="29" t="str">
        <f>IF(Analysis!$I683="","",IF(Analysis!$I683="Loyal but shallow",Analysis!$H683,""))</f>
        <v/>
      </c>
      <c r="O683" s="29" t="str">
        <f>IF(Analysis!$I683="","",IF(Analysis!$I683="Project-driven",Analysis!$H683,""))</f>
        <v/>
      </c>
      <c r="P683" s="29" t="str">
        <f>IF(Analysis!$I683="","",IF(Analysis!$I683="Drifting",Analysis!$H683,""))</f>
        <v/>
      </c>
    </row>
    <row r="684" spans="1:16" x14ac:dyDescent="0.25">
      <c r="A684" s="29" t="str">
        <f>IF(Analysis!$I684="","",IF(Analysis!$I684="Embedded",Analysis!$D684,""))</f>
        <v/>
      </c>
      <c r="B684" s="29" t="str">
        <f>IF(Analysis!$I684="","",IF(Analysis!$I684="Loyal but shallow",Analysis!$D684,""))</f>
        <v/>
      </c>
      <c r="C684" s="29" t="str">
        <f>IF(Analysis!$I684="","",IF(Analysis!$I684="Project-driven",Analysis!$D684,""))</f>
        <v/>
      </c>
      <c r="D684" s="29" t="str">
        <f>IF(Analysis!$I684="","",IF(Analysis!$I684="Drifting",Analysis!$D684,""))</f>
        <v/>
      </c>
      <c r="E684" s="29" t="str">
        <f>IF(Analysis!$I684="","",IF(Analysis!$I684="Embedded",Analysis!$C684,""))</f>
        <v/>
      </c>
      <c r="F684" s="29" t="str">
        <f>IF(Analysis!$I684="","",IF(Analysis!$I684="Loyal but shallow",Analysis!$C684,""))</f>
        <v/>
      </c>
      <c r="G684" s="29" t="str">
        <f>IF(Analysis!$I684="","",IF(Analysis!$I684="Project-driven",Analysis!$C684,""))</f>
        <v/>
      </c>
      <c r="H684" s="29" t="str">
        <f>IF(Analysis!$I684="","",IF(Analysis!$I684="Drifting",Analysis!$C684,""))</f>
        <v/>
      </c>
      <c r="I684" s="29" t="str">
        <f>IF(Analysis!$I684="","",IF(Analysis!$I684="Embedded",Analysis!$F684,""))</f>
        <v/>
      </c>
      <c r="J684" s="29" t="str">
        <f>IF(Analysis!$I684="","",IF(Analysis!$I684="Loyal but shallow",Analysis!$F684,""))</f>
        <v/>
      </c>
      <c r="K684" s="29" t="str">
        <f>IF(Analysis!$I684="","",IF(Analysis!$I684="Project-driven",Analysis!$F684,""))</f>
        <v/>
      </c>
      <c r="L684" s="29" t="str">
        <f>IF(Analysis!$I684="","",IF(Analysis!$I684="Drifting",Analysis!$F684,""))</f>
        <v/>
      </c>
      <c r="M684" s="29" t="str">
        <f>IF(Analysis!$I684="","",IF(Analysis!$I684="Embedded",Analysis!$H684,""))</f>
        <v/>
      </c>
      <c r="N684" s="29" t="str">
        <f>IF(Analysis!$I684="","",IF(Analysis!$I684="Loyal but shallow",Analysis!$H684,""))</f>
        <v/>
      </c>
      <c r="O684" s="29" t="str">
        <f>IF(Analysis!$I684="","",IF(Analysis!$I684="Project-driven",Analysis!$H684,""))</f>
        <v/>
      </c>
      <c r="P684" s="29" t="str">
        <f>IF(Analysis!$I684="","",IF(Analysis!$I684="Drifting",Analysis!$H684,""))</f>
        <v/>
      </c>
    </row>
    <row r="685" spans="1:16" x14ac:dyDescent="0.25">
      <c r="A685" s="29" t="str">
        <f>IF(Analysis!$I685="","",IF(Analysis!$I685="Embedded",Analysis!$D685,""))</f>
        <v/>
      </c>
      <c r="B685" s="29" t="str">
        <f>IF(Analysis!$I685="","",IF(Analysis!$I685="Loyal but shallow",Analysis!$D685,""))</f>
        <v/>
      </c>
      <c r="C685" s="29" t="str">
        <f>IF(Analysis!$I685="","",IF(Analysis!$I685="Project-driven",Analysis!$D685,""))</f>
        <v/>
      </c>
      <c r="D685" s="29" t="str">
        <f>IF(Analysis!$I685="","",IF(Analysis!$I685="Drifting",Analysis!$D685,""))</f>
        <v/>
      </c>
      <c r="E685" s="29" t="str">
        <f>IF(Analysis!$I685="","",IF(Analysis!$I685="Embedded",Analysis!$C685,""))</f>
        <v/>
      </c>
      <c r="F685" s="29" t="str">
        <f>IF(Analysis!$I685="","",IF(Analysis!$I685="Loyal but shallow",Analysis!$C685,""))</f>
        <v/>
      </c>
      <c r="G685" s="29" t="str">
        <f>IF(Analysis!$I685="","",IF(Analysis!$I685="Project-driven",Analysis!$C685,""))</f>
        <v/>
      </c>
      <c r="H685" s="29" t="str">
        <f>IF(Analysis!$I685="","",IF(Analysis!$I685="Drifting",Analysis!$C685,""))</f>
        <v/>
      </c>
      <c r="I685" s="29" t="str">
        <f>IF(Analysis!$I685="","",IF(Analysis!$I685="Embedded",Analysis!$F685,""))</f>
        <v/>
      </c>
      <c r="J685" s="29" t="str">
        <f>IF(Analysis!$I685="","",IF(Analysis!$I685="Loyal but shallow",Analysis!$F685,""))</f>
        <v/>
      </c>
      <c r="K685" s="29" t="str">
        <f>IF(Analysis!$I685="","",IF(Analysis!$I685="Project-driven",Analysis!$F685,""))</f>
        <v/>
      </c>
      <c r="L685" s="29" t="str">
        <f>IF(Analysis!$I685="","",IF(Analysis!$I685="Drifting",Analysis!$F685,""))</f>
        <v/>
      </c>
      <c r="M685" s="29" t="str">
        <f>IF(Analysis!$I685="","",IF(Analysis!$I685="Embedded",Analysis!$H685,""))</f>
        <v/>
      </c>
      <c r="N685" s="29" t="str">
        <f>IF(Analysis!$I685="","",IF(Analysis!$I685="Loyal but shallow",Analysis!$H685,""))</f>
        <v/>
      </c>
      <c r="O685" s="29" t="str">
        <f>IF(Analysis!$I685="","",IF(Analysis!$I685="Project-driven",Analysis!$H685,""))</f>
        <v/>
      </c>
      <c r="P685" s="29" t="str">
        <f>IF(Analysis!$I685="","",IF(Analysis!$I685="Drifting",Analysis!$H685,""))</f>
        <v/>
      </c>
    </row>
    <row r="686" spans="1:16" x14ac:dyDescent="0.25">
      <c r="A686" s="29" t="str">
        <f>IF(Analysis!$I686="","",IF(Analysis!$I686="Embedded",Analysis!$D686,""))</f>
        <v/>
      </c>
      <c r="B686" s="29" t="str">
        <f>IF(Analysis!$I686="","",IF(Analysis!$I686="Loyal but shallow",Analysis!$D686,""))</f>
        <v/>
      </c>
      <c r="C686" s="29" t="str">
        <f>IF(Analysis!$I686="","",IF(Analysis!$I686="Project-driven",Analysis!$D686,""))</f>
        <v/>
      </c>
      <c r="D686" s="29" t="str">
        <f>IF(Analysis!$I686="","",IF(Analysis!$I686="Drifting",Analysis!$D686,""))</f>
        <v/>
      </c>
      <c r="E686" s="29" t="str">
        <f>IF(Analysis!$I686="","",IF(Analysis!$I686="Embedded",Analysis!$C686,""))</f>
        <v/>
      </c>
      <c r="F686" s="29" t="str">
        <f>IF(Analysis!$I686="","",IF(Analysis!$I686="Loyal but shallow",Analysis!$C686,""))</f>
        <v/>
      </c>
      <c r="G686" s="29" t="str">
        <f>IF(Analysis!$I686="","",IF(Analysis!$I686="Project-driven",Analysis!$C686,""))</f>
        <v/>
      </c>
      <c r="H686" s="29" t="str">
        <f>IF(Analysis!$I686="","",IF(Analysis!$I686="Drifting",Analysis!$C686,""))</f>
        <v/>
      </c>
      <c r="I686" s="29" t="str">
        <f>IF(Analysis!$I686="","",IF(Analysis!$I686="Embedded",Analysis!$F686,""))</f>
        <v/>
      </c>
      <c r="J686" s="29" t="str">
        <f>IF(Analysis!$I686="","",IF(Analysis!$I686="Loyal but shallow",Analysis!$F686,""))</f>
        <v/>
      </c>
      <c r="K686" s="29" t="str">
        <f>IF(Analysis!$I686="","",IF(Analysis!$I686="Project-driven",Analysis!$F686,""))</f>
        <v/>
      </c>
      <c r="L686" s="29" t="str">
        <f>IF(Analysis!$I686="","",IF(Analysis!$I686="Drifting",Analysis!$F686,""))</f>
        <v/>
      </c>
      <c r="M686" s="29" t="str">
        <f>IF(Analysis!$I686="","",IF(Analysis!$I686="Embedded",Analysis!$H686,""))</f>
        <v/>
      </c>
      <c r="N686" s="29" t="str">
        <f>IF(Analysis!$I686="","",IF(Analysis!$I686="Loyal but shallow",Analysis!$H686,""))</f>
        <v/>
      </c>
      <c r="O686" s="29" t="str">
        <f>IF(Analysis!$I686="","",IF(Analysis!$I686="Project-driven",Analysis!$H686,""))</f>
        <v/>
      </c>
      <c r="P686" s="29" t="str">
        <f>IF(Analysis!$I686="","",IF(Analysis!$I686="Drifting",Analysis!$H686,""))</f>
        <v/>
      </c>
    </row>
    <row r="687" spans="1:16" x14ac:dyDescent="0.25">
      <c r="A687" s="29" t="str">
        <f>IF(Analysis!$I687="","",IF(Analysis!$I687="Embedded",Analysis!$D687,""))</f>
        <v/>
      </c>
      <c r="B687" s="29" t="str">
        <f>IF(Analysis!$I687="","",IF(Analysis!$I687="Loyal but shallow",Analysis!$D687,""))</f>
        <v/>
      </c>
      <c r="C687" s="29" t="str">
        <f>IF(Analysis!$I687="","",IF(Analysis!$I687="Project-driven",Analysis!$D687,""))</f>
        <v/>
      </c>
      <c r="D687" s="29" t="str">
        <f>IF(Analysis!$I687="","",IF(Analysis!$I687="Drifting",Analysis!$D687,""))</f>
        <v/>
      </c>
      <c r="E687" s="29" t="str">
        <f>IF(Analysis!$I687="","",IF(Analysis!$I687="Embedded",Analysis!$C687,""))</f>
        <v/>
      </c>
      <c r="F687" s="29" t="str">
        <f>IF(Analysis!$I687="","",IF(Analysis!$I687="Loyal but shallow",Analysis!$C687,""))</f>
        <v/>
      </c>
      <c r="G687" s="29" t="str">
        <f>IF(Analysis!$I687="","",IF(Analysis!$I687="Project-driven",Analysis!$C687,""))</f>
        <v/>
      </c>
      <c r="H687" s="29" t="str">
        <f>IF(Analysis!$I687="","",IF(Analysis!$I687="Drifting",Analysis!$C687,""))</f>
        <v/>
      </c>
      <c r="I687" s="29" t="str">
        <f>IF(Analysis!$I687="","",IF(Analysis!$I687="Embedded",Analysis!$F687,""))</f>
        <v/>
      </c>
      <c r="J687" s="29" t="str">
        <f>IF(Analysis!$I687="","",IF(Analysis!$I687="Loyal but shallow",Analysis!$F687,""))</f>
        <v/>
      </c>
      <c r="K687" s="29" t="str">
        <f>IF(Analysis!$I687="","",IF(Analysis!$I687="Project-driven",Analysis!$F687,""))</f>
        <v/>
      </c>
      <c r="L687" s="29" t="str">
        <f>IF(Analysis!$I687="","",IF(Analysis!$I687="Drifting",Analysis!$F687,""))</f>
        <v/>
      </c>
      <c r="M687" s="29" t="str">
        <f>IF(Analysis!$I687="","",IF(Analysis!$I687="Embedded",Analysis!$H687,""))</f>
        <v/>
      </c>
      <c r="N687" s="29" t="str">
        <f>IF(Analysis!$I687="","",IF(Analysis!$I687="Loyal but shallow",Analysis!$H687,""))</f>
        <v/>
      </c>
      <c r="O687" s="29" t="str">
        <f>IF(Analysis!$I687="","",IF(Analysis!$I687="Project-driven",Analysis!$H687,""))</f>
        <v/>
      </c>
      <c r="P687" s="29" t="str">
        <f>IF(Analysis!$I687="","",IF(Analysis!$I687="Drifting",Analysis!$H687,""))</f>
        <v/>
      </c>
    </row>
    <row r="688" spans="1:16" x14ac:dyDescent="0.25">
      <c r="A688" s="29" t="str">
        <f>IF(Analysis!$I688="","",IF(Analysis!$I688="Embedded",Analysis!$D688,""))</f>
        <v/>
      </c>
      <c r="B688" s="29" t="str">
        <f>IF(Analysis!$I688="","",IF(Analysis!$I688="Loyal but shallow",Analysis!$D688,""))</f>
        <v/>
      </c>
      <c r="C688" s="29" t="str">
        <f>IF(Analysis!$I688="","",IF(Analysis!$I688="Project-driven",Analysis!$D688,""))</f>
        <v/>
      </c>
      <c r="D688" s="29" t="str">
        <f>IF(Analysis!$I688="","",IF(Analysis!$I688="Drifting",Analysis!$D688,""))</f>
        <v/>
      </c>
      <c r="E688" s="29" t="str">
        <f>IF(Analysis!$I688="","",IF(Analysis!$I688="Embedded",Analysis!$C688,""))</f>
        <v/>
      </c>
      <c r="F688" s="29" t="str">
        <f>IF(Analysis!$I688="","",IF(Analysis!$I688="Loyal but shallow",Analysis!$C688,""))</f>
        <v/>
      </c>
      <c r="G688" s="29" t="str">
        <f>IF(Analysis!$I688="","",IF(Analysis!$I688="Project-driven",Analysis!$C688,""))</f>
        <v/>
      </c>
      <c r="H688" s="29" t="str">
        <f>IF(Analysis!$I688="","",IF(Analysis!$I688="Drifting",Analysis!$C688,""))</f>
        <v/>
      </c>
      <c r="I688" s="29" t="str">
        <f>IF(Analysis!$I688="","",IF(Analysis!$I688="Embedded",Analysis!$F688,""))</f>
        <v/>
      </c>
      <c r="J688" s="29" t="str">
        <f>IF(Analysis!$I688="","",IF(Analysis!$I688="Loyal but shallow",Analysis!$F688,""))</f>
        <v/>
      </c>
      <c r="K688" s="29" t="str">
        <f>IF(Analysis!$I688="","",IF(Analysis!$I688="Project-driven",Analysis!$F688,""))</f>
        <v/>
      </c>
      <c r="L688" s="29" t="str">
        <f>IF(Analysis!$I688="","",IF(Analysis!$I688="Drifting",Analysis!$F688,""))</f>
        <v/>
      </c>
      <c r="M688" s="29" t="str">
        <f>IF(Analysis!$I688="","",IF(Analysis!$I688="Embedded",Analysis!$H688,""))</f>
        <v/>
      </c>
      <c r="N688" s="29" t="str">
        <f>IF(Analysis!$I688="","",IF(Analysis!$I688="Loyal but shallow",Analysis!$H688,""))</f>
        <v/>
      </c>
      <c r="O688" s="29" t="str">
        <f>IF(Analysis!$I688="","",IF(Analysis!$I688="Project-driven",Analysis!$H688,""))</f>
        <v/>
      </c>
      <c r="P688" s="29" t="str">
        <f>IF(Analysis!$I688="","",IF(Analysis!$I688="Drifting",Analysis!$H688,""))</f>
        <v/>
      </c>
    </row>
    <row r="689" spans="1:16" x14ac:dyDescent="0.25">
      <c r="A689" s="29" t="str">
        <f>IF(Analysis!$I689="","",IF(Analysis!$I689="Embedded",Analysis!$D689,""))</f>
        <v/>
      </c>
      <c r="B689" s="29" t="str">
        <f>IF(Analysis!$I689="","",IF(Analysis!$I689="Loyal but shallow",Analysis!$D689,""))</f>
        <v/>
      </c>
      <c r="C689" s="29" t="str">
        <f>IF(Analysis!$I689="","",IF(Analysis!$I689="Project-driven",Analysis!$D689,""))</f>
        <v/>
      </c>
      <c r="D689" s="29" t="str">
        <f>IF(Analysis!$I689="","",IF(Analysis!$I689="Drifting",Analysis!$D689,""))</f>
        <v/>
      </c>
      <c r="E689" s="29" t="str">
        <f>IF(Analysis!$I689="","",IF(Analysis!$I689="Embedded",Analysis!$C689,""))</f>
        <v/>
      </c>
      <c r="F689" s="29" t="str">
        <f>IF(Analysis!$I689="","",IF(Analysis!$I689="Loyal but shallow",Analysis!$C689,""))</f>
        <v/>
      </c>
      <c r="G689" s="29" t="str">
        <f>IF(Analysis!$I689="","",IF(Analysis!$I689="Project-driven",Analysis!$C689,""))</f>
        <v/>
      </c>
      <c r="H689" s="29" t="str">
        <f>IF(Analysis!$I689="","",IF(Analysis!$I689="Drifting",Analysis!$C689,""))</f>
        <v/>
      </c>
      <c r="I689" s="29" t="str">
        <f>IF(Analysis!$I689="","",IF(Analysis!$I689="Embedded",Analysis!$F689,""))</f>
        <v/>
      </c>
      <c r="J689" s="29" t="str">
        <f>IF(Analysis!$I689="","",IF(Analysis!$I689="Loyal but shallow",Analysis!$F689,""))</f>
        <v/>
      </c>
      <c r="K689" s="29" t="str">
        <f>IF(Analysis!$I689="","",IF(Analysis!$I689="Project-driven",Analysis!$F689,""))</f>
        <v/>
      </c>
      <c r="L689" s="29" t="str">
        <f>IF(Analysis!$I689="","",IF(Analysis!$I689="Drifting",Analysis!$F689,""))</f>
        <v/>
      </c>
      <c r="M689" s="29" t="str">
        <f>IF(Analysis!$I689="","",IF(Analysis!$I689="Embedded",Analysis!$H689,""))</f>
        <v/>
      </c>
      <c r="N689" s="29" t="str">
        <f>IF(Analysis!$I689="","",IF(Analysis!$I689="Loyal but shallow",Analysis!$H689,""))</f>
        <v/>
      </c>
      <c r="O689" s="29" t="str">
        <f>IF(Analysis!$I689="","",IF(Analysis!$I689="Project-driven",Analysis!$H689,""))</f>
        <v/>
      </c>
      <c r="P689" s="29" t="str">
        <f>IF(Analysis!$I689="","",IF(Analysis!$I689="Drifting",Analysis!$H689,""))</f>
        <v/>
      </c>
    </row>
    <row r="690" spans="1:16" x14ac:dyDescent="0.25">
      <c r="A690" s="29" t="str">
        <f>IF(Analysis!$I690="","",IF(Analysis!$I690="Embedded",Analysis!$D690,""))</f>
        <v/>
      </c>
      <c r="B690" s="29" t="str">
        <f>IF(Analysis!$I690="","",IF(Analysis!$I690="Loyal but shallow",Analysis!$D690,""))</f>
        <v/>
      </c>
      <c r="C690" s="29" t="str">
        <f>IF(Analysis!$I690="","",IF(Analysis!$I690="Project-driven",Analysis!$D690,""))</f>
        <v/>
      </c>
      <c r="D690" s="29" t="str">
        <f>IF(Analysis!$I690="","",IF(Analysis!$I690="Drifting",Analysis!$D690,""))</f>
        <v/>
      </c>
      <c r="E690" s="29" t="str">
        <f>IF(Analysis!$I690="","",IF(Analysis!$I690="Embedded",Analysis!$C690,""))</f>
        <v/>
      </c>
      <c r="F690" s="29" t="str">
        <f>IF(Analysis!$I690="","",IF(Analysis!$I690="Loyal but shallow",Analysis!$C690,""))</f>
        <v/>
      </c>
      <c r="G690" s="29" t="str">
        <f>IF(Analysis!$I690="","",IF(Analysis!$I690="Project-driven",Analysis!$C690,""))</f>
        <v/>
      </c>
      <c r="H690" s="29" t="str">
        <f>IF(Analysis!$I690="","",IF(Analysis!$I690="Drifting",Analysis!$C690,""))</f>
        <v/>
      </c>
      <c r="I690" s="29" t="str">
        <f>IF(Analysis!$I690="","",IF(Analysis!$I690="Embedded",Analysis!$F690,""))</f>
        <v/>
      </c>
      <c r="J690" s="29" t="str">
        <f>IF(Analysis!$I690="","",IF(Analysis!$I690="Loyal but shallow",Analysis!$F690,""))</f>
        <v/>
      </c>
      <c r="K690" s="29" t="str">
        <f>IF(Analysis!$I690="","",IF(Analysis!$I690="Project-driven",Analysis!$F690,""))</f>
        <v/>
      </c>
      <c r="L690" s="29" t="str">
        <f>IF(Analysis!$I690="","",IF(Analysis!$I690="Drifting",Analysis!$F690,""))</f>
        <v/>
      </c>
      <c r="M690" s="29" t="str">
        <f>IF(Analysis!$I690="","",IF(Analysis!$I690="Embedded",Analysis!$H690,""))</f>
        <v/>
      </c>
      <c r="N690" s="29" t="str">
        <f>IF(Analysis!$I690="","",IF(Analysis!$I690="Loyal but shallow",Analysis!$H690,""))</f>
        <v/>
      </c>
      <c r="O690" s="29" t="str">
        <f>IF(Analysis!$I690="","",IF(Analysis!$I690="Project-driven",Analysis!$H690,""))</f>
        <v/>
      </c>
      <c r="P690" s="29" t="str">
        <f>IF(Analysis!$I690="","",IF(Analysis!$I690="Drifting",Analysis!$H690,""))</f>
        <v/>
      </c>
    </row>
    <row r="691" spans="1:16" x14ac:dyDescent="0.25">
      <c r="A691" s="29" t="str">
        <f>IF(Analysis!$I691="","",IF(Analysis!$I691="Embedded",Analysis!$D691,""))</f>
        <v/>
      </c>
      <c r="B691" s="29" t="str">
        <f>IF(Analysis!$I691="","",IF(Analysis!$I691="Loyal but shallow",Analysis!$D691,""))</f>
        <v/>
      </c>
      <c r="C691" s="29" t="str">
        <f>IF(Analysis!$I691="","",IF(Analysis!$I691="Project-driven",Analysis!$D691,""))</f>
        <v/>
      </c>
      <c r="D691" s="29" t="str">
        <f>IF(Analysis!$I691="","",IF(Analysis!$I691="Drifting",Analysis!$D691,""))</f>
        <v/>
      </c>
      <c r="E691" s="29" t="str">
        <f>IF(Analysis!$I691="","",IF(Analysis!$I691="Embedded",Analysis!$C691,""))</f>
        <v/>
      </c>
      <c r="F691" s="29" t="str">
        <f>IF(Analysis!$I691="","",IF(Analysis!$I691="Loyal but shallow",Analysis!$C691,""))</f>
        <v/>
      </c>
      <c r="G691" s="29" t="str">
        <f>IF(Analysis!$I691="","",IF(Analysis!$I691="Project-driven",Analysis!$C691,""))</f>
        <v/>
      </c>
      <c r="H691" s="29" t="str">
        <f>IF(Analysis!$I691="","",IF(Analysis!$I691="Drifting",Analysis!$C691,""))</f>
        <v/>
      </c>
      <c r="I691" s="29" t="str">
        <f>IF(Analysis!$I691="","",IF(Analysis!$I691="Embedded",Analysis!$F691,""))</f>
        <v/>
      </c>
      <c r="J691" s="29" t="str">
        <f>IF(Analysis!$I691="","",IF(Analysis!$I691="Loyal but shallow",Analysis!$F691,""))</f>
        <v/>
      </c>
      <c r="K691" s="29" t="str">
        <f>IF(Analysis!$I691="","",IF(Analysis!$I691="Project-driven",Analysis!$F691,""))</f>
        <v/>
      </c>
      <c r="L691" s="29" t="str">
        <f>IF(Analysis!$I691="","",IF(Analysis!$I691="Drifting",Analysis!$F691,""))</f>
        <v/>
      </c>
      <c r="M691" s="29" t="str">
        <f>IF(Analysis!$I691="","",IF(Analysis!$I691="Embedded",Analysis!$H691,""))</f>
        <v/>
      </c>
      <c r="N691" s="29" t="str">
        <f>IF(Analysis!$I691="","",IF(Analysis!$I691="Loyal but shallow",Analysis!$H691,""))</f>
        <v/>
      </c>
      <c r="O691" s="29" t="str">
        <f>IF(Analysis!$I691="","",IF(Analysis!$I691="Project-driven",Analysis!$H691,""))</f>
        <v/>
      </c>
      <c r="P691" s="29" t="str">
        <f>IF(Analysis!$I691="","",IF(Analysis!$I691="Drifting",Analysis!$H691,""))</f>
        <v/>
      </c>
    </row>
    <row r="692" spans="1:16" x14ac:dyDescent="0.25">
      <c r="A692" s="29" t="str">
        <f>IF(Analysis!$I692="","",IF(Analysis!$I692="Embedded",Analysis!$D692,""))</f>
        <v/>
      </c>
      <c r="B692" s="29" t="str">
        <f>IF(Analysis!$I692="","",IF(Analysis!$I692="Loyal but shallow",Analysis!$D692,""))</f>
        <v/>
      </c>
      <c r="C692" s="29" t="str">
        <f>IF(Analysis!$I692="","",IF(Analysis!$I692="Project-driven",Analysis!$D692,""))</f>
        <v/>
      </c>
      <c r="D692" s="29" t="str">
        <f>IF(Analysis!$I692="","",IF(Analysis!$I692="Drifting",Analysis!$D692,""))</f>
        <v/>
      </c>
      <c r="E692" s="29" t="str">
        <f>IF(Analysis!$I692="","",IF(Analysis!$I692="Embedded",Analysis!$C692,""))</f>
        <v/>
      </c>
      <c r="F692" s="29" t="str">
        <f>IF(Analysis!$I692="","",IF(Analysis!$I692="Loyal but shallow",Analysis!$C692,""))</f>
        <v/>
      </c>
      <c r="G692" s="29" t="str">
        <f>IF(Analysis!$I692="","",IF(Analysis!$I692="Project-driven",Analysis!$C692,""))</f>
        <v/>
      </c>
      <c r="H692" s="29" t="str">
        <f>IF(Analysis!$I692="","",IF(Analysis!$I692="Drifting",Analysis!$C692,""))</f>
        <v/>
      </c>
      <c r="I692" s="29" t="str">
        <f>IF(Analysis!$I692="","",IF(Analysis!$I692="Embedded",Analysis!$F692,""))</f>
        <v/>
      </c>
      <c r="J692" s="29" t="str">
        <f>IF(Analysis!$I692="","",IF(Analysis!$I692="Loyal but shallow",Analysis!$F692,""))</f>
        <v/>
      </c>
      <c r="K692" s="29" t="str">
        <f>IF(Analysis!$I692="","",IF(Analysis!$I692="Project-driven",Analysis!$F692,""))</f>
        <v/>
      </c>
      <c r="L692" s="29" t="str">
        <f>IF(Analysis!$I692="","",IF(Analysis!$I692="Drifting",Analysis!$F692,""))</f>
        <v/>
      </c>
      <c r="M692" s="29" t="str">
        <f>IF(Analysis!$I692="","",IF(Analysis!$I692="Embedded",Analysis!$H692,""))</f>
        <v/>
      </c>
      <c r="N692" s="29" t="str">
        <f>IF(Analysis!$I692="","",IF(Analysis!$I692="Loyal but shallow",Analysis!$H692,""))</f>
        <v/>
      </c>
      <c r="O692" s="29" t="str">
        <f>IF(Analysis!$I692="","",IF(Analysis!$I692="Project-driven",Analysis!$H692,""))</f>
        <v/>
      </c>
      <c r="P692" s="29" t="str">
        <f>IF(Analysis!$I692="","",IF(Analysis!$I692="Drifting",Analysis!$H692,""))</f>
        <v/>
      </c>
    </row>
    <row r="693" spans="1:16" x14ac:dyDescent="0.25">
      <c r="A693" s="29" t="str">
        <f>IF(Analysis!$I693="","",IF(Analysis!$I693="Embedded",Analysis!$D693,""))</f>
        <v/>
      </c>
      <c r="B693" s="29" t="str">
        <f>IF(Analysis!$I693="","",IF(Analysis!$I693="Loyal but shallow",Analysis!$D693,""))</f>
        <v/>
      </c>
      <c r="C693" s="29" t="str">
        <f>IF(Analysis!$I693="","",IF(Analysis!$I693="Project-driven",Analysis!$D693,""))</f>
        <v/>
      </c>
      <c r="D693" s="29" t="str">
        <f>IF(Analysis!$I693="","",IF(Analysis!$I693="Drifting",Analysis!$D693,""))</f>
        <v/>
      </c>
      <c r="E693" s="29" t="str">
        <f>IF(Analysis!$I693="","",IF(Analysis!$I693="Embedded",Analysis!$C693,""))</f>
        <v/>
      </c>
      <c r="F693" s="29" t="str">
        <f>IF(Analysis!$I693="","",IF(Analysis!$I693="Loyal but shallow",Analysis!$C693,""))</f>
        <v/>
      </c>
      <c r="G693" s="29" t="str">
        <f>IF(Analysis!$I693="","",IF(Analysis!$I693="Project-driven",Analysis!$C693,""))</f>
        <v/>
      </c>
      <c r="H693" s="29" t="str">
        <f>IF(Analysis!$I693="","",IF(Analysis!$I693="Drifting",Analysis!$C693,""))</f>
        <v/>
      </c>
      <c r="I693" s="29" t="str">
        <f>IF(Analysis!$I693="","",IF(Analysis!$I693="Embedded",Analysis!$F693,""))</f>
        <v/>
      </c>
      <c r="J693" s="29" t="str">
        <f>IF(Analysis!$I693="","",IF(Analysis!$I693="Loyal but shallow",Analysis!$F693,""))</f>
        <v/>
      </c>
      <c r="K693" s="29" t="str">
        <f>IF(Analysis!$I693="","",IF(Analysis!$I693="Project-driven",Analysis!$F693,""))</f>
        <v/>
      </c>
      <c r="L693" s="29" t="str">
        <f>IF(Analysis!$I693="","",IF(Analysis!$I693="Drifting",Analysis!$F693,""))</f>
        <v/>
      </c>
      <c r="M693" s="29" t="str">
        <f>IF(Analysis!$I693="","",IF(Analysis!$I693="Embedded",Analysis!$H693,""))</f>
        <v/>
      </c>
      <c r="N693" s="29" t="str">
        <f>IF(Analysis!$I693="","",IF(Analysis!$I693="Loyal but shallow",Analysis!$H693,""))</f>
        <v/>
      </c>
      <c r="O693" s="29" t="str">
        <f>IF(Analysis!$I693="","",IF(Analysis!$I693="Project-driven",Analysis!$H693,""))</f>
        <v/>
      </c>
      <c r="P693" s="29" t="str">
        <f>IF(Analysis!$I693="","",IF(Analysis!$I693="Drifting",Analysis!$H693,""))</f>
        <v/>
      </c>
    </row>
    <row r="694" spans="1:16" x14ac:dyDescent="0.25">
      <c r="A694" s="29" t="str">
        <f>IF(Analysis!$I694="","",IF(Analysis!$I694="Embedded",Analysis!$D694,""))</f>
        <v/>
      </c>
      <c r="B694" s="29" t="str">
        <f>IF(Analysis!$I694="","",IF(Analysis!$I694="Loyal but shallow",Analysis!$D694,""))</f>
        <v/>
      </c>
      <c r="C694" s="29" t="str">
        <f>IF(Analysis!$I694="","",IF(Analysis!$I694="Project-driven",Analysis!$D694,""))</f>
        <v/>
      </c>
      <c r="D694" s="29" t="str">
        <f>IF(Analysis!$I694="","",IF(Analysis!$I694="Drifting",Analysis!$D694,""))</f>
        <v/>
      </c>
      <c r="E694" s="29" t="str">
        <f>IF(Analysis!$I694="","",IF(Analysis!$I694="Embedded",Analysis!$C694,""))</f>
        <v/>
      </c>
      <c r="F694" s="29" t="str">
        <f>IF(Analysis!$I694="","",IF(Analysis!$I694="Loyal but shallow",Analysis!$C694,""))</f>
        <v/>
      </c>
      <c r="G694" s="29" t="str">
        <f>IF(Analysis!$I694="","",IF(Analysis!$I694="Project-driven",Analysis!$C694,""))</f>
        <v/>
      </c>
      <c r="H694" s="29" t="str">
        <f>IF(Analysis!$I694="","",IF(Analysis!$I694="Drifting",Analysis!$C694,""))</f>
        <v/>
      </c>
      <c r="I694" s="29" t="str">
        <f>IF(Analysis!$I694="","",IF(Analysis!$I694="Embedded",Analysis!$F694,""))</f>
        <v/>
      </c>
      <c r="J694" s="29" t="str">
        <f>IF(Analysis!$I694="","",IF(Analysis!$I694="Loyal but shallow",Analysis!$F694,""))</f>
        <v/>
      </c>
      <c r="K694" s="29" t="str">
        <f>IF(Analysis!$I694="","",IF(Analysis!$I694="Project-driven",Analysis!$F694,""))</f>
        <v/>
      </c>
      <c r="L694" s="29" t="str">
        <f>IF(Analysis!$I694="","",IF(Analysis!$I694="Drifting",Analysis!$F694,""))</f>
        <v/>
      </c>
      <c r="M694" s="29" t="str">
        <f>IF(Analysis!$I694="","",IF(Analysis!$I694="Embedded",Analysis!$H694,""))</f>
        <v/>
      </c>
      <c r="N694" s="29" t="str">
        <f>IF(Analysis!$I694="","",IF(Analysis!$I694="Loyal but shallow",Analysis!$H694,""))</f>
        <v/>
      </c>
      <c r="O694" s="29" t="str">
        <f>IF(Analysis!$I694="","",IF(Analysis!$I694="Project-driven",Analysis!$H694,""))</f>
        <v/>
      </c>
      <c r="P694" s="29" t="str">
        <f>IF(Analysis!$I694="","",IF(Analysis!$I694="Drifting",Analysis!$H694,""))</f>
        <v/>
      </c>
    </row>
    <row r="695" spans="1:16" x14ac:dyDescent="0.25">
      <c r="A695" s="29" t="str">
        <f>IF(Analysis!$I695="","",IF(Analysis!$I695="Embedded",Analysis!$D695,""))</f>
        <v/>
      </c>
      <c r="B695" s="29" t="str">
        <f>IF(Analysis!$I695="","",IF(Analysis!$I695="Loyal but shallow",Analysis!$D695,""))</f>
        <v/>
      </c>
      <c r="C695" s="29" t="str">
        <f>IF(Analysis!$I695="","",IF(Analysis!$I695="Project-driven",Analysis!$D695,""))</f>
        <v/>
      </c>
      <c r="D695" s="29" t="str">
        <f>IF(Analysis!$I695="","",IF(Analysis!$I695="Drifting",Analysis!$D695,""))</f>
        <v/>
      </c>
      <c r="E695" s="29" t="str">
        <f>IF(Analysis!$I695="","",IF(Analysis!$I695="Embedded",Analysis!$C695,""))</f>
        <v/>
      </c>
      <c r="F695" s="29" t="str">
        <f>IF(Analysis!$I695="","",IF(Analysis!$I695="Loyal but shallow",Analysis!$C695,""))</f>
        <v/>
      </c>
      <c r="G695" s="29" t="str">
        <f>IF(Analysis!$I695="","",IF(Analysis!$I695="Project-driven",Analysis!$C695,""))</f>
        <v/>
      </c>
      <c r="H695" s="29" t="str">
        <f>IF(Analysis!$I695="","",IF(Analysis!$I695="Drifting",Analysis!$C695,""))</f>
        <v/>
      </c>
      <c r="I695" s="29" t="str">
        <f>IF(Analysis!$I695="","",IF(Analysis!$I695="Embedded",Analysis!$F695,""))</f>
        <v/>
      </c>
      <c r="J695" s="29" t="str">
        <f>IF(Analysis!$I695="","",IF(Analysis!$I695="Loyal but shallow",Analysis!$F695,""))</f>
        <v/>
      </c>
      <c r="K695" s="29" t="str">
        <f>IF(Analysis!$I695="","",IF(Analysis!$I695="Project-driven",Analysis!$F695,""))</f>
        <v/>
      </c>
      <c r="L695" s="29" t="str">
        <f>IF(Analysis!$I695="","",IF(Analysis!$I695="Drifting",Analysis!$F695,""))</f>
        <v/>
      </c>
      <c r="M695" s="29" t="str">
        <f>IF(Analysis!$I695="","",IF(Analysis!$I695="Embedded",Analysis!$H695,""))</f>
        <v/>
      </c>
      <c r="N695" s="29" t="str">
        <f>IF(Analysis!$I695="","",IF(Analysis!$I695="Loyal but shallow",Analysis!$H695,""))</f>
        <v/>
      </c>
      <c r="O695" s="29" t="str">
        <f>IF(Analysis!$I695="","",IF(Analysis!$I695="Project-driven",Analysis!$H695,""))</f>
        <v/>
      </c>
      <c r="P695" s="29" t="str">
        <f>IF(Analysis!$I695="","",IF(Analysis!$I695="Drifting",Analysis!$H695,""))</f>
        <v/>
      </c>
    </row>
    <row r="696" spans="1:16" x14ac:dyDescent="0.25">
      <c r="A696" s="29" t="str">
        <f>IF(Analysis!$I696="","",IF(Analysis!$I696="Embedded",Analysis!$D696,""))</f>
        <v/>
      </c>
      <c r="B696" s="29" t="str">
        <f>IF(Analysis!$I696="","",IF(Analysis!$I696="Loyal but shallow",Analysis!$D696,""))</f>
        <v/>
      </c>
      <c r="C696" s="29" t="str">
        <f>IF(Analysis!$I696="","",IF(Analysis!$I696="Project-driven",Analysis!$D696,""))</f>
        <v/>
      </c>
      <c r="D696" s="29" t="str">
        <f>IF(Analysis!$I696="","",IF(Analysis!$I696="Drifting",Analysis!$D696,""))</f>
        <v/>
      </c>
      <c r="E696" s="29" t="str">
        <f>IF(Analysis!$I696="","",IF(Analysis!$I696="Embedded",Analysis!$C696,""))</f>
        <v/>
      </c>
      <c r="F696" s="29" t="str">
        <f>IF(Analysis!$I696="","",IF(Analysis!$I696="Loyal but shallow",Analysis!$C696,""))</f>
        <v/>
      </c>
      <c r="G696" s="29" t="str">
        <f>IF(Analysis!$I696="","",IF(Analysis!$I696="Project-driven",Analysis!$C696,""))</f>
        <v/>
      </c>
      <c r="H696" s="29" t="str">
        <f>IF(Analysis!$I696="","",IF(Analysis!$I696="Drifting",Analysis!$C696,""))</f>
        <v/>
      </c>
      <c r="I696" s="29" t="str">
        <f>IF(Analysis!$I696="","",IF(Analysis!$I696="Embedded",Analysis!$F696,""))</f>
        <v/>
      </c>
      <c r="J696" s="29" t="str">
        <f>IF(Analysis!$I696="","",IF(Analysis!$I696="Loyal but shallow",Analysis!$F696,""))</f>
        <v/>
      </c>
      <c r="K696" s="29" t="str">
        <f>IF(Analysis!$I696="","",IF(Analysis!$I696="Project-driven",Analysis!$F696,""))</f>
        <v/>
      </c>
      <c r="L696" s="29" t="str">
        <f>IF(Analysis!$I696="","",IF(Analysis!$I696="Drifting",Analysis!$F696,""))</f>
        <v/>
      </c>
      <c r="M696" s="29" t="str">
        <f>IF(Analysis!$I696="","",IF(Analysis!$I696="Embedded",Analysis!$H696,""))</f>
        <v/>
      </c>
      <c r="N696" s="29" t="str">
        <f>IF(Analysis!$I696="","",IF(Analysis!$I696="Loyal but shallow",Analysis!$H696,""))</f>
        <v/>
      </c>
      <c r="O696" s="29" t="str">
        <f>IF(Analysis!$I696="","",IF(Analysis!$I696="Project-driven",Analysis!$H696,""))</f>
        <v/>
      </c>
      <c r="P696" s="29" t="str">
        <f>IF(Analysis!$I696="","",IF(Analysis!$I696="Drifting",Analysis!$H696,""))</f>
        <v/>
      </c>
    </row>
    <row r="697" spans="1:16" x14ac:dyDescent="0.25">
      <c r="A697" s="29" t="str">
        <f>IF(Analysis!$I697="","",IF(Analysis!$I697="Embedded",Analysis!$D697,""))</f>
        <v/>
      </c>
      <c r="B697" s="29" t="str">
        <f>IF(Analysis!$I697="","",IF(Analysis!$I697="Loyal but shallow",Analysis!$D697,""))</f>
        <v/>
      </c>
      <c r="C697" s="29" t="str">
        <f>IF(Analysis!$I697="","",IF(Analysis!$I697="Project-driven",Analysis!$D697,""))</f>
        <v/>
      </c>
      <c r="D697" s="29" t="str">
        <f>IF(Analysis!$I697="","",IF(Analysis!$I697="Drifting",Analysis!$D697,""))</f>
        <v/>
      </c>
      <c r="E697" s="29" t="str">
        <f>IF(Analysis!$I697="","",IF(Analysis!$I697="Embedded",Analysis!$C697,""))</f>
        <v/>
      </c>
      <c r="F697" s="29" t="str">
        <f>IF(Analysis!$I697="","",IF(Analysis!$I697="Loyal but shallow",Analysis!$C697,""))</f>
        <v/>
      </c>
      <c r="G697" s="29" t="str">
        <f>IF(Analysis!$I697="","",IF(Analysis!$I697="Project-driven",Analysis!$C697,""))</f>
        <v/>
      </c>
      <c r="H697" s="29" t="str">
        <f>IF(Analysis!$I697="","",IF(Analysis!$I697="Drifting",Analysis!$C697,""))</f>
        <v/>
      </c>
      <c r="I697" s="29" t="str">
        <f>IF(Analysis!$I697="","",IF(Analysis!$I697="Embedded",Analysis!$F697,""))</f>
        <v/>
      </c>
      <c r="J697" s="29" t="str">
        <f>IF(Analysis!$I697="","",IF(Analysis!$I697="Loyal but shallow",Analysis!$F697,""))</f>
        <v/>
      </c>
      <c r="K697" s="29" t="str">
        <f>IF(Analysis!$I697="","",IF(Analysis!$I697="Project-driven",Analysis!$F697,""))</f>
        <v/>
      </c>
      <c r="L697" s="29" t="str">
        <f>IF(Analysis!$I697="","",IF(Analysis!$I697="Drifting",Analysis!$F697,""))</f>
        <v/>
      </c>
      <c r="M697" s="29" t="str">
        <f>IF(Analysis!$I697="","",IF(Analysis!$I697="Embedded",Analysis!$H697,""))</f>
        <v/>
      </c>
      <c r="N697" s="29" t="str">
        <f>IF(Analysis!$I697="","",IF(Analysis!$I697="Loyal but shallow",Analysis!$H697,""))</f>
        <v/>
      </c>
      <c r="O697" s="29" t="str">
        <f>IF(Analysis!$I697="","",IF(Analysis!$I697="Project-driven",Analysis!$H697,""))</f>
        <v/>
      </c>
      <c r="P697" s="29" t="str">
        <f>IF(Analysis!$I697="","",IF(Analysis!$I697="Drifting",Analysis!$H697,""))</f>
        <v/>
      </c>
    </row>
    <row r="698" spans="1:16" x14ac:dyDescent="0.25">
      <c r="A698" s="29" t="str">
        <f>IF(Analysis!$I698="","",IF(Analysis!$I698="Embedded",Analysis!$D698,""))</f>
        <v/>
      </c>
      <c r="B698" s="29" t="str">
        <f>IF(Analysis!$I698="","",IF(Analysis!$I698="Loyal but shallow",Analysis!$D698,""))</f>
        <v/>
      </c>
      <c r="C698" s="29" t="str">
        <f>IF(Analysis!$I698="","",IF(Analysis!$I698="Project-driven",Analysis!$D698,""))</f>
        <v/>
      </c>
      <c r="D698" s="29" t="str">
        <f>IF(Analysis!$I698="","",IF(Analysis!$I698="Drifting",Analysis!$D698,""))</f>
        <v/>
      </c>
      <c r="E698" s="29" t="str">
        <f>IF(Analysis!$I698="","",IF(Analysis!$I698="Embedded",Analysis!$C698,""))</f>
        <v/>
      </c>
      <c r="F698" s="29" t="str">
        <f>IF(Analysis!$I698="","",IF(Analysis!$I698="Loyal but shallow",Analysis!$C698,""))</f>
        <v/>
      </c>
      <c r="G698" s="29" t="str">
        <f>IF(Analysis!$I698="","",IF(Analysis!$I698="Project-driven",Analysis!$C698,""))</f>
        <v/>
      </c>
      <c r="H698" s="29" t="str">
        <f>IF(Analysis!$I698="","",IF(Analysis!$I698="Drifting",Analysis!$C698,""))</f>
        <v/>
      </c>
      <c r="I698" s="29" t="str">
        <f>IF(Analysis!$I698="","",IF(Analysis!$I698="Embedded",Analysis!$F698,""))</f>
        <v/>
      </c>
      <c r="J698" s="29" t="str">
        <f>IF(Analysis!$I698="","",IF(Analysis!$I698="Loyal but shallow",Analysis!$F698,""))</f>
        <v/>
      </c>
      <c r="K698" s="29" t="str">
        <f>IF(Analysis!$I698="","",IF(Analysis!$I698="Project-driven",Analysis!$F698,""))</f>
        <v/>
      </c>
      <c r="L698" s="29" t="str">
        <f>IF(Analysis!$I698="","",IF(Analysis!$I698="Drifting",Analysis!$F698,""))</f>
        <v/>
      </c>
      <c r="M698" s="29" t="str">
        <f>IF(Analysis!$I698="","",IF(Analysis!$I698="Embedded",Analysis!$H698,""))</f>
        <v/>
      </c>
      <c r="N698" s="29" t="str">
        <f>IF(Analysis!$I698="","",IF(Analysis!$I698="Loyal but shallow",Analysis!$H698,""))</f>
        <v/>
      </c>
      <c r="O698" s="29" t="str">
        <f>IF(Analysis!$I698="","",IF(Analysis!$I698="Project-driven",Analysis!$H698,""))</f>
        <v/>
      </c>
      <c r="P698" s="29" t="str">
        <f>IF(Analysis!$I698="","",IF(Analysis!$I698="Drifting",Analysis!$H698,""))</f>
        <v/>
      </c>
    </row>
    <row r="699" spans="1:16" x14ac:dyDescent="0.25">
      <c r="A699" s="29" t="str">
        <f>IF(Analysis!$I699="","",IF(Analysis!$I699="Embedded",Analysis!$D699,""))</f>
        <v/>
      </c>
      <c r="B699" s="29" t="str">
        <f>IF(Analysis!$I699="","",IF(Analysis!$I699="Loyal but shallow",Analysis!$D699,""))</f>
        <v/>
      </c>
      <c r="C699" s="29" t="str">
        <f>IF(Analysis!$I699="","",IF(Analysis!$I699="Project-driven",Analysis!$D699,""))</f>
        <v/>
      </c>
      <c r="D699" s="29" t="str">
        <f>IF(Analysis!$I699="","",IF(Analysis!$I699="Drifting",Analysis!$D699,""))</f>
        <v/>
      </c>
      <c r="E699" s="29" t="str">
        <f>IF(Analysis!$I699="","",IF(Analysis!$I699="Embedded",Analysis!$C699,""))</f>
        <v/>
      </c>
      <c r="F699" s="29" t="str">
        <f>IF(Analysis!$I699="","",IF(Analysis!$I699="Loyal but shallow",Analysis!$C699,""))</f>
        <v/>
      </c>
      <c r="G699" s="29" t="str">
        <f>IF(Analysis!$I699="","",IF(Analysis!$I699="Project-driven",Analysis!$C699,""))</f>
        <v/>
      </c>
      <c r="H699" s="29" t="str">
        <f>IF(Analysis!$I699="","",IF(Analysis!$I699="Drifting",Analysis!$C699,""))</f>
        <v/>
      </c>
      <c r="I699" s="29" t="str">
        <f>IF(Analysis!$I699="","",IF(Analysis!$I699="Embedded",Analysis!$F699,""))</f>
        <v/>
      </c>
      <c r="J699" s="29" t="str">
        <f>IF(Analysis!$I699="","",IF(Analysis!$I699="Loyal but shallow",Analysis!$F699,""))</f>
        <v/>
      </c>
      <c r="K699" s="29" t="str">
        <f>IF(Analysis!$I699="","",IF(Analysis!$I699="Project-driven",Analysis!$F699,""))</f>
        <v/>
      </c>
      <c r="L699" s="29" t="str">
        <f>IF(Analysis!$I699="","",IF(Analysis!$I699="Drifting",Analysis!$F699,""))</f>
        <v/>
      </c>
      <c r="M699" s="29" t="str">
        <f>IF(Analysis!$I699="","",IF(Analysis!$I699="Embedded",Analysis!$H699,""))</f>
        <v/>
      </c>
      <c r="N699" s="29" t="str">
        <f>IF(Analysis!$I699="","",IF(Analysis!$I699="Loyal but shallow",Analysis!$H699,""))</f>
        <v/>
      </c>
      <c r="O699" s="29" t="str">
        <f>IF(Analysis!$I699="","",IF(Analysis!$I699="Project-driven",Analysis!$H699,""))</f>
        <v/>
      </c>
      <c r="P699" s="29" t="str">
        <f>IF(Analysis!$I699="","",IF(Analysis!$I699="Drifting",Analysis!$H699,""))</f>
        <v/>
      </c>
    </row>
    <row r="700" spans="1:16" x14ac:dyDescent="0.25">
      <c r="A700" s="29" t="str">
        <f>IF(Analysis!$I700="","",IF(Analysis!$I700="Embedded",Analysis!$D700,""))</f>
        <v/>
      </c>
      <c r="B700" s="29" t="str">
        <f>IF(Analysis!$I700="","",IF(Analysis!$I700="Loyal but shallow",Analysis!$D700,""))</f>
        <v/>
      </c>
      <c r="C700" s="29" t="str">
        <f>IF(Analysis!$I700="","",IF(Analysis!$I700="Project-driven",Analysis!$D700,""))</f>
        <v/>
      </c>
      <c r="D700" s="29" t="str">
        <f>IF(Analysis!$I700="","",IF(Analysis!$I700="Drifting",Analysis!$D700,""))</f>
        <v/>
      </c>
      <c r="E700" s="29" t="str">
        <f>IF(Analysis!$I700="","",IF(Analysis!$I700="Embedded",Analysis!$C700,""))</f>
        <v/>
      </c>
      <c r="F700" s="29" t="str">
        <f>IF(Analysis!$I700="","",IF(Analysis!$I700="Loyal but shallow",Analysis!$C700,""))</f>
        <v/>
      </c>
      <c r="G700" s="29" t="str">
        <f>IF(Analysis!$I700="","",IF(Analysis!$I700="Project-driven",Analysis!$C700,""))</f>
        <v/>
      </c>
      <c r="H700" s="29" t="str">
        <f>IF(Analysis!$I700="","",IF(Analysis!$I700="Drifting",Analysis!$C700,""))</f>
        <v/>
      </c>
      <c r="I700" s="29" t="str">
        <f>IF(Analysis!$I700="","",IF(Analysis!$I700="Embedded",Analysis!$F700,""))</f>
        <v/>
      </c>
      <c r="J700" s="29" t="str">
        <f>IF(Analysis!$I700="","",IF(Analysis!$I700="Loyal but shallow",Analysis!$F700,""))</f>
        <v/>
      </c>
      <c r="K700" s="29" t="str">
        <f>IF(Analysis!$I700="","",IF(Analysis!$I700="Project-driven",Analysis!$F700,""))</f>
        <v/>
      </c>
      <c r="L700" s="29" t="str">
        <f>IF(Analysis!$I700="","",IF(Analysis!$I700="Drifting",Analysis!$F700,""))</f>
        <v/>
      </c>
      <c r="M700" s="29" t="str">
        <f>IF(Analysis!$I700="","",IF(Analysis!$I700="Embedded",Analysis!$H700,""))</f>
        <v/>
      </c>
      <c r="N700" s="29" t="str">
        <f>IF(Analysis!$I700="","",IF(Analysis!$I700="Loyal but shallow",Analysis!$H700,""))</f>
        <v/>
      </c>
      <c r="O700" s="29" t="str">
        <f>IF(Analysis!$I700="","",IF(Analysis!$I700="Project-driven",Analysis!$H700,""))</f>
        <v/>
      </c>
      <c r="P700" s="29" t="str">
        <f>IF(Analysis!$I700="","",IF(Analysis!$I700="Drifting",Analysis!$H700,""))</f>
        <v/>
      </c>
    </row>
    <row r="701" spans="1:16" x14ac:dyDescent="0.25">
      <c r="A701" s="29" t="str">
        <f>IF(Analysis!$I701="","",IF(Analysis!$I701="Embedded",Analysis!$D701,""))</f>
        <v/>
      </c>
      <c r="B701" s="29" t="str">
        <f>IF(Analysis!$I701="","",IF(Analysis!$I701="Loyal but shallow",Analysis!$D701,""))</f>
        <v/>
      </c>
      <c r="C701" s="29" t="str">
        <f>IF(Analysis!$I701="","",IF(Analysis!$I701="Project-driven",Analysis!$D701,""))</f>
        <v/>
      </c>
      <c r="D701" s="29" t="str">
        <f>IF(Analysis!$I701="","",IF(Analysis!$I701="Drifting",Analysis!$D701,""))</f>
        <v/>
      </c>
      <c r="E701" s="29" t="str">
        <f>IF(Analysis!$I701="","",IF(Analysis!$I701="Embedded",Analysis!$C701,""))</f>
        <v/>
      </c>
      <c r="F701" s="29" t="str">
        <f>IF(Analysis!$I701="","",IF(Analysis!$I701="Loyal but shallow",Analysis!$C701,""))</f>
        <v/>
      </c>
      <c r="G701" s="29" t="str">
        <f>IF(Analysis!$I701="","",IF(Analysis!$I701="Project-driven",Analysis!$C701,""))</f>
        <v/>
      </c>
      <c r="H701" s="29" t="str">
        <f>IF(Analysis!$I701="","",IF(Analysis!$I701="Drifting",Analysis!$C701,""))</f>
        <v/>
      </c>
      <c r="I701" s="29" t="str">
        <f>IF(Analysis!$I701="","",IF(Analysis!$I701="Embedded",Analysis!$F701,""))</f>
        <v/>
      </c>
      <c r="J701" s="29" t="str">
        <f>IF(Analysis!$I701="","",IF(Analysis!$I701="Loyal but shallow",Analysis!$F701,""))</f>
        <v/>
      </c>
      <c r="K701" s="29" t="str">
        <f>IF(Analysis!$I701="","",IF(Analysis!$I701="Project-driven",Analysis!$F701,""))</f>
        <v/>
      </c>
      <c r="L701" s="29" t="str">
        <f>IF(Analysis!$I701="","",IF(Analysis!$I701="Drifting",Analysis!$F701,""))</f>
        <v/>
      </c>
      <c r="M701" s="29" t="str">
        <f>IF(Analysis!$I701="","",IF(Analysis!$I701="Embedded",Analysis!$H701,""))</f>
        <v/>
      </c>
      <c r="N701" s="29" t="str">
        <f>IF(Analysis!$I701="","",IF(Analysis!$I701="Loyal but shallow",Analysis!$H701,""))</f>
        <v/>
      </c>
      <c r="O701" s="29" t="str">
        <f>IF(Analysis!$I701="","",IF(Analysis!$I701="Project-driven",Analysis!$H701,""))</f>
        <v/>
      </c>
      <c r="P701" s="29" t="str">
        <f>IF(Analysis!$I701="","",IF(Analysis!$I701="Drifting",Analysis!$H701,""))</f>
        <v/>
      </c>
    </row>
    <row r="702" spans="1:16" x14ac:dyDescent="0.25">
      <c r="A702" s="29" t="str">
        <f>IF(Analysis!$I702="","",IF(Analysis!$I702="Embedded",Analysis!$D702,""))</f>
        <v/>
      </c>
      <c r="B702" s="29" t="str">
        <f>IF(Analysis!$I702="","",IF(Analysis!$I702="Loyal but shallow",Analysis!$D702,""))</f>
        <v/>
      </c>
      <c r="C702" s="29" t="str">
        <f>IF(Analysis!$I702="","",IF(Analysis!$I702="Project-driven",Analysis!$D702,""))</f>
        <v/>
      </c>
      <c r="D702" s="29" t="str">
        <f>IF(Analysis!$I702="","",IF(Analysis!$I702="Drifting",Analysis!$D702,""))</f>
        <v/>
      </c>
      <c r="E702" s="29" t="str">
        <f>IF(Analysis!$I702="","",IF(Analysis!$I702="Embedded",Analysis!$C702,""))</f>
        <v/>
      </c>
      <c r="F702" s="29" t="str">
        <f>IF(Analysis!$I702="","",IF(Analysis!$I702="Loyal but shallow",Analysis!$C702,""))</f>
        <v/>
      </c>
      <c r="G702" s="29" t="str">
        <f>IF(Analysis!$I702="","",IF(Analysis!$I702="Project-driven",Analysis!$C702,""))</f>
        <v/>
      </c>
      <c r="H702" s="29" t="str">
        <f>IF(Analysis!$I702="","",IF(Analysis!$I702="Drifting",Analysis!$C702,""))</f>
        <v/>
      </c>
      <c r="I702" s="29" t="str">
        <f>IF(Analysis!$I702="","",IF(Analysis!$I702="Embedded",Analysis!$F702,""))</f>
        <v/>
      </c>
      <c r="J702" s="29" t="str">
        <f>IF(Analysis!$I702="","",IF(Analysis!$I702="Loyal but shallow",Analysis!$F702,""))</f>
        <v/>
      </c>
      <c r="K702" s="29" t="str">
        <f>IF(Analysis!$I702="","",IF(Analysis!$I702="Project-driven",Analysis!$F702,""))</f>
        <v/>
      </c>
      <c r="L702" s="29" t="str">
        <f>IF(Analysis!$I702="","",IF(Analysis!$I702="Drifting",Analysis!$F702,""))</f>
        <v/>
      </c>
      <c r="M702" s="29" t="str">
        <f>IF(Analysis!$I702="","",IF(Analysis!$I702="Embedded",Analysis!$H702,""))</f>
        <v/>
      </c>
      <c r="N702" s="29" t="str">
        <f>IF(Analysis!$I702="","",IF(Analysis!$I702="Loyal but shallow",Analysis!$H702,""))</f>
        <v/>
      </c>
      <c r="O702" s="29" t="str">
        <f>IF(Analysis!$I702="","",IF(Analysis!$I702="Project-driven",Analysis!$H702,""))</f>
        <v/>
      </c>
      <c r="P702" s="29" t="str">
        <f>IF(Analysis!$I702="","",IF(Analysis!$I702="Drifting",Analysis!$H702,""))</f>
        <v/>
      </c>
    </row>
    <row r="703" spans="1:16" x14ac:dyDescent="0.25">
      <c r="A703" s="29" t="str">
        <f>IF(Analysis!$I703="","",IF(Analysis!$I703="Embedded",Analysis!$D703,""))</f>
        <v/>
      </c>
      <c r="B703" s="29" t="str">
        <f>IF(Analysis!$I703="","",IF(Analysis!$I703="Loyal but shallow",Analysis!$D703,""))</f>
        <v/>
      </c>
      <c r="C703" s="29" t="str">
        <f>IF(Analysis!$I703="","",IF(Analysis!$I703="Project-driven",Analysis!$D703,""))</f>
        <v/>
      </c>
      <c r="D703" s="29" t="str">
        <f>IF(Analysis!$I703="","",IF(Analysis!$I703="Drifting",Analysis!$D703,""))</f>
        <v/>
      </c>
      <c r="E703" s="29" t="str">
        <f>IF(Analysis!$I703="","",IF(Analysis!$I703="Embedded",Analysis!$C703,""))</f>
        <v/>
      </c>
      <c r="F703" s="29" t="str">
        <f>IF(Analysis!$I703="","",IF(Analysis!$I703="Loyal but shallow",Analysis!$C703,""))</f>
        <v/>
      </c>
      <c r="G703" s="29" t="str">
        <f>IF(Analysis!$I703="","",IF(Analysis!$I703="Project-driven",Analysis!$C703,""))</f>
        <v/>
      </c>
      <c r="H703" s="29" t="str">
        <f>IF(Analysis!$I703="","",IF(Analysis!$I703="Drifting",Analysis!$C703,""))</f>
        <v/>
      </c>
      <c r="I703" s="29" t="str">
        <f>IF(Analysis!$I703="","",IF(Analysis!$I703="Embedded",Analysis!$F703,""))</f>
        <v/>
      </c>
      <c r="J703" s="29" t="str">
        <f>IF(Analysis!$I703="","",IF(Analysis!$I703="Loyal but shallow",Analysis!$F703,""))</f>
        <v/>
      </c>
      <c r="K703" s="29" t="str">
        <f>IF(Analysis!$I703="","",IF(Analysis!$I703="Project-driven",Analysis!$F703,""))</f>
        <v/>
      </c>
      <c r="L703" s="29" t="str">
        <f>IF(Analysis!$I703="","",IF(Analysis!$I703="Drifting",Analysis!$F703,""))</f>
        <v/>
      </c>
      <c r="M703" s="29" t="str">
        <f>IF(Analysis!$I703="","",IF(Analysis!$I703="Embedded",Analysis!$H703,""))</f>
        <v/>
      </c>
      <c r="N703" s="29" t="str">
        <f>IF(Analysis!$I703="","",IF(Analysis!$I703="Loyal but shallow",Analysis!$H703,""))</f>
        <v/>
      </c>
      <c r="O703" s="29" t="str">
        <f>IF(Analysis!$I703="","",IF(Analysis!$I703="Project-driven",Analysis!$H703,""))</f>
        <v/>
      </c>
      <c r="P703" s="29" t="str">
        <f>IF(Analysis!$I703="","",IF(Analysis!$I703="Drifting",Analysis!$H703,""))</f>
        <v/>
      </c>
    </row>
    <row r="704" spans="1:16" x14ac:dyDescent="0.25">
      <c r="A704" s="29" t="str">
        <f>IF(Analysis!$I704="","",IF(Analysis!$I704="Embedded",Analysis!$D704,""))</f>
        <v/>
      </c>
      <c r="B704" s="29" t="str">
        <f>IF(Analysis!$I704="","",IF(Analysis!$I704="Loyal but shallow",Analysis!$D704,""))</f>
        <v/>
      </c>
      <c r="C704" s="29" t="str">
        <f>IF(Analysis!$I704="","",IF(Analysis!$I704="Project-driven",Analysis!$D704,""))</f>
        <v/>
      </c>
      <c r="D704" s="29" t="str">
        <f>IF(Analysis!$I704="","",IF(Analysis!$I704="Drifting",Analysis!$D704,""))</f>
        <v/>
      </c>
      <c r="E704" s="29" t="str">
        <f>IF(Analysis!$I704="","",IF(Analysis!$I704="Embedded",Analysis!$C704,""))</f>
        <v/>
      </c>
      <c r="F704" s="29" t="str">
        <f>IF(Analysis!$I704="","",IF(Analysis!$I704="Loyal but shallow",Analysis!$C704,""))</f>
        <v/>
      </c>
      <c r="G704" s="29" t="str">
        <f>IF(Analysis!$I704="","",IF(Analysis!$I704="Project-driven",Analysis!$C704,""))</f>
        <v/>
      </c>
      <c r="H704" s="29" t="str">
        <f>IF(Analysis!$I704="","",IF(Analysis!$I704="Drifting",Analysis!$C704,""))</f>
        <v/>
      </c>
      <c r="I704" s="29" t="str">
        <f>IF(Analysis!$I704="","",IF(Analysis!$I704="Embedded",Analysis!$F704,""))</f>
        <v/>
      </c>
      <c r="J704" s="29" t="str">
        <f>IF(Analysis!$I704="","",IF(Analysis!$I704="Loyal but shallow",Analysis!$F704,""))</f>
        <v/>
      </c>
      <c r="K704" s="29" t="str">
        <f>IF(Analysis!$I704="","",IF(Analysis!$I704="Project-driven",Analysis!$F704,""))</f>
        <v/>
      </c>
      <c r="L704" s="29" t="str">
        <f>IF(Analysis!$I704="","",IF(Analysis!$I704="Drifting",Analysis!$F704,""))</f>
        <v/>
      </c>
      <c r="M704" s="29" t="str">
        <f>IF(Analysis!$I704="","",IF(Analysis!$I704="Embedded",Analysis!$H704,""))</f>
        <v/>
      </c>
      <c r="N704" s="29" t="str">
        <f>IF(Analysis!$I704="","",IF(Analysis!$I704="Loyal but shallow",Analysis!$H704,""))</f>
        <v/>
      </c>
      <c r="O704" s="29" t="str">
        <f>IF(Analysis!$I704="","",IF(Analysis!$I704="Project-driven",Analysis!$H704,""))</f>
        <v/>
      </c>
      <c r="P704" s="29" t="str">
        <f>IF(Analysis!$I704="","",IF(Analysis!$I704="Drifting",Analysis!$H704,""))</f>
        <v/>
      </c>
    </row>
    <row r="705" spans="1:16" x14ac:dyDescent="0.25">
      <c r="A705" s="29" t="str">
        <f>IF(Analysis!$I705="","",IF(Analysis!$I705="Embedded",Analysis!$D705,""))</f>
        <v/>
      </c>
      <c r="B705" s="29" t="str">
        <f>IF(Analysis!$I705="","",IF(Analysis!$I705="Loyal but shallow",Analysis!$D705,""))</f>
        <v/>
      </c>
      <c r="C705" s="29" t="str">
        <f>IF(Analysis!$I705="","",IF(Analysis!$I705="Project-driven",Analysis!$D705,""))</f>
        <v/>
      </c>
      <c r="D705" s="29" t="str">
        <f>IF(Analysis!$I705="","",IF(Analysis!$I705="Drifting",Analysis!$D705,""))</f>
        <v/>
      </c>
      <c r="E705" s="29" t="str">
        <f>IF(Analysis!$I705="","",IF(Analysis!$I705="Embedded",Analysis!$C705,""))</f>
        <v/>
      </c>
      <c r="F705" s="29" t="str">
        <f>IF(Analysis!$I705="","",IF(Analysis!$I705="Loyal but shallow",Analysis!$C705,""))</f>
        <v/>
      </c>
      <c r="G705" s="29" t="str">
        <f>IF(Analysis!$I705="","",IF(Analysis!$I705="Project-driven",Analysis!$C705,""))</f>
        <v/>
      </c>
      <c r="H705" s="29" t="str">
        <f>IF(Analysis!$I705="","",IF(Analysis!$I705="Drifting",Analysis!$C705,""))</f>
        <v/>
      </c>
      <c r="I705" s="29" t="str">
        <f>IF(Analysis!$I705="","",IF(Analysis!$I705="Embedded",Analysis!$F705,""))</f>
        <v/>
      </c>
      <c r="J705" s="29" t="str">
        <f>IF(Analysis!$I705="","",IF(Analysis!$I705="Loyal but shallow",Analysis!$F705,""))</f>
        <v/>
      </c>
      <c r="K705" s="29" t="str">
        <f>IF(Analysis!$I705="","",IF(Analysis!$I705="Project-driven",Analysis!$F705,""))</f>
        <v/>
      </c>
      <c r="L705" s="29" t="str">
        <f>IF(Analysis!$I705="","",IF(Analysis!$I705="Drifting",Analysis!$F705,""))</f>
        <v/>
      </c>
      <c r="M705" s="29" t="str">
        <f>IF(Analysis!$I705="","",IF(Analysis!$I705="Embedded",Analysis!$H705,""))</f>
        <v/>
      </c>
      <c r="N705" s="29" t="str">
        <f>IF(Analysis!$I705="","",IF(Analysis!$I705="Loyal but shallow",Analysis!$H705,""))</f>
        <v/>
      </c>
      <c r="O705" s="29" t="str">
        <f>IF(Analysis!$I705="","",IF(Analysis!$I705="Project-driven",Analysis!$H705,""))</f>
        <v/>
      </c>
      <c r="P705" s="29" t="str">
        <f>IF(Analysis!$I705="","",IF(Analysis!$I705="Drifting",Analysis!$H705,""))</f>
        <v/>
      </c>
    </row>
    <row r="706" spans="1:16" x14ac:dyDescent="0.25">
      <c r="A706" s="29" t="str">
        <f>IF(Analysis!$I706="","",IF(Analysis!$I706="Embedded",Analysis!$D706,""))</f>
        <v/>
      </c>
      <c r="B706" s="29" t="str">
        <f>IF(Analysis!$I706="","",IF(Analysis!$I706="Loyal but shallow",Analysis!$D706,""))</f>
        <v/>
      </c>
      <c r="C706" s="29" t="str">
        <f>IF(Analysis!$I706="","",IF(Analysis!$I706="Project-driven",Analysis!$D706,""))</f>
        <v/>
      </c>
      <c r="D706" s="29" t="str">
        <f>IF(Analysis!$I706="","",IF(Analysis!$I706="Drifting",Analysis!$D706,""))</f>
        <v/>
      </c>
      <c r="E706" s="29" t="str">
        <f>IF(Analysis!$I706="","",IF(Analysis!$I706="Embedded",Analysis!$C706,""))</f>
        <v/>
      </c>
      <c r="F706" s="29" t="str">
        <f>IF(Analysis!$I706="","",IF(Analysis!$I706="Loyal but shallow",Analysis!$C706,""))</f>
        <v/>
      </c>
      <c r="G706" s="29" t="str">
        <f>IF(Analysis!$I706="","",IF(Analysis!$I706="Project-driven",Analysis!$C706,""))</f>
        <v/>
      </c>
      <c r="H706" s="29" t="str">
        <f>IF(Analysis!$I706="","",IF(Analysis!$I706="Drifting",Analysis!$C706,""))</f>
        <v/>
      </c>
      <c r="I706" s="29" t="str">
        <f>IF(Analysis!$I706="","",IF(Analysis!$I706="Embedded",Analysis!$F706,""))</f>
        <v/>
      </c>
      <c r="J706" s="29" t="str">
        <f>IF(Analysis!$I706="","",IF(Analysis!$I706="Loyal but shallow",Analysis!$F706,""))</f>
        <v/>
      </c>
      <c r="K706" s="29" t="str">
        <f>IF(Analysis!$I706="","",IF(Analysis!$I706="Project-driven",Analysis!$F706,""))</f>
        <v/>
      </c>
      <c r="L706" s="29" t="str">
        <f>IF(Analysis!$I706="","",IF(Analysis!$I706="Drifting",Analysis!$F706,""))</f>
        <v/>
      </c>
      <c r="M706" s="29" t="str">
        <f>IF(Analysis!$I706="","",IF(Analysis!$I706="Embedded",Analysis!$H706,""))</f>
        <v/>
      </c>
      <c r="N706" s="29" t="str">
        <f>IF(Analysis!$I706="","",IF(Analysis!$I706="Loyal but shallow",Analysis!$H706,""))</f>
        <v/>
      </c>
      <c r="O706" s="29" t="str">
        <f>IF(Analysis!$I706="","",IF(Analysis!$I706="Project-driven",Analysis!$H706,""))</f>
        <v/>
      </c>
      <c r="P706" s="29" t="str">
        <f>IF(Analysis!$I706="","",IF(Analysis!$I706="Drifting",Analysis!$H706,""))</f>
        <v/>
      </c>
    </row>
    <row r="707" spans="1:16" x14ac:dyDescent="0.25">
      <c r="A707" s="29" t="str">
        <f>IF(Analysis!$I707="","",IF(Analysis!$I707="Embedded",Analysis!$D707,""))</f>
        <v/>
      </c>
      <c r="B707" s="29" t="str">
        <f>IF(Analysis!$I707="","",IF(Analysis!$I707="Loyal but shallow",Analysis!$D707,""))</f>
        <v/>
      </c>
      <c r="C707" s="29" t="str">
        <f>IF(Analysis!$I707="","",IF(Analysis!$I707="Project-driven",Analysis!$D707,""))</f>
        <v/>
      </c>
      <c r="D707" s="29" t="str">
        <f>IF(Analysis!$I707="","",IF(Analysis!$I707="Drifting",Analysis!$D707,""))</f>
        <v/>
      </c>
      <c r="E707" s="29" t="str">
        <f>IF(Analysis!$I707="","",IF(Analysis!$I707="Embedded",Analysis!$C707,""))</f>
        <v/>
      </c>
      <c r="F707" s="29" t="str">
        <f>IF(Analysis!$I707="","",IF(Analysis!$I707="Loyal but shallow",Analysis!$C707,""))</f>
        <v/>
      </c>
      <c r="G707" s="29" t="str">
        <f>IF(Analysis!$I707="","",IF(Analysis!$I707="Project-driven",Analysis!$C707,""))</f>
        <v/>
      </c>
      <c r="H707" s="29" t="str">
        <f>IF(Analysis!$I707="","",IF(Analysis!$I707="Drifting",Analysis!$C707,""))</f>
        <v/>
      </c>
      <c r="I707" s="29" t="str">
        <f>IF(Analysis!$I707="","",IF(Analysis!$I707="Embedded",Analysis!$F707,""))</f>
        <v/>
      </c>
      <c r="J707" s="29" t="str">
        <f>IF(Analysis!$I707="","",IF(Analysis!$I707="Loyal but shallow",Analysis!$F707,""))</f>
        <v/>
      </c>
      <c r="K707" s="29" t="str">
        <f>IF(Analysis!$I707="","",IF(Analysis!$I707="Project-driven",Analysis!$F707,""))</f>
        <v/>
      </c>
      <c r="L707" s="29" t="str">
        <f>IF(Analysis!$I707="","",IF(Analysis!$I707="Drifting",Analysis!$F707,""))</f>
        <v/>
      </c>
      <c r="M707" s="29" t="str">
        <f>IF(Analysis!$I707="","",IF(Analysis!$I707="Embedded",Analysis!$H707,""))</f>
        <v/>
      </c>
      <c r="N707" s="29" t="str">
        <f>IF(Analysis!$I707="","",IF(Analysis!$I707="Loyal but shallow",Analysis!$H707,""))</f>
        <v/>
      </c>
      <c r="O707" s="29" t="str">
        <f>IF(Analysis!$I707="","",IF(Analysis!$I707="Project-driven",Analysis!$H707,""))</f>
        <v/>
      </c>
      <c r="P707" s="29" t="str">
        <f>IF(Analysis!$I707="","",IF(Analysis!$I707="Drifting",Analysis!$H707,""))</f>
        <v/>
      </c>
    </row>
    <row r="708" spans="1:16" x14ac:dyDescent="0.25">
      <c r="A708" s="29" t="str">
        <f>IF(Analysis!$I708="","",IF(Analysis!$I708="Embedded",Analysis!$D708,""))</f>
        <v/>
      </c>
      <c r="B708" s="29" t="str">
        <f>IF(Analysis!$I708="","",IF(Analysis!$I708="Loyal but shallow",Analysis!$D708,""))</f>
        <v/>
      </c>
      <c r="C708" s="29" t="str">
        <f>IF(Analysis!$I708="","",IF(Analysis!$I708="Project-driven",Analysis!$D708,""))</f>
        <v/>
      </c>
      <c r="D708" s="29" t="str">
        <f>IF(Analysis!$I708="","",IF(Analysis!$I708="Drifting",Analysis!$D708,""))</f>
        <v/>
      </c>
      <c r="E708" s="29" t="str">
        <f>IF(Analysis!$I708="","",IF(Analysis!$I708="Embedded",Analysis!$C708,""))</f>
        <v/>
      </c>
      <c r="F708" s="29" t="str">
        <f>IF(Analysis!$I708="","",IF(Analysis!$I708="Loyal but shallow",Analysis!$C708,""))</f>
        <v/>
      </c>
      <c r="G708" s="29" t="str">
        <f>IF(Analysis!$I708="","",IF(Analysis!$I708="Project-driven",Analysis!$C708,""))</f>
        <v/>
      </c>
      <c r="H708" s="29" t="str">
        <f>IF(Analysis!$I708="","",IF(Analysis!$I708="Drifting",Analysis!$C708,""))</f>
        <v/>
      </c>
      <c r="I708" s="29" t="str">
        <f>IF(Analysis!$I708="","",IF(Analysis!$I708="Embedded",Analysis!$F708,""))</f>
        <v/>
      </c>
      <c r="J708" s="29" t="str">
        <f>IF(Analysis!$I708="","",IF(Analysis!$I708="Loyal but shallow",Analysis!$F708,""))</f>
        <v/>
      </c>
      <c r="K708" s="29" t="str">
        <f>IF(Analysis!$I708="","",IF(Analysis!$I708="Project-driven",Analysis!$F708,""))</f>
        <v/>
      </c>
      <c r="L708" s="29" t="str">
        <f>IF(Analysis!$I708="","",IF(Analysis!$I708="Drifting",Analysis!$F708,""))</f>
        <v/>
      </c>
      <c r="M708" s="29" t="str">
        <f>IF(Analysis!$I708="","",IF(Analysis!$I708="Embedded",Analysis!$H708,""))</f>
        <v/>
      </c>
      <c r="N708" s="29" t="str">
        <f>IF(Analysis!$I708="","",IF(Analysis!$I708="Loyal but shallow",Analysis!$H708,""))</f>
        <v/>
      </c>
      <c r="O708" s="29" t="str">
        <f>IF(Analysis!$I708="","",IF(Analysis!$I708="Project-driven",Analysis!$H708,""))</f>
        <v/>
      </c>
      <c r="P708" s="29" t="str">
        <f>IF(Analysis!$I708="","",IF(Analysis!$I708="Drifting",Analysis!$H708,""))</f>
        <v/>
      </c>
    </row>
    <row r="709" spans="1:16" x14ac:dyDescent="0.25">
      <c r="A709" s="29" t="str">
        <f>IF(Analysis!$I709="","",IF(Analysis!$I709="Embedded",Analysis!$D709,""))</f>
        <v/>
      </c>
      <c r="B709" s="29" t="str">
        <f>IF(Analysis!$I709="","",IF(Analysis!$I709="Loyal but shallow",Analysis!$D709,""))</f>
        <v/>
      </c>
      <c r="C709" s="29" t="str">
        <f>IF(Analysis!$I709="","",IF(Analysis!$I709="Project-driven",Analysis!$D709,""))</f>
        <v/>
      </c>
      <c r="D709" s="29" t="str">
        <f>IF(Analysis!$I709="","",IF(Analysis!$I709="Drifting",Analysis!$D709,""))</f>
        <v/>
      </c>
      <c r="E709" s="29" t="str">
        <f>IF(Analysis!$I709="","",IF(Analysis!$I709="Embedded",Analysis!$C709,""))</f>
        <v/>
      </c>
      <c r="F709" s="29" t="str">
        <f>IF(Analysis!$I709="","",IF(Analysis!$I709="Loyal but shallow",Analysis!$C709,""))</f>
        <v/>
      </c>
      <c r="G709" s="29" t="str">
        <f>IF(Analysis!$I709="","",IF(Analysis!$I709="Project-driven",Analysis!$C709,""))</f>
        <v/>
      </c>
      <c r="H709" s="29" t="str">
        <f>IF(Analysis!$I709="","",IF(Analysis!$I709="Drifting",Analysis!$C709,""))</f>
        <v/>
      </c>
      <c r="I709" s="29" t="str">
        <f>IF(Analysis!$I709="","",IF(Analysis!$I709="Embedded",Analysis!$F709,""))</f>
        <v/>
      </c>
      <c r="J709" s="29" t="str">
        <f>IF(Analysis!$I709="","",IF(Analysis!$I709="Loyal but shallow",Analysis!$F709,""))</f>
        <v/>
      </c>
      <c r="K709" s="29" t="str">
        <f>IF(Analysis!$I709="","",IF(Analysis!$I709="Project-driven",Analysis!$F709,""))</f>
        <v/>
      </c>
      <c r="L709" s="29" t="str">
        <f>IF(Analysis!$I709="","",IF(Analysis!$I709="Drifting",Analysis!$F709,""))</f>
        <v/>
      </c>
      <c r="M709" s="29" t="str">
        <f>IF(Analysis!$I709="","",IF(Analysis!$I709="Embedded",Analysis!$H709,""))</f>
        <v/>
      </c>
      <c r="N709" s="29" t="str">
        <f>IF(Analysis!$I709="","",IF(Analysis!$I709="Loyal but shallow",Analysis!$H709,""))</f>
        <v/>
      </c>
      <c r="O709" s="29" t="str">
        <f>IF(Analysis!$I709="","",IF(Analysis!$I709="Project-driven",Analysis!$H709,""))</f>
        <v/>
      </c>
      <c r="P709" s="29" t="str">
        <f>IF(Analysis!$I709="","",IF(Analysis!$I709="Drifting",Analysis!$H709,""))</f>
        <v/>
      </c>
    </row>
    <row r="710" spans="1:16" x14ac:dyDescent="0.25">
      <c r="A710" s="29" t="str">
        <f>IF(Analysis!$I710="","",IF(Analysis!$I710="Embedded",Analysis!$D710,""))</f>
        <v/>
      </c>
      <c r="B710" s="29" t="str">
        <f>IF(Analysis!$I710="","",IF(Analysis!$I710="Loyal but shallow",Analysis!$D710,""))</f>
        <v/>
      </c>
      <c r="C710" s="29" t="str">
        <f>IF(Analysis!$I710="","",IF(Analysis!$I710="Project-driven",Analysis!$D710,""))</f>
        <v/>
      </c>
      <c r="D710" s="29" t="str">
        <f>IF(Analysis!$I710="","",IF(Analysis!$I710="Drifting",Analysis!$D710,""))</f>
        <v/>
      </c>
      <c r="E710" s="29" t="str">
        <f>IF(Analysis!$I710="","",IF(Analysis!$I710="Embedded",Analysis!$C710,""))</f>
        <v/>
      </c>
      <c r="F710" s="29" t="str">
        <f>IF(Analysis!$I710="","",IF(Analysis!$I710="Loyal but shallow",Analysis!$C710,""))</f>
        <v/>
      </c>
      <c r="G710" s="29" t="str">
        <f>IF(Analysis!$I710="","",IF(Analysis!$I710="Project-driven",Analysis!$C710,""))</f>
        <v/>
      </c>
      <c r="H710" s="29" t="str">
        <f>IF(Analysis!$I710="","",IF(Analysis!$I710="Drifting",Analysis!$C710,""))</f>
        <v/>
      </c>
      <c r="I710" s="29" t="str">
        <f>IF(Analysis!$I710="","",IF(Analysis!$I710="Embedded",Analysis!$F710,""))</f>
        <v/>
      </c>
      <c r="J710" s="29" t="str">
        <f>IF(Analysis!$I710="","",IF(Analysis!$I710="Loyal but shallow",Analysis!$F710,""))</f>
        <v/>
      </c>
      <c r="K710" s="29" t="str">
        <f>IF(Analysis!$I710="","",IF(Analysis!$I710="Project-driven",Analysis!$F710,""))</f>
        <v/>
      </c>
      <c r="L710" s="29" t="str">
        <f>IF(Analysis!$I710="","",IF(Analysis!$I710="Drifting",Analysis!$F710,""))</f>
        <v/>
      </c>
      <c r="M710" s="29" t="str">
        <f>IF(Analysis!$I710="","",IF(Analysis!$I710="Embedded",Analysis!$H710,""))</f>
        <v/>
      </c>
      <c r="N710" s="29" t="str">
        <f>IF(Analysis!$I710="","",IF(Analysis!$I710="Loyal but shallow",Analysis!$H710,""))</f>
        <v/>
      </c>
      <c r="O710" s="29" t="str">
        <f>IF(Analysis!$I710="","",IF(Analysis!$I710="Project-driven",Analysis!$H710,""))</f>
        <v/>
      </c>
      <c r="P710" s="29" t="str">
        <f>IF(Analysis!$I710="","",IF(Analysis!$I710="Drifting",Analysis!$H710,""))</f>
        <v/>
      </c>
    </row>
    <row r="711" spans="1:16" x14ac:dyDescent="0.25">
      <c r="A711" s="29" t="str">
        <f>IF(Analysis!$I711="","",IF(Analysis!$I711="Embedded",Analysis!$D711,""))</f>
        <v/>
      </c>
      <c r="B711" s="29" t="str">
        <f>IF(Analysis!$I711="","",IF(Analysis!$I711="Loyal but shallow",Analysis!$D711,""))</f>
        <v/>
      </c>
      <c r="C711" s="29" t="str">
        <f>IF(Analysis!$I711="","",IF(Analysis!$I711="Project-driven",Analysis!$D711,""))</f>
        <v/>
      </c>
      <c r="D711" s="29" t="str">
        <f>IF(Analysis!$I711="","",IF(Analysis!$I711="Drifting",Analysis!$D711,""))</f>
        <v/>
      </c>
      <c r="E711" s="29" t="str">
        <f>IF(Analysis!$I711="","",IF(Analysis!$I711="Embedded",Analysis!$C711,""))</f>
        <v/>
      </c>
      <c r="F711" s="29" t="str">
        <f>IF(Analysis!$I711="","",IF(Analysis!$I711="Loyal but shallow",Analysis!$C711,""))</f>
        <v/>
      </c>
      <c r="G711" s="29" t="str">
        <f>IF(Analysis!$I711="","",IF(Analysis!$I711="Project-driven",Analysis!$C711,""))</f>
        <v/>
      </c>
      <c r="H711" s="29" t="str">
        <f>IF(Analysis!$I711="","",IF(Analysis!$I711="Drifting",Analysis!$C711,""))</f>
        <v/>
      </c>
      <c r="I711" s="29" t="str">
        <f>IF(Analysis!$I711="","",IF(Analysis!$I711="Embedded",Analysis!$F711,""))</f>
        <v/>
      </c>
      <c r="J711" s="29" t="str">
        <f>IF(Analysis!$I711="","",IF(Analysis!$I711="Loyal but shallow",Analysis!$F711,""))</f>
        <v/>
      </c>
      <c r="K711" s="29" t="str">
        <f>IF(Analysis!$I711="","",IF(Analysis!$I711="Project-driven",Analysis!$F711,""))</f>
        <v/>
      </c>
      <c r="L711" s="29" t="str">
        <f>IF(Analysis!$I711="","",IF(Analysis!$I711="Drifting",Analysis!$F711,""))</f>
        <v/>
      </c>
      <c r="M711" s="29" t="str">
        <f>IF(Analysis!$I711="","",IF(Analysis!$I711="Embedded",Analysis!$H711,""))</f>
        <v/>
      </c>
      <c r="N711" s="29" t="str">
        <f>IF(Analysis!$I711="","",IF(Analysis!$I711="Loyal but shallow",Analysis!$H711,""))</f>
        <v/>
      </c>
      <c r="O711" s="29" t="str">
        <f>IF(Analysis!$I711="","",IF(Analysis!$I711="Project-driven",Analysis!$H711,""))</f>
        <v/>
      </c>
      <c r="P711" s="29" t="str">
        <f>IF(Analysis!$I711="","",IF(Analysis!$I711="Drifting",Analysis!$H711,""))</f>
        <v/>
      </c>
    </row>
    <row r="712" spans="1:16" x14ac:dyDescent="0.25">
      <c r="A712" s="29" t="str">
        <f>IF(Analysis!$I712="","",IF(Analysis!$I712="Embedded",Analysis!$D712,""))</f>
        <v/>
      </c>
      <c r="B712" s="29" t="str">
        <f>IF(Analysis!$I712="","",IF(Analysis!$I712="Loyal but shallow",Analysis!$D712,""))</f>
        <v/>
      </c>
      <c r="C712" s="29" t="str">
        <f>IF(Analysis!$I712="","",IF(Analysis!$I712="Project-driven",Analysis!$D712,""))</f>
        <v/>
      </c>
      <c r="D712" s="29" t="str">
        <f>IF(Analysis!$I712="","",IF(Analysis!$I712="Drifting",Analysis!$D712,""))</f>
        <v/>
      </c>
      <c r="E712" s="29" t="str">
        <f>IF(Analysis!$I712="","",IF(Analysis!$I712="Embedded",Analysis!$C712,""))</f>
        <v/>
      </c>
      <c r="F712" s="29" t="str">
        <f>IF(Analysis!$I712="","",IF(Analysis!$I712="Loyal but shallow",Analysis!$C712,""))</f>
        <v/>
      </c>
      <c r="G712" s="29" t="str">
        <f>IF(Analysis!$I712="","",IF(Analysis!$I712="Project-driven",Analysis!$C712,""))</f>
        <v/>
      </c>
      <c r="H712" s="29" t="str">
        <f>IF(Analysis!$I712="","",IF(Analysis!$I712="Drifting",Analysis!$C712,""))</f>
        <v/>
      </c>
      <c r="I712" s="29" t="str">
        <f>IF(Analysis!$I712="","",IF(Analysis!$I712="Embedded",Analysis!$F712,""))</f>
        <v/>
      </c>
      <c r="J712" s="29" t="str">
        <f>IF(Analysis!$I712="","",IF(Analysis!$I712="Loyal but shallow",Analysis!$F712,""))</f>
        <v/>
      </c>
      <c r="K712" s="29" t="str">
        <f>IF(Analysis!$I712="","",IF(Analysis!$I712="Project-driven",Analysis!$F712,""))</f>
        <v/>
      </c>
      <c r="L712" s="29" t="str">
        <f>IF(Analysis!$I712="","",IF(Analysis!$I712="Drifting",Analysis!$F712,""))</f>
        <v/>
      </c>
      <c r="M712" s="29" t="str">
        <f>IF(Analysis!$I712="","",IF(Analysis!$I712="Embedded",Analysis!$H712,""))</f>
        <v/>
      </c>
      <c r="N712" s="29" t="str">
        <f>IF(Analysis!$I712="","",IF(Analysis!$I712="Loyal but shallow",Analysis!$H712,""))</f>
        <v/>
      </c>
      <c r="O712" s="29" t="str">
        <f>IF(Analysis!$I712="","",IF(Analysis!$I712="Project-driven",Analysis!$H712,""))</f>
        <v/>
      </c>
      <c r="P712" s="29" t="str">
        <f>IF(Analysis!$I712="","",IF(Analysis!$I712="Drifting",Analysis!$H712,""))</f>
        <v/>
      </c>
    </row>
    <row r="713" spans="1:16" x14ac:dyDescent="0.25">
      <c r="A713" s="29" t="str">
        <f>IF(Analysis!$I713="","",IF(Analysis!$I713="Embedded",Analysis!$D713,""))</f>
        <v/>
      </c>
      <c r="B713" s="29" t="str">
        <f>IF(Analysis!$I713="","",IF(Analysis!$I713="Loyal but shallow",Analysis!$D713,""))</f>
        <v/>
      </c>
      <c r="C713" s="29" t="str">
        <f>IF(Analysis!$I713="","",IF(Analysis!$I713="Project-driven",Analysis!$D713,""))</f>
        <v/>
      </c>
      <c r="D713" s="29" t="str">
        <f>IF(Analysis!$I713="","",IF(Analysis!$I713="Drifting",Analysis!$D713,""))</f>
        <v/>
      </c>
      <c r="E713" s="29" t="str">
        <f>IF(Analysis!$I713="","",IF(Analysis!$I713="Embedded",Analysis!$C713,""))</f>
        <v/>
      </c>
      <c r="F713" s="29" t="str">
        <f>IF(Analysis!$I713="","",IF(Analysis!$I713="Loyal but shallow",Analysis!$C713,""))</f>
        <v/>
      </c>
      <c r="G713" s="29" t="str">
        <f>IF(Analysis!$I713="","",IF(Analysis!$I713="Project-driven",Analysis!$C713,""))</f>
        <v/>
      </c>
      <c r="H713" s="29" t="str">
        <f>IF(Analysis!$I713="","",IF(Analysis!$I713="Drifting",Analysis!$C713,""))</f>
        <v/>
      </c>
      <c r="I713" s="29" t="str">
        <f>IF(Analysis!$I713="","",IF(Analysis!$I713="Embedded",Analysis!$F713,""))</f>
        <v/>
      </c>
      <c r="J713" s="29" t="str">
        <f>IF(Analysis!$I713="","",IF(Analysis!$I713="Loyal but shallow",Analysis!$F713,""))</f>
        <v/>
      </c>
      <c r="K713" s="29" t="str">
        <f>IF(Analysis!$I713="","",IF(Analysis!$I713="Project-driven",Analysis!$F713,""))</f>
        <v/>
      </c>
      <c r="L713" s="29" t="str">
        <f>IF(Analysis!$I713="","",IF(Analysis!$I713="Drifting",Analysis!$F713,""))</f>
        <v/>
      </c>
      <c r="M713" s="29" t="str">
        <f>IF(Analysis!$I713="","",IF(Analysis!$I713="Embedded",Analysis!$H713,""))</f>
        <v/>
      </c>
      <c r="N713" s="29" t="str">
        <f>IF(Analysis!$I713="","",IF(Analysis!$I713="Loyal but shallow",Analysis!$H713,""))</f>
        <v/>
      </c>
      <c r="O713" s="29" t="str">
        <f>IF(Analysis!$I713="","",IF(Analysis!$I713="Project-driven",Analysis!$H713,""))</f>
        <v/>
      </c>
      <c r="P713" s="29" t="str">
        <f>IF(Analysis!$I713="","",IF(Analysis!$I713="Drifting",Analysis!$H713,""))</f>
        <v/>
      </c>
    </row>
    <row r="714" spans="1:16" x14ac:dyDescent="0.25">
      <c r="A714" s="29" t="str">
        <f>IF(Analysis!$I714="","",IF(Analysis!$I714="Embedded",Analysis!$D714,""))</f>
        <v/>
      </c>
      <c r="B714" s="29" t="str">
        <f>IF(Analysis!$I714="","",IF(Analysis!$I714="Loyal but shallow",Analysis!$D714,""))</f>
        <v/>
      </c>
      <c r="C714" s="29" t="str">
        <f>IF(Analysis!$I714="","",IF(Analysis!$I714="Project-driven",Analysis!$D714,""))</f>
        <v/>
      </c>
      <c r="D714" s="29" t="str">
        <f>IF(Analysis!$I714="","",IF(Analysis!$I714="Drifting",Analysis!$D714,""))</f>
        <v/>
      </c>
      <c r="E714" s="29" t="str">
        <f>IF(Analysis!$I714="","",IF(Analysis!$I714="Embedded",Analysis!$C714,""))</f>
        <v/>
      </c>
      <c r="F714" s="29" t="str">
        <f>IF(Analysis!$I714="","",IF(Analysis!$I714="Loyal but shallow",Analysis!$C714,""))</f>
        <v/>
      </c>
      <c r="G714" s="29" t="str">
        <f>IF(Analysis!$I714="","",IF(Analysis!$I714="Project-driven",Analysis!$C714,""))</f>
        <v/>
      </c>
      <c r="H714" s="29" t="str">
        <f>IF(Analysis!$I714="","",IF(Analysis!$I714="Drifting",Analysis!$C714,""))</f>
        <v/>
      </c>
      <c r="I714" s="29" t="str">
        <f>IF(Analysis!$I714="","",IF(Analysis!$I714="Embedded",Analysis!$F714,""))</f>
        <v/>
      </c>
      <c r="J714" s="29" t="str">
        <f>IF(Analysis!$I714="","",IF(Analysis!$I714="Loyal but shallow",Analysis!$F714,""))</f>
        <v/>
      </c>
      <c r="K714" s="29" t="str">
        <f>IF(Analysis!$I714="","",IF(Analysis!$I714="Project-driven",Analysis!$F714,""))</f>
        <v/>
      </c>
      <c r="L714" s="29" t="str">
        <f>IF(Analysis!$I714="","",IF(Analysis!$I714="Drifting",Analysis!$F714,""))</f>
        <v/>
      </c>
      <c r="M714" s="29" t="str">
        <f>IF(Analysis!$I714="","",IF(Analysis!$I714="Embedded",Analysis!$H714,""))</f>
        <v/>
      </c>
      <c r="N714" s="29" t="str">
        <f>IF(Analysis!$I714="","",IF(Analysis!$I714="Loyal but shallow",Analysis!$H714,""))</f>
        <v/>
      </c>
      <c r="O714" s="29" t="str">
        <f>IF(Analysis!$I714="","",IF(Analysis!$I714="Project-driven",Analysis!$H714,""))</f>
        <v/>
      </c>
      <c r="P714" s="29" t="str">
        <f>IF(Analysis!$I714="","",IF(Analysis!$I714="Drifting",Analysis!$H714,""))</f>
        <v/>
      </c>
    </row>
    <row r="715" spans="1:16" x14ac:dyDescent="0.25">
      <c r="A715" s="29" t="str">
        <f>IF(Analysis!$I715="","",IF(Analysis!$I715="Embedded",Analysis!$D715,""))</f>
        <v/>
      </c>
      <c r="B715" s="29" t="str">
        <f>IF(Analysis!$I715="","",IF(Analysis!$I715="Loyal but shallow",Analysis!$D715,""))</f>
        <v/>
      </c>
      <c r="C715" s="29" t="str">
        <f>IF(Analysis!$I715="","",IF(Analysis!$I715="Project-driven",Analysis!$D715,""))</f>
        <v/>
      </c>
      <c r="D715" s="29" t="str">
        <f>IF(Analysis!$I715="","",IF(Analysis!$I715="Drifting",Analysis!$D715,""))</f>
        <v/>
      </c>
      <c r="E715" s="29" t="str">
        <f>IF(Analysis!$I715="","",IF(Analysis!$I715="Embedded",Analysis!$C715,""))</f>
        <v/>
      </c>
      <c r="F715" s="29" t="str">
        <f>IF(Analysis!$I715="","",IF(Analysis!$I715="Loyal but shallow",Analysis!$C715,""))</f>
        <v/>
      </c>
      <c r="G715" s="29" t="str">
        <f>IF(Analysis!$I715="","",IF(Analysis!$I715="Project-driven",Analysis!$C715,""))</f>
        <v/>
      </c>
      <c r="H715" s="29" t="str">
        <f>IF(Analysis!$I715="","",IF(Analysis!$I715="Drifting",Analysis!$C715,""))</f>
        <v/>
      </c>
      <c r="I715" s="29" t="str">
        <f>IF(Analysis!$I715="","",IF(Analysis!$I715="Embedded",Analysis!$F715,""))</f>
        <v/>
      </c>
      <c r="J715" s="29" t="str">
        <f>IF(Analysis!$I715="","",IF(Analysis!$I715="Loyal but shallow",Analysis!$F715,""))</f>
        <v/>
      </c>
      <c r="K715" s="29" t="str">
        <f>IF(Analysis!$I715="","",IF(Analysis!$I715="Project-driven",Analysis!$F715,""))</f>
        <v/>
      </c>
      <c r="L715" s="29" t="str">
        <f>IF(Analysis!$I715="","",IF(Analysis!$I715="Drifting",Analysis!$F715,""))</f>
        <v/>
      </c>
      <c r="M715" s="29" t="str">
        <f>IF(Analysis!$I715="","",IF(Analysis!$I715="Embedded",Analysis!$H715,""))</f>
        <v/>
      </c>
      <c r="N715" s="29" t="str">
        <f>IF(Analysis!$I715="","",IF(Analysis!$I715="Loyal but shallow",Analysis!$H715,""))</f>
        <v/>
      </c>
      <c r="O715" s="29" t="str">
        <f>IF(Analysis!$I715="","",IF(Analysis!$I715="Project-driven",Analysis!$H715,""))</f>
        <v/>
      </c>
      <c r="P715" s="29" t="str">
        <f>IF(Analysis!$I715="","",IF(Analysis!$I715="Drifting",Analysis!$H715,""))</f>
        <v/>
      </c>
    </row>
    <row r="716" spans="1:16" x14ac:dyDescent="0.25">
      <c r="A716" s="29" t="str">
        <f>IF(Analysis!$I716="","",IF(Analysis!$I716="Embedded",Analysis!$D716,""))</f>
        <v/>
      </c>
      <c r="B716" s="29" t="str">
        <f>IF(Analysis!$I716="","",IF(Analysis!$I716="Loyal but shallow",Analysis!$D716,""))</f>
        <v/>
      </c>
      <c r="C716" s="29" t="str">
        <f>IF(Analysis!$I716="","",IF(Analysis!$I716="Project-driven",Analysis!$D716,""))</f>
        <v/>
      </c>
      <c r="D716" s="29" t="str">
        <f>IF(Analysis!$I716="","",IF(Analysis!$I716="Drifting",Analysis!$D716,""))</f>
        <v/>
      </c>
      <c r="E716" s="29" t="str">
        <f>IF(Analysis!$I716="","",IF(Analysis!$I716="Embedded",Analysis!$C716,""))</f>
        <v/>
      </c>
      <c r="F716" s="29" t="str">
        <f>IF(Analysis!$I716="","",IF(Analysis!$I716="Loyal but shallow",Analysis!$C716,""))</f>
        <v/>
      </c>
      <c r="G716" s="29" t="str">
        <f>IF(Analysis!$I716="","",IF(Analysis!$I716="Project-driven",Analysis!$C716,""))</f>
        <v/>
      </c>
      <c r="H716" s="29" t="str">
        <f>IF(Analysis!$I716="","",IF(Analysis!$I716="Drifting",Analysis!$C716,""))</f>
        <v/>
      </c>
      <c r="I716" s="29" t="str">
        <f>IF(Analysis!$I716="","",IF(Analysis!$I716="Embedded",Analysis!$F716,""))</f>
        <v/>
      </c>
      <c r="J716" s="29" t="str">
        <f>IF(Analysis!$I716="","",IF(Analysis!$I716="Loyal but shallow",Analysis!$F716,""))</f>
        <v/>
      </c>
      <c r="K716" s="29" t="str">
        <f>IF(Analysis!$I716="","",IF(Analysis!$I716="Project-driven",Analysis!$F716,""))</f>
        <v/>
      </c>
      <c r="L716" s="29" t="str">
        <f>IF(Analysis!$I716="","",IF(Analysis!$I716="Drifting",Analysis!$F716,""))</f>
        <v/>
      </c>
      <c r="M716" s="29" t="str">
        <f>IF(Analysis!$I716="","",IF(Analysis!$I716="Embedded",Analysis!$H716,""))</f>
        <v/>
      </c>
      <c r="N716" s="29" t="str">
        <f>IF(Analysis!$I716="","",IF(Analysis!$I716="Loyal but shallow",Analysis!$H716,""))</f>
        <v/>
      </c>
      <c r="O716" s="29" t="str">
        <f>IF(Analysis!$I716="","",IF(Analysis!$I716="Project-driven",Analysis!$H716,""))</f>
        <v/>
      </c>
      <c r="P716" s="29" t="str">
        <f>IF(Analysis!$I716="","",IF(Analysis!$I716="Drifting",Analysis!$H716,""))</f>
        <v/>
      </c>
    </row>
    <row r="717" spans="1:16" x14ac:dyDescent="0.25">
      <c r="A717" s="29" t="str">
        <f>IF(Analysis!$I717="","",IF(Analysis!$I717="Embedded",Analysis!$D717,""))</f>
        <v/>
      </c>
      <c r="B717" s="29" t="str">
        <f>IF(Analysis!$I717="","",IF(Analysis!$I717="Loyal but shallow",Analysis!$D717,""))</f>
        <v/>
      </c>
      <c r="C717" s="29" t="str">
        <f>IF(Analysis!$I717="","",IF(Analysis!$I717="Project-driven",Analysis!$D717,""))</f>
        <v/>
      </c>
      <c r="D717" s="29" t="str">
        <f>IF(Analysis!$I717="","",IF(Analysis!$I717="Drifting",Analysis!$D717,""))</f>
        <v/>
      </c>
      <c r="E717" s="29" t="str">
        <f>IF(Analysis!$I717="","",IF(Analysis!$I717="Embedded",Analysis!$C717,""))</f>
        <v/>
      </c>
      <c r="F717" s="29" t="str">
        <f>IF(Analysis!$I717="","",IF(Analysis!$I717="Loyal but shallow",Analysis!$C717,""))</f>
        <v/>
      </c>
      <c r="G717" s="29" t="str">
        <f>IF(Analysis!$I717="","",IF(Analysis!$I717="Project-driven",Analysis!$C717,""))</f>
        <v/>
      </c>
      <c r="H717" s="29" t="str">
        <f>IF(Analysis!$I717="","",IF(Analysis!$I717="Drifting",Analysis!$C717,""))</f>
        <v/>
      </c>
      <c r="I717" s="29" t="str">
        <f>IF(Analysis!$I717="","",IF(Analysis!$I717="Embedded",Analysis!$F717,""))</f>
        <v/>
      </c>
      <c r="J717" s="29" t="str">
        <f>IF(Analysis!$I717="","",IF(Analysis!$I717="Loyal but shallow",Analysis!$F717,""))</f>
        <v/>
      </c>
      <c r="K717" s="29" t="str">
        <f>IF(Analysis!$I717="","",IF(Analysis!$I717="Project-driven",Analysis!$F717,""))</f>
        <v/>
      </c>
      <c r="L717" s="29" t="str">
        <f>IF(Analysis!$I717="","",IF(Analysis!$I717="Drifting",Analysis!$F717,""))</f>
        <v/>
      </c>
      <c r="M717" s="29" t="str">
        <f>IF(Analysis!$I717="","",IF(Analysis!$I717="Embedded",Analysis!$H717,""))</f>
        <v/>
      </c>
      <c r="N717" s="29" t="str">
        <f>IF(Analysis!$I717="","",IF(Analysis!$I717="Loyal but shallow",Analysis!$H717,""))</f>
        <v/>
      </c>
      <c r="O717" s="29" t="str">
        <f>IF(Analysis!$I717="","",IF(Analysis!$I717="Project-driven",Analysis!$H717,""))</f>
        <v/>
      </c>
      <c r="P717" s="29" t="str">
        <f>IF(Analysis!$I717="","",IF(Analysis!$I717="Drifting",Analysis!$H717,""))</f>
        <v/>
      </c>
    </row>
    <row r="718" spans="1:16" x14ac:dyDescent="0.25">
      <c r="A718" s="29" t="str">
        <f>IF(Analysis!$I718="","",IF(Analysis!$I718="Embedded",Analysis!$D718,""))</f>
        <v/>
      </c>
      <c r="B718" s="29" t="str">
        <f>IF(Analysis!$I718="","",IF(Analysis!$I718="Loyal but shallow",Analysis!$D718,""))</f>
        <v/>
      </c>
      <c r="C718" s="29" t="str">
        <f>IF(Analysis!$I718="","",IF(Analysis!$I718="Project-driven",Analysis!$D718,""))</f>
        <v/>
      </c>
      <c r="D718" s="29" t="str">
        <f>IF(Analysis!$I718="","",IF(Analysis!$I718="Drifting",Analysis!$D718,""))</f>
        <v/>
      </c>
      <c r="E718" s="29" t="str">
        <f>IF(Analysis!$I718="","",IF(Analysis!$I718="Embedded",Analysis!$C718,""))</f>
        <v/>
      </c>
      <c r="F718" s="29" t="str">
        <f>IF(Analysis!$I718="","",IF(Analysis!$I718="Loyal but shallow",Analysis!$C718,""))</f>
        <v/>
      </c>
      <c r="G718" s="29" t="str">
        <f>IF(Analysis!$I718="","",IF(Analysis!$I718="Project-driven",Analysis!$C718,""))</f>
        <v/>
      </c>
      <c r="H718" s="29" t="str">
        <f>IF(Analysis!$I718="","",IF(Analysis!$I718="Drifting",Analysis!$C718,""))</f>
        <v/>
      </c>
      <c r="I718" s="29" t="str">
        <f>IF(Analysis!$I718="","",IF(Analysis!$I718="Embedded",Analysis!$F718,""))</f>
        <v/>
      </c>
      <c r="J718" s="29" t="str">
        <f>IF(Analysis!$I718="","",IF(Analysis!$I718="Loyal but shallow",Analysis!$F718,""))</f>
        <v/>
      </c>
      <c r="K718" s="29" t="str">
        <f>IF(Analysis!$I718="","",IF(Analysis!$I718="Project-driven",Analysis!$F718,""))</f>
        <v/>
      </c>
      <c r="L718" s="29" t="str">
        <f>IF(Analysis!$I718="","",IF(Analysis!$I718="Drifting",Analysis!$F718,""))</f>
        <v/>
      </c>
      <c r="M718" s="29" t="str">
        <f>IF(Analysis!$I718="","",IF(Analysis!$I718="Embedded",Analysis!$H718,""))</f>
        <v/>
      </c>
      <c r="N718" s="29" t="str">
        <f>IF(Analysis!$I718="","",IF(Analysis!$I718="Loyal but shallow",Analysis!$H718,""))</f>
        <v/>
      </c>
      <c r="O718" s="29" t="str">
        <f>IF(Analysis!$I718="","",IF(Analysis!$I718="Project-driven",Analysis!$H718,""))</f>
        <v/>
      </c>
      <c r="P718" s="29" t="str">
        <f>IF(Analysis!$I718="","",IF(Analysis!$I718="Drifting",Analysis!$H718,""))</f>
        <v/>
      </c>
    </row>
    <row r="719" spans="1:16" x14ac:dyDescent="0.25">
      <c r="A719" s="29" t="str">
        <f>IF(Analysis!$I719="","",IF(Analysis!$I719="Embedded",Analysis!$D719,""))</f>
        <v/>
      </c>
      <c r="B719" s="29" t="str">
        <f>IF(Analysis!$I719="","",IF(Analysis!$I719="Loyal but shallow",Analysis!$D719,""))</f>
        <v/>
      </c>
      <c r="C719" s="29" t="str">
        <f>IF(Analysis!$I719="","",IF(Analysis!$I719="Project-driven",Analysis!$D719,""))</f>
        <v/>
      </c>
      <c r="D719" s="29" t="str">
        <f>IF(Analysis!$I719="","",IF(Analysis!$I719="Drifting",Analysis!$D719,""))</f>
        <v/>
      </c>
      <c r="E719" s="29" t="str">
        <f>IF(Analysis!$I719="","",IF(Analysis!$I719="Embedded",Analysis!$C719,""))</f>
        <v/>
      </c>
      <c r="F719" s="29" t="str">
        <f>IF(Analysis!$I719="","",IF(Analysis!$I719="Loyal but shallow",Analysis!$C719,""))</f>
        <v/>
      </c>
      <c r="G719" s="29" t="str">
        <f>IF(Analysis!$I719="","",IF(Analysis!$I719="Project-driven",Analysis!$C719,""))</f>
        <v/>
      </c>
      <c r="H719" s="29" t="str">
        <f>IF(Analysis!$I719="","",IF(Analysis!$I719="Drifting",Analysis!$C719,""))</f>
        <v/>
      </c>
      <c r="I719" s="29" t="str">
        <f>IF(Analysis!$I719="","",IF(Analysis!$I719="Embedded",Analysis!$F719,""))</f>
        <v/>
      </c>
      <c r="J719" s="29" t="str">
        <f>IF(Analysis!$I719="","",IF(Analysis!$I719="Loyal but shallow",Analysis!$F719,""))</f>
        <v/>
      </c>
      <c r="K719" s="29" t="str">
        <f>IF(Analysis!$I719="","",IF(Analysis!$I719="Project-driven",Analysis!$F719,""))</f>
        <v/>
      </c>
      <c r="L719" s="29" t="str">
        <f>IF(Analysis!$I719="","",IF(Analysis!$I719="Drifting",Analysis!$F719,""))</f>
        <v/>
      </c>
      <c r="M719" s="29" t="str">
        <f>IF(Analysis!$I719="","",IF(Analysis!$I719="Embedded",Analysis!$H719,""))</f>
        <v/>
      </c>
      <c r="N719" s="29" t="str">
        <f>IF(Analysis!$I719="","",IF(Analysis!$I719="Loyal but shallow",Analysis!$H719,""))</f>
        <v/>
      </c>
      <c r="O719" s="29" t="str">
        <f>IF(Analysis!$I719="","",IF(Analysis!$I719="Project-driven",Analysis!$H719,""))</f>
        <v/>
      </c>
      <c r="P719" s="29" t="str">
        <f>IF(Analysis!$I719="","",IF(Analysis!$I719="Drifting",Analysis!$H719,""))</f>
        <v/>
      </c>
    </row>
    <row r="720" spans="1:16" x14ac:dyDescent="0.25">
      <c r="A720" s="29" t="str">
        <f>IF(Analysis!$I720="","",IF(Analysis!$I720="Embedded",Analysis!$D720,""))</f>
        <v/>
      </c>
      <c r="B720" s="29" t="str">
        <f>IF(Analysis!$I720="","",IF(Analysis!$I720="Loyal but shallow",Analysis!$D720,""))</f>
        <v/>
      </c>
      <c r="C720" s="29" t="str">
        <f>IF(Analysis!$I720="","",IF(Analysis!$I720="Project-driven",Analysis!$D720,""))</f>
        <v/>
      </c>
      <c r="D720" s="29" t="str">
        <f>IF(Analysis!$I720="","",IF(Analysis!$I720="Drifting",Analysis!$D720,""))</f>
        <v/>
      </c>
      <c r="E720" s="29" t="str">
        <f>IF(Analysis!$I720="","",IF(Analysis!$I720="Embedded",Analysis!$C720,""))</f>
        <v/>
      </c>
      <c r="F720" s="29" t="str">
        <f>IF(Analysis!$I720="","",IF(Analysis!$I720="Loyal but shallow",Analysis!$C720,""))</f>
        <v/>
      </c>
      <c r="G720" s="29" t="str">
        <f>IF(Analysis!$I720="","",IF(Analysis!$I720="Project-driven",Analysis!$C720,""))</f>
        <v/>
      </c>
      <c r="H720" s="29" t="str">
        <f>IF(Analysis!$I720="","",IF(Analysis!$I720="Drifting",Analysis!$C720,""))</f>
        <v/>
      </c>
      <c r="I720" s="29" t="str">
        <f>IF(Analysis!$I720="","",IF(Analysis!$I720="Embedded",Analysis!$F720,""))</f>
        <v/>
      </c>
      <c r="J720" s="29" t="str">
        <f>IF(Analysis!$I720="","",IF(Analysis!$I720="Loyal but shallow",Analysis!$F720,""))</f>
        <v/>
      </c>
      <c r="K720" s="29" t="str">
        <f>IF(Analysis!$I720="","",IF(Analysis!$I720="Project-driven",Analysis!$F720,""))</f>
        <v/>
      </c>
      <c r="L720" s="29" t="str">
        <f>IF(Analysis!$I720="","",IF(Analysis!$I720="Drifting",Analysis!$F720,""))</f>
        <v/>
      </c>
      <c r="M720" s="29" t="str">
        <f>IF(Analysis!$I720="","",IF(Analysis!$I720="Embedded",Analysis!$H720,""))</f>
        <v/>
      </c>
      <c r="N720" s="29" t="str">
        <f>IF(Analysis!$I720="","",IF(Analysis!$I720="Loyal but shallow",Analysis!$H720,""))</f>
        <v/>
      </c>
      <c r="O720" s="29" t="str">
        <f>IF(Analysis!$I720="","",IF(Analysis!$I720="Project-driven",Analysis!$H720,""))</f>
        <v/>
      </c>
      <c r="P720" s="29" t="str">
        <f>IF(Analysis!$I720="","",IF(Analysis!$I720="Drifting",Analysis!$H720,""))</f>
        <v/>
      </c>
    </row>
    <row r="721" spans="1:16" x14ac:dyDescent="0.25">
      <c r="A721" s="29" t="str">
        <f>IF(Analysis!$I721="","",IF(Analysis!$I721="Embedded",Analysis!$D721,""))</f>
        <v/>
      </c>
      <c r="B721" s="29" t="str">
        <f>IF(Analysis!$I721="","",IF(Analysis!$I721="Loyal but shallow",Analysis!$D721,""))</f>
        <v/>
      </c>
      <c r="C721" s="29" t="str">
        <f>IF(Analysis!$I721="","",IF(Analysis!$I721="Project-driven",Analysis!$D721,""))</f>
        <v/>
      </c>
      <c r="D721" s="29" t="str">
        <f>IF(Analysis!$I721="","",IF(Analysis!$I721="Drifting",Analysis!$D721,""))</f>
        <v/>
      </c>
      <c r="E721" s="29" t="str">
        <f>IF(Analysis!$I721="","",IF(Analysis!$I721="Embedded",Analysis!$C721,""))</f>
        <v/>
      </c>
      <c r="F721" s="29" t="str">
        <f>IF(Analysis!$I721="","",IF(Analysis!$I721="Loyal but shallow",Analysis!$C721,""))</f>
        <v/>
      </c>
      <c r="G721" s="29" t="str">
        <f>IF(Analysis!$I721="","",IF(Analysis!$I721="Project-driven",Analysis!$C721,""))</f>
        <v/>
      </c>
      <c r="H721" s="29" t="str">
        <f>IF(Analysis!$I721="","",IF(Analysis!$I721="Drifting",Analysis!$C721,""))</f>
        <v/>
      </c>
      <c r="I721" s="29" t="str">
        <f>IF(Analysis!$I721="","",IF(Analysis!$I721="Embedded",Analysis!$F721,""))</f>
        <v/>
      </c>
      <c r="J721" s="29" t="str">
        <f>IF(Analysis!$I721="","",IF(Analysis!$I721="Loyal but shallow",Analysis!$F721,""))</f>
        <v/>
      </c>
      <c r="K721" s="29" t="str">
        <f>IF(Analysis!$I721="","",IF(Analysis!$I721="Project-driven",Analysis!$F721,""))</f>
        <v/>
      </c>
      <c r="L721" s="29" t="str">
        <f>IF(Analysis!$I721="","",IF(Analysis!$I721="Drifting",Analysis!$F721,""))</f>
        <v/>
      </c>
      <c r="M721" s="29" t="str">
        <f>IF(Analysis!$I721="","",IF(Analysis!$I721="Embedded",Analysis!$H721,""))</f>
        <v/>
      </c>
      <c r="N721" s="29" t="str">
        <f>IF(Analysis!$I721="","",IF(Analysis!$I721="Loyal but shallow",Analysis!$H721,""))</f>
        <v/>
      </c>
      <c r="O721" s="29" t="str">
        <f>IF(Analysis!$I721="","",IF(Analysis!$I721="Project-driven",Analysis!$H721,""))</f>
        <v/>
      </c>
      <c r="P721" s="29" t="str">
        <f>IF(Analysis!$I721="","",IF(Analysis!$I721="Drifting",Analysis!$H721,""))</f>
        <v/>
      </c>
    </row>
    <row r="722" spans="1:16" x14ac:dyDescent="0.25">
      <c r="A722" s="29" t="str">
        <f>IF(Analysis!$I722="","",IF(Analysis!$I722="Embedded",Analysis!$D722,""))</f>
        <v/>
      </c>
      <c r="B722" s="29" t="str">
        <f>IF(Analysis!$I722="","",IF(Analysis!$I722="Loyal but shallow",Analysis!$D722,""))</f>
        <v/>
      </c>
      <c r="C722" s="29" t="str">
        <f>IF(Analysis!$I722="","",IF(Analysis!$I722="Project-driven",Analysis!$D722,""))</f>
        <v/>
      </c>
      <c r="D722" s="29" t="str">
        <f>IF(Analysis!$I722="","",IF(Analysis!$I722="Drifting",Analysis!$D722,""))</f>
        <v/>
      </c>
      <c r="E722" s="29" t="str">
        <f>IF(Analysis!$I722="","",IF(Analysis!$I722="Embedded",Analysis!$C722,""))</f>
        <v/>
      </c>
      <c r="F722" s="29" t="str">
        <f>IF(Analysis!$I722="","",IF(Analysis!$I722="Loyal but shallow",Analysis!$C722,""))</f>
        <v/>
      </c>
      <c r="G722" s="29" t="str">
        <f>IF(Analysis!$I722="","",IF(Analysis!$I722="Project-driven",Analysis!$C722,""))</f>
        <v/>
      </c>
      <c r="H722" s="29" t="str">
        <f>IF(Analysis!$I722="","",IF(Analysis!$I722="Drifting",Analysis!$C722,""))</f>
        <v/>
      </c>
      <c r="I722" s="29" t="str">
        <f>IF(Analysis!$I722="","",IF(Analysis!$I722="Embedded",Analysis!$F722,""))</f>
        <v/>
      </c>
      <c r="J722" s="29" t="str">
        <f>IF(Analysis!$I722="","",IF(Analysis!$I722="Loyal but shallow",Analysis!$F722,""))</f>
        <v/>
      </c>
      <c r="K722" s="29" t="str">
        <f>IF(Analysis!$I722="","",IF(Analysis!$I722="Project-driven",Analysis!$F722,""))</f>
        <v/>
      </c>
      <c r="L722" s="29" t="str">
        <f>IF(Analysis!$I722="","",IF(Analysis!$I722="Drifting",Analysis!$F722,""))</f>
        <v/>
      </c>
      <c r="M722" s="29" t="str">
        <f>IF(Analysis!$I722="","",IF(Analysis!$I722="Embedded",Analysis!$H722,""))</f>
        <v/>
      </c>
      <c r="N722" s="29" t="str">
        <f>IF(Analysis!$I722="","",IF(Analysis!$I722="Loyal but shallow",Analysis!$H722,""))</f>
        <v/>
      </c>
      <c r="O722" s="29" t="str">
        <f>IF(Analysis!$I722="","",IF(Analysis!$I722="Project-driven",Analysis!$H722,""))</f>
        <v/>
      </c>
      <c r="P722" s="29" t="str">
        <f>IF(Analysis!$I722="","",IF(Analysis!$I722="Drifting",Analysis!$H722,""))</f>
        <v/>
      </c>
    </row>
    <row r="723" spans="1:16" x14ac:dyDescent="0.25">
      <c r="A723" s="29" t="str">
        <f>IF(Analysis!$I723="","",IF(Analysis!$I723="Embedded",Analysis!$D723,""))</f>
        <v/>
      </c>
      <c r="B723" s="29" t="str">
        <f>IF(Analysis!$I723="","",IF(Analysis!$I723="Loyal but shallow",Analysis!$D723,""))</f>
        <v/>
      </c>
      <c r="C723" s="29" t="str">
        <f>IF(Analysis!$I723="","",IF(Analysis!$I723="Project-driven",Analysis!$D723,""))</f>
        <v/>
      </c>
      <c r="D723" s="29" t="str">
        <f>IF(Analysis!$I723="","",IF(Analysis!$I723="Drifting",Analysis!$D723,""))</f>
        <v/>
      </c>
      <c r="E723" s="29" t="str">
        <f>IF(Analysis!$I723="","",IF(Analysis!$I723="Embedded",Analysis!$C723,""))</f>
        <v/>
      </c>
      <c r="F723" s="29" t="str">
        <f>IF(Analysis!$I723="","",IF(Analysis!$I723="Loyal but shallow",Analysis!$C723,""))</f>
        <v/>
      </c>
      <c r="G723" s="29" t="str">
        <f>IF(Analysis!$I723="","",IF(Analysis!$I723="Project-driven",Analysis!$C723,""))</f>
        <v/>
      </c>
      <c r="H723" s="29" t="str">
        <f>IF(Analysis!$I723="","",IF(Analysis!$I723="Drifting",Analysis!$C723,""))</f>
        <v/>
      </c>
      <c r="I723" s="29" t="str">
        <f>IF(Analysis!$I723="","",IF(Analysis!$I723="Embedded",Analysis!$F723,""))</f>
        <v/>
      </c>
      <c r="J723" s="29" t="str">
        <f>IF(Analysis!$I723="","",IF(Analysis!$I723="Loyal but shallow",Analysis!$F723,""))</f>
        <v/>
      </c>
      <c r="K723" s="29" t="str">
        <f>IF(Analysis!$I723="","",IF(Analysis!$I723="Project-driven",Analysis!$F723,""))</f>
        <v/>
      </c>
      <c r="L723" s="29" t="str">
        <f>IF(Analysis!$I723="","",IF(Analysis!$I723="Drifting",Analysis!$F723,""))</f>
        <v/>
      </c>
      <c r="M723" s="29" t="str">
        <f>IF(Analysis!$I723="","",IF(Analysis!$I723="Embedded",Analysis!$H723,""))</f>
        <v/>
      </c>
      <c r="N723" s="29" t="str">
        <f>IF(Analysis!$I723="","",IF(Analysis!$I723="Loyal but shallow",Analysis!$H723,""))</f>
        <v/>
      </c>
      <c r="O723" s="29" t="str">
        <f>IF(Analysis!$I723="","",IF(Analysis!$I723="Project-driven",Analysis!$H723,""))</f>
        <v/>
      </c>
      <c r="P723" s="29" t="str">
        <f>IF(Analysis!$I723="","",IF(Analysis!$I723="Drifting",Analysis!$H723,""))</f>
        <v/>
      </c>
    </row>
    <row r="724" spans="1:16" x14ac:dyDescent="0.25">
      <c r="A724" s="29" t="str">
        <f>IF(Analysis!$I724="","",IF(Analysis!$I724="Embedded",Analysis!$D724,""))</f>
        <v/>
      </c>
      <c r="B724" s="29" t="str">
        <f>IF(Analysis!$I724="","",IF(Analysis!$I724="Loyal but shallow",Analysis!$D724,""))</f>
        <v/>
      </c>
      <c r="C724" s="29" t="str">
        <f>IF(Analysis!$I724="","",IF(Analysis!$I724="Project-driven",Analysis!$D724,""))</f>
        <v/>
      </c>
      <c r="D724" s="29" t="str">
        <f>IF(Analysis!$I724="","",IF(Analysis!$I724="Drifting",Analysis!$D724,""))</f>
        <v/>
      </c>
      <c r="E724" s="29" t="str">
        <f>IF(Analysis!$I724="","",IF(Analysis!$I724="Embedded",Analysis!$C724,""))</f>
        <v/>
      </c>
      <c r="F724" s="29" t="str">
        <f>IF(Analysis!$I724="","",IF(Analysis!$I724="Loyal but shallow",Analysis!$C724,""))</f>
        <v/>
      </c>
      <c r="G724" s="29" t="str">
        <f>IF(Analysis!$I724="","",IF(Analysis!$I724="Project-driven",Analysis!$C724,""))</f>
        <v/>
      </c>
      <c r="H724" s="29" t="str">
        <f>IF(Analysis!$I724="","",IF(Analysis!$I724="Drifting",Analysis!$C724,""))</f>
        <v/>
      </c>
      <c r="I724" s="29" t="str">
        <f>IF(Analysis!$I724="","",IF(Analysis!$I724="Embedded",Analysis!$F724,""))</f>
        <v/>
      </c>
      <c r="J724" s="29" t="str">
        <f>IF(Analysis!$I724="","",IF(Analysis!$I724="Loyal but shallow",Analysis!$F724,""))</f>
        <v/>
      </c>
      <c r="K724" s="29" t="str">
        <f>IF(Analysis!$I724="","",IF(Analysis!$I724="Project-driven",Analysis!$F724,""))</f>
        <v/>
      </c>
      <c r="L724" s="29" t="str">
        <f>IF(Analysis!$I724="","",IF(Analysis!$I724="Drifting",Analysis!$F724,""))</f>
        <v/>
      </c>
      <c r="M724" s="29" t="str">
        <f>IF(Analysis!$I724="","",IF(Analysis!$I724="Embedded",Analysis!$H724,""))</f>
        <v/>
      </c>
      <c r="N724" s="29" t="str">
        <f>IF(Analysis!$I724="","",IF(Analysis!$I724="Loyal but shallow",Analysis!$H724,""))</f>
        <v/>
      </c>
      <c r="O724" s="29" t="str">
        <f>IF(Analysis!$I724="","",IF(Analysis!$I724="Project-driven",Analysis!$H724,""))</f>
        <v/>
      </c>
      <c r="P724" s="29" t="str">
        <f>IF(Analysis!$I724="","",IF(Analysis!$I724="Drifting",Analysis!$H724,""))</f>
        <v/>
      </c>
    </row>
    <row r="725" spans="1:16" x14ac:dyDescent="0.25">
      <c r="A725" s="29" t="str">
        <f>IF(Analysis!$I725="","",IF(Analysis!$I725="Embedded",Analysis!$D725,""))</f>
        <v/>
      </c>
      <c r="B725" s="29" t="str">
        <f>IF(Analysis!$I725="","",IF(Analysis!$I725="Loyal but shallow",Analysis!$D725,""))</f>
        <v/>
      </c>
      <c r="C725" s="29" t="str">
        <f>IF(Analysis!$I725="","",IF(Analysis!$I725="Project-driven",Analysis!$D725,""))</f>
        <v/>
      </c>
      <c r="D725" s="29" t="str">
        <f>IF(Analysis!$I725="","",IF(Analysis!$I725="Drifting",Analysis!$D725,""))</f>
        <v/>
      </c>
      <c r="E725" s="29" t="str">
        <f>IF(Analysis!$I725="","",IF(Analysis!$I725="Embedded",Analysis!$C725,""))</f>
        <v/>
      </c>
      <c r="F725" s="29" t="str">
        <f>IF(Analysis!$I725="","",IF(Analysis!$I725="Loyal but shallow",Analysis!$C725,""))</f>
        <v/>
      </c>
      <c r="G725" s="29" t="str">
        <f>IF(Analysis!$I725="","",IF(Analysis!$I725="Project-driven",Analysis!$C725,""))</f>
        <v/>
      </c>
      <c r="H725" s="29" t="str">
        <f>IF(Analysis!$I725="","",IF(Analysis!$I725="Drifting",Analysis!$C725,""))</f>
        <v/>
      </c>
      <c r="I725" s="29" t="str">
        <f>IF(Analysis!$I725="","",IF(Analysis!$I725="Embedded",Analysis!$F725,""))</f>
        <v/>
      </c>
      <c r="J725" s="29" t="str">
        <f>IF(Analysis!$I725="","",IF(Analysis!$I725="Loyal but shallow",Analysis!$F725,""))</f>
        <v/>
      </c>
      <c r="K725" s="29" t="str">
        <f>IF(Analysis!$I725="","",IF(Analysis!$I725="Project-driven",Analysis!$F725,""))</f>
        <v/>
      </c>
      <c r="L725" s="29" t="str">
        <f>IF(Analysis!$I725="","",IF(Analysis!$I725="Drifting",Analysis!$F725,""))</f>
        <v/>
      </c>
      <c r="M725" s="29" t="str">
        <f>IF(Analysis!$I725="","",IF(Analysis!$I725="Embedded",Analysis!$H725,""))</f>
        <v/>
      </c>
      <c r="N725" s="29" t="str">
        <f>IF(Analysis!$I725="","",IF(Analysis!$I725="Loyal but shallow",Analysis!$H725,""))</f>
        <v/>
      </c>
      <c r="O725" s="29" t="str">
        <f>IF(Analysis!$I725="","",IF(Analysis!$I725="Project-driven",Analysis!$H725,""))</f>
        <v/>
      </c>
      <c r="P725" s="29" t="str">
        <f>IF(Analysis!$I725="","",IF(Analysis!$I725="Drifting",Analysis!$H725,""))</f>
        <v/>
      </c>
    </row>
    <row r="726" spans="1:16" x14ac:dyDescent="0.25">
      <c r="A726" s="29" t="str">
        <f>IF(Analysis!$I726="","",IF(Analysis!$I726="Embedded",Analysis!$D726,""))</f>
        <v/>
      </c>
      <c r="B726" s="29" t="str">
        <f>IF(Analysis!$I726="","",IF(Analysis!$I726="Loyal but shallow",Analysis!$D726,""))</f>
        <v/>
      </c>
      <c r="C726" s="29" t="str">
        <f>IF(Analysis!$I726="","",IF(Analysis!$I726="Project-driven",Analysis!$D726,""))</f>
        <v/>
      </c>
      <c r="D726" s="29" t="str">
        <f>IF(Analysis!$I726="","",IF(Analysis!$I726="Drifting",Analysis!$D726,""))</f>
        <v/>
      </c>
      <c r="E726" s="29" t="str">
        <f>IF(Analysis!$I726="","",IF(Analysis!$I726="Embedded",Analysis!$C726,""))</f>
        <v/>
      </c>
      <c r="F726" s="29" t="str">
        <f>IF(Analysis!$I726="","",IF(Analysis!$I726="Loyal but shallow",Analysis!$C726,""))</f>
        <v/>
      </c>
      <c r="G726" s="29" t="str">
        <f>IF(Analysis!$I726="","",IF(Analysis!$I726="Project-driven",Analysis!$C726,""))</f>
        <v/>
      </c>
      <c r="H726" s="29" t="str">
        <f>IF(Analysis!$I726="","",IF(Analysis!$I726="Drifting",Analysis!$C726,""))</f>
        <v/>
      </c>
      <c r="I726" s="29" t="str">
        <f>IF(Analysis!$I726="","",IF(Analysis!$I726="Embedded",Analysis!$F726,""))</f>
        <v/>
      </c>
      <c r="J726" s="29" t="str">
        <f>IF(Analysis!$I726="","",IF(Analysis!$I726="Loyal but shallow",Analysis!$F726,""))</f>
        <v/>
      </c>
      <c r="K726" s="29" t="str">
        <f>IF(Analysis!$I726="","",IF(Analysis!$I726="Project-driven",Analysis!$F726,""))</f>
        <v/>
      </c>
      <c r="L726" s="29" t="str">
        <f>IF(Analysis!$I726="","",IF(Analysis!$I726="Drifting",Analysis!$F726,""))</f>
        <v/>
      </c>
      <c r="M726" s="29" t="str">
        <f>IF(Analysis!$I726="","",IF(Analysis!$I726="Embedded",Analysis!$H726,""))</f>
        <v/>
      </c>
      <c r="N726" s="29" t="str">
        <f>IF(Analysis!$I726="","",IF(Analysis!$I726="Loyal but shallow",Analysis!$H726,""))</f>
        <v/>
      </c>
      <c r="O726" s="29" t="str">
        <f>IF(Analysis!$I726="","",IF(Analysis!$I726="Project-driven",Analysis!$H726,""))</f>
        <v/>
      </c>
      <c r="P726" s="29" t="str">
        <f>IF(Analysis!$I726="","",IF(Analysis!$I726="Drifting",Analysis!$H726,""))</f>
        <v/>
      </c>
    </row>
    <row r="727" spans="1:16" x14ac:dyDescent="0.25">
      <c r="A727" s="29" t="str">
        <f>IF(Analysis!$I727="","",IF(Analysis!$I727="Embedded",Analysis!$D727,""))</f>
        <v/>
      </c>
      <c r="B727" s="29" t="str">
        <f>IF(Analysis!$I727="","",IF(Analysis!$I727="Loyal but shallow",Analysis!$D727,""))</f>
        <v/>
      </c>
      <c r="C727" s="29" t="str">
        <f>IF(Analysis!$I727="","",IF(Analysis!$I727="Project-driven",Analysis!$D727,""))</f>
        <v/>
      </c>
      <c r="D727" s="29" t="str">
        <f>IF(Analysis!$I727="","",IF(Analysis!$I727="Drifting",Analysis!$D727,""))</f>
        <v/>
      </c>
      <c r="E727" s="29" t="str">
        <f>IF(Analysis!$I727="","",IF(Analysis!$I727="Embedded",Analysis!$C727,""))</f>
        <v/>
      </c>
      <c r="F727" s="29" t="str">
        <f>IF(Analysis!$I727="","",IF(Analysis!$I727="Loyal but shallow",Analysis!$C727,""))</f>
        <v/>
      </c>
      <c r="G727" s="29" t="str">
        <f>IF(Analysis!$I727="","",IF(Analysis!$I727="Project-driven",Analysis!$C727,""))</f>
        <v/>
      </c>
      <c r="H727" s="29" t="str">
        <f>IF(Analysis!$I727="","",IF(Analysis!$I727="Drifting",Analysis!$C727,""))</f>
        <v/>
      </c>
      <c r="I727" s="29" t="str">
        <f>IF(Analysis!$I727="","",IF(Analysis!$I727="Embedded",Analysis!$F727,""))</f>
        <v/>
      </c>
      <c r="J727" s="29" t="str">
        <f>IF(Analysis!$I727="","",IF(Analysis!$I727="Loyal but shallow",Analysis!$F727,""))</f>
        <v/>
      </c>
      <c r="K727" s="29" t="str">
        <f>IF(Analysis!$I727="","",IF(Analysis!$I727="Project-driven",Analysis!$F727,""))</f>
        <v/>
      </c>
      <c r="L727" s="29" t="str">
        <f>IF(Analysis!$I727="","",IF(Analysis!$I727="Drifting",Analysis!$F727,""))</f>
        <v/>
      </c>
      <c r="M727" s="29" t="str">
        <f>IF(Analysis!$I727="","",IF(Analysis!$I727="Embedded",Analysis!$H727,""))</f>
        <v/>
      </c>
      <c r="N727" s="29" t="str">
        <f>IF(Analysis!$I727="","",IF(Analysis!$I727="Loyal but shallow",Analysis!$H727,""))</f>
        <v/>
      </c>
      <c r="O727" s="29" t="str">
        <f>IF(Analysis!$I727="","",IF(Analysis!$I727="Project-driven",Analysis!$H727,""))</f>
        <v/>
      </c>
      <c r="P727" s="29" t="str">
        <f>IF(Analysis!$I727="","",IF(Analysis!$I727="Drifting",Analysis!$H727,""))</f>
        <v/>
      </c>
    </row>
    <row r="728" spans="1:16" x14ac:dyDescent="0.25">
      <c r="A728" s="29" t="str">
        <f>IF(Analysis!$I728="","",IF(Analysis!$I728="Embedded",Analysis!$D728,""))</f>
        <v/>
      </c>
      <c r="B728" s="29" t="str">
        <f>IF(Analysis!$I728="","",IF(Analysis!$I728="Loyal but shallow",Analysis!$D728,""))</f>
        <v/>
      </c>
      <c r="C728" s="29" t="str">
        <f>IF(Analysis!$I728="","",IF(Analysis!$I728="Project-driven",Analysis!$D728,""))</f>
        <v/>
      </c>
      <c r="D728" s="29" t="str">
        <f>IF(Analysis!$I728="","",IF(Analysis!$I728="Drifting",Analysis!$D728,""))</f>
        <v/>
      </c>
      <c r="E728" s="29" t="str">
        <f>IF(Analysis!$I728="","",IF(Analysis!$I728="Embedded",Analysis!$C728,""))</f>
        <v/>
      </c>
      <c r="F728" s="29" t="str">
        <f>IF(Analysis!$I728="","",IF(Analysis!$I728="Loyal but shallow",Analysis!$C728,""))</f>
        <v/>
      </c>
      <c r="G728" s="29" t="str">
        <f>IF(Analysis!$I728="","",IF(Analysis!$I728="Project-driven",Analysis!$C728,""))</f>
        <v/>
      </c>
      <c r="H728" s="29" t="str">
        <f>IF(Analysis!$I728="","",IF(Analysis!$I728="Drifting",Analysis!$C728,""))</f>
        <v/>
      </c>
      <c r="I728" s="29" t="str">
        <f>IF(Analysis!$I728="","",IF(Analysis!$I728="Embedded",Analysis!$F728,""))</f>
        <v/>
      </c>
      <c r="J728" s="29" t="str">
        <f>IF(Analysis!$I728="","",IF(Analysis!$I728="Loyal but shallow",Analysis!$F728,""))</f>
        <v/>
      </c>
      <c r="K728" s="29" t="str">
        <f>IF(Analysis!$I728="","",IF(Analysis!$I728="Project-driven",Analysis!$F728,""))</f>
        <v/>
      </c>
      <c r="L728" s="29" t="str">
        <f>IF(Analysis!$I728="","",IF(Analysis!$I728="Drifting",Analysis!$F728,""))</f>
        <v/>
      </c>
      <c r="M728" s="29" t="str">
        <f>IF(Analysis!$I728="","",IF(Analysis!$I728="Embedded",Analysis!$H728,""))</f>
        <v/>
      </c>
      <c r="N728" s="29" t="str">
        <f>IF(Analysis!$I728="","",IF(Analysis!$I728="Loyal but shallow",Analysis!$H728,""))</f>
        <v/>
      </c>
      <c r="O728" s="29" t="str">
        <f>IF(Analysis!$I728="","",IF(Analysis!$I728="Project-driven",Analysis!$H728,""))</f>
        <v/>
      </c>
      <c r="P728" s="29" t="str">
        <f>IF(Analysis!$I728="","",IF(Analysis!$I728="Drifting",Analysis!$H728,""))</f>
        <v/>
      </c>
    </row>
    <row r="729" spans="1:16" x14ac:dyDescent="0.25">
      <c r="A729" s="29" t="str">
        <f>IF(Analysis!$I729="","",IF(Analysis!$I729="Embedded",Analysis!$D729,""))</f>
        <v/>
      </c>
      <c r="B729" s="29" t="str">
        <f>IF(Analysis!$I729="","",IF(Analysis!$I729="Loyal but shallow",Analysis!$D729,""))</f>
        <v/>
      </c>
      <c r="C729" s="29" t="str">
        <f>IF(Analysis!$I729="","",IF(Analysis!$I729="Project-driven",Analysis!$D729,""))</f>
        <v/>
      </c>
      <c r="D729" s="29" t="str">
        <f>IF(Analysis!$I729="","",IF(Analysis!$I729="Drifting",Analysis!$D729,""))</f>
        <v/>
      </c>
      <c r="E729" s="29" t="str">
        <f>IF(Analysis!$I729="","",IF(Analysis!$I729="Embedded",Analysis!$C729,""))</f>
        <v/>
      </c>
      <c r="F729" s="29" t="str">
        <f>IF(Analysis!$I729="","",IF(Analysis!$I729="Loyal but shallow",Analysis!$C729,""))</f>
        <v/>
      </c>
      <c r="G729" s="29" t="str">
        <f>IF(Analysis!$I729="","",IF(Analysis!$I729="Project-driven",Analysis!$C729,""))</f>
        <v/>
      </c>
      <c r="H729" s="29" t="str">
        <f>IF(Analysis!$I729="","",IF(Analysis!$I729="Drifting",Analysis!$C729,""))</f>
        <v/>
      </c>
      <c r="I729" s="29" t="str">
        <f>IF(Analysis!$I729="","",IF(Analysis!$I729="Embedded",Analysis!$F729,""))</f>
        <v/>
      </c>
      <c r="J729" s="29" t="str">
        <f>IF(Analysis!$I729="","",IF(Analysis!$I729="Loyal but shallow",Analysis!$F729,""))</f>
        <v/>
      </c>
      <c r="K729" s="29" t="str">
        <f>IF(Analysis!$I729="","",IF(Analysis!$I729="Project-driven",Analysis!$F729,""))</f>
        <v/>
      </c>
      <c r="L729" s="29" t="str">
        <f>IF(Analysis!$I729="","",IF(Analysis!$I729="Drifting",Analysis!$F729,""))</f>
        <v/>
      </c>
      <c r="M729" s="29" t="str">
        <f>IF(Analysis!$I729="","",IF(Analysis!$I729="Embedded",Analysis!$H729,""))</f>
        <v/>
      </c>
      <c r="N729" s="29" t="str">
        <f>IF(Analysis!$I729="","",IF(Analysis!$I729="Loyal but shallow",Analysis!$H729,""))</f>
        <v/>
      </c>
      <c r="O729" s="29" t="str">
        <f>IF(Analysis!$I729="","",IF(Analysis!$I729="Project-driven",Analysis!$H729,""))</f>
        <v/>
      </c>
      <c r="P729" s="29" t="str">
        <f>IF(Analysis!$I729="","",IF(Analysis!$I729="Drifting",Analysis!$H729,""))</f>
        <v/>
      </c>
    </row>
    <row r="730" spans="1:16" x14ac:dyDescent="0.25">
      <c r="A730" s="29" t="str">
        <f>IF(Analysis!$I730="","",IF(Analysis!$I730="Embedded",Analysis!$D730,""))</f>
        <v/>
      </c>
      <c r="B730" s="29" t="str">
        <f>IF(Analysis!$I730="","",IF(Analysis!$I730="Loyal but shallow",Analysis!$D730,""))</f>
        <v/>
      </c>
      <c r="C730" s="29" t="str">
        <f>IF(Analysis!$I730="","",IF(Analysis!$I730="Project-driven",Analysis!$D730,""))</f>
        <v/>
      </c>
      <c r="D730" s="29" t="str">
        <f>IF(Analysis!$I730="","",IF(Analysis!$I730="Drifting",Analysis!$D730,""))</f>
        <v/>
      </c>
      <c r="E730" s="29" t="str">
        <f>IF(Analysis!$I730="","",IF(Analysis!$I730="Embedded",Analysis!$C730,""))</f>
        <v/>
      </c>
      <c r="F730" s="29" t="str">
        <f>IF(Analysis!$I730="","",IF(Analysis!$I730="Loyal but shallow",Analysis!$C730,""))</f>
        <v/>
      </c>
      <c r="G730" s="29" t="str">
        <f>IF(Analysis!$I730="","",IF(Analysis!$I730="Project-driven",Analysis!$C730,""))</f>
        <v/>
      </c>
      <c r="H730" s="29" t="str">
        <f>IF(Analysis!$I730="","",IF(Analysis!$I730="Drifting",Analysis!$C730,""))</f>
        <v/>
      </c>
      <c r="I730" s="29" t="str">
        <f>IF(Analysis!$I730="","",IF(Analysis!$I730="Embedded",Analysis!$F730,""))</f>
        <v/>
      </c>
      <c r="J730" s="29" t="str">
        <f>IF(Analysis!$I730="","",IF(Analysis!$I730="Loyal but shallow",Analysis!$F730,""))</f>
        <v/>
      </c>
      <c r="K730" s="29" t="str">
        <f>IF(Analysis!$I730="","",IF(Analysis!$I730="Project-driven",Analysis!$F730,""))</f>
        <v/>
      </c>
      <c r="L730" s="29" t="str">
        <f>IF(Analysis!$I730="","",IF(Analysis!$I730="Drifting",Analysis!$F730,""))</f>
        <v/>
      </c>
      <c r="M730" s="29" t="str">
        <f>IF(Analysis!$I730="","",IF(Analysis!$I730="Embedded",Analysis!$H730,""))</f>
        <v/>
      </c>
      <c r="N730" s="29" t="str">
        <f>IF(Analysis!$I730="","",IF(Analysis!$I730="Loyal but shallow",Analysis!$H730,""))</f>
        <v/>
      </c>
      <c r="O730" s="29" t="str">
        <f>IF(Analysis!$I730="","",IF(Analysis!$I730="Project-driven",Analysis!$H730,""))</f>
        <v/>
      </c>
      <c r="P730" s="29" t="str">
        <f>IF(Analysis!$I730="","",IF(Analysis!$I730="Drifting",Analysis!$H730,""))</f>
        <v/>
      </c>
    </row>
    <row r="731" spans="1:16" x14ac:dyDescent="0.25">
      <c r="A731" s="29" t="str">
        <f>IF(Analysis!$I731="","",IF(Analysis!$I731="Embedded",Analysis!$D731,""))</f>
        <v/>
      </c>
      <c r="B731" s="29" t="str">
        <f>IF(Analysis!$I731="","",IF(Analysis!$I731="Loyal but shallow",Analysis!$D731,""))</f>
        <v/>
      </c>
      <c r="C731" s="29" t="str">
        <f>IF(Analysis!$I731="","",IF(Analysis!$I731="Project-driven",Analysis!$D731,""))</f>
        <v/>
      </c>
      <c r="D731" s="29" t="str">
        <f>IF(Analysis!$I731="","",IF(Analysis!$I731="Drifting",Analysis!$D731,""))</f>
        <v/>
      </c>
      <c r="E731" s="29" t="str">
        <f>IF(Analysis!$I731="","",IF(Analysis!$I731="Embedded",Analysis!$C731,""))</f>
        <v/>
      </c>
      <c r="F731" s="29" t="str">
        <f>IF(Analysis!$I731="","",IF(Analysis!$I731="Loyal but shallow",Analysis!$C731,""))</f>
        <v/>
      </c>
      <c r="G731" s="29" t="str">
        <f>IF(Analysis!$I731="","",IF(Analysis!$I731="Project-driven",Analysis!$C731,""))</f>
        <v/>
      </c>
      <c r="H731" s="29" t="str">
        <f>IF(Analysis!$I731="","",IF(Analysis!$I731="Drifting",Analysis!$C731,""))</f>
        <v/>
      </c>
      <c r="I731" s="29" t="str">
        <f>IF(Analysis!$I731="","",IF(Analysis!$I731="Embedded",Analysis!$F731,""))</f>
        <v/>
      </c>
      <c r="J731" s="29" t="str">
        <f>IF(Analysis!$I731="","",IF(Analysis!$I731="Loyal but shallow",Analysis!$F731,""))</f>
        <v/>
      </c>
      <c r="K731" s="29" t="str">
        <f>IF(Analysis!$I731="","",IF(Analysis!$I731="Project-driven",Analysis!$F731,""))</f>
        <v/>
      </c>
      <c r="L731" s="29" t="str">
        <f>IF(Analysis!$I731="","",IF(Analysis!$I731="Drifting",Analysis!$F731,""))</f>
        <v/>
      </c>
      <c r="M731" s="29" t="str">
        <f>IF(Analysis!$I731="","",IF(Analysis!$I731="Embedded",Analysis!$H731,""))</f>
        <v/>
      </c>
      <c r="N731" s="29" t="str">
        <f>IF(Analysis!$I731="","",IF(Analysis!$I731="Loyal but shallow",Analysis!$H731,""))</f>
        <v/>
      </c>
      <c r="O731" s="29" t="str">
        <f>IF(Analysis!$I731="","",IF(Analysis!$I731="Project-driven",Analysis!$H731,""))</f>
        <v/>
      </c>
      <c r="P731" s="29" t="str">
        <f>IF(Analysis!$I731="","",IF(Analysis!$I731="Drifting",Analysis!$H731,""))</f>
        <v/>
      </c>
    </row>
    <row r="732" spans="1:16" x14ac:dyDescent="0.25">
      <c r="A732" s="29" t="str">
        <f>IF(Analysis!$I732="","",IF(Analysis!$I732="Embedded",Analysis!$D732,""))</f>
        <v/>
      </c>
      <c r="B732" s="29" t="str">
        <f>IF(Analysis!$I732="","",IF(Analysis!$I732="Loyal but shallow",Analysis!$D732,""))</f>
        <v/>
      </c>
      <c r="C732" s="29" t="str">
        <f>IF(Analysis!$I732="","",IF(Analysis!$I732="Project-driven",Analysis!$D732,""))</f>
        <v/>
      </c>
      <c r="D732" s="29" t="str">
        <f>IF(Analysis!$I732="","",IF(Analysis!$I732="Drifting",Analysis!$D732,""))</f>
        <v/>
      </c>
      <c r="E732" s="29" t="str">
        <f>IF(Analysis!$I732="","",IF(Analysis!$I732="Embedded",Analysis!$C732,""))</f>
        <v/>
      </c>
      <c r="F732" s="29" t="str">
        <f>IF(Analysis!$I732="","",IF(Analysis!$I732="Loyal but shallow",Analysis!$C732,""))</f>
        <v/>
      </c>
      <c r="G732" s="29" t="str">
        <f>IF(Analysis!$I732="","",IF(Analysis!$I732="Project-driven",Analysis!$C732,""))</f>
        <v/>
      </c>
      <c r="H732" s="29" t="str">
        <f>IF(Analysis!$I732="","",IF(Analysis!$I732="Drifting",Analysis!$C732,""))</f>
        <v/>
      </c>
      <c r="I732" s="29" t="str">
        <f>IF(Analysis!$I732="","",IF(Analysis!$I732="Embedded",Analysis!$F732,""))</f>
        <v/>
      </c>
      <c r="J732" s="29" t="str">
        <f>IF(Analysis!$I732="","",IF(Analysis!$I732="Loyal but shallow",Analysis!$F732,""))</f>
        <v/>
      </c>
      <c r="K732" s="29" t="str">
        <f>IF(Analysis!$I732="","",IF(Analysis!$I732="Project-driven",Analysis!$F732,""))</f>
        <v/>
      </c>
      <c r="L732" s="29" t="str">
        <f>IF(Analysis!$I732="","",IF(Analysis!$I732="Drifting",Analysis!$F732,""))</f>
        <v/>
      </c>
      <c r="M732" s="29" t="str">
        <f>IF(Analysis!$I732="","",IF(Analysis!$I732="Embedded",Analysis!$H732,""))</f>
        <v/>
      </c>
      <c r="N732" s="29" t="str">
        <f>IF(Analysis!$I732="","",IF(Analysis!$I732="Loyal but shallow",Analysis!$H732,""))</f>
        <v/>
      </c>
      <c r="O732" s="29" t="str">
        <f>IF(Analysis!$I732="","",IF(Analysis!$I732="Project-driven",Analysis!$H732,""))</f>
        <v/>
      </c>
      <c r="P732" s="29" t="str">
        <f>IF(Analysis!$I732="","",IF(Analysis!$I732="Drifting",Analysis!$H732,""))</f>
        <v/>
      </c>
    </row>
    <row r="733" spans="1:16" x14ac:dyDescent="0.25">
      <c r="A733" s="29" t="str">
        <f>IF(Analysis!$I733="","",IF(Analysis!$I733="Embedded",Analysis!$D733,""))</f>
        <v/>
      </c>
      <c r="B733" s="29" t="str">
        <f>IF(Analysis!$I733="","",IF(Analysis!$I733="Loyal but shallow",Analysis!$D733,""))</f>
        <v/>
      </c>
      <c r="C733" s="29" t="str">
        <f>IF(Analysis!$I733="","",IF(Analysis!$I733="Project-driven",Analysis!$D733,""))</f>
        <v/>
      </c>
      <c r="D733" s="29" t="str">
        <f>IF(Analysis!$I733="","",IF(Analysis!$I733="Drifting",Analysis!$D733,""))</f>
        <v/>
      </c>
      <c r="E733" s="29" t="str">
        <f>IF(Analysis!$I733="","",IF(Analysis!$I733="Embedded",Analysis!$C733,""))</f>
        <v/>
      </c>
      <c r="F733" s="29" t="str">
        <f>IF(Analysis!$I733="","",IF(Analysis!$I733="Loyal but shallow",Analysis!$C733,""))</f>
        <v/>
      </c>
      <c r="G733" s="29" t="str">
        <f>IF(Analysis!$I733="","",IF(Analysis!$I733="Project-driven",Analysis!$C733,""))</f>
        <v/>
      </c>
      <c r="H733" s="29" t="str">
        <f>IF(Analysis!$I733="","",IF(Analysis!$I733="Drifting",Analysis!$C733,""))</f>
        <v/>
      </c>
      <c r="I733" s="29" t="str">
        <f>IF(Analysis!$I733="","",IF(Analysis!$I733="Embedded",Analysis!$F733,""))</f>
        <v/>
      </c>
      <c r="J733" s="29" t="str">
        <f>IF(Analysis!$I733="","",IF(Analysis!$I733="Loyal but shallow",Analysis!$F733,""))</f>
        <v/>
      </c>
      <c r="K733" s="29" t="str">
        <f>IF(Analysis!$I733="","",IF(Analysis!$I733="Project-driven",Analysis!$F733,""))</f>
        <v/>
      </c>
      <c r="L733" s="29" t="str">
        <f>IF(Analysis!$I733="","",IF(Analysis!$I733="Drifting",Analysis!$F733,""))</f>
        <v/>
      </c>
      <c r="M733" s="29" t="str">
        <f>IF(Analysis!$I733="","",IF(Analysis!$I733="Embedded",Analysis!$H733,""))</f>
        <v/>
      </c>
      <c r="N733" s="29" t="str">
        <f>IF(Analysis!$I733="","",IF(Analysis!$I733="Loyal but shallow",Analysis!$H733,""))</f>
        <v/>
      </c>
      <c r="O733" s="29" t="str">
        <f>IF(Analysis!$I733="","",IF(Analysis!$I733="Project-driven",Analysis!$H733,""))</f>
        <v/>
      </c>
      <c r="P733" s="29" t="str">
        <f>IF(Analysis!$I733="","",IF(Analysis!$I733="Drifting",Analysis!$H733,""))</f>
        <v/>
      </c>
    </row>
    <row r="734" spans="1:16" x14ac:dyDescent="0.25">
      <c r="A734" s="29" t="str">
        <f>IF(Analysis!$I734="","",IF(Analysis!$I734="Embedded",Analysis!$D734,""))</f>
        <v/>
      </c>
      <c r="B734" s="29" t="str">
        <f>IF(Analysis!$I734="","",IF(Analysis!$I734="Loyal but shallow",Analysis!$D734,""))</f>
        <v/>
      </c>
      <c r="C734" s="29" t="str">
        <f>IF(Analysis!$I734="","",IF(Analysis!$I734="Project-driven",Analysis!$D734,""))</f>
        <v/>
      </c>
      <c r="D734" s="29" t="str">
        <f>IF(Analysis!$I734="","",IF(Analysis!$I734="Drifting",Analysis!$D734,""))</f>
        <v/>
      </c>
      <c r="E734" s="29" t="str">
        <f>IF(Analysis!$I734="","",IF(Analysis!$I734="Embedded",Analysis!$C734,""))</f>
        <v/>
      </c>
      <c r="F734" s="29" t="str">
        <f>IF(Analysis!$I734="","",IF(Analysis!$I734="Loyal but shallow",Analysis!$C734,""))</f>
        <v/>
      </c>
      <c r="G734" s="29" t="str">
        <f>IF(Analysis!$I734="","",IF(Analysis!$I734="Project-driven",Analysis!$C734,""))</f>
        <v/>
      </c>
      <c r="H734" s="29" t="str">
        <f>IF(Analysis!$I734="","",IF(Analysis!$I734="Drifting",Analysis!$C734,""))</f>
        <v/>
      </c>
      <c r="I734" s="29" t="str">
        <f>IF(Analysis!$I734="","",IF(Analysis!$I734="Embedded",Analysis!$F734,""))</f>
        <v/>
      </c>
      <c r="J734" s="29" t="str">
        <f>IF(Analysis!$I734="","",IF(Analysis!$I734="Loyal but shallow",Analysis!$F734,""))</f>
        <v/>
      </c>
      <c r="K734" s="29" t="str">
        <f>IF(Analysis!$I734="","",IF(Analysis!$I734="Project-driven",Analysis!$F734,""))</f>
        <v/>
      </c>
      <c r="L734" s="29" t="str">
        <f>IF(Analysis!$I734="","",IF(Analysis!$I734="Drifting",Analysis!$F734,""))</f>
        <v/>
      </c>
      <c r="M734" s="29" t="str">
        <f>IF(Analysis!$I734="","",IF(Analysis!$I734="Embedded",Analysis!$H734,""))</f>
        <v/>
      </c>
      <c r="N734" s="29" t="str">
        <f>IF(Analysis!$I734="","",IF(Analysis!$I734="Loyal but shallow",Analysis!$H734,""))</f>
        <v/>
      </c>
      <c r="O734" s="29" t="str">
        <f>IF(Analysis!$I734="","",IF(Analysis!$I734="Project-driven",Analysis!$H734,""))</f>
        <v/>
      </c>
      <c r="P734" s="29" t="str">
        <f>IF(Analysis!$I734="","",IF(Analysis!$I734="Drifting",Analysis!$H734,""))</f>
        <v/>
      </c>
    </row>
    <row r="735" spans="1:16" x14ac:dyDescent="0.25">
      <c r="A735" s="29" t="str">
        <f>IF(Analysis!$I735="","",IF(Analysis!$I735="Embedded",Analysis!$D735,""))</f>
        <v/>
      </c>
      <c r="B735" s="29" t="str">
        <f>IF(Analysis!$I735="","",IF(Analysis!$I735="Loyal but shallow",Analysis!$D735,""))</f>
        <v/>
      </c>
      <c r="C735" s="29" t="str">
        <f>IF(Analysis!$I735="","",IF(Analysis!$I735="Project-driven",Analysis!$D735,""))</f>
        <v/>
      </c>
      <c r="D735" s="29" t="str">
        <f>IF(Analysis!$I735="","",IF(Analysis!$I735="Drifting",Analysis!$D735,""))</f>
        <v/>
      </c>
      <c r="E735" s="29" t="str">
        <f>IF(Analysis!$I735="","",IF(Analysis!$I735="Embedded",Analysis!$C735,""))</f>
        <v/>
      </c>
      <c r="F735" s="29" t="str">
        <f>IF(Analysis!$I735="","",IF(Analysis!$I735="Loyal but shallow",Analysis!$C735,""))</f>
        <v/>
      </c>
      <c r="G735" s="29" t="str">
        <f>IF(Analysis!$I735="","",IF(Analysis!$I735="Project-driven",Analysis!$C735,""))</f>
        <v/>
      </c>
      <c r="H735" s="29" t="str">
        <f>IF(Analysis!$I735="","",IF(Analysis!$I735="Drifting",Analysis!$C735,""))</f>
        <v/>
      </c>
      <c r="I735" s="29" t="str">
        <f>IF(Analysis!$I735="","",IF(Analysis!$I735="Embedded",Analysis!$F735,""))</f>
        <v/>
      </c>
      <c r="J735" s="29" t="str">
        <f>IF(Analysis!$I735="","",IF(Analysis!$I735="Loyal but shallow",Analysis!$F735,""))</f>
        <v/>
      </c>
      <c r="K735" s="29" t="str">
        <f>IF(Analysis!$I735="","",IF(Analysis!$I735="Project-driven",Analysis!$F735,""))</f>
        <v/>
      </c>
      <c r="L735" s="29" t="str">
        <f>IF(Analysis!$I735="","",IF(Analysis!$I735="Drifting",Analysis!$F735,""))</f>
        <v/>
      </c>
      <c r="M735" s="29" t="str">
        <f>IF(Analysis!$I735="","",IF(Analysis!$I735="Embedded",Analysis!$H735,""))</f>
        <v/>
      </c>
      <c r="N735" s="29" t="str">
        <f>IF(Analysis!$I735="","",IF(Analysis!$I735="Loyal but shallow",Analysis!$H735,""))</f>
        <v/>
      </c>
      <c r="O735" s="29" t="str">
        <f>IF(Analysis!$I735="","",IF(Analysis!$I735="Project-driven",Analysis!$H735,""))</f>
        <v/>
      </c>
      <c r="P735" s="29" t="str">
        <f>IF(Analysis!$I735="","",IF(Analysis!$I735="Drifting",Analysis!$H735,""))</f>
        <v/>
      </c>
    </row>
    <row r="736" spans="1:16" x14ac:dyDescent="0.25">
      <c r="A736" s="29" t="str">
        <f>IF(Analysis!$I736="","",IF(Analysis!$I736="Embedded",Analysis!$D736,""))</f>
        <v/>
      </c>
      <c r="B736" s="29" t="str">
        <f>IF(Analysis!$I736="","",IF(Analysis!$I736="Loyal but shallow",Analysis!$D736,""))</f>
        <v/>
      </c>
      <c r="C736" s="29" t="str">
        <f>IF(Analysis!$I736="","",IF(Analysis!$I736="Project-driven",Analysis!$D736,""))</f>
        <v/>
      </c>
      <c r="D736" s="29" t="str">
        <f>IF(Analysis!$I736="","",IF(Analysis!$I736="Drifting",Analysis!$D736,""))</f>
        <v/>
      </c>
      <c r="E736" s="29" t="str">
        <f>IF(Analysis!$I736="","",IF(Analysis!$I736="Embedded",Analysis!$C736,""))</f>
        <v/>
      </c>
      <c r="F736" s="29" t="str">
        <f>IF(Analysis!$I736="","",IF(Analysis!$I736="Loyal but shallow",Analysis!$C736,""))</f>
        <v/>
      </c>
      <c r="G736" s="29" t="str">
        <f>IF(Analysis!$I736="","",IF(Analysis!$I736="Project-driven",Analysis!$C736,""))</f>
        <v/>
      </c>
      <c r="H736" s="29" t="str">
        <f>IF(Analysis!$I736="","",IF(Analysis!$I736="Drifting",Analysis!$C736,""))</f>
        <v/>
      </c>
      <c r="I736" s="29" t="str">
        <f>IF(Analysis!$I736="","",IF(Analysis!$I736="Embedded",Analysis!$F736,""))</f>
        <v/>
      </c>
      <c r="J736" s="29" t="str">
        <f>IF(Analysis!$I736="","",IF(Analysis!$I736="Loyal but shallow",Analysis!$F736,""))</f>
        <v/>
      </c>
      <c r="K736" s="29" t="str">
        <f>IF(Analysis!$I736="","",IF(Analysis!$I736="Project-driven",Analysis!$F736,""))</f>
        <v/>
      </c>
      <c r="L736" s="29" t="str">
        <f>IF(Analysis!$I736="","",IF(Analysis!$I736="Drifting",Analysis!$F736,""))</f>
        <v/>
      </c>
      <c r="M736" s="29" t="str">
        <f>IF(Analysis!$I736="","",IF(Analysis!$I736="Embedded",Analysis!$H736,""))</f>
        <v/>
      </c>
      <c r="N736" s="29" t="str">
        <f>IF(Analysis!$I736="","",IF(Analysis!$I736="Loyal but shallow",Analysis!$H736,""))</f>
        <v/>
      </c>
      <c r="O736" s="29" t="str">
        <f>IF(Analysis!$I736="","",IF(Analysis!$I736="Project-driven",Analysis!$H736,""))</f>
        <v/>
      </c>
      <c r="P736" s="29" t="str">
        <f>IF(Analysis!$I736="","",IF(Analysis!$I736="Drifting",Analysis!$H736,""))</f>
        <v/>
      </c>
    </row>
    <row r="737" spans="1:16" x14ac:dyDescent="0.25">
      <c r="A737" s="29" t="str">
        <f>IF(Analysis!$I737="","",IF(Analysis!$I737="Embedded",Analysis!$D737,""))</f>
        <v/>
      </c>
      <c r="B737" s="29" t="str">
        <f>IF(Analysis!$I737="","",IF(Analysis!$I737="Loyal but shallow",Analysis!$D737,""))</f>
        <v/>
      </c>
      <c r="C737" s="29" t="str">
        <f>IF(Analysis!$I737="","",IF(Analysis!$I737="Project-driven",Analysis!$D737,""))</f>
        <v/>
      </c>
      <c r="D737" s="29" t="str">
        <f>IF(Analysis!$I737="","",IF(Analysis!$I737="Drifting",Analysis!$D737,""))</f>
        <v/>
      </c>
      <c r="E737" s="29" t="str">
        <f>IF(Analysis!$I737="","",IF(Analysis!$I737="Embedded",Analysis!$C737,""))</f>
        <v/>
      </c>
      <c r="F737" s="29" t="str">
        <f>IF(Analysis!$I737="","",IF(Analysis!$I737="Loyal but shallow",Analysis!$C737,""))</f>
        <v/>
      </c>
      <c r="G737" s="29" t="str">
        <f>IF(Analysis!$I737="","",IF(Analysis!$I737="Project-driven",Analysis!$C737,""))</f>
        <v/>
      </c>
      <c r="H737" s="29" t="str">
        <f>IF(Analysis!$I737="","",IF(Analysis!$I737="Drifting",Analysis!$C737,""))</f>
        <v/>
      </c>
      <c r="I737" s="29" t="str">
        <f>IF(Analysis!$I737="","",IF(Analysis!$I737="Embedded",Analysis!$F737,""))</f>
        <v/>
      </c>
      <c r="J737" s="29" t="str">
        <f>IF(Analysis!$I737="","",IF(Analysis!$I737="Loyal but shallow",Analysis!$F737,""))</f>
        <v/>
      </c>
      <c r="K737" s="29" t="str">
        <f>IF(Analysis!$I737="","",IF(Analysis!$I737="Project-driven",Analysis!$F737,""))</f>
        <v/>
      </c>
      <c r="L737" s="29" t="str">
        <f>IF(Analysis!$I737="","",IF(Analysis!$I737="Drifting",Analysis!$F737,""))</f>
        <v/>
      </c>
      <c r="M737" s="29" t="str">
        <f>IF(Analysis!$I737="","",IF(Analysis!$I737="Embedded",Analysis!$H737,""))</f>
        <v/>
      </c>
      <c r="N737" s="29" t="str">
        <f>IF(Analysis!$I737="","",IF(Analysis!$I737="Loyal but shallow",Analysis!$H737,""))</f>
        <v/>
      </c>
      <c r="O737" s="29" t="str">
        <f>IF(Analysis!$I737="","",IF(Analysis!$I737="Project-driven",Analysis!$H737,""))</f>
        <v/>
      </c>
      <c r="P737" s="29" t="str">
        <f>IF(Analysis!$I737="","",IF(Analysis!$I737="Drifting",Analysis!$H737,""))</f>
        <v/>
      </c>
    </row>
    <row r="738" spans="1:16" x14ac:dyDescent="0.25">
      <c r="A738" s="29" t="str">
        <f>IF(Analysis!$I738="","",IF(Analysis!$I738="Embedded",Analysis!$D738,""))</f>
        <v/>
      </c>
      <c r="B738" s="29" t="str">
        <f>IF(Analysis!$I738="","",IF(Analysis!$I738="Loyal but shallow",Analysis!$D738,""))</f>
        <v/>
      </c>
      <c r="C738" s="29" t="str">
        <f>IF(Analysis!$I738="","",IF(Analysis!$I738="Project-driven",Analysis!$D738,""))</f>
        <v/>
      </c>
      <c r="D738" s="29" t="str">
        <f>IF(Analysis!$I738="","",IF(Analysis!$I738="Drifting",Analysis!$D738,""))</f>
        <v/>
      </c>
      <c r="E738" s="29" t="str">
        <f>IF(Analysis!$I738="","",IF(Analysis!$I738="Embedded",Analysis!$C738,""))</f>
        <v/>
      </c>
      <c r="F738" s="29" t="str">
        <f>IF(Analysis!$I738="","",IF(Analysis!$I738="Loyal but shallow",Analysis!$C738,""))</f>
        <v/>
      </c>
      <c r="G738" s="29" t="str">
        <f>IF(Analysis!$I738="","",IF(Analysis!$I738="Project-driven",Analysis!$C738,""))</f>
        <v/>
      </c>
      <c r="H738" s="29" t="str">
        <f>IF(Analysis!$I738="","",IF(Analysis!$I738="Drifting",Analysis!$C738,""))</f>
        <v/>
      </c>
      <c r="I738" s="29" t="str">
        <f>IF(Analysis!$I738="","",IF(Analysis!$I738="Embedded",Analysis!$F738,""))</f>
        <v/>
      </c>
      <c r="J738" s="29" t="str">
        <f>IF(Analysis!$I738="","",IF(Analysis!$I738="Loyal but shallow",Analysis!$F738,""))</f>
        <v/>
      </c>
      <c r="K738" s="29" t="str">
        <f>IF(Analysis!$I738="","",IF(Analysis!$I738="Project-driven",Analysis!$F738,""))</f>
        <v/>
      </c>
      <c r="L738" s="29" t="str">
        <f>IF(Analysis!$I738="","",IF(Analysis!$I738="Drifting",Analysis!$F738,""))</f>
        <v/>
      </c>
      <c r="M738" s="29" t="str">
        <f>IF(Analysis!$I738="","",IF(Analysis!$I738="Embedded",Analysis!$H738,""))</f>
        <v/>
      </c>
      <c r="N738" s="29" t="str">
        <f>IF(Analysis!$I738="","",IF(Analysis!$I738="Loyal but shallow",Analysis!$H738,""))</f>
        <v/>
      </c>
      <c r="O738" s="29" t="str">
        <f>IF(Analysis!$I738="","",IF(Analysis!$I738="Project-driven",Analysis!$H738,""))</f>
        <v/>
      </c>
      <c r="P738" s="29" t="str">
        <f>IF(Analysis!$I738="","",IF(Analysis!$I738="Drifting",Analysis!$H738,""))</f>
        <v/>
      </c>
    </row>
    <row r="739" spans="1:16" x14ac:dyDescent="0.25">
      <c r="A739" s="29" t="str">
        <f>IF(Analysis!$I739="","",IF(Analysis!$I739="Embedded",Analysis!$D739,""))</f>
        <v/>
      </c>
      <c r="B739" s="29" t="str">
        <f>IF(Analysis!$I739="","",IF(Analysis!$I739="Loyal but shallow",Analysis!$D739,""))</f>
        <v/>
      </c>
      <c r="C739" s="29" t="str">
        <f>IF(Analysis!$I739="","",IF(Analysis!$I739="Project-driven",Analysis!$D739,""))</f>
        <v/>
      </c>
      <c r="D739" s="29" t="str">
        <f>IF(Analysis!$I739="","",IF(Analysis!$I739="Drifting",Analysis!$D739,""))</f>
        <v/>
      </c>
      <c r="E739" s="29" t="str">
        <f>IF(Analysis!$I739="","",IF(Analysis!$I739="Embedded",Analysis!$C739,""))</f>
        <v/>
      </c>
      <c r="F739" s="29" t="str">
        <f>IF(Analysis!$I739="","",IF(Analysis!$I739="Loyal but shallow",Analysis!$C739,""))</f>
        <v/>
      </c>
      <c r="G739" s="29" t="str">
        <f>IF(Analysis!$I739="","",IF(Analysis!$I739="Project-driven",Analysis!$C739,""))</f>
        <v/>
      </c>
      <c r="H739" s="29" t="str">
        <f>IF(Analysis!$I739="","",IF(Analysis!$I739="Drifting",Analysis!$C739,""))</f>
        <v/>
      </c>
      <c r="I739" s="29" t="str">
        <f>IF(Analysis!$I739="","",IF(Analysis!$I739="Embedded",Analysis!$F739,""))</f>
        <v/>
      </c>
      <c r="J739" s="29" t="str">
        <f>IF(Analysis!$I739="","",IF(Analysis!$I739="Loyal but shallow",Analysis!$F739,""))</f>
        <v/>
      </c>
      <c r="K739" s="29" t="str">
        <f>IF(Analysis!$I739="","",IF(Analysis!$I739="Project-driven",Analysis!$F739,""))</f>
        <v/>
      </c>
      <c r="L739" s="29" t="str">
        <f>IF(Analysis!$I739="","",IF(Analysis!$I739="Drifting",Analysis!$F739,""))</f>
        <v/>
      </c>
      <c r="M739" s="29" t="str">
        <f>IF(Analysis!$I739="","",IF(Analysis!$I739="Embedded",Analysis!$H739,""))</f>
        <v/>
      </c>
      <c r="N739" s="29" t="str">
        <f>IF(Analysis!$I739="","",IF(Analysis!$I739="Loyal but shallow",Analysis!$H739,""))</f>
        <v/>
      </c>
      <c r="O739" s="29" t="str">
        <f>IF(Analysis!$I739="","",IF(Analysis!$I739="Project-driven",Analysis!$H739,""))</f>
        <v/>
      </c>
      <c r="P739" s="29" t="str">
        <f>IF(Analysis!$I739="","",IF(Analysis!$I739="Drifting",Analysis!$H739,""))</f>
        <v/>
      </c>
    </row>
    <row r="740" spans="1:16" x14ac:dyDescent="0.25">
      <c r="A740" s="29" t="str">
        <f>IF(Analysis!$I740="","",IF(Analysis!$I740="Embedded",Analysis!$D740,""))</f>
        <v/>
      </c>
      <c r="B740" s="29" t="str">
        <f>IF(Analysis!$I740="","",IF(Analysis!$I740="Loyal but shallow",Analysis!$D740,""))</f>
        <v/>
      </c>
      <c r="C740" s="29" t="str">
        <f>IF(Analysis!$I740="","",IF(Analysis!$I740="Project-driven",Analysis!$D740,""))</f>
        <v/>
      </c>
      <c r="D740" s="29" t="str">
        <f>IF(Analysis!$I740="","",IF(Analysis!$I740="Drifting",Analysis!$D740,""))</f>
        <v/>
      </c>
      <c r="E740" s="29" t="str">
        <f>IF(Analysis!$I740="","",IF(Analysis!$I740="Embedded",Analysis!$C740,""))</f>
        <v/>
      </c>
      <c r="F740" s="29" t="str">
        <f>IF(Analysis!$I740="","",IF(Analysis!$I740="Loyal but shallow",Analysis!$C740,""))</f>
        <v/>
      </c>
      <c r="G740" s="29" t="str">
        <f>IF(Analysis!$I740="","",IF(Analysis!$I740="Project-driven",Analysis!$C740,""))</f>
        <v/>
      </c>
      <c r="H740" s="29" t="str">
        <f>IF(Analysis!$I740="","",IF(Analysis!$I740="Drifting",Analysis!$C740,""))</f>
        <v/>
      </c>
      <c r="I740" s="29" t="str">
        <f>IF(Analysis!$I740="","",IF(Analysis!$I740="Embedded",Analysis!$F740,""))</f>
        <v/>
      </c>
      <c r="J740" s="29" t="str">
        <f>IF(Analysis!$I740="","",IF(Analysis!$I740="Loyal but shallow",Analysis!$F740,""))</f>
        <v/>
      </c>
      <c r="K740" s="29" t="str">
        <f>IF(Analysis!$I740="","",IF(Analysis!$I740="Project-driven",Analysis!$F740,""))</f>
        <v/>
      </c>
      <c r="L740" s="29" t="str">
        <f>IF(Analysis!$I740="","",IF(Analysis!$I740="Drifting",Analysis!$F740,""))</f>
        <v/>
      </c>
      <c r="M740" s="29" t="str">
        <f>IF(Analysis!$I740="","",IF(Analysis!$I740="Embedded",Analysis!$H740,""))</f>
        <v/>
      </c>
      <c r="N740" s="29" t="str">
        <f>IF(Analysis!$I740="","",IF(Analysis!$I740="Loyal but shallow",Analysis!$H740,""))</f>
        <v/>
      </c>
      <c r="O740" s="29" t="str">
        <f>IF(Analysis!$I740="","",IF(Analysis!$I740="Project-driven",Analysis!$H740,""))</f>
        <v/>
      </c>
      <c r="P740" s="29" t="str">
        <f>IF(Analysis!$I740="","",IF(Analysis!$I740="Drifting",Analysis!$H740,""))</f>
        <v/>
      </c>
    </row>
    <row r="741" spans="1:16" x14ac:dyDescent="0.25">
      <c r="A741" s="29" t="str">
        <f>IF(Analysis!$I741="","",IF(Analysis!$I741="Embedded",Analysis!$D741,""))</f>
        <v/>
      </c>
      <c r="B741" s="29" t="str">
        <f>IF(Analysis!$I741="","",IF(Analysis!$I741="Loyal but shallow",Analysis!$D741,""))</f>
        <v/>
      </c>
      <c r="C741" s="29" t="str">
        <f>IF(Analysis!$I741="","",IF(Analysis!$I741="Project-driven",Analysis!$D741,""))</f>
        <v/>
      </c>
      <c r="D741" s="29" t="str">
        <f>IF(Analysis!$I741="","",IF(Analysis!$I741="Drifting",Analysis!$D741,""))</f>
        <v/>
      </c>
      <c r="E741" s="29" t="str">
        <f>IF(Analysis!$I741="","",IF(Analysis!$I741="Embedded",Analysis!$C741,""))</f>
        <v/>
      </c>
      <c r="F741" s="29" t="str">
        <f>IF(Analysis!$I741="","",IF(Analysis!$I741="Loyal but shallow",Analysis!$C741,""))</f>
        <v/>
      </c>
      <c r="G741" s="29" t="str">
        <f>IF(Analysis!$I741="","",IF(Analysis!$I741="Project-driven",Analysis!$C741,""))</f>
        <v/>
      </c>
      <c r="H741" s="29" t="str">
        <f>IF(Analysis!$I741="","",IF(Analysis!$I741="Drifting",Analysis!$C741,""))</f>
        <v/>
      </c>
      <c r="I741" s="29" t="str">
        <f>IF(Analysis!$I741="","",IF(Analysis!$I741="Embedded",Analysis!$F741,""))</f>
        <v/>
      </c>
      <c r="J741" s="29" t="str">
        <f>IF(Analysis!$I741="","",IF(Analysis!$I741="Loyal but shallow",Analysis!$F741,""))</f>
        <v/>
      </c>
      <c r="K741" s="29" t="str">
        <f>IF(Analysis!$I741="","",IF(Analysis!$I741="Project-driven",Analysis!$F741,""))</f>
        <v/>
      </c>
      <c r="L741" s="29" t="str">
        <f>IF(Analysis!$I741="","",IF(Analysis!$I741="Drifting",Analysis!$F741,""))</f>
        <v/>
      </c>
      <c r="M741" s="29" t="str">
        <f>IF(Analysis!$I741="","",IF(Analysis!$I741="Embedded",Analysis!$H741,""))</f>
        <v/>
      </c>
      <c r="N741" s="29" t="str">
        <f>IF(Analysis!$I741="","",IF(Analysis!$I741="Loyal but shallow",Analysis!$H741,""))</f>
        <v/>
      </c>
      <c r="O741" s="29" t="str">
        <f>IF(Analysis!$I741="","",IF(Analysis!$I741="Project-driven",Analysis!$H741,""))</f>
        <v/>
      </c>
      <c r="P741" s="29" t="str">
        <f>IF(Analysis!$I741="","",IF(Analysis!$I741="Drifting",Analysis!$H741,""))</f>
        <v/>
      </c>
    </row>
    <row r="742" spans="1:16" x14ac:dyDescent="0.25">
      <c r="A742" s="29" t="str">
        <f>IF(Analysis!$I742="","",IF(Analysis!$I742="Embedded",Analysis!$D742,""))</f>
        <v/>
      </c>
      <c r="B742" s="29" t="str">
        <f>IF(Analysis!$I742="","",IF(Analysis!$I742="Loyal but shallow",Analysis!$D742,""))</f>
        <v/>
      </c>
      <c r="C742" s="29" t="str">
        <f>IF(Analysis!$I742="","",IF(Analysis!$I742="Project-driven",Analysis!$D742,""))</f>
        <v/>
      </c>
      <c r="D742" s="29" t="str">
        <f>IF(Analysis!$I742="","",IF(Analysis!$I742="Drifting",Analysis!$D742,""))</f>
        <v/>
      </c>
      <c r="E742" s="29" t="str">
        <f>IF(Analysis!$I742="","",IF(Analysis!$I742="Embedded",Analysis!$C742,""))</f>
        <v/>
      </c>
      <c r="F742" s="29" t="str">
        <f>IF(Analysis!$I742="","",IF(Analysis!$I742="Loyal but shallow",Analysis!$C742,""))</f>
        <v/>
      </c>
      <c r="G742" s="29" t="str">
        <f>IF(Analysis!$I742="","",IF(Analysis!$I742="Project-driven",Analysis!$C742,""))</f>
        <v/>
      </c>
      <c r="H742" s="29" t="str">
        <f>IF(Analysis!$I742="","",IF(Analysis!$I742="Drifting",Analysis!$C742,""))</f>
        <v/>
      </c>
      <c r="I742" s="29" t="str">
        <f>IF(Analysis!$I742="","",IF(Analysis!$I742="Embedded",Analysis!$F742,""))</f>
        <v/>
      </c>
      <c r="J742" s="29" t="str">
        <f>IF(Analysis!$I742="","",IF(Analysis!$I742="Loyal but shallow",Analysis!$F742,""))</f>
        <v/>
      </c>
      <c r="K742" s="29" t="str">
        <f>IF(Analysis!$I742="","",IF(Analysis!$I742="Project-driven",Analysis!$F742,""))</f>
        <v/>
      </c>
      <c r="L742" s="29" t="str">
        <f>IF(Analysis!$I742="","",IF(Analysis!$I742="Drifting",Analysis!$F742,""))</f>
        <v/>
      </c>
      <c r="M742" s="29" t="str">
        <f>IF(Analysis!$I742="","",IF(Analysis!$I742="Embedded",Analysis!$H742,""))</f>
        <v/>
      </c>
      <c r="N742" s="29" t="str">
        <f>IF(Analysis!$I742="","",IF(Analysis!$I742="Loyal but shallow",Analysis!$H742,""))</f>
        <v/>
      </c>
      <c r="O742" s="29" t="str">
        <f>IF(Analysis!$I742="","",IF(Analysis!$I742="Project-driven",Analysis!$H742,""))</f>
        <v/>
      </c>
      <c r="P742" s="29" t="str">
        <f>IF(Analysis!$I742="","",IF(Analysis!$I742="Drifting",Analysis!$H742,""))</f>
        <v/>
      </c>
    </row>
    <row r="743" spans="1:16" x14ac:dyDescent="0.25">
      <c r="A743" s="29" t="str">
        <f>IF(Analysis!$I743="","",IF(Analysis!$I743="Embedded",Analysis!$D743,""))</f>
        <v/>
      </c>
      <c r="B743" s="29" t="str">
        <f>IF(Analysis!$I743="","",IF(Analysis!$I743="Loyal but shallow",Analysis!$D743,""))</f>
        <v/>
      </c>
      <c r="C743" s="29" t="str">
        <f>IF(Analysis!$I743="","",IF(Analysis!$I743="Project-driven",Analysis!$D743,""))</f>
        <v/>
      </c>
      <c r="D743" s="29" t="str">
        <f>IF(Analysis!$I743="","",IF(Analysis!$I743="Drifting",Analysis!$D743,""))</f>
        <v/>
      </c>
      <c r="E743" s="29" t="str">
        <f>IF(Analysis!$I743="","",IF(Analysis!$I743="Embedded",Analysis!$C743,""))</f>
        <v/>
      </c>
      <c r="F743" s="29" t="str">
        <f>IF(Analysis!$I743="","",IF(Analysis!$I743="Loyal but shallow",Analysis!$C743,""))</f>
        <v/>
      </c>
      <c r="G743" s="29" t="str">
        <f>IF(Analysis!$I743="","",IF(Analysis!$I743="Project-driven",Analysis!$C743,""))</f>
        <v/>
      </c>
      <c r="H743" s="29" t="str">
        <f>IF(Analysis!$I743="","",IF(Analysis!$I743="Drifting",Analysis!$C743,""))</f>
        <v/>
      </c>
      <c r="I743" s="29" t="str">
        <f>IF(Analysis!$I743="","",IF(Analysis!$I743="Embedded",Analysis!$F743,""))</f>
        <v/>
      </c>
      <c r="J743" s="29" t="str">
        <f>IF(Analysis!$I743="","",IF(Analysis!$I743="Loyal but shallow",Analysis!$F743,""))</f>
        <v/>
      </c>
      <c r="K743" s="29" t="str">
        <f>IF(Analysis!$I743="","",IF(Analysis!$I743="Project-driven",Analysis!$F743,""))</f>
        <v/>
      </c>
      <c r="L743" s="29" t="str">
        <f>IF(Analysis!$I743="","",IF(Analysis!$I743="Drifting",Analysis!$F743,""))</f>
        <v/>
      </c>
      <c r="M743" s="29" t="str">
        <f>IF(Analysis!$I743="","",IF(Analysis!$I743="Embedded",Analysis!$H743,""))</f>
        <v/>
      </c>
      <c r="N743" s="29" t="str">
        <f>IF(Analysis!$I743="","",IF(Analysis!$I743="Loyal but shallow",Analysis!$H743,""))</f>
        <v/>
      </c>
      <c r="O743" s="29" t="str">
        <f>IF(Analysis!$I743="","",IF(Analysis!$I743="Project-driven",Analysis!$H743,""))</f>
        <v/>
      </c>
      <c r="P743" s="29" t="str">
        <f>IF(Analysis!$I743="","",IF(Analysis!$I743="Drifting",Analysis!$H743,""))</f>
        <v/>
      </c>
    </row>
    <row r="744" spans="1:16" x14ac:dyDescent="0.25">
      <c r="A744" s="29" t="str">
        <f>IF(Analysis!$I744="","",IF(Analysis!$I744="Embedded",Analysis!$D744,""))</f>
        <v/>
      </c>
      <c r="B744" s="29" t="str">
        <f>IF(Analysis!$I744="","",IF(Analysis!$I744="Loyal but shallow",Analysis!$D744,""))</f>
        <v/>
      </c>
      <c r="C744" s="29" t="str">
        <f>IF(Analysis!$I744="","",IF(Analysis!$I744="Project-driven",Analysis!$D744,""))</f>
        <v/>
      </c>
      <c r="D744" s="29" t="str">
        <f>IF(Analysis!$I744="","",IF(Analysis!$I744="Drifting",Analysis!$D744,""))</f>
        <v/>
      </c>
      <c r="E744" s="29" t="str">
        <f>IF(Analysis!$I744="","",IF(Analysis!$I744="Embedded",Analysis!$C744,""))</f>
        <v/>
      </c>
      <c r="F744" s="29" t="str">
        <f>IF(Analysis!$I744="","",IF(Analysis!$I744="Loyal but shallow",Analysis!$C744,""))</f>
        <v/>
      </c>
      <c r="G744" s="29" t="str">
        <f>IF(Analysis!$I744="","",IF(Analysis!$I744="Project-driven",Analysis!$C744,""))</f>
        <v/>
      </c>
      <c r="H744" s="29" t="str">
        <f>IF(Analysis!$I744="","",IF(Analysis!$I744="Drifting",Analysis!$C744,""))</f>
        <v/>
      </c>
      <c r="I744" s="29" t="str">
        <f>IF(Analysis!$I744="","",IF(Analysis!$I744="Embedded",Analysis!$F744,""))</f>
        <v/>
      </c>
      <c r="J744" s="29" t="str">
        <f>IF(Analysis!$I744="","",IF(Analysis!$I744="Loyal but shallow",Analysis!$F744,""))</f>
        <v/>
      </c>
      <c r="K744" s="29" t="str">
        <f>IF(Analysis!$I744="","",IF(Analysis!$I744="Project-driven",Analysis!$F744,""))</f>
        <v/>
      </c>
      <c r="L744" s="29" t="str">
        <f>IF(Analysis!$I744="","",IF(Analysis!$I744="Drifting",Analysis!$F744,""))</f>
        <v/>
      </c>
      <c r="M744" s="29" t="str">
        <f>IF(Analysis!$I744="","",IF(Analysis!$I744="Embedded",Analysis!$H744,""))</f>
        <v/>
      </c>
      <c r="N744" s="29" t="str">
        <f>IF(Analysis!$I744="","",IF(Analysis!$I744="Loyal but shallow",Analysis!$H744,""))</f>
        <v/>
      </c>
      <c r="O744" s="29" t="str">
        <f>IF(Analysis!$I744="","",IF(Analysis!$I744="Project-driven",Analysis!$H744,""))</f>
        <v/>
      </c>
      <c r="P744" s="29" t="str">
        <f>IF(Analysis!$I744="","",IF(Analysis!$I744="Drifting",Analysis!$H744,""))</f>
        <v/>
      </c>
    </row>
    <row r="745" spans="1:16" x14ac:dyDescent="0.25">
      <c r="A745" s="29" t="str">
        <f>IF(Analysis!$I745="","",IF(Analysis!$I745="Embedded",Analysis!$D745,""))</f>
        <v/>
      </c>
      <c r="B745" s="29" t="str">
        <f>IF(Analysis!$I745="","",IF(Analysis!$I745="Loyal but shallow",Analysis!$D745,""))</f>
        <v/>
      </c>
      <c r="C745" s="29" t="str">
        <f>IF(Analysis!$I745="","",IF(Analysis!$I745="Project-driven",Analysis!$D745,""))</f>
        <v/>
      </c>
      <c r="D745" s="29" t="str">
        <f>IF(Analysis!$I745="","",IF(Analysis!$I745="Drifting",Analysis!$D745,""))</f>
        <v/>
      </c>
      <c r="E745" s="29" t="str">
        <f>IF(Analysis!$I745="","",IF(Analysis!$I745="Embedded",Analysis!$C745,""))</f>
        <v/>
      </c>
      <c r="F745" s="29" t="str">
        <f>IF(Analysis!$I745="","",IF(Analysis!$I745="Loyal but shallow",Analysis!$C745,""))</f>
        <v/>
      </c>
      <c r="G745" s="29" t="str">
        <f>IF(Analysis!$I745="","",IF(Analysis!$I745="Project-driven",Analysis!$C745,""))</f>
        <v/>
      </c>
      <c r="H745" s="29" t="str">
        <f>IF(Analysis!$I745="","",IF(Analysis!$I745="Drifting",Analysis!$C745,""))</f>
        <v/>
      </c>
      <c r="I745" s="29" t="str">
        <f>IF(Analysis!$I745="","",IF(Analysis!$I745="Embedded",Analysis!$F745,""))</f>
        <v/>
      </c>
      <c r="J745" s="29" t="str">
        <f>IF(Analysis!$I745="","",IF(Analysis!$I745="Loyal but shallow",Analysis!$F745,""))</f>
        <v/>
      </c>
      <c r="K745" s="29" t="str">
        <f>IF(Analysis!$I745="","",IF(Analysis!$I745="Project-driven",Analysis!$F745,""))</f>
        <v/>
      </c>
      <c r="L745" s="29" t="str">
        <f>IF(Analysis!$I745="","",IF(Analysis!$I745="Drifting",Analysis!$F745,""))</f>
        <v/>
      </c>
      <c r="M745" s="29" t="str">
        <f>IF(Analysis!$I745="","",IF(Analysis!$I745="Embedded",Analysis!$H745,""))</f>
        <v/>
      </c>
      <c r="N745" s="29" t="str">
        <f>IF(Analysis!$I745="","",IF(Analysis!$I745="Loyal but shallow",Analysis!$H745,""))</f>
        <v/>
      </c>
      <c r="O745" s="29" t="str">
        <f>IF(Analysis!$I745="","",IF(Analysis!$I745="Project-driven",Analysis!$H745,""))</f>
        <v/>
      </c>
      <c r="P745" s="29" t="str">
        <f>IF(Analysis!$I745="","",IF(Analysis!$I745="Drifting",Analysis!$H745,""))</f>
        <v/>
      </c>
    </row>
    <row r="746" spans="1:16" x14ac:dyDescent="0.25">
      <c r="A746" s="29" t="str">
        <f>IF(Analysis!$I746="","",IF(Analysis!$I746="Embedded",Analysis!$D746,""))</f>
        <v/>
      </c>
      <c r="B746" s="29" t="str">
        <f>IF(Analysis!$I746="","",IF(Analysis!$I746="Loyal but shallow",Analysis!$D746,""))</f>
        <v/>
      </c>
      <c r="C746" s="29" t="str">
        <f>IF(Analysis!$I746="","",IF(Analysis!$I746="Project-driven",Analysis!$D746,""))</f>
        <v/>
      </c>
      <c r="D746" s="29" t="str">
        <f>IF(Analysis!$I746="","",IF(Analysis!$I746="Drifting",Analysis!$D746,""))</f>
        <v/>
      </c>
      <c r="E746" s="29" t="str">
        <f>IF(Analysis!$I746="","",IF(Analysis!$I746="Embedded",Analysis!$C746,""))</f>
        <v/>
      </c>
      <c r="F746" s="29" t="str">
        <f>IF(Analysis!$I746="","",IF(Analysis!$I746="Loyal but shallow",Analysis!$C746,""))</f>
        <v/>
      </c>
      <c r="G746" s="29" t="str">
        <f>IF(Analysis!$I746="","",IF(Analysis!$I746="Project-driven",Analysis!$C746,""))</f>
        <v/>
      </c>
      <c r="H746" s="29" t="str">
        <f>IF(Analysis!$I746="","",IF(Analysis!$I746="Drifting",Analysis!$C746,""))</f>
        <v/>
      </c>
      <c r="I746" s="29" t="str">
        <f>IF(Analysis!$I746="","",IF(Analysis!$I746="Embedded",Analysis!$F746,""))</f>
        <v/>
      </c>
      <c r="J746" s="29" t="str">
        <f>IF(Analysis!$I746="","",IF(Analysis!$I746="Loyal but shallow",Analysis!$F746,""))</f>
        <v/>
      </c>
      <c r="K746" s="29" t="str">
        <f>IF(Analysis!$I746="","",IF(Analysis!$I746="Project-driven",Analysis!$F746,""))</f>
        <v/>
      </c>
      <c r="L746" s="29" t="str">
        <f>IF(Analysis!$I746="","",IF(Analysis!$I746="Drifting",Analysis!$F746,""))</f>
        <v/>
      </c>
      <c r="M746" s="29" t="str">
        <f>IF(Analysis!$I746="","",IF(Analysis!$I746="Embedded",Analysis!$H746,""))</f>
        <v/>
      </c>
      <c r="N746" s="29" t="str">
        <f>IF(Analysis!$I746="","",IF(Analysis!$I746="Loyal but shallow",Analysis!$H746,""))</f>
        <v/>
      </c>
      <c r="O746" s="29" t="str">
        <f>IF(Analysis!$I746="","",IF(Analysis!$I746="Project-driven",Analysis!$H746,""))</f>
        <v/>
      </c>
      <c r="P746" s="29" t="str">
        <f>IF(Analysis!$I746="","",IF(Analysis!$I746="Drifting",Analysis!$H746,""))</f>
        <v/>
      </c>
    </row>
    <row r="747" spans="1:16" x14ac:dyDescent="0.25">
      <c r="A747" s="29" t="str">
        <f>IF(Analysis!$I747="","",IF(Analysis!$I747="Embedded",Analysis!$D747,""))</f>
        <v/>
      </c>
      <c r="B747" s="29" t="str">
        <f>IF(Analysis!$I747="","",IF(Analysis!$I747="Loyal but shallow",Analysis!$D747,""))</f>
        <v/>
      </c>
      <c r="C747" s="29" t="str">
        <f>IF(Analysis!$I747="","",IF(Analysis!$I747="Project-driven",Analysis!$D747,""))</f>
        <v/>
      </c>
      <c r="D747" s="29" t="str">
        <f>IF(Analysis!$I747="","",IF(Analysis!$I747="Drifting",Analysis!$D747,""))</f>
        <v/>
      </c>
      <c r="E747" s="29" t="str">
        <f>IF(Analysis!$I747="","",IF(Analysis!$I747="Embedded",Analysis!$C747,""))</f>
        <v/>
      </c>
      <c r="F747" s="29" t="str">
        <f>IF(Analysis!$I747="","",IF(Analysis!$I747="Loyal but shallow",Analysis!$C747,""))</f>
        <v/>
      </c>
      <c r="G747" s="29" t="str">
        <f>IF(Analysis!$I747="","",IF(Analysis!$I747="Project-driven",Analysis!$C747,""))</f>
        <v/>
      </c>
      <c r="H747" s="29" t="str">
        <f>IF(Analysis!$I747="","",IF(Analysis!$I747="Drifting",Analysis!$C747,""))</f>
        <v/>
      </c>
      <c r="I747" s="29" t="str">
        <f>IF(Analysis!$I747="","",IF(Analysis!$I747="Embedded",Analysis!$F747,""))</f>
        <v/>
      </c>
      <c r="J747" s="29" t="str">
        <f>IF(Analysis!$I747="","",IF(Analysis!$I747="Loyal but shallow",Analysis!$F747,""))</f>
        <v/>
      </c>
      <c r="K747" s="29" t="str">
        <f>IF(Analysis!$I747="","",IF(Analysis!$I747="Project-driven",Analysis!$F747,""))</f>
        <v/>
      </c>
      <c r="L747" s="29" t="str">
        <f>IF(Analysis!$I747="","",IF(Analysis!$I747="Drifting",Analysis!$F747,""))</f>
        <v/>
      </c>
      <c r="M747" s="29" t="str">
        <f>IF(Analysis!$I747="","",IF(Analysis!$I747="Embedded",Analysis!$H747,""))</f>
        <v/>
      </c>
      <c r="N747" s="29" t="str">
        <f>IF(Analysis!$I747="","",IF(Analysis!$I747="Loyal but shallow",Analysis!$H747,""))</f>
        <v/>
      </c>
      <c r="O747" s="29" t="str">
        <f>IF(Analysis!$I747="","",IF(Analysis!$I747="Project-driven",Analysis!$H747,""))</f>
        <v/>
      </c>
      <c r="P747" s="29" t="str">
        <f>IF(Analysis!$I747="","",IF(Analysis!$I747="Drifting",Analysis!$H747,""))</f>
        <v/>
      </c>
    </row>
    <row r="748" spans="1:16" x14ac:dyDescent="0.25">
      <c r="A748" s="29" t="str">
        <f>IF(Analysis!$I748="","",IF(Analysis!$I748="Embedded",Analysis!$D748,""))</f>
        <v/>
      </c>
      <c r="B748" s="29" t="str">
        <f>IF(Analysis!$I748="","",IF(Analysis!$I748="Loyal but shallow",Analysis!$D748,""))</f>
        <v/>
      </c>
      <c r="C748" s="29" t="str">
        <f>IF(Analysis!$I748="","",IF(Analysis!$I748="Project-driven",Analysis!$D748,""))</f>
        <v/>
      </c>
      <c r="D748" s="29" t="str">
        <f>IF(Analysis!$I748="","",IF(Analysis!$I748="Drifting",Analysis!$D748,""))</f>
        <v/>
      </c>
      <c r="E748" s="29" t="str">
        <f>IF(Analysis!$I748="","",IF(Analysis!$I748="Embedded",Analysis!$C748,""))</f>
        <v/>
      </c>
      <c r="F748" s="29" t="str">
        <f>IF(Analysis!$I748="","",IF(Analysis!$I748="Loyal but shallow",Analysis!$C748,""))</f>
        <v/>
      </c>
      <c r="G748" s="29" t="str">
        <f>IF(Analysis!$I748="","",IF(Analysis!$I748="Project-driven",Analysis!$C748,""))</f>
        <v/>
      </c>
      <c r="H748" s="29" t="str">
        <f>IF(Analysis!$I748="","",IF(Analysis!$I748="Drifting",Analysis!$C748,""))</f>
        <v/>
      </c>
      <c r="I748" s="29" t="str">
        <f>IF(Analysis!$I748="","",IF(Analysis!$I748="Embedded",Analysis!$F748,""))</f>
        <v/>
      </c>
      <c r="J748" s="29" t="str">
        <f>IF(Analysis!$I748="","",IF(Analysis!$I748="Loyal but shallow",Analysis!$F748,""))</f>
        <v/>
      </c>
      <c r="K748" s="29" t="str">
        <f>IF(Analysis!$I748="","",IF(Analysis!$I748="Project-driven",Analysis!$F748,""))</f>
        <v/>
      </c>
      <c r="L748" s="29" t="str">
        <f>IF(Analysis!$I748="","",IF(Analysis!$I748="Drifting",Analysis!$F748,""))</f>
        <v/>
      </c>
      <c r="M748" s="29" t="str">
        <f>IF(Analysis!$I748="","",IF(Analysis!$I748="Embedded",Analysis!$H748,""))</f>
        <v/>
      </c>
      <c r="N748" s="29" t="str">
        <f>IF(Analysis!$I748="","",IF(Analysis!$I748="Loyal but shallow",Analysis!$H748,""))</f>
        <v/>
      </c>
      <c r="O748" s="29" t="str">
        <f>IF(Analysis!$I748="","",IF(Analysis!$I748="Project-driven",Analysis!$H748,""))</f>
        <v/>
      </c>
      <c r="P748" s="29" t="str">
        <f>IF(Analysis!$I748="","",IF(Analysis!$I748="Drifting",Analysis!$H748,""))</f>
        <v/>
      </c>
    </row>
    <row r="749" spans="1:16" x14ac:dyDescent="0.25">
      <c r="A749" s="29" t="str">
        <f>IF(Analysis!$I749="","",IF(Analysis!$I749="Embedded",Analysis!$D749,""))</f>
        <v/>
      </c>
      <c r="B749" s="29" t="str">
        <f>IF(Analysis!$I749="","",IF(Analysis!$I749="Loyal but shallow",Analysis!$D749,""))</f>
        <v/>
      </c>
      <c r="C749" s="29" t="str">
        <f>IF(Analysis!$I749="","",IF(Analysis!$I749="Project-driven",Analysis!$D749,""))</f>
        <v/>
      </c>
      <c r="D749" s="29" t="str">
        <f>IF(Analysis!$I749="","",IF(Analysis!$I749="Drifting",Analysis!$D749,""))</f>
        <v/>
      </c>
      <c r="E749" s="29" t="str">
        <f>IF(Analysis!$I749="","",IF(Analysis!$I749="Embedded",Analysis!$C749,""))</f>
        <v/>
      </c>
      <c r="F749" s="29" t="str">
        <f>IF(Analysis!$I749="","",IF(Analysis!$I749="Loyal but shallow",Analysis!$C749,""))</f>
        <v/>
      </c>
      <c r="G749" s="29" t="str">
        <f>IF(Analysis!$I749="","",IF(Analysis!$I749="Project-driven",Analysis!$C749,""))</f>
        <v/>
      </c>
      <c r="H749" s="29" t="str">
        <f>IF(Analysis!$I749="","",IF(Analysis!$I749="Drifting",Analysis!$C749,""))</f>
        <v/>
      </c>
      <c r="I749" s="29" t="str">
        <f>IF(Analysis!$I749="","",IF(Analysis!$I749="Embedded",Analysis!$F749,""))</f>
        <v/>
      </c>
      <c r="J749" s="29" t="str">
        <f>IF(Analysis!$I749="","",IF(Analysis!$I749="Loyal but shallow",Analysis!$F749,""))</f>
        <v/>
      </c>
      <c r="K749" s="29" t="str">
        <f>IF(Analysis!$I749="","",IF(Analysis!$I749="Project-driven",Analysis!$F749,""))</f>
        <v/>
      </c>
      <c r="L749" s="29" t="str">
        <f>IF(Analysis!$I749="","",IF(Analysis!$I749="Drifting",Analysis!$F749,""))</f>
        <v/>
      </c>
      <c r="M749" s="29" t="str">
        <f>IF(Analysis!$I749="","",IF(Analysis!$I749="Embedded",Analysis!$H749,""))</f>
        <v/>
      </c>
      <c r="N749" s="29" t="str">
        <f>IF(Analysis!$I749="","",IF(Analysis!$I749="Loyal but shallow",Analysis!$H749,""))</f>
        <v/>
      </c>
      <c r="O749" s="29" t="str">
        <f>IF(Analysis!$I749="","",IF(Analysis!$I749="Project-driven",Analysis!$H749,""))</f>
        <v/>
      </c>
      <c r="P749" s="29" t="str">
        <f>IF(Analysis!$I749="","",IF(Analysis!$I749="Drifting",Analysis!$H749,""))</f>
        <v/>
      </c>
    </row>
    <row r="750" spans="1:16" x14ac:dyDescent="0.25">
      <c r="A750" s="29" t="str">
        <f>IF(Analysis!$I750="","",IF(Analysis!$I750="Embedded",Analysis!$D750,""))</f>
        <v/>
      </c>
      <c r="B750" s="29" t="str">
        <f>IF(Analysis!$I750="","",IF(Analysis!$I750="Loyal but shallow",Analysis!$D750,""))</f>
        <v/>
      </c>
      <c r="C750" s="29" t="str">
        <f>IF(Analysis!$I750="","",IF(Analysis!$I750="Project-driven",Analysis!$D750,""))</f>
        <v/>
      </c>
      <c r="D750" s="29" t="str">
        <f>IF(Analysis!$I750="","",IF(Analysis!$I750="Drifting",Analysis!$D750,""))</f>
        <v/>
      </c>
      <c r="E750" s="29" t="str">
        <f>IF(Analysis!$I750="","",IF(Analysis!$I750="Embedded",Analysis!$C750,""))</f>
        <v/>
      </c>
      <c r="F750" s="29" t="str">
        <f>IF(Analysis!$I750="","",IF(Analysis!$I750="Loyal but shallow",Analysis!$C750,""))</f>
        <v/>
      </c>
      <c r="G750" s="29" t="str">
        <f>IF(Analysis!$I750="","",IF(Analysis!$I750="Project-driven",Analysis!$C750,""))</f>
        <v/>
      </c>
      <c r="H750" s="29" t="str">
        <f>IF(Analysis!$I750="","",IF(Analysis!$I750="Drifting",Analysis!$C750,""))</f>
        <v/>
      </c>
      <c r="I750" s="29" t="str">
        <f>IF(Analysis!$I750="","",IF(Analysis!$I750="Embedded",Analysis!$F750,""))</f>
        <v/>
      </c>
      <c r="J750" s="29" t="str">
        <f>IF(Analysis!$I750="","",IF(Analysis!$I750="Loyal but shallow",Analysis!$F750,""))</f>
        <v/>
      </c>
      <c r="K750" s="29" t="str">
        <f>IF(Analysis!$I750="","",IF(Analysis!$I750="Project-driven",Analysis!$F750,""))</f>
        <v/>
      </c>
      <c r="L750" s="29" t="str">
        <f>IF(Analysis!$I750="","",IF(Analysis!$I750="Drifting",Analysis!$F750,""))</f>
        <v/>
      </c>
      <c r="M750" s="29" t="str">
        <f>IF(Analysis!$I750="","",IF(Analysis!$I750="Embedded",Analysis!$H750,""))</f>
        <v/>
      </c>
      <c r="N750" s="29" t="str">
        <f>IF(Analysis!$I750="","",IF(Analysis!$I750="Loyal but shallow",Analysis!$H750,""))</f>
        <v/>
      </c>
      <c r="O750" s="29" t="str">
        <f>IF(Analysis!$I750="","",IF(Analysis!$I750="Project-driven",Analysis!$H750,""))</f>
        <v/>
      </c>
      <c r="P750" s="29" t="str">
        <f>IF(Analysis!$I750="","",IF(Analysis!$I750="Drifting",Analysis!$H750,""))</f>
        <v/>
      </c>
    </row>
    <row r="751" spans="1:16" x14ac:dyDescent="0.25">
      <c r="A751" s="29" t="str">
        <f>IF(Analysis!$I751="","",IF(Analysis!$I751="Embedded",Analysis!$D751,""))</f>
        <v/>
      </c>
      <c r="B751" s="29" t="str">
        <f>IF(Analysis!$I751="","",IF(Analysis!$I751="Loyal but shallow",Analysis!$D751,""))</f>
        <v/>
      </c>
      <c r="C751" s="29" t="str">
        <f>IF(Analysis!$I751="","",IF(Analysis!$I751="Project-driven",Analysis!$D751,""))</f>
        <v/>
      </c>
      <c r="D751" s="29" t="str">
        <f>IF(Analysis!$I751="","",IF(Analysis!$I751="Drifting",Analysis!$D751,""))</f>
        <v/>
      </c>
      <c r="E751" s="29" t="str">
        <f>IF(Analysis!$I751="","",IF(Analysis!$I751="Embedded",Analysis!$C751,""))</f>
        <v/>
      </c>
      <c r="F751" s="29" t="str">
        <f>IF(Analysis!$I751="","",IF(Analysis!$I751="Loyal but shallow",Analysis!$C751,""))</f>
        <v/>
      </c>
      <c r="G751" s="29" t="str">
        <f>IF(Analysis!$I751="","",IF(Analysis!$I751="Project-driven",Analysis!$C751,""))</f>
        <v/>
      </c>
      <c r="H751" s="29" t="str">
        <f>IF(Analysis!$I751="","",IF(Analysis!$I751="Drifting",Analysis!$C751,""))</f>
        <v/>
      </c>
      <c r="I751" s="29" t="str">
        <f>IF(Analysis!$I751="","",IF(Analysis!$I751="Embedded",Analysis!$F751,""))</f>
        <v/>
      </c>
      <c r="J751" s="29" t="str">
        <f>IF(Analysis!$I751="","",IF(Analysis!$I751="Loyal but shallow",Analysis!$F751,""))</f>
        <v/>
      </c>
      <c r="K751" s="29" t="str">
        <f>IF(Analysis!$I751="","",IF(Analysis!$I751="Project-driven",Analysis!$F751,""))</f>
        <v/>
      </c>
      <c r="L751" s="29" t="str">
        <f>IF(Analysis!$I751="","",IF(Analysis!$I751="Drifting",Analysis!$F751,""))</f>
        <v/>
      </c>
      <c r="M751" s="29" t="str">
        <f>IF(Analysis!$I751="","",IF(Analysis!$I751="Embedded",Analysis!$H751,""))</f>
        <v/>
      </c>
      <c r="N751" s="29" t="str">
        <f>IF(Analysis!$I751="","",IF(Analysis!$I751="Loyal but shallow",Analysis!$H751,""))</f>
        <v/>
      </c>
      <c r="O751" s="29" t="str">
        <f>IF(Analysis!$I751="","",IF(Analysis!$I751="Project-driven",Analysis!$H751,""))</f>
        <v/>
      </c>
      <c r="P751" s="29" t="str">
        <f>IF(Analysis!$I751="","",IF(Analysis!$I751="Drifting",Analysis!$H751,""))</f>
        <v/>
      </c>
    </row>
    <row r="752" spans="1:16" x14ac:dyDescent="0.25">
      <c r="A752" s="29" t="str">
        <f>IF(Analysis!$I752="","",IF(Analysis!$I752="Embedded",Analysis!$D752,""))</f>
        <v/>
      </c>
      <c r="B752" s="29" t="str">
        <f>IF(Analysis!$I752="","",IF(Analysis!$I752="Loyal but shallow",Analysis!$D752,""))</f>
        <v/>
      </c>
      <c r="C752" s="29" t="str">
        <f>IF(Analysis!$I752="","",IF(Analysis!$I752="Project-driven",Analysis!$D752,""))</f>
        <v/>
      </c>
      <c r="D752" s="29" t="str">
        <f>IF(Analysis!$I752="","",IF(Analysis!$I752="Drifting",Analysis!$D752,""))</f>
        <v/>
      </c>
      <c r="E752" s="29" t="str">
        <f>IF(Analysis!$I752="","",IF(Analysis!$I752="Embedded",Analysis!$C752,""))</f>
        <v/>
      </c>
      <c r="F752" s="29" t="str">
        <f>IF(Analysis!$I752="","",IF(Analysis!$I752="Loyal but shallow",Analysis!$C752,""))</f>
        <v/>
      </c>
      <c r="G752" s="29" t="str">
        <f>IF(Analysis!$I752="","",IF(Analysis!$I752="Project-driven",Analysis!$C752,""))</f>
        <v/>
      </c>
      <c r="H752" s="29" t="str">
        <f>IF(Analysis!$I752="","",IF(Analysis!$I752="Drifting",Analysis!$C752,""))</f>
        <v/>
      </c>
      <c r="I752" s="29" t="str">
        <f>IF(Analysis!$I752="","",IF(Analysis!$I752="Embedded",Analysis!$F752,""))</f>
        <v/>
      </c>
      <c r="J752" s="29" t="str">
        <f>IF(Analysis!$I752="","",IF(Analysis!$I752="Loyal but shallow",Analysis!$F752,""))</f>
        <v/>
      </c>
      <c r="K752" s="29" t="str">
        <f>IF(Analysis!$I752="","",IF(Analysis!$I752="Project-driven",Analysis!$F752,""))</f>
        <v/>
      </c>
      <c r="L752" s="29" t="str">
        <f>IF(Analysis!$I752="","",IF(Analysis!$I752="Drifting",Analysis!$F752,""))</f>
        <v/>
      </c>
      <c r="M752" s="29" t="str">
        <f>IF(Analysis!$I752="","",IF(Analysis!$I752="Embedded",Analysis!$H752,""))</f>
        <v/>
      </c>
      <c r="N752" s="29" t="str">
        <f>IF(Analysis!$I752="","",IF(Analysis!$I752="Loyal but shallow",Analysis!$H752,""))</f>
        <v/>
      </c>
      <c r="O752" s="29" t="str">
        <f>IF(Analysis!$I752="","",IF(Analysis!$I752="Project-driven",Analysis!$H752,""))</f>
        <v/>
      </c>
      <c r="P752" s="29" t="str">
        <f>IF(Analysis!$I752="","",IF(Analysis!$I752="Drifting",Analysis!$H752,""))</f>
        <v/>
      </c>
    </row>
    <row r="753" spans="1:16" x14ac:dyDescent="0.25">
      <c r="A753" s="29" t="str">
        <f>IF(Analysis!$I753="","",IF(Analysis!$I753="Embedded",Analysis!$D753,""))</f>
        <v/>
      </c>
      <c r="B753" s="29" t="str">
        <f>IF(Analysis!$I753="","",IF(Analysis!$I753="Loyal but shallow",Analysis!$D753,""))</f>
        <v/>
      </c>
      <c r="C753" s="29" t="str">
        <f>IF(Analysis!$I753="","",IF(Analysis!$I753="Project-driven",Analysis!$D753,""))</f>
        <v/>
      </c>
      <c r="D753" s="29" t="str">
        <f>IF(Analysis!$I753="","",IF(Analysis!$I753="Drifting",Analysis!$D753,""))</f>
        <v/>
      </c>
      <c r="E753" s="29" t="str">
        <f>IF(Analysis!$I753="","",IF(Analysis!$I753="Embedded",Analysis!$C753,""))</f>
        <v/>
      </c>
      <c r="F753" s="29" t="str">
        <f>IF(Analysis!$I753="","",IF(Analysis!$I753="Loyal but shallow",Analysis!$C753,""))</f>
        <v/>
      </c>
      <c r="G753" s="29" t="str">
        <f>IF(Analysis!$I753="","",IF(Analysis!$I753="Project-driven",Analysis!$C753,""))</f>
        <v/>
      </c>
      <c r="H753" s="29" t="str">
        <f>IF(Analysis!$I753="","",IF(Analysis!$I753="Drifting",Analysis!$C753,""))</f>
        <v/>
      </c>
      <c r="I753" s="29" t="str">
        <f>IF(Analysis!$I753="","",IF(Analysis!$I753="Embedded",Analysis!$F753,""))</f>
        <v/>
      </c>
      <c r="J753" s="29" t="str">
        <f>IF(Analysis!$I753="","",IF(Analysis!$I753="Loyal but shallow",Analysis!$F753,""))</f>
        <v/>
      </c>
      <c r="K753" s="29" t="str">
        <f>IF(Analysis!$I753="","",IF(Analysis!$I753="Project-driven",Analysis!$F753,""))</f>
        <v/>
      </c>
      <c r="L753" s="29" t="str">
        <f>IF(Analysis!$I753="","",IF(Analysis!$I753="Drifting",Analysis!$F753,""))</f>
        <v/>
      </c>
      <c r="M753" s="29" t="str">
        <f>IF(Analysis!$I753="","",IF(Analysis!$I753="Embedded",Analysis!$H753,""))</f>
        <v/>
      </c>
      <c r="N753" s="29" t="str">
        <f>IF(Analysis!$I753="","",IF(Analysis!$I753="Loyal but shallow",Analysis!$H753,""))</f>
        <v/>
      </c>
      <c r="O753" s="29" t="str">
        <f>IF(Analysis!$I753="","",IF(Analysis!$I753="Project-driven",Analysis!$H753,""))</f>
        <v/>
      </c>
      <c r="P753" s="29" t="str">
        <f>IF(Analysis!$I753="","",IF(Analysis!$I753="Drifting",Analysis!$H753,""))</f>
        <v/>
      </c>
    </row>
    <row r="754" spans="1:16" x14ac:dyDescent="0.25">
      <c r="A754" s="29" t="str">
        <f>IF(Analysis!$I754="","",IF(Analysis!$I754="Embedded",Analysis!$D754,""))</f>
        <v/>
      </c>
      <c r="B754" s="29" t="str">
        <f>IF(Analysis!$I754="","",IF(Analysis!$I754="Loyal but shallow",Analysis!$D754,""))</f>
        <v/>
      </c>
      <c r="C754" s="29" t="str">
        <f>IF(Analysis!$I754="","",IF(Analysis!$I754="Project-driven",Analysis!$D754,""))</f>
        <v/>
      </c>
      <c r="D754" s="29" t="str">
        <f>IF(Analysis!$I754="","",IF(Analysis!$I754="Drifting",Analysis!$D754,""))</f>
        <v/>
      </c>
      <c r="E754" s="29" t="str">
        <f>IF(Analysis!$I754="","",IF(Analysis!$I754="Embedded",Analysis!$C754,""))</f>
        <v/>
      </c>
      <c r="F754" s="29" t="str">
        <f>IF(Analysis!$I754="","",IF(Analysis!$I754="Loyal but shallow",Analysis!$C754,""))</f>
        <v/>
      </c>
      <c r="G754" s="29" t="str">
        <f>IF(Analysis!$I754="","",IF(Analysis!$I754="Project-driven",Analysis!$C754,""))</f>
        <v/>
      </c>
      <c r="H754" s="29" t="str">
        <f>IF(Analysis!$I754="","",IF(Analysis!$I754="Drifting",Analysis!$C754,""))</f>
        <v/>
      </c>
      <c r="I754" s="29" t="str">
        <f>IF(Analysis!$I754="","",IF(Analysis!$I754="Embedded",Analysis!$F754,""))</f>
        <v/>
      </c>
      <c r="J754" s="29" t="str">
        <f>IF(Analysis!$I754="","",IF(Analysis!$I754="Loyal but shallow",Analysis!$F754,""))</f>
        <v/>
      </c>
      <c r="K754" s="29" t="str">
        <f>IF(Analysis!$I754="","",IF(Analysis!$I754="Project-driven",Analysis!$F754,""))</f>
        <v/>
      </c>
      <c r="L754" s="29" t="str">
        <f>IF(Analysis!$I754="","",IF(Analysis!$I754="Drifting",Analysis!$F754,""))</f>
        <v/>
      </c>
      <c r="M754" s="29" t="str">
        <f>IF(Analysis!$I754="","",IF(Analysis!$I754="Embedded",Analysis!$H754,""))</f>
        <v/>
      </c>
      <c r="N754" s="29" t="str">
        <f>IF(Analysis!$I754="","",IF(Analysis!$I754="Loyal but shallow",Analysis!$H754,""))</f>
        <v/>
      </c>
      <c r="O754" s="29" t="str">
        <f>IF(Analysis!$I754="","",IF(Analysis!$I754="Project-driven",Analysis!$H754,""))</f>
        <v/>
      </c>
      <c r="P754" s="29" t="str">
        <f>IF(Analysis!$I754="","",IF(Analysis!$I754="Drifting",Analysis!$H754,""))</f>
        <v/>
      </c>
    </row>
    <row r="755" spans="1:16" x14ac:dyDescent="0.25">
      <c r="A755" s="29" t="str">
        <f>IF(Analysis!$I755="","",IF(Analysis!$I755="Embedded",Analysis!$D755,""))</f>
        <v/>
      </c>
      <c r="B755" s="29" t="str">
        <f>IF(Analysis!$I755="","",IF(Analysis!$I755="Loyal but shallow",Analysis!$D755,""))</f>
        <v/>
      </c>
      <c r="C755" s="29" t="str">
        <f>IF(Analysis!$I755="","",IF(Analysis!$I755="Project-driven",Analysis!$D755,""))</f>
        <v/>
      </c>
      <c r="D755" s="29" t="str">
        <f>IF(Analysis!$I755="","",IF(Analysis!$I755="Drifting",Analysis!$D755,""))</f>
        <v/>
      </c>
      <c r="E755" s="29" t="str">
        <f>IF(Analysis!$I755="","",IF(Analysis!$I755="Embedded",Analysis!$C755,""))</f>
        <v/>
      </c>
      <c r="F755" s="29" t="str">
        <f>IF(Analysis!$I755="","",IF(Analysis!$I755="Loyal but shallow",Analysis!$C755,""))</f>
        <v/>
      </c>
      <c r="G755" s="29" t="str">
        <f>IF(Analysis!$I755="","",IF(Analysis!$I755="Project-driven",Analysis!$C755,""))</f>
        <v/>
      </c>
      <c r="H755" s="29" t="str">
        <f>IF(Analysis!$I755="","",IF(Analysis!$I755="Drifting",Analysis!$C755,""))</f>
        <v/>
      </c>
      <c r="I755" s="29" t="str">
        <f>IF(Analysis!$I755="","",IF(Analysis!$I755="Embedded",Analysis!$F755,""))</f>
        <v/>
      </c>
      <c r="J755" s="29" t="str">
        <f>IF(Analysis!$I755="","",IF(Analysis!$I755="Loyal but shallow",Analysis!$F755,""))</f>
        <v/>
      </c>
      <c r="K755" s="29" t="str">
        <f>IF(Analysis!$I755="","",IF(Analysis!$I755="Project-driven",Analysis!$F755,""))</f>
        <v/>
      </c>
      <c r="L755" s="29" t="str">
        <f>IF(Analysis!$I755="","",IF(Analysis!$I755="Drifting",Analysis!$F755,""))</f>
        <v/>
      </c>
      <c r="M755" s="29" t="str">
        <f>IF(Analysis!$I755="","",IF(Analysis!$I755="Embedded",Analysis!$H755,""))</f>
        <v/>
      </c>
      <c r="N755" s="29" t="str">
        <f>IF(Analysis!$I755="","",IF(Analysis!$I755="Loyal but shallow",Analysis!$H755,""))</f>
        <v/>
      </c>
      <c r="O755" s="29" t="str">
        <f>IF(Analysis!$I755="","",IF(Analysis!$I755="Project-driven",Analysis!$H755,""))</f>
        <v/>
      </c>
      <c r="P755" s="29" t="str">
        <f>IF(Analysis!$I755="","",IF(Analysis!$I755="Drifting",Analysis!$H755,""))</f>
        <v/>
      </c>
    </row>
    <row r="756" spans="1:16" x14ac:dyDescent="0.25">
      <c r="A756" s="29" t="str">
        <f>IF(Analysis!$I756="","",IF(Analysis!$I756="Embedded",Analysis!$D756,""))</f>
        <v/>
      </c>
      <c r="B756" s="29" t="str">
        <f>IF(Analysis!$I756="","",IF(Analysis!$I756="Loyal but shallow",Analysis!$D756,""))</f>
        <v/>
      </c>
      <c r="C756" s="29" t="str">
        <f>IF(Analysis!$I756="","",IF(Analysis!$I756="Project-driven",Analysis!$D756,""))</f>
        <v/>
      </c>
      <c r="D756" s="29" t="str">
        <f>IF(Analysis!$I756="","",IF(Analysis!$I756="Drifting",Analysis!$D756,""))</f>
        <v/>
      </c>
      <c r="E756" s="29" t="str">
        <f>IF(Analysis!$I756="","",IF(Analysis!$I756="Embedded",Analysis!$C756,""))</f>
        <v/>
      </c>
      <c r="F756" s="29" t="str">
        <f>IF(Analysis!$I756="","",IF(Analysis!$I756="Loyal but shallow",Analysis!$C756,""))</f>
        <v/>
      </c>
      <c r="G756" s="29" t="str">
        <f>IF(Analysis!$I756="","",IF(Analysis!$I756="Project-driven",Analysis!$C756,""))</f>
        <v/>
      </c>
      <c r="H756" s="29" t="str">
        <f>IF(Analysis!$I756="","",IF(Analysis!$I756="Drifting",Analysis!$C756,""))</f>
        <v/>
      </c>
      <c r="I756" s="29" t="str">
        <f>IF(Analysis!$I756="","",IF(Analysis!$I756="Embedded",Analysis!$F756,""))</f>
        <v/>
      </c>
      <c r="J756" s="29" t="str">
        <f>IF(Analysis!$I756="","",IF(Analysis!$I756="Loyal but shallow",Analysis!$F756,""))</f>
        <v/>
      </c>
      <c r="K756" s="29" t="str">
        <f>IF(Analysis!$I756="","",IF(Analysis!$I756="Project-driven",Analysis!$F756,""))</f>
        <v/>
      </c>
      <c r="L756" s="29" t="str">
        <f>IF(Analysis!$I756="","",IF(Analysis!$I756="Drifting",Analysis!$F756,""))</f>
        <v/>
      </c>
      <c r="M756" s="29" t="str">
        <f>IF(Analysis!$I756="","",IF(Analysis!$I756="Embedded",Analysis!$H756,""))</f>
        <v/>
      </c>
      <c r="N756" s="29" t="str">
        <f>IF(Analysis!$I756="","",IF(Analysis!$I756="Loyal but shallow",Analysis!$H756,""))</f>
        <v/>
      </c>
      <c r="O756" s="29" t="str">
        <f>IF(Analysis!$I756="","",IF(Analysis!$I756="Project-driven",Analysis!$H756,""))</f>
        <v/>
      </c>
      <c r="P756" s="29" t="str">
        <f>IF(Analysis!$I756="","",IF(Analysis!$I756="Drifting",Analysis!$H756,""))</f>
        <v/>
      </c>
    </row>
    <row r="757" spans="1:16" x14ac:dyDescent="0.25">
      <c r="A757" s="29" t="str">
        <f>IF(Analysis!$I757="","",IF(Analysis!$I757="Embedded",Analysis!$D757,""))</f>
        <v/>
      </c>
      <c r="B757" s="29" t="str">
        <f>IF(Analysis!$I757="","",IF(Analysis!$I757="Loyal but shallow",Analysis!$D757,""))</f>
        <v/>
      </c>
      <c r="C757" s="29" t="str">
        <f>IF(Analysis!$I757="","",IF(Analysis!$I757="Project-driven",Analysis!$D757,""))</f>
        <v/>
      </c>
      <c r="D757" s="29" t="str">
        <f>IF(Analysis!$I757="","",IF(Analysis!$I757="Drifting",Analysis!$D757,""))</f>
        <v/>
      </c>
      <c r="E757" s="29" t="str">
        <f>IF(Analysis!$I757="","",IF(Analysis!$I757="Embedded",Analysis!$C757,""))</f>
        <v/>
      </c>
      <c r="F757" s="29" t="str">
        <f>IF(Analysis!$I757="","",IF(Analysis!$I757="Loyal but shallow",Analysis!$C757,""))</f>
        <v/>
      </c>
      <c r="G757" s="29" t="str">
        <f>IF(Analysis!$I757="","",IF(Analysis!$I757="Project-driven",Analysis!$C757,""))</f>
        <v/>
      </c>
      <c r="H757" s="29" t="str">
        <f>IF(Analysis!$I757="","",IF(Analysis!$I757="Drifting",Analysis!$C757,""))</f>
        <v/>
      </c>
      <c r="I757" s="29" t="str">
        <f>IF(Analysis!$I757="","",IF(Analysis!$I757="Embedded",Analysis!$F757,""))</f>
        <v/>
      </c>
      <c r="J757" s="29" t="str">
        <f>IF(Analysis!$I757="","",IF(Analysis!$I757="Loyal but shallow",Analysis!$F757,""))</f>
        <v/>
      </c>
      <c r="K757" s="29" t="str">
        <f>IF(Analysis!$I757="","",IF(Analysis!$I757="Project-driven",Analysis!$F757,""))</f>
        <v/>
      </c>
      <c r="L757" s="29" t="str">
        <f>IF(Analysis!$I757="","",IF(Analysis!$I757="Drifting",Analysis!$F757,""))</f>
        <v/>
      </c>
      <c r="M757" s="29" t="str">
        <f>IF(Analysis!$I757="","",IF(Analysis!$I757="Embedded",Analysis!$H757,""))</f>
        <v/>
      </c>
      <c r="N757" s="29" t="str">
        <f>IF(Analysis!$I757="","",IF(Analysis!$I757="Loyal but shallow",Analysis!$H757,""))</f>
        <v/>
      </c>
      <c r="O757" s="29" t="str">
        <f>IF(Analysis!$I757="","",IF(Analysis!$I757="Project-driven",Analysis!$H757,""))</f>
        <v/>
      </c>
      <c r="P757" s="29" t="str">
        <f>IF(Analysis!$I757="","",IF(Analysis!$I757="Drifting",Analysis!$H757,""))</f>
        <v/>
      </c>
    </row>
    <row r="758" spans="1:16" x14ac:dyDescent="0.25">
      <c r="A758" s="29" t="str">
        <f>IF(Analysis!$I758="","",IF(Analysis!$I758="Embedded",Analysis!$D758,""))</f>
        <v/>
      </c>
      <c r="B758" s="29" t="str">
        <f>IF(Analysis!$I758="","",IF(Analysis!$I758="Loyal but shallow",Analysis!$D758,""))</f>
        <v/>
      </c>
      <c r="C758" s="29" t="str">
        <f>IF(Analysis!$I758="","",IF(Analysis!$I758="Project-driven",Analysis!$D758,""))</f>
        <v/>
      </c>
      <c r="D758" s="29" t="str">
        <f>IF(Analysis!$I758="","",IF(Analysis!$I758="Drifting",Analysis!$D758,""))</f>
        <v/>
      </c>
      <c r="E758" s="29" t="str">
        <f>IF(Analysis!$I758="","",IF(Analysis!$I758="Embedded",Analysis!$C758,""))</f>
        <v/>
      </c>
      <c r="F758" s="29" t="str">
        <f>IF(Analysis!$I758="","",IF(Analysis!$I758="Loyal but shallow",Analysis!$C758,""))</f>
        <v/>
      </c>
      <c r="G758" s="29" t="str">
        <f>IF(Analysis!$I758="","",IF(Analysis!$I758="Project-driven",Analysis!$C758,""))</f>
        <v/>
      </c>
      <c r="H758" s="29" t="str">
        <f>IF(Analysis!$I758="","",IF(Analysis!$I758="Drifting",Analysis!$C758,""))</f>
        <v/>
      </c>
      <c r="I758" s="29" t="str">
        <f>IF(Analysis!$I758="","",IF(Analysis!$I758="Embedded",Analysis!$F758,""))</f>
        <v/>
      </c>
      <c r="J758" s="29" t="str">
        <f>IF(Analysis!$I758="","",IF(Analysis!$I758="Loyal but shallow",Analysis!$F758,""))</f>
        <v/>
      </c>
      <c r="K758" s="29" t="str">
        <f>IF(Analysis!$I758="","",IF(Analysis!$I758="Project-driven",Analysis!$F758,""))</f>
        <v/>
      </c>
      <c r="L758" s="29" t="str">
        <f>IF(Analysis!$I758="","",IF(Analysis!$I758="Drifting",Analysis!$F758,""))</f>
        <v/>
      </c>
      <c r="M758" s="29" t="str">
        <f>IF(Analysis!$I758="","",IF(Analysis!$I758="Embedded",Analysis!$H758,""))</f>
        <v/>
      </c>
      <c r="N758" s="29" t="str">
        <f>IF(Analysis!$I758="","",IF(Analysis!$I758="Loyal but shallow",Analysis!$H758,""))</f>
        <v/>
      </c>
      <c r="O758" s="29" t="str">
        <f>IF(Analysis!$I758="","",IF(Analysis!$I758="Project-driven",Analysis!$H758,""))</f>
        <v/>
      </c>
      <c r="P758" s="29" t="str">
        <f>IF(Analysis!$I758="","",IF(Analysis!$I758="Drifting",Analysis!$H758,""))</f>
        <v/>
      </c>
    </row>
    <row r="759" spans="1:16" x14ac:dyDescent="0.25">
      <c r="A759" s="29" t="str">
        <f>IF(Analysis!$I759="","",IF(Analysis!$I759="Embedded",Analysis!$D759,""))</f>
        <v/>
      </c>
      <c r="B759" s="29" t="str">
        <f>IF(Analysis!$I759="","",IF(Analysis!$I759="Loyal but shallow",Analysis!$D759,""))</f>
        <v/>
      </c>
      <c r="C759" s="29" t="str">
        <f>IF(Analysis!$I759="","",IF(Analysis!$I759="Project-driven",Analysis!$D759,""))</f>
        <v/>
      </c>
      <c r="D759" s="29" t="str">
        <f>IF(Analysis!$I759="","",IF(Analysis!$I759="Drifting",Analysis!$D759,""))</f>
        <v/>
      </c>
      <c r="E759" s="29" t="str">
        <f>IF(Analysis!$I759="","",IF(Analysis!$I759="Embedded",Analysis!$C759,""))</f>
        <v/>
      </c>
      <c r="F759" s="29" t="str">
        <f>IF(Analysis!$I759="","",IF(Analysis!$I759="Loyal but shallow",Analysis!$C759,""))</f>
        <v/>
      </c>
      <c r="G759" s="29" t="str">
        <f>IF(Analysis!$I759="","",IF(Analysis!$I759="Project-driven",Analysis!$C759,""))</f>
        <v/>
      </c>
      <c r="H759" s="29" t="str">
        <f>IF(Analysis!$I759="","",IF(Analysis!$I759="Drifting",Analysis!$C759,""))</f>
        <v/>
      </c>
      <c r="I759" s="29" t="str">
        <f>IF(Analysis!$I759="","",IF(Analysis!$I759="Embedded",Analysis!$F759,""))</f>
        <v/>
      </c>
      <c r="J759" s="29" t="str">
        <f>IF(Analysis!$I759="","",IF(Analysis!$I759="Loyal but shallow",Analysis!$F759,""))</f>
        <v/>
      </c>
      <c r="K759" s="29" t="str">
        <f>IF(Analysis!$I759="","",IF(Analysis!$I759="Project-driven",Analysis!$F759,""))</f>
        <v/>
      </c>
      <c r="L759" s="29" t="str">
        <f>IF(Analysis!$I759="","",IF(Analysis!$I759="Drifting",Analysis!$F759,""))</f>
        <v/>
      </c>
      <c r="M759" s="29" t="str">
        <f>IF(Analysis!$I759="","",IF(Analysis!$I759="Embedded",Analysis!$H759,""))</f>
        <v/>
      </c>
      <c r="N759" s="29" t="str">
        <f>IF(Analysis!$I759="","",IF(Analysis!$I759="Loyal but shallow",Analysis!$H759,""))</f>
        <v/>
      </c>
      <c r="O759" s="29" t="str">
        <f>IF(Analysis!$I759="","",IF(Analysis!$I759="Project-driven",Analysis!$H759,""))</f>
        <v/>
      </c>
      <c r="P759" s="29" t="str">
        <f>IF(Analysis!$I759="","",IF(Analysis!$I759="Drifting",Analysis!$H759,""))</f>
        <v/>
      </c>
    </row>
    <row r="760" spans="1:16" x14ac:dyDescent="0.25">
      <c r="A760" s="29" t="str">
        <f>IF(Analysis!$I760="","",IF(Analysis!$I760="Embedded",Analysis!$D760,""))</f>
        <v/>
      </c>
      <c r="B760" s="29" t="str">
        <f>IF(Analysis!$I760="","",IF(Analysis!$I760="Loyal but shallow",Analysis!$D760,""))</f>
        <v/>
      </c>
      <c r="C760" s="29" t="str">
        <f>IF(Analysis!$I760="","",IF(Analysis!$I760="Project-driven",Analysis!$D760,""))</f>
        <v/>
      </c>
      <c r="D760" s="29" t="str">
        <f>IF(Analysis!$I760="","",IF(Analysis!$I760="Drifting",Analysis!$D760,""))</f>
        <v/>
      </c>
      <c r="E760" s="29" t="str">
        <f>IF(Analysis!$I760="","",IF(Analysis!$I760="Embedded",Analysis!$C760,""))</f>
        <v/>
      </c>
      <c r="F760" s="29" t="str">
        <f>IF(Analysis!$I760="","",IF(Analysis!$I760="Loyal but shallow",Analysis!$C760,""))</f>
        <v/>
      </c>
      <c r="G760" s="29" t="str">
        <f>IF(Analysis!$I760="","",IF(Analysis!$I760="Project-driven",Analysis!$C760,""))</f>
        <v/>
      </c>
      <c r="H760" s="29" t="str">
        <f>IF(Analysis!$I760="","",IF(Analysis!$I760="Drifting",Analysis!$C760,""))</f>
        <v/>
      </c>
      <c r="I760" s="29" t="str">
        <f>IF(Analysis!$I760="","",IF(Analysis!$I760="Embedded",Analysis!$F760,""))</f>
        <v/>
      </c>
      <c r="J760" s="29" t="str">
        <f>IF(Analysis!$I760="","",IF(Analysis!$I760="Loyal but shallow",Analysis!$F760,""))</f>
        <v/>
      </c>
      <c r="K760" s="29" t="str">
        <f>IF(Analysis!$I760="","",IF(Analysis!$I760="Project-driven",Analysis!$F760,""))</f>
        <v/>
      </c>
      <c r="L760" s="29" t="str">
        <f>IF(Analysis!$I760="","",IF(Analysis!$I760="Drifting",Analysis!$F760,""))</f>
        <v/>
      </c>
      <c r="M760" s="29" t="str">
        <f>IF(Analysis!$I760="","",IF(Analysis!$I760="Embedded",Analysis!$H760,""))</f>
        <v/>
      </c>
      <c r="N760" s="29" t="str">
        <f>IF(Analysis!$I760="","",IF(Analysis!$I760="Loyal but shallow",Analysis!$H760,""))</f>
        <v/>
      </c>
      <c r="O760" s="29" t="str">
        <f>IF(Analysis!$I760="","",IF(Analysis!$I760="Project-driven",Analysis!$H760,""))</f>
        <v/>
      </c>
      <c r="P760" s="29" t="str">
        <f>IF(Analysis!$I760="","",IF(Analysis!$I760="Drifting",Analysis!$H760,""))</f>
        <v/>
      </c>
    </row>
    <row r="761" spans="1:16" x14ac:dyDescent="0.25">
      <c r="A761" s="29" t="str">
        <f>IF(Analysis!$I761="","",IF(Analysis!$I761="Embedded",Analysis!$D761,""))</f>
        <v/>
      </c>
      <c r="B761" s="29" t="str">
        <f>IF(Analysis!$I761="","",IF(Analysis!$I761="Loyal but shallow",Analysis!$D761,""))</f>
        <v/>
      </c>
      <c r="C761" s="29" t="str">
        <f>IF(Analysis!$I761="","",IF(Analysis!$I761="Project-driven",Analysis!$D761,""))</f>
        <v/>
      </c>
      <c r="D761" s="29" t="str">
        <f>IF(Analysis!$I761="","",IF(Analysis!$I761="Drifting",Analysis!$D761,""))</f>
        <v/>
      </c>
      <c r="E761" s="29" t="str">
        <f>IF(Analysis!$I761="","",IF(Analysis!$I761="Embedded",Analysis!$C761,""))</f>
        <v/>
      </c>
      <c r="F761" s="29" t="str">
        <f>IF(Analysis!$I761="","",IF(Analysis!$I761="Loyal but shallow",Analysis!$C761,""))</f>
        <v/>
      </c>
      <c r="G761" s="29" t="str">
        <f>IF(Analysis!$I761="","",IF(Analysis!$I761="Project-driven",Analysis!$C761,""))</f>
        <v/>
      </c>
      <c r="H761" s="29" t="str">
        <f>IF(Analysis!$I761="","",IF(Analysis!$I761="Drifting",Analysis!$C761,""))</f>
        <v/>
      </c>
      <c r="I761" s="29" t="str">
        <f>IF(Analysis!$I761="","",IF(Analysis!$I761="Embedded",Analysis!$F761,""))</f>
        <v/>
      </c>
      <c r="J761" s="29" t="str">
        <f>IF(Analysis!$I761="","",IF(Analysis!$I761="Loyal but shallow",Analysis!$F761,""))</f>
        <v/>
      </c>
      <c r="K761" s="29" t="str">
        <f>IF(Analysis!$I761="","",IF(Analysis!$I761="Project-driven",Analysis!$F761,""))</f>
        <v/>
      </c>
      <c r="L761" s="29" t="str">
        <f>IF(Analysis!$I761="","",IF(Analysis!$I761="Drifting",Analysis!$F761,""))</f>
        <v/>
      </c>
      <c r="M761" s="29" t="str">
        <f>IF(Analysis!$I761="","",IF(Analysis!$I761="Embedded",Analysis!$H761,""))</f>
        <v/>
      </c>
      <c r="N761" s="29" t="str">
        <f>IF(Analysis!$I761="","",IF(Analysis!$I761="Loyal but shallow",Analysis!$H761,""))</f>
        <v/>
      </c>
      <c r="O761" s="29" t="str">
        <f>IF(Analysis!$I761="","",IF(Analysis!$I761="Project-driven",Analysis!$H761,""))</f>
        <v/>
      </c>
      <c r="P761" s="29" t="str">
        <f>IF(Analysis!$I761="","",IF(Analysis!$I761="Drifting",Analysis!$H761,""))</f>
        <v/>
      </c>
    </row>
    <row r="762" spans="1:16" x14ac:dyDescent="0.25">
      <c r="A762" s="29" t="str">
        <f>IF(Analysis!$I762="","",IF(Analysis!$I762="Embedded",Analysis!$D762,""))</f>
        <v/>
      </c>
      <c r="B762" s="29" t="str">
        <f>IF(Analysis!$I762="","",IF(Analysis!$I762="Loyal but shallow",Analysis!$D762,""))</f>
        <v/>
      </c>
      <c r="C762" s="29" t="str">
        <f>IF(Analysis!$I762="","",IF(Analysis!$I762="Project-driven",Analysis!$D762,""))</f>
        <v/>
      </c>
      <c r="D762" s="29" t="str">
        <f>IF(Analysis!$I762="","",IF(Analysis!$I762="Drifting",Analysis!$D762,""))</f>
        <v/>
      </c>
      <c r="E762" s="29" t="str">
        <f>IF(Analysis!$I762="","",IF(Analysis!$I762="Embedded",Analysis!$C762,""))</f>
        <v/>
      </c>
      <c r="F762" s="29" t="str">
        <f>IF(Analysis!$I762="","",IF(Analysis!$I762="Loyal but shallow",Analysis!$C762,""))</f>
        <v/>
      </c>
      <c r="G762" s="29" t="str">
        <f>IF(Analysis!$I762="","",IF(Analysis!$I762="Project-driven",Analysis!$C762,""))</f>
        <v/>
      </c>
      <c r="H762" s="29" t="str">
        <f>IF(Analysis!$I762="","",IF(Analysis!$I762="Drifting",Analysis!$C762,""))</f>
        <v/>
      </c>
      <c r="I762" s="29" t="str">
        <f>IF(Analysis!$I762="","",IF(Analysis!$I762="Embedded",Analysis!$F762,""))</f>
        <v/>
      </c>
      <c r="J762" s="29" t="str">
        <f>IF(Analysis!$I762="","",IF(Analysis!$I762="Loyal but shallow",Analysis!$F762,""))</f>
        <v/>
      </c>
      <c r="K762" s="29" t="str">
        <f>IF(Analysis!$I762="","",IF(Analysis!$I762="Project-driven",Analysis!$F762,""))</f>
        <v/>
      </c>
      <c r="L762" s="29" t="str">
        <f>IF(Analysis!$I762="","",IF(Analysis!$I762="Drifting",Analysis!$F762,""))</f>
        <v/>
      </c>
      <c r="M762" s="29" t="str">
        <f>IF(Analysis!$I762="","",IF(Analysis!$I762="Embedded",Analysis!$H762,""))</f>
        <v/>
      </c>
      <c r="N762" s="29" t="str">
        <f>IF(Analysis!$I762="","",IF(Analysis!$I762="Loyal but shallow",Analysis!$H762,""))</f>
        <v/>
      </c>
      <c r="O762" s="29" t="str">
        <f>IF(Analysis!$I762="","",IF(Analysis!$I762="Project-driven",Analysis!$H762,""))</f>
        <v/>
      </c>
      <c r="P762" s="29" t="str">
        <f>IF(Analysis!$I762="","",IF(Analysis!$I762="Drifting",Analysis!$H762,""))</f>
        <v/>
      </c>
    </row>
    <row r="763" spans="1:16" x14ac:dyDescent="0.25">
      <c r="A763" s="29" t="str">
        <f>IF(Analysis!$I763="","",IF(Analysis!$I763="Embedded",Analysis!$D763,""))</f>
        <v/>
      </c>
      <c r="B763" s="29" t="str">
        <f>IF(Analysis!$I763="","",IF(Analysis!$I763="Loyal but shallow",Analysis!$D763,""))</f>
        <v/>
      </c>
      <c r="C763" s="29" t="str">
        <f>IF(Analysis!$I763="","",IF(Analysis!$I763="Project-driven",Analysis!$D763,""))</f>
        <v/>
      </c>
      <c r="D763" s="29" t="str">
        <f>IF(Analysis!$I763="","",IF(Analysis!$I763="Drifting",Analysis!$D763,""))</f>
        <v/>
      </c>
      <c r="E763" s="29" t="str">
        <f>IF(Analysis!$I763="","",IF(Analysis!$I763="Embedded",Analysis!$C763,""))</f>
        <v/>
      </c>
      <c r="F763" s="29" t="str">
        <f>IF(Analysis!$I763="","",IF(Analysis!$I763="Loyal but shallow",Analysis!$C763,""))</f>
        <v/>
      </c>
      <c r="G763" s="29" t="str">
        <f>IF(Analysis!$I763="","",IF(Analysis!$I763="Project-driven",Analysis!$C763,""))</f>
        <v/>
      </c>
      <c r="H763" s="29" t="str">
        <f>IF(Analysis!$I763="","",IF(Analysis!$I763="Drifting",Analysis!$C763,""))</f>
        <v/>
      </c>
      <c r="I763" s="29" t="str">
        <f>IF(Analysis!$I763="","",IF(Analysis!$I763="Embedded",Analysis!$F763,""))</f>
        <v/>
      </c>
      <c r="J763" s="29" t="str">
        <f>IF(Analysis!$I763="","",IF(Analysis!$I763="Loyal but shallow",Analysis!$F763,""))</f>
        <v/>
      </c>
      <c r="K763" s="29" t="str">
        <f>IF(Analysis!$I763="","",IF(Analysis!$I763="Project-driven",Analysis!$F763,""))</f>
        <v/>
      </c>
      <c r="L763" s="29" t="str">
        <f>IF(Analysis!$I763="","",IF(Analysis!$I763="Drifting",Analysis!$F763,""))</f>
        <v/>
      </c>
      <c r="M763" s="29" t="str">
        <f>IF(Analysis!$I763="","",IF(Analysis!$I763="Embedded",Analysis!$H763,""))</f>
        <v/>
      </c>
      <c r="N763" s="29" t="str">
        <f>IF(Analysis!$I763="","",IF(Analysis!$I763="Loyal but shallow",Analysis!$H763,""))</f>
        <v/>
      </c>
      <c r="O763" s="29" t="str">
        <f>IF(Analysis!$I763="","",IF(Analysis!$I763="Project-driven",Analysis!$H763,""))</f>
        <v/>
      </c>
      <c r="P763" s="29" t="str">
        <f>IF(Analysis!$I763="","",IF(Analysis!$I763="Drifting",Analysis!$H763,""))</f>
        <v/>
      </c>
    </row>
    <row r="764" spans="1:16" x14ac:dyDescent="0.25">
      <c r="A764" s="29" t="str">
        <f>IF(Analysis!$I764="","",IF(Analysis!$I764="Embedded",Analysis!$D764,""))</f>
        <v/>
      </c>
      <c r="B764" s="29" t="str">
        <f>IF(Analysis!$I764="","",IF(Analysis!$I764="Loyal but shallow",Analysis!$D764,""))</f>
        <v/>
      </c>
      <c r="C764" s="29" t="str">
        <f>IF(Analysis!$I764="","",IF(Analysis!$I764="Project-driven",Analysis!$D764,""))</f>
        <v/>
      </c>
      <c r="D764" s="29" t="str">
        <f>IF(Analysis!$I764="","",IF(Analysis!$I764="Drifting",Analysis!$D764,""))</f>
        <v/>
      </c>
      <c r="E764" s="29" t="str">
        <f>IF(Analysis!$I764="","",IF(Analysis!$I764="Embedded",Analysis!$C764,""))</f>
        <v/>
      </c>
      <c r="F764" s="29" t="str">
        <f>IF(Analysis!$I764="","",IF(Analysis!$I764="Loyal but shallow",Analysis!$C764,""))</f>
        <v/>
      </c>
      <c r="G764" s="29" t="str">
        <f>IF(Analysis!$I764="","",IF(Analysis!$I764="Project-driven",Analysis!$C764,""))</f>
        <v/>
      </c>
      <c r="H764" s="29" t="str">
        <f>IF(Analysis!$I764="","",IF(Analysis!$I764="Drifting",Analysis!$C764,""))</f>
        <v/>
      </c>
      <c r="I764" s="29" t="str">
        <f>IF(Analysis!$I764="","",IF(Analysis!$I764="Embedded",Analysis!$F764,""))</f>
        <v/>
      </c>
      <c r="J764" s="29" t="str">
        <f>IF(Analysis!$I764="","",IF(Analysis!$I764="Loyal but shallow",Analysis!$F764,""))</f>
        <v/>
      </c>
      <c r="K764" s="29" t="str">
        <f>IF(Analysis!$I764="","",IF(Analysis!$I764="Project-driven",Analysis!$F764,""))</f>
        <v/>
      </c>
      <c r="L764" s="29" t="str">
        <f>IF(Analysis!$I764="","",IF(Analysis!$I764="Drifting",Analysis!$F764,""))</f>
        <v/>
      </c>
      <c r="M764" s="29" t="str">
        <f>IF(Analysis!$I764="","",IF(Analysis!$I764="Embedded",Analysis!$H764,""))</f>
        <v/>
      </c>
      <c r="N764" s="29" t="str">
        <f>IF(Analysis!$I764="","",IF(Analysis!$I764="Loyal but shallow",Analysis!$H764,""))</f>
        <v/>
      </c>
      <c r="O764" s="29" t="str">
        <f>IF(Analysis!$I764="","",IF(Analysis!$I764="Project-driven",Analysis!$H764,""))</f>
        <v/>
      </c>
      <c r="P764" s="29" t="str">
        <f>IF(Analysis!$I764="","",IF(Analysis!$I764="Drifting",Analysis!$H764,""))</f>
        <v/>
      </c>
    </row>
    <row r="765" spans="1:16" x14ac:dyDescent="0.25">
      <c r="A765" s="29" t="str">
        <f>IF(Analysis!$I765="","",IF(Analysis!$I765="Embedded",Analysis!$D765,""))</f>
        <v/>
      </c>
      <c r="B765" s="29" t="str">
        <f>IF(Analysis!$I765="","",IF(Analysis!$I765="Loyal but shallow",Analysis!$D765,""))</f>
        <v/>
      </c>
      <c r="C765" s="29" t="str">
        <f>IF(Analysis!$I765="","",IF(Analysis!$I765="Project-driven",Analysis!$D765,""))</f>
        <v/>
      </c>
      <c r="D765" s="29" t="str">
        <f>IF(Analysis!$I765="","",IF(Analysis!$I765="Drifting",Analysis!$D765,""))</f>
        <v/>
      </c>
      <c r="E765" s="29" t="str">
        <f>IF(Analysis!$I765="","",IF(Analysis!$I765="Embedded",Analysis!$C765,""))</f>
        <v/>
      </c>
      <c r="F765" s="29" t="str">
        <f>IF(Analysis!$I765="","",IF(Analysis!$I765="Loyal but shallow",Analysis!$C765,""))</f>
        <v/>
      </c>
      <c r="G765" s="29" t="str">
        <f>IF(Analysis!$I765="","",IF(Analysis!$I765="Project-driven",Analysis!$C765,""))</f>
        <v/>
      </c>
      <c r="H765" s="29" t="str">
        <f>IF(Analysis!$I765="","",IF(Analysis!$I765="Drifting",Analysis!$C765,""))</f>
        <v/>
      </c>
      <c r="I765" s="29" t="str">
        <f>IF(Analysis!$I765="","",IF(Analysis!$I765="Embedded",Analysis!$F765,""))</f>
        <v/>
      </c>
      <c r="J765" s="29" t="str">
        <f>IF(Analysis!$I765="","",IF(Analysis!$I765="Loyal but shallow",Analysis!$F765,""))</f>
        <v/>
      </c>
      <c r="K765" s="29" t="str">
        <f>IF(Analysis!$I765="","",IF(Analysis!$I765="Project-driven",Analysis!$F765,""))</f>
        <v/>
      </c>
      <c r="L765" s="29" t="str">
        <f>IF(Analysis!$I765="","",IF(Analysis!$I765="Drifting",Analysis!$F765,""))</f>
        <v/>
      </c>
      <c r="M765" s="29" t="str">
        <f>IF(Analysis!$I765="","",IF(Analysis!$I765="Embedded",Analysis!$H765,""))</f>
        <v/>
      </c>
      <c r="N765" s="29" t="str">
        <f>IF(Analysis!$I765="","",IF(Analysis!$I765="Loyal but shallow",Analysis!$H765,""))</f>
        <v/>
      </c>
      <c r="O765" s="29" t="str">
        <f>IF(Analysis!$I765="","",IF(Analysis!$I765="Project-driven",Analysis!$H765,""))</f>
        <v/>
      </c>
      <c r="P765" s="29" t="str">
        <f>IF(Analysis!$I765="","",IF(Analysis!$I765="Drifting",Analysis!$H765,""))</f>
        <v/>
      </c>
    </row>
    <row r="766" spans="1:16" x14ac:dyDescent="0.25">
      <c r="A766" s="29" t="str">
        <f>IF(Analysis!$I766="","",IF(Analysis!$I766="Embedded",Analysis!$D766,""))</f>
        <v/>
      </c>
      <c r="B766" s="29" t="str">
        <f>IF(Analysis!$I766="","",IF(Analysis!$I766="Loyal but shallow",Analysis!$D766,""))</f>
        <v/>
      </c>
      <c r="C766" s="29" t="str">
        <f>IF(Analysis!$I766="","",IF(Analysis!$I766="Project-driven",Analysis!$D766,""))</f>
        <v/>
      </c>
      <c r="D766" s="29" t="str">
        <f>IF(Analysis!$I766="","",IF(Analysis!$I766="Drifting",Analysis!$D766,""))</f>
        <v/>
      </c>
      <c r="E766" s="29" t="str">
        <f>IF(Analysis!$I766="","",IF(Analysis!$I766="Embedded",Analysis!$C766,""))</f>
        <v/>
      </c>
      <c r="F766" s="29" t="str">
        <f>IF(Analysis!$I766="","",IF(Analysis!$I766="Loyal but shallow",Analysis!$C766,""))</f>
        <v/>
      </c>
      <c r="G766" s="29" t="str">
        <f>IF(Analysis!$I766="","",IF(Analysis!$I766="Project-driven",Analysis!$C766,""))</f>
        <v/>
      </c>
      <c r="H766" s="29" t="str">
        <f>IF(Analysis!$I766="","",IF(Analysis!$I766="Drifting",Analysis!$C766,""))</f>
        <v/>
      </c>
      <c r="I766" s="29" t="str">
        <f>IF(Analysis!$I766="","",IF(Analysis!$I766="Embedded",Analysis!$F766,""))</f>
        <v/>
      </c>
      <c r="J766" s="29" t="str">
        <f>IF(Analysis!$I766="","",IF(Analysis!$I766="Loyal but shallow",Analysis!$F766,""))</f>
        <v/>
      </c>
      <c r="K766" s="29" t="str">
        <f>IF(Analysis!$I766="","",IF(Analysis!$I766="Project-driven",Analysis!$F766,""))</f>
        <v/>
      </c>
      <c r="L766" s="29" t="str">
        <f>IF(Analysis!$I766="","",IF(Analysis!$I766="Drifting",Analysis!$F766,""))</f>
        <v/>
      </c>
      <c r="M766" s="29" t="str">
        <f>IF(Analysis!$I766="","",IF(Analysis!$I766="Embedded",Analysis!$H766,""))</f>
        <v/>
      </c>
      <c r="N766" s="29" t="str">
        <f>IF(Analysis!$I766="","",IF(Analysis!$I766="Loyal but shallow",Analysis!$H766,""))</f>
        <v/>
      </c>
      <c r="O766" s="29" t="str">
        <f>IF(Analysis!$I766="","",IF(Analysis!$I766="Project-driven",Analysis!$H766,""))</f>
        <v/>
      </c>
      <c r="P766" s="29" t="str">
        <f>IF(Analysis!$I766="","",IF(Analysis!$I766="Drifting",Analysis!$H766,""))</f>
        <v/>
      </c>
    </row>
    <row r="767" spans="1:16" x14ac:dyDescent="0.25">
      <c r="A767" s="29" t="str">
        <f>IF(Analysis!$I767="","",IF(Analysis!$I767="Embedded",Analysis!$D767,""))</f>
        <v/>
      </c>
      <c r="B767" s="29" t="str">
        <f>IF(Analysis!$I767="","",IF(Analysis!$I767="Loyal but shallow",Analysis!$D767,""))</f>
        <v/>
      </c>
      <c r="C767" s="29" t="str">
        <f>IF(Analysis!$I767="","",IF(Analysis!$I767="Project-driven",Analysis!$D767,""))</f>
        <v/>
      </c>
      <c r="D767" s="29" t="str">
        <f>IF(Analysis!$I767="","",IF(Analysis!$I767="Drifting",Analysis!$D767,""))</f>
        <v/>
      </c>
      <c r="E767" s="29" t="str">
        <f>IF(Analysis!$I767="","",IF(Analysis!$I767="Embedded",Analysis!$C767,""))</f>
        <v/>
      </c>
      <c r="F767" s="29" t="str">
        <f>IF(Analysis!$I767="","",IF(Analysis!$I767="Loyal but shallow",Analysis!$C767,""))</f>
        <v/>
      </c>
      <c r="G767" s="29" t="str">
        <f>IF(Analysis!$I767="","",IF(Analysis!$I767="Project-driven",Analysis!$C767,""))</f>
        <v/>
      </c>
      <c r="H767" s="29" t="str">
        <f>IF(Analysis!$I767="","",IF(Analysis!$I767="Drifting",Analysis!$C767,""))</f>
        <v/>
      </c>
      <c r="I767" s="29" t="str">
        <f>IF(Analysis!$I767="","",IF(Analysis!$I767="Embedded",Analysis!$F767,""))</f>
        <v/>
      </c>
      <c r="J767" s="29" t="str">
        <f>IF(Analysis!$I767="","",IF(Analysis!$I767="Loyal but shallow",Analysis!$F767,""))</f>
        <v/>
      </c>
      <c r="K767" s="29" t="str">
        <f>IF(Analysis!$I767="","",IF(Analysis!$I767="Project-driven",Analysis!$F767,""))</f>
        <v/>
      </c>
      <c r="L767" s="29" t="str">
        <f>IF(Analysis!$I767="","",IF(Analysis!$I767="Drifting",Analysis!$F767,""))</f>
        <v/>
      </c>
      <c r="M767" s="29" t="str">
        <f>IF(Analysis!$I767="","",IF(Analysis!$I767="Embedded",Analysis!$H767,""))</f>
        <v/>
      </c>
      <c r="N767" s="29" t="str">
        <f>IF(Analysis!$I767="","",IF(Analysis!$I767="Loyal but shallow",Analysis!$H767,""))</f>
        <v/>
      </c>
      <c r="O767" s="29" t="str">
        <f>IF(Analysis!$I767="","",IF(Analysis!$I767="Project-driven",Analysis!$H767,""))</f>
        <v/>
      </c>
      <c r="P767" s="29" t="str">
        <f>IF(Analysis!$I767="","",IF(Analysis!$I767="Drifting",Analysis!$H767,""))</f>
        <v/>
      </c>
    </row>
    <row r="768" spans="1:16" x14ac:dyDescent="0.25">
      <c r="A768" s="29" t="str">
        <f>IF(Analysis!$I768="","",IF(Analysis!$I768="Embedded",Analysis!$D768,""))</f>
        <v/>
      </c>
      <c r="B768" s="29" t="str">
        <f>IF(Analysis!$I768="","",IF(Analysis!$I768="Loyal but shallow",Analysis!$D768,""))</f>
        <v/>
      </c>
      <c r="C768" s="29" t="str">
        <f>IF(Analysis!$I768="","",IF(Analysis!$I768="Project-driven",Analysis!$D768,""))</f>
        <v/>
      </c>
      <c r="D768" s="29" t="str">
        <f>IF(Analysis!$I768="","",IF(Analysis!$I768="Drifting",Analysis!$D768,""))</f>
        <v/>
      </c>
      <c r="E768" s="29" t="str">
        <f>IF(Analysis!$I768="","",IF(Analysis!$I768="Embedded",Analysis!$C768,""))</f>
        <v/>
      </c>
      <c r="F768" s="29" t="str">
        <f>IF(Analysis!$I768="","",IF(Analysis!$I768="Loyal but shallow",Analysis!$C768,""))</f>
        <v/>
      </c>
      <c r="G768" s="29" t="str">
        <f>IF(Analysis!$I768="","",IF(Analysis!$I768="Project-driven",Analysis!$C768,""))</f>
        <v/>
      </c>
      <c r="H768" s="29" t="str">
        <f>IF(Analysis!$I768="","",IF(Analysis!$I768="Drifting",Analysis!$C768,""))</f>
        <v/>
      </c>
      <c r="I768" s="29" t="str">
        <f>IF(Analysis!$I768="","",IF(Analysis!$I768="Embedded",Analysis!$F768,""))</f>
        <v/>
      </c>
      <c r="J768" s="29" t="str">
        <f>IF(Analysis!$I768="","",IF(Analysis!$I768="Loyal but shallow",Analysis!$F768,""))</f>
        <v/>
      </c>
      <c r="K768" s="29" t="str">
        <f>IF(Analysis!$I768="","",IF(Analysis!$I768="Project-driven",Analysis!$F768,""))</f>
        <v/>
      </c>
      <c r="L768" s="29" t="str">
        <f>IF(Analysis!$I768="","",IF(Analysis!$I768="Drifting",Analysis!$F768,""))</f>
        <v/>
      </c>
      <c r="M768" s="29" t="str">
        <f>IF(Analysis!$I768="","",IF(Analysis!$I768="Embedded",Analysis!$H768,""))</f>
        <v/>
      </c>
      <c r="N768" s="29" t="str">
        <f>IF(Analysis!$I768="","",IF(Analysis!$I768="Loyal but shallow",Analysis!$H768,""))</f>
        <v/>
      </c>
      <c r="O768" s="29" t="str">
        <f>IF(Analysis!$I768="","",IF(Analysis!$I768="Project-driven",Analysis!$H768,""))</f>
        <v/>
      </c>
      <c r="P768" s="29" t="str">
        <f>IF(Analysis!$I768="","",IF(Analysis!$I768="Drifting",Analysis!$H768,""))</f>
        <v/>
      </c>
    </row>
    <row r="769" spans="1:16" x14ac:dyDescent="0.25">
      <c r="A769" s="29" t="str">
        <f>IF(Analysis!$I769="","",IF(Analysis!$I769="Embedded",Analysis!$D769,""))</f>
        <v/>
      </c>
      <c r="B769" s="29" t="str">
        <f>IF(Analysis!$I769="","",IF(Analysis!$I769="Loyal but shallow",Analysis!$D769,""))</f>
        <v/>
      </c>
      <c r="C769" s="29" t="str">
        <f>IF(Analysis!$I769="","",IF(Analysis!$I769="Project-driven",Analysis!$D769,""))</f>
        <v/>
      </c>
      <c r="D769" s="29" t="str">
        <f>IF(Analysis!$I769="","",IF(Analysis!$I769="Drifting",Analysis!$D769,""))</f>
        <v/>
      </c>
      <c r="E769" s="29" t="str">
        <f>IF(Analysis!$I769="","",IF(Analysis!$I769="Embedded",Analysis!$C769,""))</f>
        <v/>
      </c>
      <c r="F769" s="29" t="str">
        <f>IF(Analysis!$I769="","",IF(Analysis!$I769="Loyal but shallow",Analysis!$C769,""))</f>
        <v/>
      </c>
      <c r="G769" s="29" t="str">
        <f>IF(Analysis!$I769="","",IF(Analysis!$I769="Project-driven",Analysis!$C769,""))</f>
        <v/>
      </c>
      <c r="H769" s="29" t="str">
        <f>IF(Analysis!$I769="","",IF(Analysis!$I769="Drifting",Analysis!$C769,""))</f>
        <v/>
      </c>
      <c r="I769" s="29" t="str">
        <f>IF(Analysis!$I769="","",IF(Analysis!$I769="Embedded",Analysis!$F769,""))</f>
        <v/>
      </c>
      <c r="J769" s="29" t="str">
        <f>IF(Analysis!$I769="","",IF(Analysis!$I769="Loyal but shallow",Analysis!$F769,""))</f>
        <v/>
      </c>
      <c r="K769" s="29" t="str">
        <f>IF(Analysis!$I769="","",IF(Analysis!$I769="Project-driven",Analysis!$F769,""))</f>
        <v/>
      </c>
      <c r="L769" s="29" t="str">
        <f>IF(Analysis!$I769="","",IF(Analysis!$I769="Drifting",Analysis!$F769,""))</f>
        <v/>
      </c>
      <c r="M769" s="29" t="str">
        <f>IF(Analysis!$I769="","",IF(Analysis!$I769="Embedded",Analysis!$H769,""))</f>
        <v/>
      </c>
      <c r="N769" s="29" t="str">
        <f>IF(Analysis!$I769="","",IF(Analysis!$I769="Loyal but shallow",Analysis!$H769,""))</f>
        <v/>
      </c>
      <c r="O769" s="29" t="str">
        <f>IF(Analysis!$I769="","",IF(Analysis!$I769="Project-driven",Analysis!$H769,""))</f>
        <v/>
      </c>
      <c r="P769" s="29" t="str">
        <f>IF(Analysis!$I769="","",IF(Analysis!$I769="Drifting",Analysis!$H769,""))</f>
        <v/>
      </c>
    </row>
    <row r="770" spans="1:16" x14ac:dyDescent="0.25">
      <c r="A770" s="29" t="str">
        <f>IF(Analysis!$I770="","",IF(Analysis!$I770="Embedded",Analysis!$D770,""))</f>
        <v/>
      </c>
      <c r="B770" s="29" t="str">
        <f>IF(Analysis!$I770="","",IF(Analysis!$I770="Loyal but shallow",Analysis!$D770,""))</f>
        <v/>
      </c>
      <c r="C770" s="29" t="str">
        <f>IF(Analysis!$I770="","",IF(Analysis!$I770="Project-driven",Analysis!$D770,""))</f>
        <v/>
      </c>
      <c r="D770" s="29" t="str">
        <f>IF(Analysis!$I770="","",IF(Analysis!$I770="Drifting",Analysis!$D770,""))</f>
        <v/>
      </c>
      <c r="E770" s="29" t="str">
        <f>IF(Analysis!$I770="","",IF(Analysis!$I770="Embedded",Analysis!$C770,""))</f>
        <v/>
      </c>
      <c r="F770" s="29" t="str">
        <f>IF(Analysis!$I770="","",IF(Analysis!$I770="Loyal but shallow",Analysis!$C770,""))</f>
        <v/>
      </c>
      <c r="G770" s="29" t="str">
        <f>IF(Analysis!$I770="","",IF(Analysis!$I770="Project-driven",Analysis!$C770,""))</f>
        <v/>
      </c>
      <c r="H770" s="29" t="str">
        <f>IF(Analysis!$I770="","",IF(Analysis!$I770="Drifting",Analysis!$C770,""))</f>
        <v/>
      </c>
      <c r="I770" s="29" t="str">
        <f>IF(Analysis!$I770="","",IF(Analysis!$I770="Embedded",Analysis!$F770,""))</f>
        <v/>
      </c>
      <c r="J770" s="29" t="str">
        <f>IF(Analysis!$I770="","",IF(Analysis!$I770="Loyal but shallow",Analysis!$F770,""))</f>
        <v/>
      </c>
      <c r="K770" s="29" t="str">
        <f>IF(Analysis!$I770="","",IF(Analysis!$I770="Project-driven",Analysis!$F770,""))</f>
        <v/>
      </c>
      <c r="L770" s="29" t="str">
        <f>IF(Analysis!$I770="","",IF(Analysis!$I770="Drifting",Analysis!$F770,""))</f>
        <v/>
      </c>
      <c r="M770" s="29" t="str">
        <f>IF(Analysis!$I770="","",IF(Analysis!$I770="Embedded",Analysis!$H770,""))</f>
        <v/>
      </c>
      <c r="N770" s="29" t="str">
        <f>IF(Analysis!$I770="","",IF(Analysis!$I770="Loyal but shallow",Analysis!$H770,""))</f>
        <v/>
      </c>
      <c r="O770" s="29" t="str">
        <f>IF(Analysis!$I770="","",IF(Analysis!$I770="Project-driven",Analysis!$H770,""))</f>
        <v/>
      </c>
      <c r="P770" s="29" t="str">
        <f>IF(Analysis!$I770="","",IF(Analysis!$I770="Drifting",Analysis!$H770,""))</f>
        <v/>
      </c>
    </row>
    <row r="771" spans="1:16" x14ac:dyDescent="0.25">
      <c r="A771" s="29" t="str">
        <f>IF(Analysis!$I771="","",IF(Analysis!$I771="Embedded",Analysis!$D771,""))</f>
        <v/>
      </c>
      <c r="B771" s="29" t="str">
        <f>IF(Analysis!$I771="","",IF(Analysis!$I771="Loyal but shallow",Analysis!$D771,""))</f>
        <v/>
      </c>
      <c r="C771" s="29" t="str">
        <f>IF(Analysis!$I771="","",IF(Analysis!$I771="Project-driven",Analysis!$D771,""))</f>
        <v/>
      </c>
      <c r="D771" s="29" t="str">
        <f>IF(Analysis!$I771="","",IF(Analysis!$I771="Drifting",Analysis!$D771,""))</f>
        <v/>
      </c>
      <c r="E771" s="29" t="str">
        <f>IF(Analysis!$I771="","",IF(Analysis!$I771="Embedded",Analysis!$C771,""))</f>
        <v/>
      </c>
      <c r="F771" s="29" t="str">
        <f>IF(Analysis!$I771="","",IF(Analysis!$I771="Loyal but shallow",Analysis!$C771,""))</f>
        <v/>
      </c>
      <c r="G771" s="29" t="str">
        <f>IF(Analysis!$I771="","",IF(Analysis!$I771="Project-driven",Analysis!$C771,""))</f>
        <v/>
      </c>
      <c r="H771" s="29" t="str">
        <f>IF(Analysis!$I771="","",IF(Analysis!$I771="Drifting",Analysis!$C771,""))</f>
        <v/>
      </c>
      <c r="I771" s="29" t="str">
        <f>IF(Analysis!$I771="","",IF(Analysis!$I771="Embedded",Analysis!$F771,""))</f>
        <v/>
      </c>
      <c r="J771" s="29" t="str">
        <f>IF(Analysis!$I771="","",IF(Analysis!$I771="Loyal but shallow",Analysis!$F771,""))</f>
        <v/>
      </c>
      <c r="K771" s="29" t="str">
        <f>IF(Analysis!$I771="","",IF(Analysis!$I771="Project-driven",Analysis!$F771,""))</f>
        <v/>
      </c>
      <c r="L771" s="29" t="str">
        <f>IF(Analysis!$I771="","",IF(Analysis!$I771="Drifting",Analysis!$F771,""))</f>
        <v/>
      </c>
      <c r="M771" s="29" t="str">
        <f>IF(Analysis!$I771="","",IF(Analysis!$I771="Embedded",Analysis!$H771,""))</f>
        <v/>
      </c>
      <c r="N771" s="29" t="str">
        <f>IF(Analysis!$I771="","",IF(Analysis!$I771="Loyal but shallow",Analysis!$H771,""))</f>
        <v/>
      </c>
      <c r="O771" s="29" t="str">
        <f>IF(Analysis!$I771="","",IF(Analysis!$I771="Project-driven",Analysis!$H771,""))</f>
        <v/>
      </c>
      <c r="P771" s="29" t="str">
        <f>IF(Analysis!$I771="","",IF(Analysis!$I771="Drifting",Analysis!$H771,""))</f>
        <v/>
      </c>
    </row>
    <row r="772" spans="1:16" x14ac:dyDescent="0.25">
      <c r="A772" s="29" t="str">
        <f>IF(Analysis!$I772="","",IF(Analysis!$I772="Embedded",Analysis!$D772,""))</f>
        <v/>
      </c>
      <c r="B772" s="29" t="str">
        <f>IF(Analysis!$I772="","",IF(Analysis!$I772="Loyal but shallow",Analysis!$D772,""))</f>
        <v/>
      </c>
      <c r="C772" s="29" t="str">
        <f>IF(Analysis!$I772="","",IF(Analysis!$I772="Project-driven",Analysis!$D772,""))</f>
        <v/>
      </c>
      <c r="D772" s="29" t="str">
        <f>IF(Analysis!$I772="","",IF(Analysis!$I772="Drifting",Analysis!$D772,""))</f>
        <v/>
      </c>
      <c r="E772" s="29" t="str">
        <f>IF(Analysis!$I772="","",IF(Analysis!$I772="Embedded",Analysis!$C772,""))</f>
        <v/>
      </c>
      <c r="F772" s="29" t="str">
        <f>IF(Analysis!$I772="","",IF(Analysis!$I772="Loyal but shallow",Analysis!$C772,""))</f>
        <v/>
      </c>
      <c r="G772" s="29" t="str">
        <f>IF(Analysis!$I772="","",IF(Analysis!$I772="Project-driven",Analysis!$C772,""))</f>
        <v/>
      </c>
      <c r="H772" s="29" t="str">
        <f>IF(Analysis!$I772="","",IF(Analysis!$I772="Drifting",Analysis!$C772,""))</f>
        <v/>
      </c>
      <c r="I772" s="29" t="str">
        <f>IF(Analysis!$I772="","",IF(Analysis!$I772="Embedded",Analysis!$F772,""))</f>
        <v/>
      </c>
      <c r="J772" s="29" t="str">
        <f>IF(Analysis!$I772="","",IF(Analysis!$I772="Loyal but shallow",Analysis!$F772,""))</f>
        <v/>
      </c>
      <c r="K772" s="29" t="str">
        <f>IF(Analysis!$I772="","",IF(Analysis!$I772="Project-driven",Analysis!$F772,""))</f>
        <v/>
      </c>
      <c r="L772" s="29" t="str">
        <f>IF(Analysis!$I772="","",IF(Analysis!$I772="Drifting",Analysis!$F772,""))</f>
        <v/>
      </c>
      <c r="M772" s="29" t="str">
        <f>IF(Analysis!$I772="","",IF(Analysis!$I772="Embedded",Analysis!$H772,""))</f>
        <v/>
      </c>
      <c r="N772" s="29" t="str">
        <f>IF(Analysis!$I772="","",IF(Analysis!$I772="Loyal but shallow",Analysis!$H772,""))</f>
        <v/>
      </c>
      <c r="O772" s="29" t="str">
        <f>IF(Analysis!$I772="","",IF(Analysis!$I772="Project-driven",Analysis!$H772,""))</f>
        <v/>
      </c>
      <c r="P772" s="29" t="str">
        <f>IF(Analysis!$I772="","",IF(Analysis!$I772="Drifting",Analysis!$H772,""))</f>
        <v/>
      </c>
    </row>
    <row r="773" spans="1:16" x14ac:dyDescent="0.25">
      <c r="A773" s="29" t="str">
        <f>IF(Analysis!$I773="","",IF(Analysis!$I773="Embedded",Analysis!$D773,""))</f>
        <v/>
      </c>
      <c r="B773" s="29" t="str">
        <f>IF(Analysis!$I773="","",IF(Analysis!$I773="Loyal but shallow",Analysis!$D773,""))</f>
        <v/>
      </c>
      <c r="C773" s="29" t="str">
        <f>IF(Analysis!$I773="","",IF(Analysis!$I773="Project-driven",Analysis!$D773,""))</f>
        <v/>
      </c>
      <c r="D773" s="29" t="str">
        <f>IF(Analysis!$I773="","",IF(Analysis!$I773="Drifting",Analysis!$D773,""))</f>
        <v/>
      </c>
      <c r="E773" s="29" t="str">
        <f>IF(Analysis!$I773="","",IF(Analysis!$I773="Embedded",Analysis!$C773,""))</f>
        <v/>
      </c>
      <c r="F773" s="29" t="str">
        <f>IF(Analysis!$I773="","",IF(Analysis!$I773="Loyal but shallow",Analysis!$C773,""))</f>
        <v/>
      </c>
      <c r="G773" s="29" t="str">
        <f>IF(Analysis!$I773="","",IF(Analysis!$I773="Project-driven",Analysis!$C773,""))</f>
        <v/>
      </c>
      <c r="H773" s="29" t="str">
        <f>IF(Analysis!$I773="","",IF(Analysis!$I773="Drifting",Analysis!$C773,""))</f>
        <v/>
      </c>
      <c r="I773" s="29" t="str">
        <f>IF(Analysis!$I773="","",IF(Analysis!$I773="Embedded",Analysis!$F773,""))</f>
        <v/>
      </c>
      <c r="J773" s="29" t="str">
        <f>IF(Analysis!$I773="","",IF(Analysis!$I773="Loyal but shallow",Analysis!$F773,""))</f>
        <v/>
      </c>
      <c r="K773" s="29" t="str">
        <f>IF(Analysis!$I773="","",IF(Analysis!$I773="Project-driven",Analysis!$F773,""))</f>
        <v/>
      </c>
      <c r="L773" s="29" t="str">
        <f>IF(Analysis!$I773="","",IF(Analysis!$I773="Drifting",Analysis!$F773,""))</f>
        <v/>
      </c>
      <c r="M773" s="29" t="str">
        <f>IF(Analysis!$I773="","",IF(Analysis!$I773="Embedded",Analysis!$H773,""))</f>
        <v/>
      </c>
      <c r="N773" s="29" t="str">
        <f>IF(Analysis!$I773="","",IF(Analysis!$I773="Loyal but shallow",Analysis!$H773,""))</f>
        <v/>
      </c>
      <c r="O773" s="29" t="str">
        <f>IF(Analysis!$I773="","",IF(Analysis!$I773="Project-driven",Analysis!$H773,""))</f>
        <v/>
      </c>
      <c r="P773" s="29" t="str">
        <f>IF(Analysis!$I773="","",IF(Analysis!$I773="Drifting",Analysis!$H773,""))</f>
        <v/>
      </c>
    </row>
    <row r="774" spans="1:16" x14ac:dyDescent="0.25">
      <c r="A774" s="29" t="str">
        <f>IF(Analysis!$I774="","",IF(Analysis!$I774="Embedded",Analysis!$D774,""))</f>
        <v/>
      </c>
      <c r="B774" s="29" t="str">
        <f>IF(Analysis!$I774="","",IF(Analysis!$I774="Loyal but shallow",Analysis!$D774,""))</f>
        <v/>
      </c>
      <c r="C774" s="29" t="str">
        <f>IF(Analysis!$I774="","",IF(Analysis!$I774="Project-driven",Analysis!$D774,""))</f>
        <v/>
      </c>
      <c r="D774" s="29" t="str">
        <f>IF(Analysis!$I774="","",IF(Analysis!$I774="Drifting",Analysis!$D774,""))</f>
        <v/>
      </c>
      <c r="E774" s="29" t="str">
        <f>IF(Analysis!$I774="","",IF(Analysis!$I774="Embedded",Analysis!$C774,""))</f>
        <v/>
      </c>
      <c r="F774" s="29" t="str">
        <f>IF(Analysis!$I774="","",IF(Analysis!$I774="Loyal but shallow",Analysis!$C774,""))</f>
        <v/>
      </c>
      <c r="G774" s="29" t="str">
        <f>IF(Analysis!$I774="","",IF(Analysis!$I774="Project-driven",Analysis!$C774,""))</f>
        <v/>
      </c>
      <c r="H774" s="29" t="str">
        <f>IF(Analysis!$I774="","",IF(Analysis!$I774="Drifting",Analysis!$C774,""))</f>
        <v/>
      </c>
      <c r="I774" s="29" t="str">
        <f>IF(Analysis!$I774="","",IF(Analysis!$I774="Embedded",Analysis!$F774,""))</f>
        <v/>
      </c>
      <c r="J774" s="29" t="str">
        <f>IF(Analysis!$I774="","",IF(Analysis!$I774="Loyal but shallow",Analysis!$F774,""))</f>
        <v/>
      </c>
      <c r="K774" s="29" t="str">
        <f>IF(Analysis!$I774="","",IF(Analysis!$I774="Project-driven",Analysis!$F774,""))</f>
        <v/>
      </c>
      <c r="L774" s="29" t="str">
        <f>IF(Analysis!$I774="","",IF(Analysis!$I774="Drifting",Analysis!$F774,""))</f>
        <v/>
      </c>
      <c r="M774" s="29" t="str">
        <f>IF(Analysis!$I774="","",IF(Analysis!$I774="Embedded",Analysis!$H774,""))</f>
        <v/>
      </c>
      <c r="N774" s="29" t="str">
        <f>IF(Analysis!$I774="","",IF(Analysis!$I774="Loyal but shallow",Analysis!$H774,""))</f>
        <v/>
      </c>
      <c r="O774" s="29" t="str">
        <f>IF(Analysis!$I774="","",IF(Analysis!$I774="Project-driven",Analysis!$H774,""))</f>
        <v/>
      </c>
      <c r="P774" s="29" t="str">
        <f>IF(Analysis!$I774="","",IF(Analysis!$I774="Drifting",Analysis!$H774,""))</f>
        <v/>
      </c>
    </row>
    <row r="775" spans="1:16" x14ac:dyDescent="0.25">
      <c r="A775" s="29" t="str">
        <f>IF(Analysis!$I775="","",IF(Analysis!$I775="Embedded",Analysis!$D775,""))</f>
        <v/>
      </c>
      <c r="B775" s="29" t="str">
        <f>IF(Analysis!$I775="","",IF(Analysis!$I775="Loyal but shallow",Analysis!$D775,""))</f>
        <v/>
      </c>
      <c r="C775" s="29" t="str">
        <f>IF(Analysis!$I775="","",IF(Analysis!$I775="Project-driven",Analysis!$D775,""))</f>
        <v/>
      </c>
      <c r="D775" s="29" t="str">
        <f>IF(Analysis!$I775="","",IF(Analysis!$I775="Drifting",Analysis!$D775,""))</f>
        <v/>
      </c>
      <c r="E775" s="29" t="str">
        <f>IF(Analysis!$I775="","",IF(Analysis!$I775="Embedded",Analysis!$C775,""))</f>
        <v/>
      </c>
      <c r="F775" s="29" t="str">
        <f>IF(Analysis!$I775="","",IF(Analysis!$I775="Loyal but shallow",Analysis!$C775,""))</f>
        <v/>
      </c>
      <c r="G775" s="29" t="str">
        <f>IF(Analysis!$I775="","",IF(Analysis!$I775="Project-driven",Analysis!$C775,""))</f>
        <v/>
      </c>
      <c r="H775" s="29" t="str">
        <f>IF(Analysis!$I775="","",IF(Analysis!$I775="Drifting",Analysis!$C775,""))</f>
        <v/>
      </c>
      <c r="I775" s="29" t="str">
        <f>IF(Analysis!$I775="","",IF(Analysis!$I775="Embedded",Analysis!$F775,""))</f>
        <v/>
      </c>
      <c r="J775" s="29" t="str">
        <f>IF(Analysis!$I775="","",IF(Analysis!$I775="Loyal but shallow",Analysis!$F775,""))</f>
        <v/>
      </c>
      <c r="K775" s="29" t="str">
        <f>IF(Analysis!$I775="","",IF(Analysis!$I775="Project-driven",Analysis!$F775,""))</f>
        <v/>
      </c>
      <c r="L775" s="29" t="str">
        <f>IF(Analysis!$I775="","",IF(Analysis!$I775="Drifting",Analysis!$F775,""))</f>
        <v/>
      </c>
      <c r="M775" s="29" t="str">
        <f>IF(Analysis!$I775="","",IF(Analysis!$I775="Embedded",Analysis!$H775,""))</f>
        <v/>
      </c>
      <c r="N775" s="29" t="str">
        <f>IF(Analysis!$I775="","",IF(Analysis!$I775="Loyal but shallow",Analysis!$H775,""))</f>
        <v/>
      </c>
      <c r="O775" s="29" t="str">
        <f>IF(Analysis!$I775="","",IF(Analysis!$I775="Project-driven",Analysis!$H775,""))</f>
        <v/>
      </c>
      <c r="P775" s="29" t="str">
        <f>IF(Analysis!$I775="","",IF(Analysis!$I775="Drifting",Analysis!$H775,""))</f>
        <v/>
      </c>
    </row>
    <row r="776" spans="1:16" x14ac:dyDescent="0.25">
      <c r="A776" s="29" t="str">
        <f>IF(Analysis!$I776="","",IF(Analysis!$I776="Embedded",Analysis!$D776,""))</f>
        <v/>
      </c>
      <c r="B776" s="29" t="str">
        <f>IF(Analysis!$I776="","",IF(Analysis!$I776="Loyal but shallow",Analysis!$D776,""))</f>
        <v/>
      </c>
      <c r="C776" s="29" t="str">
        <f>IF(Analysis!$I776="","",IF(Analysis!$I776="Project-driven",Analysis!$D776,""))</f>
        <v/>
      </c>
      <c r="D776" s="29" t="str">
        <f>IF(Analysis!$I776="","",IF(Analysis!$I776="Drifting",Analysis!$D776,""))</f>
        <v/>
      </c>
      <c r="E776" s="29" t="str">
        <f>IF(Analysis!$I776="","",IF(Analysis!$I776="Embedded",Analysis!$C776,""))</f>
        <v/>
      </c>
      <c r="F776" s="29" t="str">
        <f>IF(Analysis!$I776="","",IF(Analysis!$I776="Loyal but shallow",Analysis!$C776,""))</f>
        <v/>
      </c>
      <c r="G776" s="29" t="str">
        <f>IF(Analysis!$I776="","",IF(Analysis!$I776="Project-driven",Analysis!$C776,""))</f>
        <v/>
      </c>
      <c r="H776" s="29" t="str">
        <f>IF(Analysis!$I776="","",IF(Analysis!$I776="Drifting",Analysis!$C776,""))</f>
        <v/>
      </c>
      <c r="I776" s="29" t="str">
        <f>IF(Analysis!$I776="","",IF(Analysis!$I776="Embedded",Analysis!$F776,""))</f>
        <v/>
      </c>
      <c r="J776" s="29" t="str">
        <f>IF(Analysis!$I776="","",IF(Analysis!$I776="Loyal but shallow",Analysis!$F776,""))</f>
        <v/>
      </c>
      <c r="K776" s="29" t="str">
        <f>IF(Analysis!$I776="","",IF(Analysis!$I776="Project-driven",Analysis!$F776,""))</f>
        <v/>
      </c>
      <c r="L776" s="29" t="str">
        <f>IF(Analysis!$I776="","",IF(Analysis!$I776="Drifting",Analysis!$F776,""))</f>
        <v/>
      </c>
      <c r="M776" s="29" t="str">
        <f>IF(Analysis!$I776="","",IF(Analysis!$I776="Embedded",Analysis!$H776,""))</f>
        <v/>
      </c>
      <c r="N776" s="29" t="str">
        <f>IF(Analysis!$I776="","",IF(Analysis!$I776="Loyal but shallow",Analysis!$H776,""))</f>
        <v/>
      </c>
      <c r="O776" s="29" t="str">
        <f>IF(Analysis!$I776="","",IF(Analysis!$I776="Project-driven",Analysis!$H776,""))</f>
        <v/>
      </c>
      <c r="P776" s="29" t="str">
        <f>IF(Analysis!$I776="","",IF(Analysis!$I776="Drifting",Analysis!$H776,""))</f>
        <v/>
      </c>
    </row>
    <row r="777" spans="1:16" x14ac:dyDescent="0.25">
      <c r="A777" s="29" t="str">
        <f>IF(Analysis!$I777="","",IF(Analysis!$I777="Embedded",Analysis!$D777,""))</f>
        <v/>
      </c>
      <c r="B777" s="29" t="str">
        <f>IF(Analysis!$I777="","",IF(Analysis!$I777="Loyal but shallow",Analysis!$D777,""))</f>
        <v/>
      </c>
      <c r="C777" s="29" t="str">
        <f>IF(Analysis!$I777="","",IF(Analysis!$I777="Project-driven",Analysis!$D777,""))</f>
        <v/>
      </c>
      <c r="D777" s="29" t="str">
        <f>IF(Analysis!$I777="","",IF(Analysis!$I777="Drifting",Analysis!$D777,""))</f>
        <v/>
      </c>
      <c r="E777" s="29" t="str">
        <f>IF(Analysis!$I777="","",IF(Analysis!$I777="Embedded",Analysis!$C777,""))</f>
        <v/>
      </c>
      <c r="F777" s="29" t="str">
        <f>IF(Analysis!$I777="","",IF(Analysis!$I777="Loyal but shallow",Analysis!$C777,""))</f>
        <v/>
      </c>
      <c r="G777" s="29" t="str">
        <f>IF(Analysis!$I777="","",IF(Analysis!$I777="Project-driven",Analysis!$C777,""))</f>
        <v/>
      </c>
      <c r="H777" s="29" t="str">
        <f>IF(Analysis!$I777="","",IF(Analysis!$I777="Drifting",Analysis!$C777,""))</f>
        <v/>
      </c>
      <c r="I777" s="29" t="str">
        <f>IF(Analysis!$I777="","",IF(Analysis!$I777="Embedded",Analysis!$F777,""))</f>
        <v/>
      </c>
      <c r="J777" s="29" t="str">
        <f>IF(Analysis!$I777="","",IF(Analysis!$I777="Loyal but shallow",Analysis!$F777,""))</f>
        <v/>
      </c>
      <c r="K777" s="29" t="str">
        <f>IF(Analysis!$I777="","",IF(Analysis!$I777="Project-driven",Analysis!$F777,""))</f>
        <v/>
      </c>
      <c r="L777" s="29" t="str">
        <f>IF(Analysis!$I777="","",IF(Analysis!$I777="Drifting",Analysis!$F777,""))</f>
        <v/>
      </c>
      <c r="M777" s="29" t="str">
        <f>IF(Analysis!$I777="","",IF(Analysis!$I777="Embedded",Analysis!$H777,""))</f>
        <v/>
      </c>
      <c r="N777" s="29" t="str">
        <f>IF(Analysis!$I777="","",IF(Analysis!$I777="Loyal but shallow",Analysis!$H777,""))</f>
        <v/>
      </c>
      <c r="O777" s="29" t="str">
        <f>IF(Analysis!$I777="","",IF(Analysis!$I777="Project-driven",Analysis!$H777,""))</f>
        <v/>
      </c>
      <c r="P777" s="29" t="str">
        <f>IF(Analysis!$I777="","",IF(Analysis!$I777="Drifting",Analysis!$H777,""))</f>
        <v/>
      </c>
    </row>
    <row r="778" spans="1:16" x14ac:dyDescent="0.25">
      <c r="A778" s="29" t="str">
        <f>IF(Analysis!$I778="","",IF(Analysis!$I778="Embedded",Analysis!$D778,""))</f>
        <v/>
      </c>
      <c r="B778" s="29" t="str">
        <f>IF(Analysis!$I778="","",IF(Analysis!$I778="Loyal but shallow",Analysis!$D778,""))</f>
        <v/>
      </c>
      <c r="C778" s="29" t="str">
        <f>IF(Analysis!$I778="","",IF(Analysis!$I778="Project-driven",Analysis!$D778,""))</f>
        <v/>
      </c>
      <c r="D778" s="29" t="str">
        <f>IF(Analysis!$I778="","",IF(Analysis!$I778="Drifting",Analysis!$D778,""))</f>
        <v/>
      </c>
      <c r="E778" s="29" t="str">
        <f>IF(Analysis!$I778="","",IF(Analysis!$I778="Embedded",Analysis!$C778,""))</f>
        <v/>
      </c>
      <c r="F778" s="29" t="str">
        <f>IF(Analysis!$I778="","",IF(Analysis!$I778="Loyal but shallow",Analysis!$C778,""))</f>
        <v/>
      </c>
      <c r="G778" s="29" t="str">
        <f>IF(Analysis!$I778="","",IF(Analysis!$I778="Project-driven",Analysis!$C778,""))</f>
        <v/>
      </c>
      <c r="H778" s="29" t="str">
        <f>IF(Analysis!$I778="","",IF(Analysis!$I778="Drifting",Analysis!$C778,""))</f>
        <v/>
      </c>
      <c r="I778" s="29" t="str">
        <f>IF(Analysis!$I778="","",IF(Analysis!$I778="Embedded",Analysis!$F778,""))</f>
        <v/>
      </c>
      <c r="J778" s="29" t="str">
        <f>IF(Analysis!$I778="","",IF(Analysis!$I778="Loyal but shallow",Analysis!$F778,""))</f>
        <v/>
      </c>
      <c r="K778" s="29" t="str">
        <f>IF(Analysis!$I778="","",IF(Analysis!$I778="Project-driven",Analysis!$F778,""))</f>
        <v/>
      </c>
      <c r="L778" s="29" t="str">
        <f>IF(Analysis!$I778="","",IF(Analysis!$I778="Drifting",Analysis!$F778,""))</f>
        <v/>
      </c>
      <c r="M778" s="29" t="str">
        <f>IF(Analysis!$I778="","",IF(Analysis!$I778="Embedded",Analysis!$H778,""))</f>
        <v/>
      </c>
      <c r="N778" s="29" t="str">
        <f>IF(Analysis!$I778="","",IF(Analysis!$I778="Loyal but shallow",Analysis!$H778,""))</f>
        <v/>
      </c>
      <c r="O778" s="29" t="str">
        <f>IF(Analysis!$I778="","",IF(Analysis!$I778="Project-driven",Analysis!$H778,""))</f>
        <v/>
      </c>
      <c r="P778" s="29" t="str">
        <f>IF(Analysis!$I778="","",IF(Analysis!$I778="Drifting",Analysis!$H778,""))</f>
        <v/>
      </c>
    </row>
    <row r="779" spans="1:16" x14ac:dyDescent="0.25">
      <c r="A779" s="29" t="str">
        <f>IF(Analysis!$I779="","",IF(Analysis!$I779="Embedded",Analysis!$D779,""))</f>
        <v/>
      </c>
      <c r="B779" s="29" t="str">
        <f>IF(Analysis!$I779="","",IF(Analysis!$I779="Loyal but shallow",Analysis!$D779,""))</f>
        <v/>
      </c>
      <c r="C779" s="29" t="str">
        <f>IF(Analysis!$I779="","",IF(Analysis!$I779="Project-driven",Analysis!$D779,""))</f>
        <v/>
      </c>
      <c r="D779" s="29" t="str">
        <f>IF(Analysis!$I779="","",IF(Analysis!$I779="Drifting",Analysis!$D779,""))</f>
        <v/>
      </c>
      <c r="E779" s="29" t="str">
        <f>IF(Analysis!$I779="","",IF(Analysis!$I779="Embedded",Analysis!$C779,""))</f>
        <v/>
      </c>
      <c r="F779" s="29" t="str">
        <f>IF(Analysis!$I779="","",IF(Analysis!$I779="Loyal but shallow",Analysis!$C779,""))</f>
        <v/>
      </c>
      <c r="G779" s="29" t="str">
        <f>IF(Analysis!$I779="","",IF(Analysis!$I779="Project-driven",Analysis!$C779,""))</f>
        <v/>
      </c>
      <c r="H779" s="29" t="str">
        <f>IF(Analysis!$I779="","",IF(Analysis!$I779="Drifting",Analysis!$C779,""))</f>
        <v/>
      </c>
      <c r="I779" s="29" t="str">
        <f>IF(Analysis!$I779="","",IF(Analysis!$I779="Embedded",Analysis!$F779,""))</f>
        <v/>
      </c>
      <c r="J779" s="29" t="str">
        <f>IF(Analysis!$I779="","",IF(Analysis!$I779="Loyal but shallow",Analysis!$F779,""))</f>
        <v/>
      </c>
      <c r="K779" s="29" t="str">
        <f>IF(Analysis!$I779="","",IF(Analysis!$I779="Project-driven",Analysis!$F779,""))</f>
        <v/>
      </c>
      <c r="L779" s="29" t="str">
        <f>IF(Analysis!$I779="","",IF(Analysis!$I779="Drifting",Analysis!$F779,""))</f>
        <v/>
      </c>
      <c r="M779" s="29" t="str">
        <f>IF(Analysis!$I779="","",IF(Analysis!$I779="Embedded",Analysis!$H779,""))</f>
        <v/>
      </c>
      <c r="N779" s="29" t="str">
        <f>IF(Analysis!$I779="","",IF(Analysis!$I779="Loyal but shallow",Analysis!$H779,""))</f>
        <v/>
      </c>
      <c r="O779" s="29" t="str">
        <f>IF(Analysis!$I779="","",IF(Analysis!$I779="Project-driven",Analysis!$H779,""))</f>
        <v/>
      </c>
      <c r="P779" s="29" t="str">
        <f>IF(Analysis!$I779="","",IF(Analysis!$I779="Drifting",Analysis!$H779,""))</f>
        <v/>
      </c>
    </row>
    <row r="780" spans="1:16" x14ac:dyDescent="0.25">
      <c r="A780" s="29" t="str">
        <f>IF(Analysis!$I780="","",IF(Analysis!$I780="Embedded",Analysis!$D780,""))</f>
        <v/>
      </c>
      <c r="B780" s="29" t="str">
        <f>IF(Analysis!$I780="","",IF(Analysis!$I780="Loyal but shallow",Analysis!$D780,""))</f>
        <v/>
      </c>
      <c r="C780" s="29" t="str">
        <f>IF(Analysis!$I780="","",IF(Analysis!$I780="Project-driven",Analysis!$D780,""))</f>
        <v/>
      </c>
      <c r="D780" s="29" t="str">
        <f>IF(Analysis!$I780="","",IF(Analysis!$I780="Drifting",Analysis!$D780,""))</f>
        <v/>
      </c>
      <c r="E780" s="29" t="str">
        <f>IF(Analysis!$I780="","",IF(Analysis!$I780="Embedded",Analysis!$C780,""))</f>
        <v/>
      </c>
      <c r="F780" s="29" t="str">
        <f>IF(Analysis!$I780="","",IF(Analysis!$I780="Loyal but shallow",Analysis!$C780,""))</f>
        <v/>
      </c>
      <c r="G780" s="29" t="str">
        <f>IF(Analysis!$I780="","",IF(Analysis!$I780="Project-driven",Analysis!$C780,""))</f>
        <v/>
      </c>
      <c r="H780" s="29" t="str">
        <f>IF(Analysis!$I780="","",IF(Analysis!$I780="Drifting",Analysis!$C780,""))</f>
        <v/>
      </c>
      <c r="I780" s="29" t="str">
        <f>IF(Analysis!$I780="","",IF(Analysis!$I780="Embedded",Analysis!$F780,""))</f>
        <v/>
      </c>
      <c r="J780" s="29" t="str">
        <f>IF(Analysis!$I780="","",IF(Analysis!$I780="Loyal but shallow",Analysis!$F780,""))</f>
        <v/>
      </c>
      <c r="K780" s="29" t="str">
        <f>IF(Analysis!$I780="","",IF(Analysis!$I780="Project-driven",Analysis!$F780,""))</f>
        <v/>
      </c>
      <c r="L780" s="29" t="str">
        <f>IF(Analysis!$I780="","",IF(Analysis!$I780="Drifting",Analysis!$F780,""))</f>
        <v/>
      </c>
      <c r="M780" s="29" t="str">
        <f>IF(Analysis!$I780="","",IF(Analysis!$I780="Embedded",Analysis!$H780,""))</f>
        <v/>
      </c>
      <c r="N780" s="29" t="str">
        <f>IF(Analysis!$I780="","",IF(Analysis!$I780="Loyal but shallow",Analysis!$H780,""))</f>
        <v/>
      </c>
      <c r="O780" s="29" t="str">
        <f>IF(Analysis!$I780="","",IF(Analysis!$I780="Project-driven",Analysis!$H780,""))</f>
        <v/>
      </c>
      <c r="P780" s="29" t="str">
        <f>IF(Analysis!$I780="","",IF(Analysis!$I780="Drifting",Analysis!$H780,""))</f>
        <v/>
      </c>
    </row>
    <row r="781" spans="1:16" x14ac:dyDescent="0.25">
      <c r="A781" s="29" t="str">
        <f>IF(Analysis!$I781="","",IF(Analysis!$I781="Embedded",Analysis!$D781,""))</f>
        <v/>
      </c>
      <c r="B781" s="29" t="str">
        <f>IF(Analysis!$I781="","",IF(Analysis!$I781="Loyal but shallow",Analysis!$D781,""))</f>
        <v/>
      </c>
      <c r="C781" s="29" t="str">
        <f>IF(Analysis!$I781="","",IF(Analysis!$I781="Project-driven",Analysis!$D781,""))</f>
        <v/>
      </c>
      <c r="D781" s="29" t="str">
        <f>IF(Analysis!$I781="","",IF(Analysis!$I781="Drifting",Analysis!$D781,""))</f>
        <v/>
      </c>
      <c r="E781" s="29" t="str">
        <f>IF(Analysis!$I781="","",IF(Analysis!$I781="Embedded",Analysis!$C781,""))</f>
        <v/>
      </c>
      <c r="F781" s="29" t="str">
        <f>IF(Analysis!$I781="","",IF(Analysis!$I781="Loyal but shallow",Analysis!$C781,""))</f>
        <v/>
      </c>
      <c r="G781" s="29" t="str">
        <f>IF(Analysis!$I781="","",IF(Analysis!$I781="Project-driven",Analysis!$C781,""))</f>
        <v/>
      </c>
      <c r="H781" s="29" t="str">
        <f>IF(Analysis!$I781="","",IF(Analysis!$I781="Drifting",Analysis!$C781,""))</f>
        <v/>
      </c>
      <c r="I781" s="29" t="str">
        <f>IF(Analysis!$I781="","",IF(Analysis!$I781="Embedded",Analysis!$F781,""))</f>
        <v/>
      </c>
      <c r="J781" s="29" t="str">
        <f>IF(Analysis!$I781="","",IF(Analysis!$I781="Loyal but shallow",Analysis!$F781,""))</f>
        <v/>
      </c>
      <c r="K781" s="29" t="str">
        <f>IF(Analysis!$I781="","",IF(Analysis!$I781="Project-driven",Analysis!$F781,""))</f>
        <v/>
      </c>
      <c r="L781" s="29" t="str">
        <f>IF(Analysis!$I781="","",IF(Analysis!$I781="Drifting",Analysis!$F781,""))</f>
        <v/>
      </c>
      <c r="M781" s="29" t="str">
        <f>IF(Analysis!$I781="","",IF(Analysis!$I781="Embedded",Analysis!$H781,""))</f>
        <v/>
      </c>
      <c r="N781" s="29" t="str">
        <f>IF(Analysis!$I781="","",IF(Analysis!$I781="Loyal but shallow",Analysis!$H781,""))</f>
        <v/>
      </c>
      <c r="O781" s="29" t="str">
        <f>IF(Analysis!$I781="","",IF(Analysis!$I781="Project-driven",Analysis!$H781,""))</f>
        <v/>
      </c>
      <c r="P781" s="29" t="str">
        <f>IF(Analysis!$I781="","",IF(Analysis!$I781="Drifting",Analysis!$H781,""))</f>
        <v/>
      </c>
    </row>
    <row r="782" spans="1:16" x14ac:dyDescent="0.25">
      <c r="A782" s="29" t="str">
        <f>IF(Analysis!$I782="","",IF(Analysis!$I782="Embedded",Analysis!$D782,""))</f>
        <v/>
      </c>
      <c r="B782" s="29" t="str">
        <f>IF(Analysis!$I782="","",IF(Analysis!$I782="Loyal but shallow",Analysis!$D782,""))</f>
        <v/>
      </c>
      <c r="C782" s="29" t="str">
        <f>IF(Analysis!$I782="","",IF(Analysis!$I782="Project-driven",Analysis!$D782,""))</f>
        <v/>
      </c>
      <c r="D782" s="29" t="str">
        <f>IF(Analysis!$I782="","",IF(Analysis!$I782="Drifting",Analysis!$D782,""))</f>
        <v/>
      </c>
      <c r="E782" s="29" t="str">
        <f>IF(Analysis!$I782="","",IF(Analysis!$I782="Embedded",Analysis!$C782,""))</f>
        <v/>
      </c>
      <c r="F782" s="29" t="str">
        <f>IF(Analysis!$I782="","",IF(Analysis!$I782="Loyal but shallow",Analysis!$C782,""))</f>
        <v/>
      </c>
      <c r="G782" s="29" t="str">
        <f>IF(Analysis!$I782="","",IF(Analysis!$I782="Project-driven",Analysis!$C782,""))</f>
        <v/>
      </c>
      <c r="H782" s="29" t="str">
        <f>IF(Analysis!$I782="","",IF(Analysis!$I782="Drifting",Analysis!$C782,""))</f>
        <v/>
      </c>
      <c r="I782" s="29" t="str">
        <f>IF(Analysis!$I782="","",IF(Analysis!$I782="Embedded",Analysis!$F782,""))</f>
        <v/>
      </c>
      <c r="J782" s="29" t="str">
        <f>IF(Analysis!$I782="","",IF(Analysis!$I782="Loyal but shallow",Analysis!$F782,""))</f>
        <v/>
      </c>
      <c r="K782" s="29" t="str">
        <f>IF(Analysis!$I782="","",IF(Analysis!$I782="Project-driven",Analysis!$F782,""))</f>
        <v/>
      </c>
      <c r="L782" s="29" t="str">
        <f>IF(Analysis!$I782="","",IF(Analysis!$I782="Drifting",Analysis!$F782,""))</f>
        <v/>
      </c>
      <c r="M782" s="29" t="str">
        <f>IF(Analysis!$I782="","",IF(Analysis!$I782="Embedded",Analysis!$H782,""))</f>
        <v/>
      </c>
      <c r="N782" s="29" t="str">
        <f>IF(Analysis!$I782="","",IF(Analysis!$I782="Loyal but shallow",Analysis!$H782,""))</f>
        <v/>
      </c>
      <c r="O782" s="29" t="str">
        <f>IF(Analysis!$I782="","",IF(Analysis!$I782="Project-driven",Analysis!$H782,""))</f>
        <v/>
      </c>
      <c r="P782" s="29" t="str">
        <f>IF(Analysis!$I782="","",IF(Analysis!$I782="Drifting",Analysis!$H782,""))</f>
        <v/>
      </c>
    </row>
    <row r="783" spans="1:16" x14ac:dyDescent="0.25">
      <c r="A783" s="29" t="str">
        <f>IF(Analysis!$I783="","",IF(Analysis!$I783="Embedded",Analysis!$D783,""))</f>
        <v/>
      </c>
      <c r="B783" s="29" t="str">
        <f>IF(Analysis!$I783="","",IF(Analysis!$I783="Loyal but shallow",Analysis!$D783,""))</f>
        <v/>
      </c>
      <c r="C783" s="29" t="str">
        <f>IF(Analysis!$I783="","",IF(Analysis!$I783="Project-driven",Analysis!$D783,""))</f>
        <v/>
      </c>
      <c r="D783" s="29" t="str">
        <f>IF(Analysis!$I783="","",IF(Analysis!$I783="Drifting",Analysis!$D783,""))</f>
        <v/>
      </c>
      <c r="E783" s="29" t="str">
        <f>IF(Analysis!$I783="","",IF(Analysis!$I783="Embedded",Analysis!$C783,""))</f>
        <v/>
      </c>
      <c r="F783" s="29" t="str">
        <f>IF(Analysis!$I783="","",IF(Analysis!$I783="Loyal but shallow",Analysis!$C783,""))</f>
        <v/>
      </c>
      <c r="G783" s="29" t="str">
        <f>IF(Analysis!$I783="","",IF(Analysis!$I783="Project-driven",Analysis!$C783,""))</f>
        <v/>
      </c>
      <c r="H783" s="29" t="str">
        <f>IF(Analysis!$I783="","",IF(Analysis!$I783="Drifting",Analysis!$C783,""))</f>
        <v/>
      </c>
      <c r="I783" s="29" t="str">
        <f>IF(Analysis!$I783="","",IF(Analysis!$I783="Embedded",Analysis!$F783,""))</f>
        <v/>
      </c>
      <c r="J783" s="29" t="str">
        <f>IF(Analysis!$I783="","",IF(Analysis!$I783="Loyal but shallow",Analysis!$F783,""))</f>
        <v/>
      </c>
      <c r="K783" s="29" t="str">
        <f>IF(Analysis!$I783="","",IF(Analysis!$I783="Project-driven",Analysis!$F783,""))</f>
        <v/>
      </c>
      <c r="L783" s="29" t="str">
        <f>IF(Analysis!$I783="","",IF(Analysis!$I783="Drifting",Analysis!$F783,""))</f>
        <v/>
      </c>
      <c r="M783" s="29" t="str">
        <f>IF(Analysis!$I783="","",IF(Analysis!$I783="Embedded",Analysis!$H783,""))</f>
        <v/>
      </c>
      <c r="N783" s="29" t="str">
        <f>IF(Analysis!$I783="","",IF(Analysis!$I783="Loyal but shallow",Analysis!$H783,""))</f>
        <v/>
      </c>
      <c r="O783" s="29" t="str">
        <f>IF(Analysis!$I783="","",IF(Analysis!$I783="Project-driven",Analysis!$H783,""))</f>
        <v/>
      </c>
      <c r="P783" s="29" t="str">
        <f>IF(Analysis!$I783="","",IF(Analysis!$I783="Drifting",Analysis!$H783,""))</f>
        <v/>
      </c>
    </row>
    <row r="784" spans="1:16" x14ac:dyDescent="0.25">
      <c r="A784" s="29" t="str">
        <f>IF(Analysis!$I784="","",IF(Analysis!$I784="Embedded",Analysis!$D784,""))</f>
        <v/>
      </c>
      <c r="B784" s="29" t="str">
        <f>IF(Analysis!$I784="","",IF(Analysis!$I784="Loyal but shallow",Analysis!$D784,""))</f>
        <v/>
      </c>
      <c r="C784" s="29" t="str">
        <f>IF(Analysis!$I784="","",IF(Analysis!$I784="Project-driven",Analysis!$D784,""))</f>
        <v/>
      </c>
      <c r="D784" s="29" t="str">
        <f>IF(Analysis!$I784="","",IF(Analysis!$I784="Drifting",Analysis!$D784,""))</f>
        <v/>
      </c>
      <c r="E784" s="29" t="str">
        <f>IF(Analysis!$I784="","",IF(Analysis!$I784="Embedded",Analysis!$C784,""))</f>
        <v/>
      </c>
      <c r="F784" s="29" t="str">
        <f>IF(Analysis!$I784="","",IF(Analysis!$I784="Loyal but shallow",Analysis!$C784,""))</f>
        <v/>
      </c>
      <c r="G784" s="29" t="str">
        <f>IF(Analysis!$I784="","",IF(Analysis!$I784="Project-driven",Analysis!$C784,""))</f>
        <v/>
      </c>
      <c r="H784" s="29" t="str">
        <f>IF(Analysis!$I784="","",IF(Analysis!$I784="Drifting",Analysis!$C784,""))</f>
        <v/>
      </c>
      <c r="I784" s="29" t="str">
        <f>IF(Analysis!$I784="","",IF(Analysis!$I784="Embedded",Analysis!$F784,""))</f>
        <v/>
      </c>
      <c r="J784" s="29" t="str">
        <f>IF(Analysis!$I784="","",IF(Analysis!$I784="Loyal but shallow",Analysis!$F784,""))</f>
        <v/>
      </c>
      <c r="K784" s="29" t="str">
        <f>IF(Analysis!$I784="","",IF(Analysis!$I784="Project-driven",Analysis!$F784,""))</f>
        <v/>
      </c>
      <c r="L784" s="29" t="str">
        <f>IF(Analysis!$I784="","",IF(Analysis!$I784="Drifting",Analysis!$F784,""))</f>
        <v/>
      </c>
      <c r="M784" s="29" t="str">
        <f>IF(Analysis!$I784="","",IF(Analysis!$I784="Embedded",Analysis!$H784,""))</f>
        <v/>
      </c>
      <c r="N784" s="29" t="str">
        <f>IF(Analysis!$I784="","",IF(Analysis!$I784="Loyal but shallow",Analysis!$H784,""))</f>
        <v/>
      </c>
      <c r="O784" s="29" t="str">
        <f>IF(Analysis!$I784="","",IF(Analysis!$I784="Project-driven",Analysis!$H784,""))</f>
        <v/>
      </c>
      <c r="P784" s="29" t="str">
        <f>IF(Analysis!$I784="","",IF(Analysis!$I784="Drifting",Analysis!$H784,""))</f>
        <v/>
      </c>
    </row>
    <row r="785" spans="1:16" x14ac:dyDescent="0.25">
      <c r="A785" s="29" t="str">
        <f>IF(Analysis!$I785="","",IF(Analysis!$I785="Embedded",Analysis!$D785,""))</f>
        <v/>
      </c>
      <c r="B785" s="29" t="str">
        <f>IF(Analysis!$I785="","",IF(Analysis!$I785="Loyal but shallow",Analysis!$D785,""))</f>
        <v/>
      </c>
      <c r="C785" s="29" t="str">
        <f>IF(Analysis!$I785="","",IF(Analysis!$I785="Project-driven",Analysis!$D785,""))</f>
        <v/>
      </c>
      <c r="D785" s="29" t="str">
        <f>IF(Analysis!$I785="","",IF(Analysis!$I785="Drifting",Analysis!$D785,""))</f>
        <v/>
      </c>
      <c r="E785" s="29" t="str">
        <f>IF(Analysis!$I785="","",IF(Analysis!$I785="Embedded",Analysis!$C785,""))</f>
        <v/>
      </c>
      <c r="F785" s="29" t="str">
        <f>IF(Analysis!$I785="","",IF(Analysis!$I785="Loyal but shallow",Analysis!$C785,""))</f>
        <v/>
      </c>
      <c r="G785" s="29" t="str">
        <f>IF(Analysis!$I785="","",IF(Analysis!$I785="Project-driven",Analysis!$C785,""))</f>
        <v/>
      </c>
      <c r="H785" s="29" t="str">
        <f>IF(Analysis!$I785="","",IF(Analysis!$I785="Drifting",Analysis!$C785,""))</f>
        <v/>
      </c>
      <c r="I785" s="29" t="str">
        <f>IF(Analysis!$I785="","",IF(Analysis!$I785="Embedded",Analysis!$F785,""))</f>
        <v/>
      </c>
      <c r="J785" s="29" t="str">
        <f>IF(Analysis!$I785="","",IF(Analysis!$I785="Loyal but shallow",Analysis!$F785,""))</f>
        <v/>
      </c>
      <c r="K785" s="29" t="str">
        <f>IF(Analysis!$I785="","",IF(Analysis!$I785="Project-driven",Analysis!$F785,""))</f>
        <v/>
      </c>
      <c r="L785" s="29" t="str">
        <f>IF(Analysis!$I785="","",IF(Analysis!$I785="Drifting",Analysis!$F785,""))</f>
        <v/>
      </c>
      <c r="M785" s="29" t="str">
        <f>IF(Analysis!$I785="","",IF(Analysis!$I785="Embedded",Analysis!$H785,""))</f>
        <v/>
      </c>
      <c r="N785" s="29" t="str">
        <f>IF(Analysis!$I785="","",IF(Analysis!$I785="Loyal but shallow",Analysis!$H785,""))</f>
        <v/>
      </c>
      <c r="O785" s="29" t="str">
        <f>IF(Analysis!$I785="","",IF(Analysis!$I785="Project-driven",Analysis!$H785,""))</f>
        <v/>
      </c>
      <c r="P785" s="29" t="str">
        <f>IF(Analysis!$I785="","",IF(Analysis!$I785="Drifting",Analysis!$H785,""))</f>
        <v/>
      </c>
    </row>
    <row r="786" spans="1:16" x14ac:dyDescent="0.25">
      <c r="A786" s="29" t="str">
        <f>IF(Analysis!$I786="","",IF(Analysis!$I786="Embedded",Analysis!$D786,""))</f>
        <v/>
      </c>
      <c r="B786" s="29" t="str">
        <f>IF(Analysis!$I786="","",IF(Analysis!$I786="Loyal but shallow",Analysis!$D786,""))</f>
        <v/>
      </c>
      <c r="C786" s="29" t="str">
        <f>IF(Analysis!$I786="","",IF(Analysis!$I786="Project-driven",Analysis!$D786,""))</f>
        <v/>
      </c>
      <c r="D786" s="29" t="str">
        <f>IF(Analysis!$I786="","",IF(Analysis!$I786="Drifting",Analysis!$D786,""))</f>
        <v/>
      </c>
      <c r="E786" s="29" t="str">
        <f>IF(Analysis!$I786="","",IF(Analysis!$I786="Embedded",Analysis!$C786,""))</f>
        <v/>
      </c>
      <c r="F786" s="29" t="str">
        <f>IF(Analysis!$I786="","",IF(Analysis!$I786="Loyal but shallow",Analysis!$C786,""))</f>
        <v/>
      </c>
      <c r="G786" s="29" t="str">
        <f>IF(Analysis!$I786="","",IF(Analysis!$I786="Project-driven",Analysis!$C786,""))</f>
        <v/>
      </c>
      <c r="H786" s="29" t="str">
        <f>IF(Analysis!$I786="","",IF(Analysis!$I786="Drifting",Analysis!$C786,""))</f>
        <v/>
      </c>
      <c r="I786" s="29" t="str">
        <f>IF(Analysis!$I786="","",IF(Analysis!$I786="Embedded",Analysis!$F786,""))</f>
        <v/>
      </c>
      <c r="J786" s="29" t="str">
        <f>IF(Analysis!$I786="","",IF(Analysis!$I786="Loyal but shallow",Analysis!$F786,""))</f>
        <v/>
      </c>
      <c r="K786" s="29" t="str">
        <f>IF(Analysis!$I786="","",IF(Analysis!$I786="Project-driven",Analysis!$F786,""))</f>
        <v/>
      </c>
      <c r="L786" s="29" t="str">
        <f>IF(Analysis!$I786="","",IF(Analysis!$I786="Drifting",Analysis!$F786,""))</f>
        <v/>
      </c>
      <c r="M786" s="29" t="str">
        <f>IF(Analysis!$I786="","",IF(Analysis!$I786="Embedded",Analysis!$H786,""))</f>
        <v/>
      </c>
      <c r="N786" s="29" t="str">
        <f>IF(Analysis!$I786="","",IF(Analysis!$I786="Loyal but shallow",Analysis!$H786,""))</f>
        <v/>
      </c>
      <c r="O786" s="29" t="str">
        <f>IF(Analysis!$I786="","",IF(Analysis!$I786="Project-driven",Analysis!$H786,""))</f>
        <v/>
      </c>
      <c r="P786" s="29" t="str">
        <f>IF(Analysis!$I786="","",IF(Analysis!$I786="Drifting",Analysis!$H786,""))</f>
        <v/>
      </c>
    </row>
    <row r="787" spans="1:16" x14ac:dyDescent="0.25">
      <c r="A787" s="29" t="str">
        <f>IF(Analysis!$I787="","",IF(Analysis!$I787="Embedded",Analysis!$D787,""))</f>
        <v/>
      </c>
      <c r="B787" s="29" t="str">
        <f>IF(Analysis!$I787="","",IF(Analysis!$I787="Loyal but shallow",Analysis!$D787,""))</f>
        <v/>
      </c>
      <c r="C787" s="29" t="str">
        <f>IF(Analysis!$I787="","",IF(Analysis!$I787="Project-driven",Analysis!$D787,""))</f>
        <v/>
      </c>
      <c r="D787" s="29" t="str">
        <f>IF(Analysis!$I787="","",IF(Analysis!$I787="Drifting",Analysis!$D787,""))</f>
        <v/>
      </c>
      <c r="E787" s="29" t="str">
        <f>IF(Analysis!$I787="","",IF(Analysis!$I787="Embedded",Analysis!$C787,""))</f>
        <v/>
      </c>
      <c r="F787" s="29" t="str">
        <f>IF(Analysis!$I787="","",IF(Analysis!$I787="Loyal but shallow",Analysis!$C787,""))</f>
        <v/>
      </c>
      <c r="G787" s="29" t="str">
        <f>IF(Analysis!$I787="","",IF(Analysis!$I787="Project-driven",Analysis!$C787,""))</f>
        <v/>
      </c>
      <c r="H787" s="29" t="str">
        <f>IF(Analysis!$I787="","",IF(Analysis!$I787="Drifting",Analysis!$C787,""))</f>
        <v/>
      </c>
      <c r="I787" s="29" t="str">
        <f>IF(Analysis!$I787="","",IF(Analysis!$I787="Embedded",Analysis!$F787,""))</f>
        <v/>
      </c>
      <c r="J787" s="29" t="str">
        <f>IF(Analysis!$I787="","",IF(Analysis!$I787="Loyal but shallow",Analysis!$F787,""))</f>
        <v/>
      </c>
      <c r="K787" s="29" t="str">
        <f>IF(Analysis!$I787="","",IF(Analysis!$I787="Project-driven",Analysis!$F787,""))</f>
        <v/>
      </c>
      <c r="L787" s="29" t="str">
        <f>IF(Analysis!$I787="","",IF(Analysis!$I787="Drifting",Analysis!$F787,""))</f>
        <v/>
      </c>
      <c r="M787" s="29" t="str">
        <f>IF(Analysis!$I787="","",IF(Analysis!$I787="Embedded",Analysis!$H787,""))</f>
        <v/>
      </c>
      <c r="N787" s="29" t="str">
        <f>IF(Analysis!$I787="","",IF(Analysis!$I787="Loyal but shallow",Analysis!$H787,""))</f>
        <v/>
      </c>
      <c r="O787" s="29" t="str">
        <f>IF(Analysis!$I787="","",IF(Analysis!$I787="Project-driven",Analysis!$H787,""))</f>
        <v/>
      </c>
      <c r="P787" s="29" t="str">
        <f>IF(Analysis!$I787="","",IF(Analysis!$I787="Drifting",Analysis!$H787,""))</f>
        <v/>
      </c>
    </row>
    <row r="788" spans="1:16" x14ac:dyDescent="0.25">
      <c r="A788" s="29" t="str">
        <f>IF(Analysis!$I788="","",IF(Analysis!$I788="Embedded",Analysis!$D788,""))</f>
        <v/>
      </c>
      <c r="B788" s="29" t="str">
        <f>IF(Analysis!$I788="","",IF(Analysis!$I788="Loyal but shallow",Analysis!$D788,""))</f>
        <v/>
      </c>
      <c r="C788" s="29" t="str">
        <f>IF(Analysis!$I788="","",IF(Analysis!$I788="Project-driven",Analysis!$D788,""))</f>
        <v/>
      </c>
      <c r="D788" s="29" t="str">
        <f>IF(Analysis!$I788="","",IF(Analysis!$I788="Drifting",Analysis!$D788,""))</f>
        <v/>
      </c>
      <c r="E788" s="29" t="str">
        <f>IF(Analysis!$I788="","",IF(Analysis!$I788="Embedded",Analysis!$C788,""))</f>
        <v/>
      </c>
      <c r="F788" s="29" t="str">
        <f>IF(Analysis!$I788="","",IF(Analysis!$I788="Loyal but shallow",Analysis!$C788,""))</f>
        <v/>
      </c>
      <c r="G788" s="29" t="str">
        <f>IF(Analysis!$I788="","",IF(Analysis!$I788="Project-driven",Analysis!$C788,""))</f>
        <v/>
      </c>
      <c r="H788" s="29" t="str">
        <f>IF(Analysis!$I788="","",IF(Analysis!$I788="Drifting",Analysis!$C788,""))</f>
        <v/>
      </c>
      <c r="I788" s="29" t="str">
        <f>IF(Analysis!$I788="","",IF(Analysis!$I788="Embedded",Analysis!$F788,""))</f>
        <v/>
      </c>
      <c r="J788" s="29" t="str">
        <f>IF(Analysis!$I788="","",IF(Analysis!$I788="Loyal but shallow",Analysis!$F788,""))</f>
        <v/>
      </c>
      <c r="K788" s="29" t="str">
        <f>IF(Analysis!$I788="","",IF(Analysis!$I788="Project-driven",Analysis!$F788,""))</f>
        <v/>
      </c>
      <c r="L788" s="29" t="str">
        <f>IF(Analysis!$I788="","",IF(Analysis!$I788="Drifting",Analysis!$F788,""))</f>
        <v/>
      </c>
      <c r="M788" s="29" t="str">
        <f>IF(Analysis!$I788="","",IF(Analysis!$I788="Embedded",Analysis!$H788,""))</f>
        <v/>
      </c>
      <c r="N788" s="29" t="str">
        <f>IF(Analysis!$I788="","",IF(Analysis!$I788="Loyal but shallow",Analysis!$H788,""))</f>
        <v/>
      </c>
      <c r="O788" s="29" t="str">
        <f>IF(Analysis!$I788="","",IF(Analysis!$I788="Project-driven",Analysis!$H788,""))</f>
        <v/>
      </c>
      <c r="P788" s="29" t="str">
        <f>IF(Analysis!$I788="","",IF(Analysis!$I788="Drifting",Analysis!$H788,""))</f>
        <v/>
      </c>
    </row>
    <row r="789" spans="1:16" x14ac:dyDescent="0.25">
      <c r="A789" s="29" t="str">
        <f>IF(Analysis!$I789="","",IF(Analysis!$I789="Embedded",Analysis!$D789,""))</f>
        <v/>
      </c>
      <c r="B789" s="29" t="str">
        <f>IF(Analysis!$I789="","",IF(Analysis!$I789="Loyal but shallow",Analysis!$D789,""))</f>
        <v/>
      </c>
      <c r="C789" s="29" t="str">
        <f>IF(Analysis!$I789="","",IF(Analysis!$I789="Project-driven",Analysis!$D789,""))</f>
        <v/>
      </c>
      <c r="D789" s="29" t="str">
        <f>IF(Analysis!$I789="","",IF(Analysis!$I789="Drifting",Analysis!$D789,""))</f>
        <v/>
      </c>
      <c r="E789" s="29" t="str">
        <f>IF(Analysis!$I789="","",IF(Analysis!$I789="Embedded",Analysis!$C789,""))</f>
        <v/>
      </c>
      <c r="F789" s="29" t="str">
        <f>IF(Analysis!$I789="","",IF(Analysis!$I789="Loyal but shallow",Analysis!$C789,""))</f>
        <v/>
      </c>
      <c r="G789" s="29" t="str">
        <f>IF(Analysis!$I789="","",IF(Analysis!$I789="Project-driven",Analysis!$C789,""))</f>
        <v/>
      </c>
      <c r="H789" s="29" t="str">
        <f>IF(Analysis!$I789="","",IF(Analysis!$I789="Drifting",Analysis!$C789,""))</f>
        <v/>
      </c>
      <c r="I789" s="29" t="str">
        <f>IF(Analysis!$I789="","",IF(Analysis!$I789="Embedded",Analysis!$F789,""))</f>
        <v/>
      </c>
      <c r="J789" s="29" t="str">
        <f>IF(Analysis!$I789="","",IF(Analysis!$I789="Loyal but shallow",Analysis!$F789,""))</f>
        <v/>
      </c>
      <c r="K789" s="29" t="str">
        <f>IF(Analysis!$I789="","",IF(Analysis!$I789="Project-driven",Analysis!$F789,""))</f>
        <v/>
      </c>
      <c r="L789" s="29" t="str">
        <f>IF(Analysis!$I789="","",IF(Analysis!$I789="Drifting",Analysis!$F789,""))</f>
        <v/>
      </c>
      <c r="M789" s="29" t="str">
        <f>IF(Analysis!$I789="","",IF(Analysis!$I789="Embedded",Analysis!$H789,""))</f>
        <v/>
      </c>
      <c r="N789" s="29" t="str">
        <f>IF(Analysis!$I789="","",IF(Analysis!$I789="Loyal but shallow",Analysis!$H789,""))</f>
        <v/>
      </c>
      <c r="O789" s="29" t="str">
        <f>IF(Analysis!$I789="","",IF(Analysis!$I789="Project-driven",Analysis!$H789,""))</f>
        <v/>
      </c>
      <c r="P789" s="29" t="str">
        <f>IF(Analysis!$I789="","",IF(Analysis!$I789="Drifting",Analysis!$H789,""))</f>
        <v/>
      </c>
    </row>
    <row r="790" spans="1:16" x14ac:dyDescent="0.25">
      <c r="A790" s="29" t="str">
        <f>IF(Analysis!$I790="","",IF(Analysis!$I790="Embedded",Analysis!$D790,""))</f>
        <v/>
      </c>
      <c r="B790" s="29" t="str">
        <f>IF(Analysis!$I790="","",IF(Analysis!$I790="Loyal but shallow",Analysis!$D790,""))</f>
        <v/>
      </c>
      <c r="C790" s="29" t="str">
        <f>IF(Analysis!$I790="","",IF(Analysis!$I790="Project-driven",Analysis!$D790,""))</f>
        <v/>
      </c>
      <c r="D790" s="29" t="str">
        <f>IF(Analysis!$I790="","",IF(Analysis!$I790="Drifting",Analysis!$D790,""))</f>
        <v/>
      </c>
      <c r="E790" s="29" t="str">
        <f>IF(Analysis!$I790="","",IF(Analysis!$I790="Embedded",Analysis!$C790,""))</f>
        <v/>
      </c>
      <c r="F790" s="29" t="str">
        <f>IF(Analysis!$I790="","",IF(Analysis!$I790="Loyal but shallow",Analysis!$C790,""))</f>
        <v/>
      </c>
      <c r="G790" s="29" t="str">
        <f>IF(Analysis!$I790="","",IF(Analysis!$I790="Project-driven",Analysis!$C790,""))</f>
        <v/>
      </c>
      <c r="H790" s="29" t="str">
        <f>IF(Analysis!$I790="","",IF(Analysis!$I790="Drifting",Analysis!$C790,""))</f>
        <v/>
      </c>
      <c r="I790" s="29" t="str">
        <f>IF(Analysis!$I790="","",IF(Analysis!$I790="Embedded",Analysis!$F790,""))</f>
        <v/>
      </c>
      <c r="J790" s="29" t="str">
        <f>IF(Analysis!$I790="","",IF(Analysis!$I790="Loyal but shallow",Analysis!$F790,""))</f>
        <v/>
      </c>
      <c r="K790" s="29" t="str">
        <f>IF(Analysis!$I790="","",IF(Analysis!$I790="Project-driven",Analysis!$F790,""))</f>
        <v/>
      </c>
      <c r="L790" s="29" t="str">
        <f>IF(Analysis!$I790="","",IF(Analysis!$I790="Drifting",Analysis!$F790,""))</f>
        <v/>
      </c>
      <c r="M790" s="29" t="str">
        <f>IF(Analysis!$I790="","",IF(Analysis!$I790="Embedded",Analysis!$H790,""))</f>
        <v/>
      </c>
      <c r="N790" s="29" t="str">
        <f>IF(Analysis!$I790="","",IF(Analysis!$I790="Loyal but shallow",Analysis!$H790,""))</f>
        <v/>
      </c>
      <c r="O790" s="29" t="str">
        <f>IF(Analysis!$I790="","",IF(Analysis!$I790="Project-driven",Analysis!$H790,""))</f>
        <v/>
      </c>
      <c r="P790" s="29" t="str">
        <f>IF(Analysis!$I790="","",IF(Analysis!$I790="Drifting",Analysis!$H790,""))</f>
        <v/>
      </c>
    </row>
    <row r="791" spans="1:16" x14ac:dyDescent="0.25">
      <c r="A791" s="29" t="str">
        <f>IF(Analysis!$I791="","",IF(Analysis!$I791="Embedded",Analysis!$D791,""))</f>
        <v/>
      </c>
      <c r="B791" s="29" t="str">
        <f>IF(Analysis!$I791="","",IF(Analysis!$I791="Loyal but shallow",Analysis!$D791,""))</f>
        <v/>
      </c>
      <c r="C791" s="29" t="str">
        <f>IF(Analysis!$I791="","",IF(Analysis!$I791="Project-driven",Analysis!$D791,""))</f>
        <v/>
      </c>
      <c r="D791" s="29" t="str">
        <f>IF(Analysis!$I791="","",IF(Analysis!$I791="Drifting",Analysis!$D791,""))</f>
        <v/>
      </c>
      <c r="E791" s="29" t="str">
        <f>IF(Analysis!$I791="","",IF(Analysis!$I791="Embedded",Analysis!$C791,""))</f>
        <v/>
      </c>
      <c r="F791" s="29" t="str">
        <f>IF(Analysis!$I791="","",IF(Analysis!$I791="Loyal but shallow",Analysis!$C791,""))</f>
        <v/>
      </c>
      <c r="G791" s="29" t="str">
        <f>IF(Analysis!$I791="","",IF(Analysis!$I791="Project-driven",Analysis!$C791,""))</f>
        <v/>
      </c>
      <c r="H791" s="29" t="str">
        <f>IF(Analysis!$I791="","",IF(Analysis!$I791="Drifting",Analysis!$C791,""))</f>
        <v/>
      </c>
      <c r="I791" s="29" t="str">
        <f>IF(Analysis!$I791="","",IF(Analysis!$I791="Embedded",Analysis!$F791,""))</f>
        <v/>
      </c>
      <c r="J791" s="29" t="str">
        <f>IF(Analysis!$I791="","",IF(Analysis!$I791="Loyal but shallow",Analysis!$F791,""))</f>
        <v/>
      </c>
      <c r="K791" s="29" t="str">
        <f>IF(Analysis!$I791="","",IF(Analysis!$I791="Project-driven",Analysis!$F791,""))</f>
        <v/>
      </c>
      <c r="L791" s="29" t="str">
        <f>IF(Analysis!$I791="","",IF(Analysis!$I791="Drifting",Analysis!$F791,""))</f>
        <v/>
      </c>
      <c r="M791" s="29" t="str">
        <f>IF(Analysis!$I791="","",IF(Analysis!$I791="Embedded",Analysis!$H791,""))</f>
        <v/>
      </c>
      <c r="N791" s="29" t="str">
        <f>IF(Analysis!$I791="","",IF(Analysis!$I791="Loyal but shallow",Analysis!$H791,""))</f>
        <v/>
      </c>
      <c r="O791" s="29" t="str">
        <f>IF(Analysis!$I791="","",IF(Analysis!$I791="Project-driven",Analysis!$H791,""))</f>
        <v/>
      </c>
      <c r="P791" s="29" t="str">
        <f>IF(Analysis!$I791="","",IF(Analysis!$I791="Drifting",Analysis!$H791,""))</f>
        <v/>
      </c>
    </row>
    <row r="792" spans="1:16" x14ac:dyDescent="0.25">
      <c r="A792" s="29" t="str">
        <f>IF(Analysis!$I792="","",IF(Analysis!$I792="Embedded",Analysis!$D792,""))</f>
        <v/>
      </c>
      <c r="B792" s="29" t="str">
        <f>IF(Analysis!$I792="","",IF(Analysis!$I792="Loyal but shallow",Analysis!$D792,""))</f>
        <v/>
      </c>
      <c r="C792" s="29" t="str">
        <f>IF(Analysis!$I792="","",IF(Analysis!$I792="Project-driven",Analysis!$D792,""))</f>
        <v/>
      </c>
      <c r="D792" s="29" t="str">
        <f>IF(Analysis!$I792="","",IF(Analysis!$I792="Drifting",Analysis!$D792,""))</f>
        <v/>
      </c>
      <c r="E792" s="29" t="str">
        <f>IF(Analysis!$I792="","",IF(Analysis!$I792="Embedded",Analysis!$C792,""))</f>
        <v/>
      </c>
      <c r="F792" s="29" t="str">
        <f>IF(Analysis!$I792="","",IF(Analysis!$I792="Loyal but shallow",Analysis!$C792,""))</f>
        <v/>
      </c>
      <c r="G792" s="29" t="str">
        <f>IF(Analysis!$I792="","",IF(Analysis!$I792="Project-driven",Analysis!$C792,""))</f>
        <v/>
      </c>
      <c r="H792" s="29" t="str">
        <f>IF(Analysis!$I792="","",IF(Analysis!$I792="Drifting",Analysis!$C792,""))</f>
        <v/>
      </c>
      <c r="I792" s="29" t="str">
        <f>IF(Analysis!$I792="","",IF(Analysis!$I792="Embedded",Analysis!$F792,""))</f>
        <v/>
      </c>
      <c r="J792" s="29" t="str">
        <f>IF(Analysis!$I792="","",IF(Analysis!$I792="Loyal but shallow",Analysis!$F792,""))</f>
        <v/>
      </c>
      <c r="K792" s="29" t="str">
        <f>IF(Analysis!$I792="","",IF(Analysis!$I792="Project-driven",Analysis!$F792,""))</f>
        <v/>
      </c>
      <c r="L792" s="29" t="str">
        <f>IF(Analysis!$I792="","",IF(Analysis!$I792="Drifting",Analysis!$F792,""))</f>
        <v/>
      </c>
      <c r="M792" s="29" t="str">
        <f>IF(Analysis!$I792="","",IF(Analysis!$I792="Embedded",Analysis!$H792,""))</f>
        <v/>
      </c>
      <c r="N792" s="29" t="str">
        <f>IF(Analysis!$I792="","",IF(Analysis!$I792="Loyal but shallow",Analysis!$H792,""))</f>
        <v/>
      </c>
      <c r="O792" s="29" t="str">
        <f>IF(Analysis!$I792="","",IF(Analysis!$I792="Project-driven",Analysis!$H792,""))</f>
        <v/>
      </c>
      <c r="P792" s="29" t="str">
        <f>IF(Analysis!$I792="","",IF(Analysis!$I792="Drifting",Analysis!$H792,""))</f>
        <v/>
      </c>
    </row>
    <row r="793" spans="1:16" x14ac:dyDescent="0.25">
      <c r="A793" s="29" t="str">
        <f>IF(Analysis!$I793="","",IF(Analysis!$I793="Embedded",Analysis!$D793,""))</f>
        <v/>
      </c>
      <c r="B793" s="29" t="str">
        <f>IF(Analysis!$I793="","",IF(Analysis!$I793="Loyal but shallow",Analysis!$D793,""))</f>
        <v/>
      </c>
      <c r="C793" s="29" t="str">
        <f>IF(Analysis!$I793="","",IF(Analysis!$I793="Project-driven",Analysis!$D793,""))</f>
        <v/>
      </c>
      <c r="D793" s="29" t="str">
        <f>IF(Analysis!$I793="","",IF(Analysis!$I793="Drifting",Analysis!$D793,""))</f>
        <v/>
      </c>
      <c r="E793" s="29" t="str">
        <f>IF(Analysis!$I793="","",IF(Analysis!$I793="Embedded",Analysis!$C793,""))</f>
        <v/>
      </c>
      <c r="F793" s="29" t="str">
        <f>IF(Analysis!$I793="","",IF(Analysis!$I793="Loyal but shallow",Analysis!$C793,""))</f>
        <v/>
      </c>
      <c r="G793" s="29" t="str">
        <f>IF(Analysis!$I793="","",IF(Analysis!$I793="Project-driven",Analysis!$C793,""))</f>
        <v/>
      </c>
      <c r="H793" s="29" t="str">
        <f>IF(Analysis!$I793="","",IF(Analysis!$I793="Drifting",Analysis!$C793,""))</f>
        <v/>
      </c>
      <c r="I793" s="29" t="str">
        <f>IF(Analysis!$I793="","",IF(Analysis!$I793="Embedded",Analysis!$F793,""))</f>
        <v/>
      </c>
      <c r="J793" s="29" t="str">
        <f>IF(Analysis!$I793="","",IF(Analysis!$I793="Loyal but shallow",Analysis!$F793,""))</f>
        <v/>
      </c>
      <c r="K793" s="29" t="str">
        <f>IF(Analysis!$I793="","",IF(Analysis!$I793="Project-driven",Analysis!$F793,""))</f>
        <v/>
      </c>
      <c r="L793" s="29" t="str">
        <f>IF(Analysis!$I793="","",IF(Analysis!$I793="Drifting",Analysis!$F793,""))</f>
        <v/>
      </c>
      <c r="M793" s="29" t="str">
        <f>IF(Analysis!$I793="","",IF(Analysis!$I793="Embedded",Analysis!$H793,""))</f>
        <v/>
      </c>
      <c r="N793" s="29" t="str">
        <f>IF(Analysis!$I793="","",IF(Analysis!$I793="Loyal but shallow",Analysis!$H793,""))</f>
        <v/>
      </c>
      <c r="O793" s="29" t="str">
        <f>IF(Analysis!$I793="","",IF(Analysis!$I793="Project-driven",Analysis!$H793,""))</f>
        <v/>
      </c>
      <c r="P793" s="29" t="str">
        <f>IF(Analysis!$I793="","",IF(Analysis!$I793="Drifting",Analysis!$H793,""))</f>
        <v/>
      </c>
    </row>
    <row r="794" spans="1:16" x14ac:dyDescent="0.25">
      <c r="A794" s="29" t="str">
        <f>IF(Analysis!$I794="","",IF(Analysis!$I794="Embedded",Analysis!$D794,""))</f>
        <v/>
      </c>
      <c r="B794" s="29" t="str">
        <f>IF(Analysis!$I794="","",IF(Analysis!$I794="Loyal but shallow",Analysis!$D794,""))</f>
        <v/>
      </c>
      <c r="C794" s="29" t="str">
        <f>IF(Analysis!$I794="","",IF(Analysis!$I794="Project-driven",Analysis!$D794,""))</f>
        <v/>
      </c>
      <c r="D794" s="29" t="str">
        <f>IF(Analysis!$I794="","",IF(Analysis!$I794="Drifting",Analysis!$D794,""))</f>
        <v/>
      </c>
      <c r="E794" s="29" t="str">
        <f>IF(Analysis!$I794="","",IF(Analysis!$I794="Embedded",Analysis!$C794,""))</f>
        <v/>
      </c>
      <c r="F794" s="29" t="str">
        <f>IF(Analysis!$I794="","",IF(Analysis!$I794="Loyal but shallow",Analysis!$C794,""))</f>
        <v/>
      </c>
      <c r="G794" s="29" t="str">
        <f>IF(Analysis!$I794="","",IF(Analysis!$I794="Project-driven",Analysis!$C794,""))</f>
        <v/>
      </c>
      <c r="H794" s="29" t="str">
        <f>IF(Analysis!$I794="","",IF(Analysis!$I794="Drifting",Analysis!$C794,""))</f>
        <v/>
      </c>
      <c r="I794" s="29" t="str">
        <f>IF(Analysis!$I794="","",IF(Analysis!$I794="Embedded",Analysis!$F794,""))</f>
        <v/>
      </c>
      <c r="J794" s="29" t="str">
        <f>IF(Analysis!$I794="","",IF(Analysis!$I794="Loyal but shallow",Analysis!$F794,""))</f>
        <v/>
      </c>
      <c r="K794" s="29" t="str">
        <f>IF(Analysis!$I794="","",IF(Analysis!$I794="Project-driven",Analysis!$F794,""))</f>
        <v/>
      </c>
      <c r="L794" s="29" t="str">
        <f>IF(Analysis!$I794="","",IF(Analysis!$I794="Drifting",Analysis!$F794,""))</f>
        <v/>
      </c>
      <c r="M794" s="29" t="str">
        <f>IF(Analysis!$I794="","",IF(Analysis!$I794="Embedded",Analysis!$H794,""))</f>
        <v/>
      </c>
      <c r="N794" s="29" t="str">
        <f>IF(Analysis!$I794="","",IF(Analysis!$I794="Loyal but shallow",Analysis!$H794,""))</f>
        <v/>
      </c>
      <c r="O794" s="29" t="str">
        <f>IF(Analysis!$I794="","",IF(Analysis!$I794="Project-driven",Analysis!$H794,""))</f>
        <v/>
      </c>
      <c r="P794" s="29" t="str">
        <f>IF(Analysis!$I794="","",IF(Analysis!$I794="Drifting",Analysis!$H794,""))</f>
        <v/>
      </c>
    </row>
    <row r="795" spans="1:16" x14ac:dyDescent="0.25">
      <c r="A795" s="29" t="str">
        <f>IF(Analysis!$I795="","",IF(Analysis!$I795="Embedded",Analysis!$D795,""))</f>
        <v/>
      </c>
      <c r="B795" s="29" t="str">
        <f>IF(Analysis!$I795="","",IF(Analysis!$I795="Loyal but shallow",Analysis!$D795,""))</f>
        <v/>
      </c>
      <c r="C795" s="29" t="str">
        <f>IF(Analysis!$I795="","",IF(Analysis!$I795="Project-driven",Analysis!$D795,""))</f>
        <v/>
      </c>
      <c r="D795" s="29" t="str">
        <f>IF(Analysis!$I795="","",IF(Analysis!$I795="Drifting",Analysis!$D795,""))</f>
        <v/>
      </c>
      <c r="E795" s="29" t="str">
        <f>IF(Analysis!$I795="","",IF(Analysis!$I795="Embedded",Analysis!$C795,""))</f>
        <v/>
      </c>
      <c r="F795" s="29" t="str">
        <f>IF(Analysis!$I795="","",IF(Analysis!$I795="Loyal but shallow",Analysis!$C795,""))</f>
        <v/>
      </c>
      <c r="G795" s="29" t="str">
        <f>IF(Analysis!$I795="","",IF(Analysis!$I795="Project-driven",Analysis!$C795,""))</f>
        <v/>
      </c>
      <c r="H795" s="29" t="str">
        <f>IF(Analysis!$I795="","",IF(Analysis!$I795="Drifting",Analysis!$C795,""))</f>
        <v/>
      </c>
      <c r="I795" s="29" t="str">
        <f>IF(Analysis!$I795="","",IF(Analysis!$I795="Embedded",Analysis!$F795,""))</f>
        <v/>
      </c>
      <c r="J795" s="29" t="str">
        <f>IF(Analysis!$I795="","",IF(Analysis!$I795="Loyal but shallow",Analysis!$F795,""))</f>
        <v/>
      </c>
      <c r="K795" s="29" t="str">
        <f>IF(Analysis!$I795="","",IF(Analysis!$I795="Project-driven",Analysis!$F795,""))</f>
        <v/>
      </c>
      <c r="L795" s="29" t="str">
        <f>IF(Analysis!$I795="","",IF(Analysis!$I795="Drifting",Analysis!$F795,""))</f>
        <v/>
      </c>
      <c r="M795" s="29" t="str">
        <f>IF(Analysis!$I795="","",IF(Analysis!$I795="Embedded",Analysis!$H795,""))</f>
        <v/>
      </c>
      <c r="N795" s="29" t="str">
        <f>IF(Analysis!$I795="","",IF(Analysis!$I795="Loyal but shallow",Analysis!$H795,""))</f>
        <v/>
      </c>
      <c r="O795" s="29" t="str">
        <f>IF(Analysis!$I795="","",IF(Analysis!$I795="Project-driven",Analysis!$H795,""))</f>
        <v/>
      </c>
      <c r="P795" s="29" t="str">
        <f>IF(Analysis!$I795="","",IF(Analysis!$I795="Drifting",Analysis!$H795,""))</f>
        <v/>
      </c>
    </row>
    <row r="796" spans="1:16" x14ac:dyDescent="0.25">
      <c r="A796" s="29" t="str">
        <f>IF(Analysis!$I796="","",IF(Analysis!$I796="Embedded",Analysis!$D796,""))</f>
        <v/>
      </c>
      <c r="B796" s="29" t="str">
        <f>IF(Analysis!$I796="","",IF(Analysis!$I796="Loyal but shallow",Analysis!$D796,""))</f>
        <v/>
      </c>
      <c r="C796" s="29" t="str">
        <f>IF(Analysis!$I796="","",IF(Analysis!$I796="Project-driven",Analysis!$D796,""))</f>
        <v/>
      </c>
      <c r="D796" s="29" t="str">
        <f>IF(Analysis!$I796="","",IF(Analysis!$I796="Drifting",Analysis!$D796,""))</f>
        <v/>
      </c>
      <c r="E796" s="29" t="str">
        <f>IF(Analysis!$I796="","",IF(Analysis!$I796="Embedded",Analysis!$C796,""))</f>
        <v/>
      </c>
      <c r="F796" s="29" t="str">
        <f>IF(Analysis!$I796="","",IF(Analysis!$I796="Loyal but shallow",Analysis!$C796,""))</f>
        <v/>
      </c>
      <c r="G796" s="29" t="str">
        <f>IF(Analysis!$I796="","",IF(Analysis!$I796="Project-driven",Analysis!$C796,""))</f>
        <v/>
      </c>
      <c r="H796" s="29" t="str">
        <f>IF(Analysis!$I796="","",IF(Analysis!$I796="Drifting",Analysis!$C796,""))</f>
        <v/>
      </c>
      <c r="I796" s="29" t="str">
        <f>IF(Analysis!$I796="","",IF(Analysis!$I796="Embedded",Analysis!$F796,""))</f>
        <v/>
      </c>
      <c r="J796" s="29" t="str">
        <f>IF(Analysis!$I796="","",IF(Analysis!$I796="Loyal but shallow",Analysis!$F796,""))</f>
        <v/>
      </c>
      <c r="K796" s="29" t="str">
        <f>IF(Analysis!$I796="","",IF(Analysis!$I796="Project-driven",Analysis!$F796,""))</f>
        <v/>
      </c>
      <c r="L796" s="29" t="str">
        <f>IF(Analysis!$I796="","",IF(Analysis!$I796="Drifting",Analysis!$F796,""))</f>
        <v/>
      </c>
      <c r="M796" s="29" t="str">
        <f>IF(Analysis!$I796="","",IF(Analysis!$I796="Embedded",Analysis!$H796,""))</f>
        <v/>
      </c>
      <c r="N796" s="29" t="str">
        <f>IF(Analysis!$I796="","",IF(Analysis!$I796="Loyal but shallow",Analysis!$H796,""))</f>
        <v/>
      </c>
      <c r="O796" s="29" t="str">
        <f>IF(Analysis!$I796="","",IF(Analysis!$I796="Project-driven",Analysis!$H796,""))</f>
        <v/>
      </c>
      <c r="P796" s="29" t="str">
        <f>IF(Analysis!$I796="","",IF(Analysis!$I796="Drifting",Analysis!$H796,""))</f>
        <v/>
      </c>
    </row>
    <row r="797" spans="1:16" x14ac:dyDescent="0.25">
      <c r="A797" s="29" t="str">
        <f>IF(Analysis!$I797="","",IF(Analysis!$I797="Embedded",Analysis!$D797,""))</f>
        <v/>
      </c>
      <c r="B797" s="29" t="str">
        <f>IF(Analysis!$I797="","",IF(Analysis!$I797="Loyal but shallow",Analysis!$D797,""))</f>
        <v/>
      </c>
      <c r="C797" s="29" t="str">
        <f>IF(Analysis!$I797="","",IF(Analysis!$I797="Project-driven",Analysis!$D797,""))</f>
        <v/>
      </c>
      <c r="D797" s="29" t="str">
        <f>IF(Analysis!$I797="","",IF(Analysis!$I797="Drifting",Analysis!$D797,""))</f>
        <v/>
      </c>
      <c r="E797" s="29" t="str">
        <f>IF(Analysis!$I797="","",IF(Analysis!$I797="Embedded",Analysis!$C797,""))</f>
        <v/>
      </c>
      <c r="F797" s="29" t="str">
        <f>IF(Analysis!$I797="","",IF(Analysis!$I797="Loyal but shallow",Analysis!$C797,""))</f>
        <v/>
      </c>
      <c r="G797" s="29" t="str">
        <f>IF(Analysis!$I797="","",IF(Analysis!$I797="Project-driven",Analysis!$C797,""))</f>
        <v/>
      </c>
      <c r="H797" s="29" t="str">
        <f>IF(Analysis!$I797="","",IF(Analysis!$I797="Drifting",Analysis!$C797,""))</f>
        <v/>
      </c>
      <c r="I797" s="29" t="str">
        <f>IF(Analysis!$I797="","",IF(Analysis!$I797="Embedded",Analysis!$F797,""))</f>
        <v/>
      </c>
      <c r="J797" s="29" t="str">
        <f>IF(Analysis!$I797="","",IF(Analysis!$I797="Loyal but shallow",Analysis!$F797,""))</f>
        <v/>
      </c>
      <c r="K797" s="29" t="str">
        <f>IF(Analysis!$I797="","",IF(Analysis!$I797="Project-driven",Analysis!$F797,""))</f>
        <v/>
      </c>
      <c r="L797" s="29" t="str">
        <f>IF(Analysis!$I797="","",IF(Analysis!$I797="Drifting",Analysis!$F797,""))</f>
        <v/>
      </c>
      <c r="M797" s="29" t="str">
        <f>IF(Analysis!$I797="","",IF(Analysis!$I797="Embedded",Analysis!$H797,""))</f>
        <v/>
      </c>
      <c r="N797" s="29" t="str">
        <f>IF(Analysis!$I797="","",IF(Analysis!$I797="Loyal but shallow",Analysis!$H797,""))</f>
        <v/>
      </c>
      <c r="O797" s="29" t="str">
        <f>IF(Analysis!$I797="","",IF(Analysis!$I797="Project-driven",Analysis!$H797,""))</f>
        <v/>
      </c>
      <c r="P797" s="29" t="str">
        <f>IF(Analysis!$I797="","",IF(Analysis!$I797="Drifting",Analysis!$H797,""))</f>
        <v/>
      </c>
    </row>
    <row r="798" spans="1:16" x14ac:dyDescent="0.25">
      <c r="A798" s="29" t="str">
        <f>IF(Analysis!$I798="","",IF(Analysis!$I798="Embedded",Analysis!$D798,""))</f>
        <v/>
      </c>
      <c r="B798" s="29" t="str">
        <f>IF(Analysis!$I798="","",IF(Analysis!$I798="Loyal but shallow",Analysis!$D798,""))</f>
        <v/>
      </c>
      <c r="C798" s="29" t="str">
        <f>IF(Analysis!$I798="","",IF(Analysis!$I798="Project-driven",Analysis!$D798,""))</f>
        <v/>
      </c>
      <c r="D798" s="29" t="str">
        <f>IF(Analysis!$I798="","",IF(Analysis!$I798="Drifting",Analysis!$D798,""))</f>
        <v/>
      </c>
      <c r="E798" s="29" t="str">
        <f>IF(Analysis!$I798="","",IF(Analysis!$I798="Embedded",Analysis!$C798,""))</f>
        <v/>
      </c>
      <c r="F798" s="29" t="str">
        <f>IF(Analysis!$I798="","",IF(Analysis!$I798="Loyal but shallow",Analysis!$C798,""))</f>
        <v/>
      </c>
      <c r="G798" s="29" t="str">
        <f>IF(Analysis!$I798="","",IF(Analysis!$I798="Project-driven",Analysis!$C798,""))</f>
        <v/>
      </c>
      <c r="H798" s="29" t="str">
        <f>IF(Analysis!$I798="","",IF(Analysis!$I798="Drifting",Analysis!$C798,""))</f>
        <v/>
      </c>
      <c r="I798" s="29" t="str">
        <f>IF(Analysis!$I798="","",IF(Analysis!$I798="Embedded",Analysis!$F798,""))</f>
        <v/>
      </c>
      <c r="J798" s="29" t="str">
        <f>IF(Analysis!$I798="","",IF(Analysis!$I798="Loyal but shallow",Analysis!$F798,""))</f>
        <v/>
      </c>
      <c r="K798" s="29" t="str">
        <f>IF(Analysis!$I798="","",IF(Analysis!$I798="Project-driven",Analysis!$F798,""))</f>
        <v/>
      </c>
      <c r="L798" s="29" t="str">
        <f>IF(Analysis!$I798="","",IF(Analysis!$I798="Drifting",Analysis!$F798,""))</f>
        <v/>
      </c>
      <c r="M798" s="29" t="str">
        <f>IF(Analysis!$I798="","",IF(Analysis!$I798="Embedded",Analysis!$H798,""))</f>
        <v/>
      </c>
      <c r="N798" s="29" t="str">
        <f>IF(Analysis!$I798="","",IF(Analysis!$I798="Loyal but shallow",Analysis!$H798,""))</f>
        <v/>
      </c>
      <c r="O798" s="29" t="str">
        <f>IF(Analysis!$I798="","",IF(Analysis!$I798="Project-driven",Analysis!$H798,""))</f>
        <v/>
      </c>
      <c r="P798" s="29" t="str">
        <f>IF(Analysis!$I798="","",IF(Analysis!$I798="Drifting",Analysis!$H798,""))</f>
        <v/>
      </c>
    </row>
    <row r="799" spans="1:16" x14ac:dyDescent="0.25">
      <c r="A799" s="29" t="str">
        <f>IF(Analysis!$I799="","",IF(Analysis!$I799="Embedded",Analysis!$D799,""))</f>
        <v/>
      </c>
      <c r="B799" s="29" t="str">
        <f>IF(Analysis!$I799="","",IF(Analysis!$I799="Loyal but shallow",Analysis!$D799,""))</f>
        <v/>
      </c>
      <c r="C799" s="29" t="str">
        <f>IF(Analysis!$I799="","",IF(Analysis!$I799="Project-driven",Analysis!$D799,""))</f>
        <v/>
      </c>
      <c r="D799" s="29" t="str">
        <f>IF(Analysis!$I799="","",IF(Analysis!$I799="Drifting",Analysis!$D799,""))</f>
        <v/>
      </c>
      <c r="E799" s="29" t="str">
        <f>IF(Analysis!$I799="","",IF(Analysis!$I799="Embedded",Analysis!$C799,""))</f>
        <v/>
      </c>
      <c r="F799" s="29" t="str">
        <f>IF(Analysis!$I799="","",IF(Analysis!$I799="Loyal but shallow",Analysis!$C799,""))</f>
        <v/>
      </c>
      <c r="G799" s="29" t="str">
        <f>IF(Analysis!$I799="","",IF(Analysis!$I799="Project-driven",Analysis!$C799,""))</f>
        <v/>
      </c>
      <c r="H799" s="29" t="str">
        <f>IF(Analysis!$I799="","",IF(Analysis!$I799="Drifting",Analysis!$C799,""))</f>
        <v/>
      </c>
      <c r="I799" s="29" t="str">
        <f>IF(Analysis!$I799="","",IF(Analysis!$I799="Embedded",Analysis!$F799,""))</f>
        <v/>
      </c>
      <c r="J799" s="29" t="str">
        <f>IF(Analysis!$I799="","",IF(Analysis!$I799="Loyal but shallow",Analysis!$F799,""))</f>
        <v/>
      </c>
      <c r="K799" s="29" t="str">
        <f>IF(Analysis!$I799="","",IF(Analysis!$I799="Project-driven",Analysis!$F799,""))</f>
        <v/>
      </c>
      <c r="L799" s="29" t="str">
        <f>IF(Analysis!$I799="","",IF(Analysis!$I799="Drifting",Analysis!$F799,""))</f>
        <v/>
      </c>
      <c r="M799" s="29" t="str">
        <f>IF(Analysis!$I799="","",IF(Analysis!$I799="Embedded",Analysis!$H799,""))</f>
        <v/>
      </c>
      <c r="N799" s="29" t="str">
        <f>IF(Analysis!$I799="","",IF(Analysis!$I799="Loyal but shallow",Analysis!$H799,""))</f>
        <v/>
      </c>
      <c r="O799" s="29" t="str">
        <f>IF(Analysis!$I799="","",IF(Analysis!$I799="Project-driven",Analysis!$H799,""))</f>
        <v/>
      </c>
      <c r="P799" s="29" t="str">
        <f>IF(Analysis!$I799="","",IF(Analysis!$I799="Drifting",Analysis!$H799,""))</f>
        <v/>
      </c>
    </row>
    <row r="800" spans="1:16" x14ac:dyDescent="0.25">
      <c r="A800" s="29" t="str">
        <f>IF(Analysis!$I800="","",IF(Analysis!$I800="Embedded",Analysis!$D800,""))</f>
        <v/>
      </c>
      <c r="B800" s="29" t="str">
        <f>IF(Analysis!$I800="","",IF(Analysis!$I800="Loyal but shallow",Analysis!$D800,""))</f>
        <v/>
      </c>
      <c r="C800" s="29" t="str">
        <f>IF(Analysis!$I800="","",IF(Analysis!$I800="Project-driven",Analysis!$D800,""))</f>
        <v/>
      </c>
      <c r="D800" s="29" t="str">
        <f>IF(Analysis!$I800="","",IF(Analysis!$I800="Drifting",Analysis!$D800,""))</f>
        <v/>
      </c>
      <c r="E800" s="29" t="str">
        <f>IF(Analysis!$I800="","",IF(Analysis!$I800="Embedded",Analysis!$C800,""))</f>
        <v/>
      </c>
      <c r="F800" s="29" t="str">
        <f>IF(Analysis!$I800="","",IF(Analysis!$I800="Loyal but shallow",Analysis!$C800,""))</f>
        <v/>
      </c>
      <c r="G800" s="29" t="str">
        <f>IF(Analysis!$I800="","",IF(Analysis!$I800="Project-driven",Analysis!$C800,""))</f>
        <v/>
      </c>
      <c r="H800" s="29" t="str">
        <f>IF(Analysis!$I800="","",IF(Analysis!$I800="Drifting",Analysis!$C800,""))</f>
        <v/>
      </c>
      <c r="I800" s="29" t="str">
        <f>IF(Analysis!$I800="","",IF(Analysis!$I800="Embedded",Analysis!$F800,""))</f>
        <v/>
      </c>
      <c r="J800" s="29" t="str">
        <f>IF(Analysis!$I800="","",IF(Analysis!$I800="Loyal but shallow",Analysis!$F800,""))</f>
        <v/>
      </c>
      <c r="K800" s="29" t="str">
        <f>IF(Analysis!$I800="","",IF(Analysis!$I800="Project-driven",Analysis!$F800,""))</f>
        <v/>
      </c>
      <c r="L800" s="29" t="str">
        <f>IF(Analysis!$I800="","",IF(Analysis!$I800="Drifting",Analysis!$F800,""))</f>
        <v/>
      </c>
      <c r="M800" s="29" t="str">
        <f>IF(Analysis!$I800="","",IF(Analysis!$I800="Embedded",Analysis!$H800,""))</f>
        <v/>
      </c>
      <c r="N800" s="29" t="str">
        <f>IF(Analysis!$I800="","",IF(Analysis!$I800="Loyal but shallow",Analysis!$H800,""))</f>
        <v/>
      </c>
      <c r="O800" s="29" t="str">
        <f>IF(Analysis!$I800="","",IF(Analysis!$I800="Project-driven",Analysis!$H800,""))</f>
        <v/>
      </c>
      <c r="P800" s="29" t="str">
        <f>IF(Analysis!$I800="","",IF(Analysis!$I800="Drifting",Analysis!$H800,""))</f>
        <v/>
      </c>
    </row>
    <row r="801" spans="1:16" x14ac:dyDescent="0.25">
      <c r="A801" s="29" t="str">
        <f>IF(Analysis!$I801="","",IF(Analysis!$I801="Embedded",Analysis!$D801,""))</f>
        <v/>
      </c>
      <c r="B801" s="29" t="str">
        <f>IF(Analysis!$I801="","",IF(Analysis!$I801="Loyal but shallow",Analysis!$D801,""))</f>
        <v/>
      </c>
      <c r="C801" s="29" t="str">
        <f>IF(Analysis!$I801="","",IF(Analysis!$I801="Project-driven",Analysis!$D801,""))</f>
        <v/>
      </c>
      <c r="D801" s="29" t="str">
        <f>IF(Analysis!$I801="","",IF(Analysis!$I801="Drifting",Analysis!$D801,""))</f>
        <v/>
      </c>
      <c r="E801" s="29" t="str">
        <f>IF(Analysis!$I801="","",IF(Analysis!$I801="Embedded",Analysis!$C801,""))</f>
        <v/>
      </c>
      <c r="F801" s="29" t="str">
        <f>IF(Analysis!$I801="","",IF(Analysis!$I801="Loyal but shallow",Analysis!$C801,""))</f>
        <v/>
      </c>
      <c r="G801" s="29" t="str">
        <f>IF(Analysis!$I801="","",IF(Analysis!$I801="Project-driven",Analysis!$C801,""))</f>
        <v/>
      </c>
      <c r="H801" s="29" t="str">
        <f>IF(Analysis!$I801="","",IF(Analysis!$I801="Drifting",Analysis!$C801,""))</f>
        <v/>
      </c>
      <c r="I801" s="29" t="str">
        <f>IF(Analysis!$I801="","",IF(Analysis!$I801="Embedded",Analysis!$F801,""))</f>
        <v/>
      </c>
      <c r="J801" s="29" t="str">
        <f>IF(Analysis!$I801="","",IF(Analysis!$I801="Loyal but shallow",Analysis!$F801,""))</f>
        <v/>
      </c>
      <c r="K801" s="29" t="str">
        <f>IF(Analysis!$I801="","",IF(Analysis!$I801="Project-driven",Analysis!$F801,""))</f>
        <v/>
      </c>
      <c r="L801" s="29" t="str">
        <f>IF(Analysis!$I801="","",IF(Analysis!$I801="Drifting",Analysis!$F801,""))</f>
        <v/>
      </c>
      <c r="M801" s="29" t="str">
        <f>IF(Analysis!$I801="","",IF(Analysis!$I801="Embedded",Analysis!$H801,""))</f>
        <v/>
      </c>
      <c r="N801" s="29" t="str">
        <f>IF(Analysis!$I801="","",IF(Analysis!$I801="Loyal but shallow",Analysis!$H801,""))</f>
        <v/>
      </c>
      <c r="O801" s="29" t="str">
        <f>IF(Analysis!$I801="","",IF(Analysis!$I801="Project-driven",Analysis!$H801,""))</f>
        <v/>
      </c>
      <c r="P801" s="29" t="str">
        <f>IF(Analysis!$I801="","",IF(Analysis!$I801="Drifting",Analysis!$H801,""))</f>
        <v/>
      </c>
    </row>
    <row r="802" spans="1:16" x14ac:dyDescent="0.25">
      <c r="A802" s="29" t="str">
        <f>IF(Analysis!$I802="","",IF(Analysis!$I802="Embedded",Analysis!$D802,""))</f>
        <v/>
      </c>
      <c r="B802" s="29" t="str">
        <f>IF(Analysis!$I802="","",IF(Analysis!$I802="Loyal but shallow",Analysis!$D802,""))</f>
        <v/>
      </c>
      <c r="C802" s="29" t="str">
        <f>IF(Analysis!$I802="","",IF(Analysis!$I802="Project-driven",Analysis!$D802,""))</f>
        <v/>
      </c>
      <c r="D802" s="29" t="str">
        <f>IF(Analysis!$I802="","",IF(Analysis!$I802="Drifting",Analysis!$D802,""))</f>
        <v/>
      </c>
      <c r="E802" s="29" t="str">
        <f>IF(Analysis!$I802="","",IF(Analysis!$I802="Embedded",Analysis!$C802,""))</f>
        <v/>
      </c>
      <c r="F802" s="29" t="str">
        <f>IF(Analysis!$I802="","",IF(Analysis!$I802="Loyal but shallow",Analysis!$C802,""))</f>
        <v/>
      </c>
      <c r="G802" s="29" t="str">
        <f>IF(Analysis!$I802="","",IF(Analysis!$I802="Project-driven",Analysis!$C802,""))</f>
        <v/>
      </c>
      <c r="H802" s="29" t="str">
        <f>IF(Analysis!$I802="","",IF(Analysis!$I802="Drifting",Analysis!$C802,""))</f>
        <v/>
      </c>
      <c r="I802" s="29" t="str">
        <f>IF(Analysis!$I802="","",IF(Analysis!$I802="Embedded",Analysis!$F802,""))</f>
        <v/>
      </c>
      <c r="J802" s="29" t="str">
        <f>IF(Analysis!$I802="","",IF(Analysis!$I802="Loyal but shallow",Analysis!$F802,""))</f>
        <v/>
      </c>
      <c r="K802" s="29" t="str">
        <f>IF(Analysis!$I802="","",IF(Analysis!$I802="Project-driven",Analysis!$F802,""))</f>
        <v/>
      </c>
      <c r="L802" s="29" t="str">
        <f>IF(Analysis!$I802="","",IF(Analysis!$I802="Drifting",Analysis!$F802,""))</f>
        <v/>
      </c>
      <c r="M802" s="29" t="str">
        <f>IF(Analysis!$I802="","",IF(Analysis!$I802="Embedded",Analysis!$H802,""))</f>
        <v/>
      </c>
      <c r="N802" s="29" t="str">
        <f>IF(Analysis!$I802="","",IF(Analysis!$I802="Loyal but shallow",Analysis!$H802,""))</f>
        <v/>
      </c>
      <c r="O802" s="29" t="str">
        <f>IF(Analysis!$I802="","",IF(Analysis!$I802="Project-driven",Analysis!$H802,""))</f>
        <v/>
      </c>
      <c r="P802" s="29" t="str">
        <f>IF(Analysis!$I802="","",IF(Analysis!$I802="Drifting",Analysis!$H802,""))</f>
        <v/>
      </c>
    </row>
    <row r="803" spans="1:16" x14ac:dyDescent="0.25">
      <c r="A803" s="29" t="str">
        <f>IF(Analysis!$I803="","",IF(Analysis!$I803="Embedded",Analysis!$D803,""))</f>
        <v/>
      </c>
      <c r="B803" s="29" t="str">
        <f>IF(Analysis!$I803="","",IF(Analysis!$I803="Loyal but shallow",Analysis!$D803,""))</f>
        <v/>
      </c>
      <c r="C803" s="29" t="str">
        <f>IF(Analysis!$I803="","",IF(Analysis!$I803="Project-driven",Analysis!$D803,""))</f>
        <v/>
      </c>
      <c r="D803" s="29" t="str">
        <f>IF(Analysis!$I803="","",IF(Analysis!$I803="Drifting",Analysis!$D803,""))</f>
        <v/>
      </c>
      <c r="E803" s="29" t="str">
        <f>IF(Analysis!$I803="","",IF(Analysis!$I803="Embedded",Analysis!$C803,""))</f>
        <v/>
      </c>
      <c r="F803" s="29" t="str">
        <f>IF(Analysis!$I803="","",IF(Analysis!$I803="Loyal but shallow",Analysis!$C803,""))</f>
        <v/>
      </c>
      <c r="G803" s="29" t="str">
        <f>IF(Analysis!$I803="","",IF(Analysis!$I803="Project-driven",Analysis!$C803,""))</f>
        <v/>
      </c>
      <c r="H803" s="29" t="str">
        <f>IF(Analysis!$I803="","",IF(Analysis!$I803="Drifting",Analysis!$C803,""))</f>
        <v/>
      </c>
      <c r="I803" s="29" t="str">
        <f>IF(Analysis!$I803="","",IF(Analysis!$I803="Embedded",Analysis!$F803,""))</f>
        <v/>
      </c>
      <c r="J803" s="29" t="str">
        <f>IF(Analysis!$I803="","",IF(Analysis!$I803="Loyal but shallow",Analysis!$F803,""))</f>
        <v/>
      </c>
      <c r="K803" s="29" t="str">
        <f>IF(Analysis!$I803="","",IF(Analysis!$I803="Project-driven",Analysis!$F803,""))</f>
        <v/>
      </c>
      <c r="L803" s="29" t="str">
        <f>IF(Analysis!$I803="","",IF(Analysis!$I803="Drifting",Analysis!$F803,""))</f>
        <v/>
      </c>
      <c r="M803" s="29" t="str">
        <f>IF(Analysis!$I803="","",IF(Analysis!$I803="Embedded",Analysis!$H803,""))</f>
        <v/>
      </c>
      <c r="N803" s="29" t="str">
        <f>IF(Analysis!$I803="","",IF(Analysis!$I803="Loyal but shallow",Analysis!$H803,""))</f>
        <v/>
      </c>
      <c r="O803" s="29" t="str">
        <f>IF(Analysis!$I803="","",IF(Analysis!$I803="Project-driven",Analysis!$H803,""))</f>
        <v/>
      </c>
      <c r="P803" s="29" t="str">
        <f>IF(Analysis!$I803="","",IF(Analysis!$I803="Drifting",Analysis!$H803,""))</f>
        <v/>
      </c>
    </row>
    <row r="804" spans="1:16" x14ac:dyDescent="0.25">
      <c r="A804" s="29" t="str">
        <f>IF(Analysis!$I804="","",IF(Analysis!$I804="Embedded",Analysis!$D804,""))</f>
        <v/>
      </c>
      <c r="B804" s="29" t="str">
        <f>IF(Analysis!$I804="","",IF(Analysis!$I804="Loyal but shallow",Analysis!$D804,""))</f>
        <v/>
      </c>
      <c r="C804" s="29" t="str">
        <f>IF(Analysis!$I804="","",IF(Analysis!$I804="Project-driven",Analysis!$D804,""))</f>
        <v/>
      </c>
      <c r="D804" s="29" t="str">
        <f>IF(Analysis!$I804="","",IF(Analysis!$I804="Drifting",Analysis!$D804,""))</f>
        <v/>
      </c>
      <c r="E804" s="29" t="str">
        <f>IF(Analysis!$I804="","",IF(Analysis!$I804="Embedded",Analysis!$C804,""))</f>
        <v/>
      </c>
      <c r="F804" s="29" t="str">
        <f>IF(Analysis!$I804="","",IF(Analysis!$I804="Loyal but shallow",Analysis!$C804,""))</f>
        <v/>
      </c>
      <c r="G804" s="29" t="str">
        <f>IF(Analysis!$I804="","",IF(Analysis!$I804="Project-driven",Analysis!$C804,""))</f>
        <v/>
      </c>
      <c r="H804" s="29" t="str">
        <f>IF(Analysis!$I804="","",IF(Analysis!$I804="Drifting",Analysis!$C804,""))</f>
        <v/>
      </c>
      <c r="I804" s="29" t="str">
        <f>IF(Analysis!$I804="","",IF(Analysis!$I804="Embedded",Analysis!$F804,""))</f>
        <v/>
      </c>
      <c r="J804" s="29" t="str">
        <f>IF(Analysis!$I804="","",IF(Analysis!$I804="Loyal but shallow",Analysis!$F804,""))</f>
        <v/>
      </c>
      <c r="K804" s="29" t="str">
        <f>IF(Analysis!$I804="","",IF(Analysis!$I804="Project-driven",Analysis!$F804,""))</f>
        <v/>
      </c>
      <c r="L804" s="29" t="str">
        <f>IF(Analysis!$I804="","",IF(Analysis!$I804="Drifting",Analysis!$F804,""))</f>
        <v/>
      </c>
      <c r="M804" s="29" t="str">
        <f>IF(Analysis!$I804="","",IF(Analysis!$I804="Embedded",Analysis!$H804,""))</f>
        <v/>
      </c>
      <c r="N804" s="29" t="str">
        <f>IF(Analysis!$I804="","",IF(Analysis!$I804="Loyal but shallow",Analysis!$H804,""))</f>
        <v/>
      </c>
      <c r="O804" s="29" t="str">
        <f>IF(Analysis!$I804="","",IF(Analysis!$I804="Project-driven",Analysis!$H804,""))</f>
        <v/>
      </c>
      <c r="P804" s="29" t="str">
        <f>IF(Analysis!$I804="","",IF(Analysis!$I804="Drifting",Analysis!$H804,""))</f>
        <v/>
      </c>
    </row>
    <row r="805" spans="1:16" x14ac:dyDescent="0.25">
      <c r="A805" s="29" t="str">
        <f>IF(Analysis!$I805="","",IF(Analysis!$I805="Embedded",Analysis!$D805,""))</f>
        <v/>
      </c>
      <c r="B805" s="29" t="str">
        <f>IF(Analysis!$I805="","",IF(Analysis!$I805="Loyal but shallow",Analysis!$D805,""))</f>
        <v/>
      </c>
      <c r="C805" s="29" t="str">
        <f>IF(Analysis!$I805="","",IF(Analysis!$I805="Project-driven",Analysis!$D805,""))</f>
        <v/>
      </c>
      <c r="D805" s="29" t="str">
        <f>IF(Analysis!$I805="","",IF(Analysis!$I805="Drifting",Analysis!$D805,""))</f>
        <v/>
      </c>
      <c r="E805" s="29" t="str">
        <f>IF(Analysis!$I805="","",IF(Analysis!$I805="Embedded",Analysis!$C805,""))</f>
        <v/>
      </c>
      <c r="F805" s="29" t="str">
        <f>IF(Analysis!$I805="","",IF(Analysis!$I805="Loyal but shallow",Analysis!$C805,""))</f>
        <v/>
      </c>
      <c r="G805" s="29" t="str">
        <f>IF(Analysis!$I805="","",IF(Analysis!$I805="Project-driven",Analysis!$C805,""))</f>
        <v/>
      </c>
      <c r="H805" s="29" t="str">
        <f>IF(Analysis!$I805="","",IF(Analysis!$I805="Drifting",Analysis!$C805,""))</f>
        <v/>
      </c>
      <c r="I805" s="29" t="str">
        <f>IF(Analysis!$I805="","",IF(Analysis!$I805="Embedded",Analysis!$F805,""))</f>
        <v/>
      </c>
      <c r="J805" s="29" t="str">
        <f>IF(Analysis!$I805="","",IF(Analysis!$I805="Loyal but shallow",Analysis!$F805,""))</f>
        <v/>
      </c>
      <c r="K805" s="29" t="str">
        <f>IF(Analysis!$I805="","",IF(Analysis!$I805="Project-driven",Analysis!$F805,""))</f>
        <v/>
      </c>
      <c r="L805" s="29" t="str">
        <f>IF(Analysis!$I805="","",IF(Analysis!$I805="Drifting",Analysis!$F805,""))</f>
        <v/>
      </c>
      <c r="M805" s="29" t="str">
        <f>IF(Analysis!$I805="","",IF(Analysis!$I805="Embedded",Analysis!$H805,""))</f>
        <v/>
      </c>
      <c r="N805" s="29" t="str">
        <f>IF(Analysis!$I805="","",IF(Analysis!$I805="Loyal but shallow",Analysis!$H805,""))</f>
        <v/>
      </c>
      <c r="O805" s="29" t="str">
        <f>IF(Analysis!$I805="","",IF(Analysis!$I805="Project-driven",Analysis!$H805,""))</f>
        <v/>
      </c>
      <c r="P805" s="29" t="str">
        <f>IF(Analysis!$I805="","",IF(Analysis!$I805="Drifting",Analysis!$H805,""))</f>
        <v/>
      </c>
    </row>
    <row r="806" spans="1:16" x14ac:dyDescent="0.25">
      <c r="A806" s="29" t="str">
        <f>IF(Analysis!$I806="","",IF(Analysis!$I806="Embedded",Analysis!$D806,""))</f>
        <v/>
      </c>
      <c r="B806" s="29" t="str">
        <f>IF(Analysis!$I806="","",IF(Analysis!$I806="Loyal but shallow",Analysis!$D806,""))</f>
        <v/>
      </c>
      <c r="C806" s="29" t="str">
        <f>IF(Analysis!$I806="","",IF(Analysis!$I806="Project-driven",Analysis!$D806,""))</f>
        <v/>
      </c>
      <c r="D806" s="29" t="str">
        <f>IF(Analysis!$I806="","",IF(Analysis!$I806="Drifting",Analysis!$D806,""))</f>
        <v/>
      </c>
      <c r="E806" s="29" t="str">
        <f>IF(Analysis!$I806="","",IF(Analysis!$I806="Embedded",Analysis!$C806,""))</f>
        <v/>
      </c>
      <c r="F806" s="29" t="str">
        <f>IF(Analysis!$I806="","",IF(Analysis!$I806="Loyal but shallow",Analysis!$C806,""))</f>
        <v/>
      </c>
      <c r="G806" s="29" t="str">
        <f>IF(Analysis!$I806="","",IF(Analysis!$I806="Project-driven",Analysis!$C806,""))</f>
        <v/>
      </c>
      <c r="H806" s="29" t="str">
        <f>IF(Analysis!$I806="","",IF(Analysis!$I806="Drifting",Analysis!$C806,""))</f>
        <v/>
      </c>
      <c r="I806" s="29" t="str">
        <f>IF(Analysis!$I806="","",IF(Analysis!$I806="Embedded",Analysis!$F806,""))</f>
        <v/>
      </c>
      <c r="J806" s="29" t="str">
        <f>IF(Analysis!$I806="","",IF(Analysis!$I806="Loyal but shallow",Analysis!$F806,""))</f>
        <v/>
      </c>
      <c r="K806" s="29" t="str">
        <f>IF(Analysis!$I806="","",IF(Analysis!$I806="Project-driven",Analysis!$F806,""))</f>
        <v/>
      </c>
      <c r="L806" s="29" t="str">
        <f>IF(Analysis!$I806="","",IF(Analysis!$I806="Drifting",Analysis!$F806,""))</f>
        <v/>
      </c>
      <c r="M806" s="29" t="str">
        <f>IF(Analysis!$I806="","",IF(Analysis!$I806="Embedded",Analysis!$H806,""))</f>
        <v/>
      </c>
      <c r="N806" s="29" t="str">
        <f>IF(Analysis!$I806="","",IF(Analysis!$I806="Loyal but shallow",Analysis!$H806,""))</f>
        <v/>
      </c>
      <c r="O806" s="29" t="str">
        <f>IF(Analysis!$I806="","",IF(Analysis!$I806="Project-driven",Analysis!$H806,""))</f>
        <v/>
      </c>
      <c r="P806" s="29" t="str">
        <f>IF(Analysis!$I806="","",IF(Analysis!$I806="Drifting",Analysis!$H806,""))</f>
        <v/>
      </c>
    </row>
    <row r="807" spans="1:16" x14ac:dyDescent="0.25">
      <c r="A807" s="29" t="str">
        <f>IF(Analysis!$I807="","",IF(Analysis!$I807="Embedded",Analysis!$D807,""))</f>
        <v/>
      </c>
      <c r="B807" s="29" t="str">
        <f>IF(Analysis!$I807="","",IF(Analysis!$I807="Loyal but shallow",Analysis!$D807,""))</f>
        <v/>
      </c>
      <c r="C807" s="29" t="str">
        <f>IF(Analysis!$I807="","",IF(Analysis!$I807="Project-driven",Analysis!$D807,""))</f>
        <v/>
      </c>
      <c r="D807" s="29" t="str">
        <f>IF(Analysis!$I807="","",IF(Analysis!$I807="Drifting",Analysis!$D807,""))</f>
        <v/>
      </c>
      <c r="E807" s="29" t="str">
        <f>IF(Analysis!$I807="","",IF(Analysis!$I807="Embedded",Analysis!$C807,""))</f>
        <v/>
      </c>
      <c r="F807" s="29" t="str">
        <f>IF(Analysis!$I807="","",IF(Analysis!$I807="Loyal but shallow",Analysis!$C807,""))</f>
        <v/>
      </c>
      <c r="G807" s="29" t="str">
        <f>IF(Analysis!$I807="","",IF(Analysis!$I807="Project-driven",Analysis!$C807,""))</f>
        <v/>
      </c>
      <c r="H807" s="29" t="str">
        <f>IF(Analysis!$I807="","",IF(Analysis!$I807="Drifting",Analysis!$C807,""))</f>
        <v/>
      </c>
      <c r="I807" s="29" t="str">
        <f>IF(Analysis!$I807="","",IF(Analysis!$I807="Embedded",Analysis!$F807,""))</f>
        <v/>
      </c>
      <c r="J807" s="29" t="str">
        <f>IF(Analysis!$I807="","",IF(Analysis!$I807="Loyal but shallow",Analysis!$F807,""))</f>
        <v/>
      </c>
      <c r="K807" s="29" t="str">
        <f>IF(Analysis!$I807="","",IF(Analysis!$I807="Project-driven",Analysis!$F807,""))</f>
        <v/>
      </c>
      <c r="L807" s="29" t="str">
        <f>IF(Analysis!$I807="","",IF(Analysis!$I807="Drifting",Analysis!$F807,""))</f>
        <v/>
      </c>
      <c r="M807" s="29" t="str">
        <f>IF(Analysis!$I807="","",IF(Analysis!$I807="Embedded",Analysis!$H807,""))</f>
        <v/>
      </c>
      <c r="N807" s="29" t="str">
        <f>IF(Analysis!$I807="","",IF(Analysis!$I807="Loyal but shallow",Analysis!$H807,""))</f>
        <v/>
      </c>
      <c r="O807" s="29" t="str">
        <f>IF(Analysis!$I807="","",IF(Analysis!$I807="Project-driven",Analysis!$H807,""))</f>
        <v/>
      </c>
      <c r="P807" s="29" t="str">
        <f>IF(Analysis!$I807="","",IF(Analysis!$I807="Drifting",Analysis!$H807,""))</f>
        <v/>
      </c>
    </row>
    <row r="808" spans="1:16" x14ac:dyDescent="0.25">
      <c r="A808" s="29" t="str">
        <f>IF(Analysis!$I808="","",IF(Analysis!$I808="Embedded",Analysis!$D808,""))</f>
        <v/>
      </c>
      <c r="B808" s="29" t="str">
        <f>IF(Analysis!$I808="","",IF(Analysis!$I808="Loyal but shallow",Analysis!$D808,""))</f>
        <v/>
      </c>
      <c r="C808" s="29" t="str">
        <f>IF(Analysis!$I808="","",IF(Analysis!$I808="Project-driven",Analysis!$D808,""))</f>
        <v/>
      </c>
      <c r="D808" s="29" t="str">
        <f>IF(Analysis!$I808="","",IF(Analysis!$I808="Drifting",Analysis!$D808,""))</f>
        <v/>
      </c>
      <c r="E808" s="29" t="str">
        <f>IF(Analysis!$I808="","",IF(Analysis!$I808="Embedded",Analysis!$C808,""))</f>
        <v/>
      </c>
      <c r="F808" s="29" t="str">
        <f>IF(Analysis!$I808="","",IF(Analysis!$I808="Loyal but shallow",Analysis!$C808,""))</f>
        <v/>
      </c>
      <c r="G808" s="29" t="str">
        <f>IF(Analysis!$I808="","",IF(Analysis!$I808="Project-driven",Analysis!$C808,""))</f>
        <v/>
      </c>
      <c r="H808" s="29" t="str">
        <f>IF(Analysis!$I808="","",IF(Analysis!$I808="Drifting",Analysis!$C808,""))</f>
        <v/>
      </c>
      <c r="I808" s="29" t="str">
        <f>IF(Analysis!$I808="","",IF(Analysis!$I808="Embedded",Analysis!$F808,""))</f>
        <v/>
      </c>
      <c r="J808" s="29" t="str">
        <f>IF(Analysis!$I808="","",IF(Analysis!$I808="Loyal but shallow",Analysis!$F808,""))</f>
        <v/>
      </c>
      <c r="K808" s="29" t="str">
        <f>IF(Analysis!$I808="","",IF(Analysis!$I808="Project-driven",Analysis!$F808,""))</f>
        <v/>
      </c>
      <c r="L808" s="29" t="str">
        <f>IF(Analysis!$I808="","",IF(Analysis!$I808="Drifting",Analysis!$F808,""))</f>
        <v/>
      </c>
      <c r="M808" s="29" t="str">
        <f>IF(Analysis!$I808="","",IF(Analysis!$I808="Embedded",Analysis!$H808,""))</f>
        <v/>
      </c>
      <c r="N808" s="29" t="str">
        <f>IF(Analysis!$I808="","",IF(Analysis!$I808="Loyal but shallow",Analysis!$H808,""))</f>
        <v/>
      </c>
      <c r="O808" s="29" t="str">
        <f>IF(Analysis!$I808="","",IF(Analysis!$I808="Project-driven",Analysis!$H808,""))</f>
        <v/>
      </c>
      <c r="P808" s="29" t="str">
        <f>IF(Analysis!$I808="","",IF(Analysis!$I808="Drifting",Analysis!$H808,""))</f>
        <v/>
      </c>
    </row>
    <row r="809" spans="1:16" x14ac:dyDescent="0.25">
      <c r="A809" s="29" t="str">
        <f>IF(Analysis!$I809="","",IF(Analysis!$I809="Embedded",Analysis!$D809,""))</f>
        <v/>
      </c>
      <c r="B809" s="29" t="str">
        <f>IF(Analysis!$I809="","",IF(Analysis!$I809="Loyal but shallow",Analysis!$D809,""))</f>
        <v/>
      </c>
      <c r="C809" s="29" t="str">
        <f>IF(Analysis!$I809="","",IF(Analysis!$I809="Project-driven",Analysis!$D809,""))</f>
        <v/>
      </c>
      <c r="D809" s="29" t="str">
        <f>IF(Analysis!$I809="","",IF(Analysis!$I809="Drifting",Analysis!$D809,""))</f>
        <v/>
      </c>
      <c r="E809" s="29" t="str">
        <f>IF(Analysis!$I809="","",IF(Analysis!$I809="Embedded",Analysis!$C809,""))</f>
        <v/>
      </c>
      <c r="F809" s="29" t="str">
        <f>IF(Analysis!$I809="","",IF(Analysis!$I809="Loyal but shallow",Analysis!$C809,""))</f>
        <v/>
      </c>
      <c r="G809" s="29" t="str">
        <f>IF(Analysis!$I809="","",IF(Analysis!$I809="Project-driven",Analysis!$C809,""))</f>
        <v/>
      </c>
      <c r="H809" s="29" t="str">
        <f>IF(Analysis!$I809="","",IF(Analysis!$I809="Drifting",Analysis!$C809,""))</f>
        <v/>
      </c>
      <c r="I809" s="29" t="str">
        <f>IF(Analysis!$I809="","",IF(Analysis!$I809="Embedded",Analysis!$F809,""))</f>
        <v/>
      </c>
      <c r="J809" s="29" t="str">
        <f>IF(Analysis!$I809="","",IF(Analysis!$I809="Loyal but shallow",Analysis!$F809,""))</f>
        <v/>
      </c>
      <c r="K809" s="29" t="str">
        <f>IF(Analysis!$I809="","",IF(Analysis!$I809="Project-driven",Analysis!$F809,""))</f>
        <v/>
      </c>
      <c r="L809" s="29" t="str">
        <f>IF(Analysis!$I809="","",IF(Analysis!$I809="Drifting",Analysis!$F809,""))</f>
        <v/>
      </c>
      <c r="M809" s="29" t="str">
        <f>IF(Analysis!$I809="","",IF(Analysis!$I809="Embedded",Analysis!$H809,""))</f>
        <v/>
      </c>
      <c r="N809" s="29" t="str">
        <f>IF(Analysis!$I809="","",IF(Analysis!$I809="Loyal but shallow",Analysis!$H809,""))</f>
        <v/>
      </c>
      <c r="O809" s="29" t="str">
        <f>IF(Analysis!$I809="","",IF(Analysis!$I809="Project-driven",Analysis!$H809,""))</f>
        <v/>
      </c>
      <c r="P809" s="29" t="str">
        <f>IF(Analysis!$I809="","",IF(Analysis!$I809="Drifting",Analysis!$H809,""))</f>
        <v/>
      </c>
    </row>
    <row r="810" spans="1:16" x14ac:dyDescent="0.25">
      <c r="A810" s="29" t="str">
        <f>IF(Analysis!$I810="","",IF(Analysis!$I810="Embedded",Analysis!$D810,""))</f>
        <v/>
      </c>
      <c r="B810" s="29" t="str">
        <f>IF(Analysis!$I810="","",IF(Analysis!$I810="Loyal but shallow",Analysis!$D810,""))</f>
        <v/>
      </c>
      <c r="C810" s="29" t="str">
        <f>IF(Analysis!$I810="","",IF(Analysis!$I810="Project-driven",Analysis!$D810,""))</f>
        <v/>
      </c>
      <c r="D810" s="29" t="str">
        <f>IF(Analysis!$I810="","",IF(Analysis!$I810="Drifting",Analysis!$D810,""))</f>
        <v/>
      </c>
      <c r="E810" s="29" t="str">
        <f>IF(Analysis!$I810="","",IF(Analysis!$I810="Embedded",Analysis!$C810,""))</f>
        <v/>
      </c>
      <c r="F810" s="29" t="str">
        <f>IF(Analysis!$I810="","",IF(Analysis!$I810="Loyal but shallow",Analysis!$C810,""))</f>
        <v/>
      </c>
      <c r="G810" s="29" t="str">
        <f>IF(Analysis!$I810="","",IF(Analysis!$I810="Project-driven",Analysis!$C810,""))</f>
        <v/>
      </c>
      <c r="H810" s="29" t="str">
        <f>IF(Analysis!$I810="","",IF(Analysis!$I810="Drifting",Analysis!$C810,""))</f>
        <v/>
      </c>
      <c r="I810" s="29" t="str">
        <f>IF(Analysis!$I810="","",IF(Analysis!$I810="Embedded",Analysis!$F810,""))</f>
        <v/>
      </c>
      <c r="J810" s="29" t="str">
        <f>IF(Analysis!$I810="","",IF(Analysis!$I810="Loyal but shallow",Analysis!$F810,""))</f>
        <v/>
      </c>
      <c r="K810" s="29" t="str">
        <f>IF(Analysis!$I810="","",IF(Analysis!$I810="Project-driven",Analysis!$F810,""))</f>
        <v/>
      </c>
      <c r="L810" s="29" t="str">
        <f>IF(Analysis!$I810="","",IF(Analysis!$I810="Drifting",Analysis!$F810,""))</f>
        <v/>
      </c>
      <c r="M810" s="29" t="str">
        <f>IF(Analysis!$I810="","",IF(Analysis!$I810="Embedded",Analysis!$H810,""))</f>
        <v/>
      </c>
      <c r="N810" s="29" t="str">
        <f>IF(Analysis!$I810="","",IF(Analysis!$I810="Loyal but shallow",Analysis!$H810,""))</f>
        <v/>
      </c>
      <c r="O810" s="29" t="str">
        <f>IF(Analysis!$I810="","",IF(Analysis!$I810="Project-driven",Analysis!$H810,""))</f>
        <v/>
      </c>
      <c r="P810" s="29" t="str">
        <f>IF(Analysis!$I810="","",IF(Analysis!$I810="Drifting",Analysis!$H810,""))</f>
        <v/>
      </c>
    </row>
    <row r="811" spans="1:16" x14ac:dyDescent="0.25">
      <c r="A811" s="29" t="str">
        <f>IF(Analysis!$I811="","",IF(Analysis!$I811="Embedded",Analysis!$D811,""))</f>
        <v/>
      </c>
      <c r="B811" s="29" t="str">
        <f>IF(Analysis!$I811="","",IF(Analysis!$I811="Loyal but shallow",Analysis!$D811,""))</f>
        <v/>
      </c>
      <c r="C811" s="29" t="str">
        <f>IF(Analysis!$I811="","",IF(Analysis!$I811="Project-driven",Analysis!$D811,""))</f>
        <v/>
      </c>
      <c r="D811" s="29" t="str">
        <f>IF(Analysis!$I811="","",IF(Analysis!$I811="Drifting",Analysis!$D811,""))</f>
        <v/>
      </c>
      <c r="E811" s="29" t="str">
        <f>IF(Analysis!$I811="","",IF(Analysis!$I811="Embedded",Analysis!$C811,""))</f>
        <v/>
      </c>
      <c r="F811" s="29" t="str">
        <f>IF(Analysis!$I811="","",IF(Analysis!$I811="Loyal but shallow",Analysis!$C811,""))</f>
        <v/>
      </c>
      <c r="G811" s="29" t="str">
        <f>IF(Analysis!$I811="","",IF(Analysis!$I811="Project-driven",Analysis!$C811,""))</f>
        <v/>
      </c>
      <c r="H811" s="29" t="str">
        <f>IF(Analysis!$I811="","",IF(Analysis!$I811="Drifting",Analysis!$C811,""))</f>
        <v/>
      </c>
      <c r="I811" s="29" t="str">
        <f>IF(Analysis!$I811="","",IF(Analysis!$I811="Embedded",Analysis!$F811,""))</f>
        <v/>
      </c>
      <c r="J811" s="29" t="str">
        <f>IF(Analysis!$I811="","",IF(Analysis!$I811="Loyal but shallow",Analysis!$F811,""))</f>
        <v/>
      </c>
      <c r="K811" s="29" t="str">
        <f>IF(Analysis!$I811="","",IF(Analysis!$I811="Project-driven",Analysis!$F811,""))</f>
        <v/>
      </c>
      <c r="L811" s="29" t="str">
        <f>IF(Analysis!$I811="","",IF(Analysis!$I811="Drifting",Analysis!$F811,""))</f>
        <v/>
      </c>
      <c r="M811" s="29" t="str">
        <f>IF(Analysis!$I811="","",IF(Analysis!$I811="Embedded",Analysis!$H811,""))</f>
        <v/>
      </c>
      <c r="N811" s="29" t="str">
        <f>IF(Analysis!$I811="","",IF(Analysis!$I811="Loyal but shallow",Analysis!$H811,""))</f>
        <v/>
      </c>
      <c r="O811" s="29" t="str">
        <f>IF(Analysis!$I811="","",IF(Analysis!$I811="Project-driven",Analysis!$H811,""))</f>
        <v/>
      </c>
      <c r="P811" s="29" t="str">
        <f>IF(Analysis!$I811="","",IF(Analysis!$I811="Drifting",Analysis!$H811,""))</f>
        <v/>
      </c>
    </row>
    <row r="812" spans="1:16" x14ac:dyDescent="0.25">
      <c r="A812" s="29" t="str">
        <f>IF(Analysis!$I812="","",IF(Analysis!$I812="Embedded",Analysis!$D812,""))</f>
        <v/>
      </c>
      <c r="B812" s="29" t="str">
        <f>IF(Analysis!$I812="","",IF(Analysis!$I812="Loyal but shallow",Analysis!$D812,""))</f>
        <v/>
      </c>
      <c r="C812" s="29" t="str">
        <f>IF(Analysis!$I812="","",IF(Analysis!$I812="Project-driven",Analysis!$D812,""))</f>
        <v/>
      </c>
      <c r="D812" s="29" t="str">
        <f>IF(Analysis!$I812="","",IF(Analysis!$I812="Drifting",Analysis!$D812,""))</f>
        <v/>
      </c>
      <c r="E812" s="29" t="str">
        <f>IF(Analysis!$I812="","",IF(Analysis!$I812="Embedded",Analysis!$C812,""))</f>
        <v/>
      </c>
      <c r="F812" s="29" t="str">
        <f>IF(Analysis!$I812="","",IF(Analysis!$I812="Loyal but shallow",Analysis!$C812,""))</f>
        <v/>
      </c>
      <c r="G812" s="29" t="str">
        <f>IF(Analysis!$I812="","",IF(Analysis!$I812="Project-driven",Analysis!$C812,""))</f>
        <v/>
      </c>
      <c r="H812" s="29" t="str">
        <f>IF(Analysis!$I812="","",IF(Analysis!$I812="Drifting",Analysis!$C812,""))</f>
        <v/>
      </c>
      <c r="I812" s="29" t="str">
        <f>IF(Analysis!$I812="","",IF(Analysis!$I812="Embedded",Analysis!$F812,""))</f>
        <v/>
      </c>
      <c r="J812" s="29" t="str">
        <f>IF(Analysis!$I812="","",IF(Analysis!$I812="Loyal but shallow",Analysis!$F812,""))</f>
        <v/>
      </c>
      <c r="K812" s="29" t="str">
        <f>IF(Analysis!$I812="","",IF(Analysis!$I812="Project-driven",Analysis!$F812,""))</f>
        <v/>
      </c>
      <c r="L812" s="29" t="str">
        <f>IF(Analysis!$I812="","",IF(Analysis!$I812="Drifting",Analysis!$F812,""))</f>
        <v/>
      </c>
      <c r="M812" s="29" t="str">
        <f>IF(Analysis!$I812="","",IF(Analysis!$I812="Embedded",Analysis!$H812,""))</f>
        <v/>
      </c>
      <c r="N812" s="29" t="str">
        <f>IF(Analysis!$I812="","",IF(Analysis!$I812="Loyal but shallow",Analysis!$H812,""))</f>
        <v/>
      </c>
      <c r="O812" s="29" t="str">
        <f>IF(Analysis!$I812="","",IF(Analysis!$I812="Project-driven",Analysis!$H812,""))</f>
        <v/>
      </c>
      <c r="P812" s="29" t="str">
        <f>IF(Analysis!$I812="","",IF(Analysis!$I812="Drifting",Analysis!$H812,""))</f>
        <v/>
      </c>
    </row>
    <row r="813" spans="1:16" x14ac:dyDescent="0.25">
      <c r="A813" s="29" t="str">
        <f>IF(Analysis!$I813="","",IF(Analysis!$I813="Embedded",Analysis!$D813,""))</f>
        <v/>
      </c>
      <c r="B813" s="29" t="str">
        <f>IF(Analysis!$I813="","",IF(Analysis!$I813="Loyal but shallow",Analysis!$D813,""))</f>
        <v/>
      </c>
      <c r="C813" s="29" t="str">
        <f>IF(Analysis!$I813="","",IF(Analysis!$I813="Project-driven",Analysis!$D813,""))</f>
        <v/>
      </c>
      <c r="D813" s="29" t="str">
        <f>IF(Analysis!$I813="","",IF(Analysis!$I813="Drifting",Analysis!$D813,""))</f>
        <v/>
      </c>
      <c r="E813" s="29" t="str">
        <f>IF(Analysis!$I813="","",IF(Analysis!$I813="Embedded",Analysis!$C813,""))</f>
        <v/>
      </c>
      <c r="F813" s="29" t="str">
        <f>IF(Analysis!$I813="","",IF(Analysis!$I813="Loyal but shallow",Analysis!$C813,""))</f>
        <v/>
      </c>
      <c r="G813" s="29" t="str">
        <f>IF(Analysis!$I813="","",IF(Analysis!$I813="Project-driven",Analysis!$C813,""))</f>
        <v/>
      </c>
      <c r="H813" s="29" t="str">
        <f>IF(Analysis!$I813="","",IF(Analysis!$I813="Drifting",Analysis!$C813,""))</f>
        <v/>
      </c>
      <c r="I813" s="29" t="str">
        <f>IF(Analysis!$I813="","",IF(Analysis!$I813="Embedded",Analysis!$F813,""))</f>
        <v/>
      </c>
      <c r="J813" s="29" t="str">
        <f>IF(Analysis!$I813="","",IF(Analysis!$I813="Loyal but shallow",Analysis!$F813,""))</f>
        <v/>
      </c>
      <c r="K813" s="29" t="str">
        <f>IF(Analysis!$I813="","",IF(Analysis!$I813="Project-driven",Analysis!$F813,""))</f>
        <v/>
      </c>
      <c r="L813" s="29" t="str">
        <f>IF(Analysis!$I813="","",IF(Analysis!$I813="Drifting",Analysis!$F813,""))</f>
        <v/>
      </c>
      <c r="M813" s="29" t="str">
        <f>IF(Analysis!$I813="","",IF(Analysis!$I813="Embedded",Analysis!$H813,""))</f>
        <v/>
      </c>
      <c r="N813" s="29" t="str">
        <f>IF(Analysis!$I813="","",IF(Analysis!$I813="Loyal but shallow",Analysis!$H813,""))</f>
        <v/>
      </c>
      <c r="O813" s="29" t="str">
        <f>IF(Analysis!$I813="","",IF(Analysis!$I813="Project-driven",Analysis!$H813,""))</f>
        <v/>
      </c>
      <c r="P813" s="29" t="str">
        <f>IF(Analysis!$I813="","",IF(Analysis!$I813="Drifting",Analysis!$H813,""))</f>
        <v/>
      </c>
    </row>
    <row r="814" spans="1:16" x14ac:dyDescent="0.25">
      <c r="A814" s="29" t="str">
        <f>IF(Analysis!$I814="","",IF(Analysis!$I814="Embedded",Analysis!$D814,""))</f>
        <v/>
      </c>
      <c r="B814" s="29" t="str">
        <f>IF(Analysis!$I814="","",IF(Analysis!$I814="Loyal but shallow",Analysis!$D814,""))</f>
        <v/>
      </c>
      <c r="C814" s="29" t="str">
        <f>IF(Analysis!$I814="","",IF(Analysis!$I814="Project-driven",Analysis!$D814,""))</f>
        <v/>
      </c>
      <c r="D814" s="29" t="str">
        <f>IF(Analysis!$I814="","",IF(Analysis!$I814="Drifting",Analysis!$D814,""))</f>
        <v/>
      </c>
      <c r="E814" s="29" t="str">
        <f>IF(Analysis!$I814="","",IF(Analysis!$I814="Embedded",Analysis!$C814,""))</f>
        <v/>
      </c>
      <c r="F814" s="29" t="str">
        <f>IF(Analysis!$I814="","",IF(Analysis!$I814="Loyal but shallow",Analysis!$C814,""))</f>
        <v/>
      </c>
      <c r="G814" s="29" t="str">
        <f>IF(Analysis!$I814="","",IF(Analysis!$I814="Project-driven",Analysis!$C814,""))</f>
        <v/>
      </c>
      <c r="H814" s="29" t="str">
        <f>IF(Analysis!$I814="","",IF(Analysis!$I814="Drifting",Analysis!$C814,""))</f>
        <v/>
      </c>
      <c r="I814" s="29" t="str">
        <f>IF(Analysis!$I814="","",IF(Analysis!$I814="Embedded",Analysis!$F814,""))</f>
        <v/>
      </c>
      <c r="J814" s="29" t="str">
        <f>IF(Analysis!$I814="","",IF(Analysis!$I814="Loyal but shallow",Analysis!$F814,""))</f>
        <v/>
      </c>
      <c r="K814" s="29" t="str">
        <f>IF(Analysis!$I814="","",IF(Analysis!$I814="Project-driven",Analysis!$F814,""))</f>
        <v/>
      </c>
      <c r="L814" s="29" t="str">
        <f>IF(Analysis!$I814="","",IF(Analysis!$I814="Drifting",Analysis!$F814,""))</f>
        <v/>
      </c>
      <c r="M814" s="29" t="str">
        <f>IF(Analysis!$I814="","",IF(Analysis!$I814="Embedded",Analysis!$H814,""))</f>
        <v/>
      </c>
      <c r="N814" s="29" t="str">
        <f>IF(Analysis!$I814="","",IF(Analysis!$I814="Loyal but shallow",Analysis!$H814,""))</f>
        <v/>
      </c>
      <c r="O814" s="29" t="str">
        <f>IF(Analysis!$I814="","",IF(Analysis!$I814="Project-driven",Analysis!$H814,""))</f>
        <v/>
      </c>
      <c r="P814" s="29" t="str">
        <f>IF(Analysis!$I814="","",IF(Analysis!$I814="Drifting",Analysis!$H814,""))</f>
        <v/>
      </c>
    </row>
    <row r="815" spans="1:16" x14ac:dyDescent="0.25">
      <c r="A815" s="29" t="str">
        <f>IF(Analysis!$I815="","",IF(Analysis!$I815="Embedded",Analysis!$D815,""))</f>
        <v/>
      </c>
      <c r="B815" s="29" t="str">
        <f>IF(Analysis!$I815="","",IF(Analysis!$I815="Loyal but shallow",Analysis!$D815,""))</f>
        <v/>
      </c>
      <c r="C815" s="29" t="str">
        <f>IF(Analysis!$I815="","",IF(Analysis!$I815="Project-driven",Analysis!$D815,""))</f>
        <v/>
      </c>
      <c r="D815" s="29" t="str">
        <f>IF(Analysis!$I815="","",IF(Analysis!$I815="Drifting",Analysis!$D815,""))</f>
        <v/>
      </c>
      <c r="E815" s="29" t="str">
        <f>IF(Analysis!$I815="","",IF(Analysis!$I815="Embedded",Analysis!$C815,""))</f>
        <v/>
      </c>
      <c r="F815" s="29" t="str">
        <f>IF(Analysis!$I815="","",IF(Analysis!$I815="Loyal but shallow",Analysis!$C815,""))</f>
        <v/>
      </c>
      <c r="G815" s="29" t="str">
        <f>IF(Analysis!$I815="","",IF(Analysis!$I815="Project-driven",Analysis!$C815,""))</f>
        <v/>
      </c>
      <c r="H815" s="29" t="str">
        <f>IF(Analysis!$I815="","",IF(Analysis!$I815="Drifting",Analysis!$C815,""))</f>
        <v/>
      </c>
      <c r="I815" s="29" t="str">
        <f>IF(Analysis!$I815="","",IF(Analysis!$I815="Embedded",Analysis!$F815,""))</f>
        <v/>
      </c>
      <c r="J815" s="29" t="str">
        <f>IF(Analysis!$I815="","",IF(Analysis!$I815="Loyal but shallow",Analysis!$F815,""))</f>
        <v/>
      </c>
      <c r="K815" s="29" t="str">
        <f>IF(Analysis!$I815="","",IF(Analysis!$I815="Project-driven",Analysis!$F815,""))</f>
        <v/>
      </c>
      <c r="L815" s="29" t="str">
        <f>IF(Analysis!$I815="","",IF(Analysis!$I815="Drifting",Analysis!$F815,""))</f>
        <v/>
      </c>
      <c r="M815" s="29" t="str">
        <f>IF(Analysis!$I815="","",IF(Analysis!$I815="Embedded",Analysis!$H815,""))</f>
        <v/>
      </c>
      <c r="N815" s="29" t="str">
        <f>IF(Analysis!$I815="","",IF(Analysis!$I815="Loyal but shallow",Analysis!$H815,""))</f>
        <v/>
      </c>
      <c r="O815" s="29" t="str">
        <f>IF(Analysis!$I815="","",IF(Analysis!$I815="Project-driven",Analysis!$H815,""))</f>
        <v/>
      </c>
      <c r="P815" s="29" t="str">
        <f>IF(Analysis!$I815="","",IF(Analysis!$I815="Drifting",Analysis!$H815,""))</f>
        <v/>
      </c>
    </row>
    <row r="816" spans="1:16" x14ac:dyDescent="0.25">
      <c r="A816" s="29" t="str">
        <f>IF(Analysis!$I816="","",IF(Analysis!$I816="Embedded",Analysis!$D816,""))</f>
        <v/>
      </c>
      <c r="B816" s="29" t="str">
        <f>IF(Analysis!$I816="","",IF(Analysis!$I816="Loyal but shallow",Analysis!$D816,""))</f>
        <v/>
      </c>
      <c r="C816" s="29" t="str">
        <f>IF(Analysis!$I816="","",IF(Analysis!$I816="Project-driven",Analysis!$D816,""))</f>
        <v/>
      </c>
      <c r="D816" s="29" t="str">
        <f>IF(Analysis!$I816="","",IF(Analysis!$I816="Drifting",Analysis!$D816,""))</f>
        <v/>
      </c>
      <c r="E816" s="29" t="str">
        <f>IF(Analysis!$I816="","",IF(Analysis!$I816="Embedded",Analysis!$C816,""))</f>
        <v/>
      </c>
      <c r="F816" s="29" t="str">
        <f>IF(Analysis!$I816="","",IF(Analysis!$I816="Loyal but shallow",Analysis!$C816,""))</f>
        <v/>
      </c>
      <c r="G816" s="29" t="str">
        <f>IF(Analysis!$I816="","",IF(Analysis!$I816="Project-driven",Analysis!$C816,""))</f>
        <v/>
      </c>
      <c r="H816" s="29" t="str">
        <f>IF(Analysis!$I816="","",IF(Analysis!$I816="Drifting",Analysis!$C816,""))</f>
        <v/>
      </c>
      <c r="I816" s="29" t="str">
        <f>IF(Analysis!$I816="","",IF(Analysis!$I816="Embedded",Analysis!$F816,""))</f>
        <v/>
      </c>
      <c r="J816" s="29" t="str">
        <f>IF(Analysis!$I816="","",IF(Analysis!$I816="Loyal but shallow",Analysis!$F816,""))</f>
        <v/>
      </c>
      <c r="K816" s="29" t="str">
        <f>IF(Analysis!$I816="","",IF(Analysis!$I816="Project-driven",Analysis!$F816,""))</f>
        <v/>
      </c>
      <c r="L816" s="29" t="str">
        <f>IF(Analysis!$I816="","",IF(Analysis!$I816="Drifting",Analysis!$F816,""))</f>
        <v/>
      </c>
      <c r="M816" s="29" t="str">
        <f>IF(Analysis!$I816="","",IF(Analysis!$I816="Embedded",Analysis!$H816,""))</f>
        <v/>
      </c>
      <c r="N816" s="29" t="str">
        <f>IF(Analysis!$I816="","",IF(Analysis!$I816="Loyal but shallow",Analysis!$H816,""))</f>
        <v/>
      </c>
      <c r="O816" s="29" t="str">
        <f>IF(Analysis!$I816="","",IF(Analysis!$I816="Project-driven",Analysis!$H816,""))</f>
        <v/>
      </c>
      <c r="P816" s="29" t="str">
        <f>IF(Analysis!$I816="","",IF(Analysis!$I816="Drifting",Analysis!$H816,""))</f>
        <v/>
      </c>
    </row>
    <row r="817" spans="1:16" x14ac:dyDescent="0.25">
      <c r="A817" s="29" t="str">
        <f>IF(Analysis!$I817="","",IF(Analysis!$I817="Embedded",Analysis!$D817,""))</f>
        <v/>
      </c>
      <c r="B817" s="29" t="str">
        <f>IF(Analysis!$I817="","",IF(Analysis!$I817="Loyal but shallow",Analysis!$D817,""))</f>
        <v/>
      </c>
      <c r="C817" s="29" t="str">
        <f>IF(Analysis!$I817="","",IF(Analysis!$I817="Project-driven",Analysis!$D817,""))</f>
        <v/>
      </c>
      <c r="D817" s="29" t="str">
        <f>IF(Analysis!$I817="","",IF(Analysis!$I817="Drifting",Analysis!$D817,""))</f>
        <v/>
      </c>
      <c r="E817" s="29" t="str">
        <f>IF(Analysis!$I817="","",IF(Analysis!$I817="Embedded",Analysis!$C817,""))</f>
        <v/>
      </c>
      <c r="F817" s="29" t="str">
        <f>IF(Analysis!$I817="","",IF(Analysis!$I817="Loyal but shallow",Analysis!$C817,""))</f>
        <v/>
      </c>
      <c r="G817" s="29" t="str">
        <f>IF(Analysis!$I817="","",IF(Analysis!$I817="Project-driven",Analysis!$C817,""))</f>
        <v/>
      </c>
      <c r="H817" s="29" t="str">
        <f>IF(Analysis!$I817="","",IF(Analysis!$I817="Drifting",Analysis!$C817,""))</f>
        <v/>
      </c>
      <c r="I817" s="29" t="str">
        <f>IF(Analysis!$I817="","",IF(Analysis!$I817="Embedded",Analysis!$F817,""))</f>
        <v/>
      </c>
      <c r="J817" s="29" t="str">
        <f>IF(Analysis!$I817="","",IF(Analysis!$I817="Loyal but shallow",Analysis!$F817,""))</f>
        <v/>
      </c>
      <c r="K817" s="29" t="str">
        <f>IF(Analysis!$I817="","",IF(Analysis!$I817="Project-driven",Analysis!$F817,""))</f>
        <v/>
      </c>
      <c r="L817" s="29" t="str">
        <f>IF(Analysis!$I817="","",IF(Analysis!$I817="Drifting",Analysis!$F817,""))</f>
        <v/>
      </c>
      <c r="M817" s="29" t="str">
        <f>IF(Analysis!$I817="","",IF(Analysis!$I817="Embedded",Analysis!$H817,""))</f>
        <v/>
      </c>
      <c r="N817" s="29" t="str">
        <f>IF(Analysis!$I817="","",IF(Analysis!$I817="Loyal but shallow",Analysis!$H817,""))</f>
        <v/>
      </c>
      <c r="O817" s="29" t="str">
        <f>IF(Analysis!$I817="","",IF(Analysis!$I817="Project-driven",Analysis!$H817,""))</f>
        <v/>
      </c>
      <c r="P817" s="29" t="str">
        <f>IF(Analysis!$I817="","",IF(Analysis!$I817="Drifting",Analysis!$H817,""))</f>
        <v/>
      </c>
    </row>
    <row r="818" spans="1:16" x14ac:dyDescent="0.25">
      <c r="A818" s="29" t="str">
        <f>IF(Analysis!$I818="","",IF(Analysis!$I818="Embedded",Analysis!$D818,""))</f>
        <v/>
      </c>
      <c r="B818" s="29" t="str">
        <f>IF(Analysis!$I818="","",IF(Analysis!$I818="Loyal but shallow",Analysis!$D818,""))</f>
        <v/>
      </c>
      <c r="C818" s="29" t="str">
        <f>IF(Analysis!$I818="","",IF(Analysis!$I818="Project-driven",Analysis!$D818,""))</f>
        <v/>
      </c>
      <c r="D818" s="29" t="str">
        <f>IF(Analysis!$I818="","",IF(Analysis!$I818="Drifting",Analysis!$D818,""))</f>
        <v/>
      </c>
      <c r="E818" s="29" t="str">
        <f>IF(Analysis!$I818="","",IF(Analysis!$I818="Embedded",Analysis!$C818,""))</f>
        <v/>
      </c>
      <c r="F818" s="29" t="str">
        <f>IF(Analysis!$I818="","",IF(Analysis!$I818="Loyal but shallow",Analysis!$C818,""))</f>
        <v/>
      </c>
      <c r="G818" s="29" t="str">
        <f>IF(Analysis!$I818="","",IF(Analysis!$I818="Project-driven",Analysis!$C818,""))</f>
        <v/>
      </c>
      <c r="H818" s="29" t="str">
        <f>IF(Analysis!$I818="","",IF(Analysis!$I818="Drifting",Analysis!$C818,""))</f>
        <v/>
      </c>
      <c r="I818" s="29" t="str">
        <f>IF(Analysis!$I818="","",IF(Analysis!$I818="Embedded",Analysis!$F818,""))</f>
        <v/>
      </c>
      <c r="J818" s="29" t="str">
        <f>IF(Analysis!$I818="","",IF(Analysis!$I818="Loyal but shallow",Analysis!$F818,""))</f>
        <v/>
      </c>
      <c r="K818" s="29" t="str">
        <f>IF(Analysis!$I818="","",IF(Analysis!$I818="Project-driven",Analysis!$F818,""))</f>
        <v/>
      </c>
      <c r="L818" s="29" t="str">
        <f>IF(Analysis!$I818="","",IF(Analysis!$I818="Drifting",Analysis!$F818,""))</f>
        <v/>
      </c>
      <c r="M818" s="29" t="str">
        <f>IF(Analysis!$I818="","",IF(Analysis!$I818="Embedded",Analysis!$H818,""))</f>
        <v/>
      </c>
      <c r="N818" s="29" t="str">
        <f>IF(Analysis!$I818="","",IF(Analysis!$I818="Loyal but shallow",Analysis!$H818,""))</f>
        <v/>
      </c>
      <c r="O818" s="29" t="str">
        <f>IF(Analysis!$I818="","",IF(Analysis!$I818="Project-driven",Analysis!$H818,""))</f>
        <v/>
      </c>
      <c r="P818" s="29" t="str">
        <f>IF(Analysis!$I818="","",IF(Analysis!$I818="Drifting",Analysis!$H818,""))</f>
        <v/>
      </c>
    </row>
    <row r="819" spans="1:16" x14ac:dyDescent="0.25">
      <c r="A819" s="29" t="str">
        <f>IF(Analysis!$I819="","",IF(Analysis!$I819="Embedded",Analysis!$D819,""))</f>
        <v/>
      </c>
      <c r="B819" s="29" t="str">
        <f>IF(Analysis!$I819="","",IF(Analysis!$I819="Loyal but shallow",Analysis!$D819,""))</f>
        <v/>
      </c>
      <c r="C819" s="29" t="str">
        <f>IF(Analysis!$I819="","",IF(Analysis!$I819="Project-driven",Analysis!$D819,""))</f>
        <v/>
      </c>
      <c r="D819" s="29" t="str">
        <f>IF(Analysis!$I819="","",IF(Analysis!$I819="Drifting",Analysis!$D819,""))</f>
        <v/>
      </c>
      <c r="E819" s="29" t="str">
        <f>IF(Analysis!$I819="","",IF(Analysis!$I819="Embedded",Analysis!$C819,""))</f>
        <v/>
      </c>
      <c r="F819" s="29" t="str">
        <f>IF(Analysis!$I819="","",IF(Analysis!$I819="Loyal but shallow",Analysis!$C819,""))</f>
        <v/>
      </c>
      <c r="G819" s="29" t="str">
        <f>IF(Analysis!$I819="","",IF(Analysis!$I819="Project-driven",Analysis!$C819,""))</f>
        <v/>
      </c>
      <c r="H819" s="29" t="str">
        <f>IF(Analysis!$I819="","",IF(Analysis!$I819="Drifting",Analysis!$C819,""))</f>
        <v/>
      </c>
      <c r="I819" s="29" t="str">
        <f>IF(Analysis!$I819="","",IF(Analysis!$I819="Embedded",Analysis!$F819,""))</f>
        <v/>
      </c>
      <c r="J819" s="29" t="str">
        <f>IF(Analysis!$I819="","",IF(Analysis!$I819="Loyal but shallow",Analysis!$F819,""))</f>
        <v/>
      </c>
      <c r="K819" s="29" t="str">
        <f>IF(Analysis!$I819="","",IF(Analysis!$I819="Project-driven",Analysis!$F819,""))</f>
        <v/>
      </c>
      <c r="L819" s="29" t="str">
        <f>IF(Analysis!$I819="","",IF(Analysis!$I819="Drifting",Analysis!$F819,""))</f>
        <v/>
      </c>
      <c r="M819" s="29" t="str">
        <f>IF(Analysis!$I819="","",IF(Analysis!$I819="Embedded",Analysis!$H819,""))</f>
        <v/>
      </c>
      <c r="N819" s="29" t="str">
        <f>IF(Analysis!$I819="","",IF(Analysis!$I819="Loyal but shallow",Analysis!$H819,""))</f>
        <v/>
      </c>
      <c r="O819" s="29" t="str">
        <f>IF(Analysis!$I819="","",IF(Analysis!$I819="Project-driven",Analysis!$H819,""))</f>
        <v/>
      </c>
      <c r="P819" s="29" t="str">
        <f>IF(Analysis!$I819="","",IF(Analysis!$I819="Drifting",Analysis!$H819,""))</f>
        <v/>
      </c>
    </row>
    <row r="820" spans="1:16" x14ac:dyDescent="0.25">
      <c r="A820" s="29" t="str">
        <f>IF(Analysis!$I820="","",IF(Analysis!$I820="Embedded",Analysis!$D820,""))</f>
        <v/>
      </c>
      <c r="B820" s="29" t="str">
        <f>IF(Analysis!$I820="","",IF(Analysis!$I820="Loyal but shallow",Analysis!$D820,""))</f>
        <v/>
      </c>
      <c r="C820" s="29" t="str">
        <f>IF(Analysis!$I820="","",IF(Analysis!$I820="Project-driven",Analysis!$D820,""))</f>
        <v/>
      </c>
      <c r="D820" s="29" t="str">
        <f>IF(Analysis!$I820="","",IF(Analysis!$I820="Drifting",Analysis!$D820,""))</f>
        <v/>
      </c>
      <c r="E820" s="29" t="str">
        <f>IF(Analysis!$I820="","",IF(Analysis!$I820="Embedded",Analysis!$C820,""))</f>
        <v/>
      </c>
      <c r="F820" s="29" t="str">
        <f>IF(Analysis!$I820="","",IF(Analysis!$I820="Loyal but shallow",Analysis!$C820,""))</f>
        <v/>
      </c>
      <c r="G820" s="29" t="str">
        <f>IF(Analysis!$I820="","",IF(Analysis!$I820="Project-driven",Analysis!$C820,""))</f>
        <v/>
      </c>
      <c r="H820" s="29" t="str">
        <f>IF(Analysis!$I820="","",IF(Analysis!$I820="Drifting",Analysis!$C820,""))</f>
        <v/>
      </c>
      <c r="I820" s="29" t="str">
        <f>IF(Analysis!$I820="","",IF(Analysis!$I820="Embedded",Analysis!$F820,""))</f>
        <v/>
      </c>
      <c r="J820" s="29" t="str">
        <f>IF(Analysis!$I820="","",IF(Analysis!$I820="Loyal but shallow",Analysis!$F820,""))</f>
        <v/>
      </c>
      <c r="K820" s="29" t="str">
        <f>IF(Analysis!$I820="","",IF(Analysis!$I820="Project-driven",Analysis!$F820,""))</f>
        <v/>
      </c>
      <c r="L820" s="29" t="str">
        <f>IF(Analysis!$I820="","",IF(Analysis!$I820="Drifting",Analysis!$F820,""))</f>
        <v/>
      </c>
      <c r="M820" s="29" t="str">
        <f>IF(Analysis!$I820="","",IF(Analysis!$I820="Embedded",Analysis!$H820,""))</f>
        <v/>
      </c>
      <c r="N820" s="29" t="str">
        <f>IF(Analysis!$I820="","",IF(Analysis!$I820="Loyal but shallow",Analysis!$H820,""))</f>
        <v/>
      </c>
      <c r="O820" s="29" t="str">
        <f>IF(Analysis!$I820="","",IF(Analysis!$I820="Project-driven",Analysis!$H820,""))</f>
        <v/>
      </c>
      <c r="P820" s="29" t="str">
        <f>IF(Analysis!$I820="","",IF(Analysis!$I820="Drifting",Analysis!$H820,""))</f>
        <v/>
      </c>
    </row>
    <row r="821" spans="1:16" x14ac:dyDescent="0.25">
      <c r="A821" s="29" t="str">
        <f>IF(Analysis!$I821="","",IF(Analysis!$I821="Embedded",Analysis!$D821,""))</f>
        <v/>
      </c>
      <c r="B821" s="29" t="str">
        <f>IF(Analysis!$I821="","",IF(Analysis!$I821="Loyal but shallow",Analysis!$D821,""))</f>
        <v/>
      </c>
      <c r="C821" s="29" t="str">
        <f>IF(Analysis!$I821="","",IF(Analysis!$I821="Project-driven",Analysis!$D821,""))</f>
        <v/>
      </c>
      <c r="D821" s="29" t="str">
        <f>IF(Analysis!$I821="","",IF(Analysis!$I821="Drifting",Analysis!$D821,""))</f>
        <v/>
      </c>
      <c r="E821" s="29" t="str">
        <f>IF(Analysis!$I821="","",IF(Analysis!$I821="Embedded",Analysis!$C821,""))</f>
        <v/>
      </c>
      <c r="F821" s="29" t="str">
        <f>IF(Analysis!$I821="","",IF(Analysis!$I821="Loyal but shallow",Analysis!$C821,""))</f>
        <v/>
      </c>
      <c r="G821" s="29" t="str">
        <f>IF(Analysis!$I821="","",IF(Analysis!$I821="Project-driven",Analysis!$C821,""))</f>
        <v/>
      </c>
      <c r="H821" s="29" t="str">
        <f>IF(Analysis!$I821="","",IF(Analysis!$I821="Drifting",Analysis!$C821,""))</f>
        <v/>
      </c>
      <c r="I821" s="29" t="str">
        <f>IF(Analysis!$I821="","",IF(Analysis!$I821="Embedded",Analysis!$F821,""))</f>
        <v/>
      </c>
      <c r="J821" s="29" t="str">
        <f>IF(Analysis!$I821="","",IF(Analysis!$I821="Loyal but shallow",Analysis!$F821,""))</f>
        <v/>
      </c>
      <c r="K821" s="29" t="str">
        <f>IF(Analysis!$I821="","",IF(Analysis!$I821="Project-driven",Analysis!$F821,""))</f>
        <v/>
      </c>
      <c r="L821" s="29" t="str">
        <f>IF(Analysis!$I821="","",IF(Analysis!$I821="Drifting",Analysis!$F821,""))</f>
        <v/>
      </c>
      <c r="M821" s="29" t="str">
        <f>IF(Analysis!$I821="","",IF(Analysis!$I821="Embedded",Analysis!$H821,""))</f>
        <v/>
      </c>
      <c r="N821" s="29" t="str">
        <f>IF(Analysis!$I821="","",IF(Analysis!$I821="Loyal but shallow",Analysis!$H821,""))</f>
        <v/>
      </c>
      <c r="O821" s="29" t="str">
        <f>IF(Analysis!$I821="","",IF(Analysis!$I821="Project-driven",Analysis!$H821,""))</f>
        <v/>
      </c>
      <c r="P821" s="29" t="str">
        <f>IF(Analysis!$I821="","",IF(Analysis!$I821="Drifting",Analysis!$H821,""))</f>
        <v/>
      </c>
    </row>
    <row r="822" spans="1:16" x14ac:dyDescent="0.25">
      <c r="A822" s="29" t="str">
        <f>IF(Analysis!$I822="","",IF(Analysis!$I822="Embedded",Analysis!$D822,""))</f>
        <v/>
      </c>
      <c r="B822" s="29" t="str">
        <f>IF(Analysis!$I822="","",IF(Analysis!$I822="Loyal but shallow",Analysis!$D822,""))</f>
        <v/>
      </c>
      <c r="C822" s="29" t="str">
        <f>IF(Analysis!$I822="","",IF(Analysis!$I822="Project-driven",Analysis!$D822,""))</f>
        <v/>
      </c>
      <c r="D822" s="29" t="str">
        <f>IF(Analysis!$I822="","",IF(Analysis!$I822="Drifting",Analysis!$D822,""))</f>
        <v/>
      </c>
      <c r="E822" s="29" t="str">
        <f>IF(Analysis!$I822="","",IF(Analysis!$I822="Embedded",Analysis!$C822,""))</f>
        <v/>
      </c>
      <c r="F822" s="29" t="str">
        <f>IF(Analysis!$I822="","",IF(Analysis!$I822="Loyal but shallow",Analysis!$C822,""))</f>
        <v/>
      </c>
      <c r="G822" s="29" t="str">
        <f>IF(Analysis!$I822="","",IF(Analysis!$I822="Project-driven",Analysis!$C822,""))</f>
        <v/>
      </c>
      <c r="H822" s="29" t="str">
        <f>IF(Analysis!$I822="","",IF(Analysis!$I822="Drifting",Analysis!$C822,""))</f>
        <v/>
      </c>
      <c r="I822" s="29" t="str">
        <f>IF(Analysis!$I822="","",IF(Analysis!$I822="Embedded",Analysis!$F822,""))</f>
        <v/>
      </c>
      <c r="J822" s="29" t="str">
        <f>IF(Analysis!$I822="","",IF(Analysis!$I822="Loyal but shallow",Analysis!$F822,""))</f>
        <v/>
      </c>
      <c r="K822" s="29" t="str">
        <f>IF(Analysis!$I822="","",IF(Analysis!$I822="Project-driven",Analysis!$F822,""))</f>
        <v/>
      </c>
      <c r="L822" s="29" t="str">
        <f>IF(Analysis!$I822="","",IF(Analysis!$I822="Drifting",Analysis!$F822,""))</f>
        <v/>
      </c>
      <c r="M822" s="29" t="str">
        <f>IF(Analysis!$I822="","",IF(Analysis!$I822="Embedded",Analysis!$H822,""))</f>
        <v/>
      </c>
      <c r="N822" s="29" t="str">
        <f>IF(Analysis!$I822="","",IF(Analysis!$I822="Loyal but shallow",Analysis!$H822,""))</f>
        <v/>
      </c>
      <c r="O822" s="29" t="str">
        <f>IF(Analysis!$I822="","",IF(Analysis!$I822="Project-driven",Analysis!$H822,""))</f>
        <v/>
      </c>
      <c r="P822" s="29" t="str">
        <f>IF(Analysis!$I822="","",IF(Analysis!$I822="Drifting",Analysis!$H822,""))</f>
        <v/>
      </c>
    </row>
    <row r="823" spans="1:16" x14ac:dyDescent="0.25">
      <c r="A823" s="29" t="str">
        <f>IF(Analysis!$I823="","",IF(Analysis!$I823="Embedded",Analysis!$D823,""))</f>
        <v/>
      </c>
      <c r="B823" s="29" t="str">
        <f>IF(Analysis!$I823="","",IF(Analysis!$I823="Loyal but shallow",Analysis!$D823,""))</f>
        <v/>
      </c>
      <c r="C823" s="29" t="str">
        <f>IF(Analysis!$I823="","",IF(Analysis!$I823="Project-driven",Analysis!$D823,""))</f>
        <v/>
      </c>
      <c r="D823" s="29" t="str">
        <f>IF(Analysis!$I823="","",IF(Analysis!$I823="Drifting",Analysis!$D823,""))</f>
        <v/>
      </c>
      <c r="E823" s="29" t="str">
        <f>IF(Analysis!$I823="","",IF(Analysis!$I823="Embedded",Analysis!$C823,""))</f>
        <v/>
      </c>
      <c r="F823" s="29" t="str">
        <f>IF(Analysis!$I823="","",IF(Analysis!$I823="Loyal but shallow",Analysis!$C823,""))</f>
        <v/>
      </c>
      <c r="G823" s="29" t="str">
        <f>IF(Analysis!$I823="","",IF(Analysis!$I823="Project-driven",Analysis!$C823,""))</f>
        <v/>
      </c>
      <c r="H823" s="29" t="str">
        <f>IF(Analysis!$I823="","",IF(Analysis!$I823="Drifting",Analysis!$C823,""))</f>
        <v/>
      </c>
      <c r="I823" s="29" t="str">
        <f>IF(Analysis!$I823="","",IF(Analysis!$I823="Embedded",Analysis!$F823,""))</f>
        <v/>
      </c>
      <c r="J823" s="29" t="str">
        <f>IF(Analysis!$I823="","",IF(Analysis!$I823="Loyal but shallow",Analysis!$F823,""))</f>
        <v/>
      </c>
      <c r="K823" s="29" t="str">
        <f>IF(Analysis!$I823="","",IF(Analysis!$I823="Project-driven",Analysis!$F823,""))</f>
        <v/>
      </c>
      <c r="L823" s="29" t="str">
        <f>IF(Analysis!$I823="","",IF(Analysis!$I823="Drifting",Analysis!$F823,""))</f>
        <v/>
      </c>
      <c r="M823" s="29" t="str">
        <f>IF(Analysis!$I823="","",IF(Analysis!$I823="Embedded",Analysis!$H823,""))</f>
        <v/>
      </c>
      <c r="N823" s="29" t="str">
        <f>IF(Analysis!$I823="","",IF(Analysis!$I823="Loyal but shallow",Analysis!$H823,""))</f>
        <v/>
      </c>
      <c r="O823" s="29" t="str">
        <f>IF(Analysis!$I823="","",IF(Analysis!$I823="Project-driven",Analysis!$H823,""))</f>
        <v/>
      </c>
      <c r="P823" s="29" t="str">
        <f>IF(Analysis!$I823="","",IF(Analysis!$I823="Drifting",Analysis!$H823,""))</f>
        <v/>
      </c>
    </row>
    <row r="824" spans="1:16" x14ac:dyDescent="0.25">
      <c r="A824" s="29" t="str">
        <f>IF(Analysis!$I824="","",IF(Analysis!$I824="Embedded",Analysis!$D824,""))</f>
        <v/>
      </c>
      <c r="B824" s="29" t="str">
        <f>IF(Analysis!$I824="","",IF(Analysis!$I824="Loyal but shallow",Analysis!$D824,""))</f>
        <v/>
      </c>
      <c r="C824" s="29" t="str">
        <f>IF(Analysis!$I824="","",IF(Analysis!$I824="Project-driven",Analysis!$D824,""))</f>
        <v/>
      </c>
      <c r="D824" s="29" t="str">
        <f>IF(Analysis!$I824="","",IF(Analysis!$I824="Drifting",Analysis!$D824,""))</f>
        <v/>
      </c>
      <c r="E824" s="29" t="str">
        <f>IF(Analysis!$I824="","",IF(Analysis!$I824="Embedded",Analysis!$C824,""))</f>
        <v/>
      </c>
      <c r="F824" s="29" t="str">
        <f>IF(Analysis!$I824="","",IF(Analysis!$I824="Loyal but shallow",Analysis!$C824,""))</f>
        <v/>
      </c>
      <c r="G824" s="29" t="str">
        <f>IF(Analysis!$I824="","",IF(Analysis!$I824="Project-driven",Analysis!$C824,""))</f>
        <v/>
      </c>
      <c r="H824" s="29" t="str">
        <f>IF(Analysis!$I824="","",IF(Analysis!$I824="Drifting",Analysis!$C824,""))</f>
        <v/>
      </c>
      <c r="I824" s="29" t="str">
        <f>IF(Analysis!$I824="","",IF(Analysis!$I824="Embedded",Analysis!$F824,""))</f>
        <v/>
      </c>
      <c r="J824" s="29" t="str">
        <f>IF(Analysis!$I824="","",IF(Analysis!$I824="Loyal but shallow",Analysis!$F824,""))</f>
        <v/>
      </c>
      <c r="K824" s="29" t="str">
        <f>IF(Analysis!$I824="","",IF(Analysis!$I824="Project-driven",Analysis!$F824,""))</f>
        <v/>
      </c>
      <c r="L824" s="29" t="str">
        <f>IF(Analysis!$I824="","",IF(Analysis!$I824="Drifting",Analysis!$F824,""))</f>
        <v/>
      </c>
      <c r="M824" s="29" t="str">
        <f>IF(Analysis!$I824="","",IF(Analysis!$I824="Embedded",Analysis!$H824,""))</f>
        <v/>
      </c>
      <c r="N824" s="29" t="str">
        <f>IF(Analysis!$I824="","",IF(Analysis!$I824="Loyal but shallow",Analysis!$H824,""))</f>
        <v/>
      </c>
      <c r="O824" s="29" t="str">
        <f>IF(Analysis!$I824="","",IF(Analysis!$I824="Project-driven",Analysis!$H824,""))</f>
        <v/>
      </c>
      <c r="P824" s="29" t="str">
        <f>IF(Analysis!$I824="","",IF(Analysis!$I824="Drifting",Analysis!$H824,""))</f>
        <v/>
      </c>
    </row>
    <row r="825" spans="1:16" x14ac:dyDescent="0.25">
      <c r="A825" s="29" t="str">
        <f>IF(Analysis!$I825="","",IF(Analysis!$I825="Embedded",Analysis!$D825,""))</f>
        <v/>
      </c>
      <c r="B825" s="29" t="str">
        <f>IF(Analysis!$I825="","",IF(Analysis!$I825="Loyal but shallow",Analysis!$D825,""))</f>
        <v/>
      </c>
      <c r="C825" s="29" t="str">
        <f>IF(Analysis!$I825="","",IF(Analysis!$I825="Project-driven",Analysis!$D825,""))</f>
        <v/>
      </c>
      <c r="D825" s="29" t="str">
        <f>IF(Analysis!$I825="","",IF(Analysis!$I825="Drifting",Analysis!$D825,""))</f>
        <v/>
      </c>
      <c r="E825" s="29" t="str">
        <f>IF(Analysis!$I825="","",IF(Analysis!$I825="Embedded",Analysis!$C825,""))</f>
        <v/>
      </c>
      <c r="F825" s="29" t="str">
        <f>IF(Analysis!$I825="","",IF(Analysis!$I825="Loyal but shallow",Analysis!$C825,""))</f>
        <v/>
      </c>
      <c r="G825" s="29" t="str">
        <f>IF(Analysis!$I825="","",IF(Analysis!$I825="Project-driven",Analysis!$C825,""))</f>
        <v/>
      </c>
      <c r="H825" s="29" t="str">
        <f>IF(Analysis!$I825="","",IF(Analysis!$I825="Drifting",Analysis!$C825,""))</f>
        <v/>
      </c>
      <c r="I825" s="29" t="str">
        <f>IF(Analysis!$I825="","",IF(Analysis!$I825="Embedded",Analysis!$F825,""))</f>
        <v/>
      </c>
      <c r="J825" s="29" t="str">
        <f>IF(Analysis!$I825="","",IF(Analysis!$I825="Loyal but shallow",Analysis!$F825,""))</f>
        <v/>
      </c>
      <c r="K825" s="29" t="str">
        <f>IF(Analysis!$I825="","",IF(Analysis!$I825="Project-driven",Analysis!$F825,""))</f>
        <v/>
      </c>
      <c r="L825" s="29" t="str">
        <f>IF(Analysis!$I825="","",IF(Analysis!$I825="Drifting",Analysis!$F825,""))</f>
        <v/>
      </c>
      <c r="M825" s="29" t="str">
        <f>IF(Analysis!$I825="","",IF(Analysis!$I825="Embedded",Analysis!$H825,""))</f>
        <v/>
      </c>
      <c r="N825" s="29" t="str">
        <f>IF(Analysis!$I825="","",IF(Analysis!$I825="Loyal but shallow",Analysis!$H825,""))</f>
        <v/>
      </c>
      <c r="O825" s="29" t="str">
        <f>IF(Analysis!$I825="","",IF(Analysis!$I825="Project-driven",Analysis!$H825,""))</f>
        <v/>
      </c>
      <c r="P825" s="29" t="str">
        <f>IF(Analysis!$I825="","",IF(Analysis!$I825="Drifting",Analysis!$H825,""))</f>
        <v/>
      </c>
    </row>
    <row r="826" spans="1:16" x14ac:dyDescent="0.25">
      <c r="A826" s="29" t="str">
        <f>IF(Analysis!$I826="","",IF(Analysis!$I826="Embedded",Analysis!$D826,""))</f>
        <v/>
      </c>
      <c r="B826" s="29" t="str">
        <f>IF(Analysis!$I826="","",IF(Analysis!$I826="Loyal but shallow",Analysis!$D826,""))</f>
        <v/>
      </c>
      <c r="C826" s="29" t="str">
        <f>IF(Analysis!$I826="","",IF(Analysis!$I826="Project-driven",Analysis!$D826,""))</f>
        <v/>
      </c>
      <c r="D826" s="29" t="str">
        <f>IF(Analysis!$I826="","",IF(Analysis!$I826="Drifting",Analysis!$D826,""))</f>
        <v/>
      </c>
      <c r="E826" s="29" t="str">
        <f>IF(Analysis!$I826="","",IF(Analysis!$I826="Embedded",Analysis!$C826,""))</f>
        <v/>
      </c>
      <c r="F826" s="29" t="str">
        <f>IF(Analysis!$I826="","",IF(Analysis!$I826="Loyal but shallow",Analysis!$C826,""))</f>
        <v/>
      </c>
      <c r="G826" s="29" t="str">
        <f>IF(Analysis!$I826="","",IF(Analysis!$I826="Project-driven",Analysis!$C826,""))</f>
        <v/>
      </c>
      <c r="H826" s="29" t="str">
        <f>IF(Analysis!$I826="","",IF(Analysis!$I826="Drifting",Analysis!$C826,""))</f>
        <v/>
      </c>
      <c r="I826" s="29" t="str">
        <f>IF(Analysis!$I826="","",IF(Analysis!$I826="Embedded",Analysis!$F826,""))</f>
        <v/>
      </c>
      <c r="J826" s="29" t="str">
        <f>IF(Analysis!$I826="","",IF(Analysis!$I826="Loyal but shallow",Analysis!$F826,""))</f>
        <v/>
      </c>
      <c r="K826" s="29" t="str">
        <f>IF(Analysis!$I826="","",IF(Analysis!$I826="Project-driven",Analysis!$F826,""))</f>
        <v/>
      </c>
      <c r="L826" s="29" t="str">
        <f>IF(Analysis!$I826="","",IF(Analysis!$I826="Drifting",Analysis!$F826,""))</f>
        <v/>
      </c>
      <c r="M826" s="29" t="str">
        <f>IF(Analysis!$I826="","",IF(Analysis!$I826="Embedded",Analysis!$H826,""))</f>
        <v/>
      </c>
      <c r="N826" s="29" t="str">
        <f>IF(Analysis!$I826="","",IF(Analysis!$I826="Loyal but shallow",Analysis!$H826,""))</f>
        <v/>
      </c>
      <c r="O826" s="29" t="str">
        <f>IF(Analysis!$I826="","",IF(Analysis!$I826="Project-driven",Analysis!$H826,""))</f>
        <v/>
      </c>
      <c r="P826" s="29" t="str">
        <f>IF(Analysis!$I826="","",IF(Analysis!$I826="Drifting",Analysis!$H826,""))</f>
        <v/>
      </c>
    </row>
    <row r="827" spans="1:16" x14ac:dyDescent="0.25">
      <c r="A827" s="29" t="str">
        <f>IF(Analysis!$I827="","",IF(Analysis!$I827="Embedded",Analysis!$D827,""))</f>
        <v/>
      </c>
      <c r="B827" s="29" t="str">
        <f>IF(Analysis!$I827="","",IF(Analysis!$I827="Loyal but shallow",Analysis!$D827,""))</f>
        <v/>
      </c>
      <c r="C827" s="29" t="str">
        <f>IF(Analysis!$I827="","",IF(Analysis!$I827="Project-driven",Analysis!$D827,""))</f>
        <v/>
      </c>
      <c r="D827" s="29" t="str">
        <f>IF(Analysis!$I827="","",IF(Analysis!$I827="Drifting",Analysis!$D827,""))</f>
        <v/>
      </c>
      <c r="E827" s="29" t="str">
        <f>IF(Analysis!$I827="","",IF(Analysis!$I827="Embedded",Analysis!$C827,""))</f>
        <v/>
      </c>
      <c r="F827" s="29" t="str">
        <f>IF(Analysis!$I827="","",IF(Analysis!$I827="Loyal but shallow",Analysis!$C827,""))</f>
        <v/>
      </c>
      <c r="G827" s="29" t="str">
        <f>IF(Analysis!$I827="","",IF(Analysis!$I827="Project-driven",Analysis!$C827,""))</f>
        <v/>
      </c>
      <c r="H827" s="29" t="str">
        <f>IF(Analysis!$I827="","",IF(Analysis!$I827="Drifting",Analysis!$C827,""))</f>
        <v/>
      </c>
      <c r="I827" s="29" t="str">
        <f>IF(Analysis!$I827="","",IF(Analysis!$I827="Embedded",Analysis!$F827,""))</f>
        <v/>
      </c>
      <c r="J827" s="29" t="str">
        <f>IF(Analysis!$I827="","",IF(Analysis!$I827="Loyal but shallow",Analysis!$F827,""))</f>
        <v/>
      </c>
      <c r="K827" s="29" t="str">
        <f>IF(Analysis!$I827="","",IF(Analysis!$I827="Project-driven",Analysis!$F827,""))</f>
        <v/>
      </c>
      <c r="L827" s="29" t="str">
        <f>IF(Analysis!$I827="","",IF(Analysis!$I827="Drifting",Analysis!$F827,""))</f>
        <v/>
      </c>
      <c r="M827" s="29" t="str">
        <f>IF(Analysis!$I827="","",IF(Analysis!$I827="Embedded",Analysis!$H827,""))</f>
        <v/>
      </c>
      <c r="N827" s="29" t="str">
        <f>IF(Analysis!$I827="","",IF(Analysis!$I827="Loyal but shallow",Analysis!$H827,""))</f>
        <v/>
      </c>
      <c r="O827" s="29" t="str">
        <f>IF(Analysis!$I827="","",IF(Analysis!$I827="Project-driven",Analysis!$H827,""))</f>
        <v/>
      </c>
      <c r="P827" s="29" t="str">
        <f>IF(Analysis!$I827="","",IF(Analysis!$I827="Drifting",Analysis!$H827,""))</f>
        <v/>
      </c>
    </row>
    <row r="828" spans="1:16" x14ac:dyDescent="0.25">
      <c r="A828" s="29" t="str">
        <f>IF(Analysis!$I828="","",IF(Analysis!$I828="Embedded",Analysis!$D828,""))</f>
        <v/>
      </c>
      <c r="B828" s="29" t="str">
        <f>IF(Analysis!$I828="","",IF(Analysis!$I828="Loyal but shallow",Analysis!$D828,""))</f>
        <v/>
      </c>
      <c r="C828" s="29" t="str">
        <f>IF(Analysis!$I828="","",IF(Analysis!$I828="Project-driven",Analysis!$D828,""))</f>
        <v/>
      </c>
      <c r="D828" s="29" t="str">
        <f>IF(Analysis!$I828="","",IF(Analysis!$I828="Drifting",Analysis!$D828,""))</f>
        <v/>
      </c>
      <c r="E828" s="29" t="str">
        <f>IF(Analysis!$I828="","",IF(Analysis!$I828="Embedded",Analysis!$C828,""))</f>
        <v/>
      </c>
      <c r="F828" s="29" t="str">
        <f>IF(Analysis!$I828="","",IF(Analysis!$I828="Loyal but shallow",Analysis!$C828,""))</f>
        <v/>
      </c>
      <c r="G828" s="29" t="str">
        <f>IF(Analysis!$I828="","",IF(Analysis!$I828="Project-driven",Analysis!$C828,""))</f>
        <v/>
      </c>
      <c r="H828" s="29" t="str">
        <f>IF(Analysis!$I828="","",IF(Analysis!$I828="Drifting",Analysis!$C828,""))</f>
        <v/>
      </c>
      <c r="I828" s="29" t="str">
        <f>IF(Analysis!$I828="","",IF(Analysis!$I828="Embedded",Analysis!$F828,""))</f>
        <v/>
      </c>
      <c r="J828" s="29" t="str">
        <f>IF(Analysis!$I828="","",IF(Analysis!$I828="Loyal but shallow",Analysis!$F828,""))</f>
        <v/>
      </c>
      <c r="K828" s="29" t="str">
        <f>IF(Analysis!$I828="","",IF(Analysis!$I828="Project-driven",Analysis!$F828,""))</f>
        <v/>
      </c>
      <c r="L828" s="29" t="str">
        <f>IF(Analysis!$I828="","",IF(Analysis!$I828="Drifting",Analysis!$F828,""))</f>
        <v/>
      </c>
      <c r="M828" s="29" t="str">
        <f>IF(Analysis!$I828="","",IF(Analysis!$I828="Embedded",Analysis!$H828,""))</f>
        <v/>
      </c>
      <c r="N828" s="29" t="str">
        <f>IF(Analysis!$I828="","",IF(Analysis!$I828="Loyal but shallow",Analysis!$H828,""))</f>
        <v/>
      </c>
      <c r="O828" s="29" t="str">
        <f>IF(Analysis!$I828="","",IF(Analysis!$I828="Project-driven",Analysis!$H828,""))</f>
        <v/>
      </c>
      <c r="P828" s="29" t="str">
        <f>IF(Analysis!$I828="","",IF(Analysis!$I828="Drifting",Analysis!$H828,""))</f>
        <v/>
      </c>
    </row>
    <row r="829" spans="1:16" x14ac:dyDescent="0.25">
      <c r="A829" s="29" t="str">
        <f>IF(Analysis!$I829="","",IF(Analysis!$I829="Embedded",Analysis!$D829,""))</f>
        <v/>
      </c>
      <c r="B829" s="29" t="str">
        <f>IF(Analysis!$I829="","",IF(Analysis!$I829="Loyal but shallow",Analysis!$D829,""))</f>
        <v/>
      </c>
      <c r="C829" s="29" t="str">
        <f>IF(Analysis!$I829="","",IF(Analysis!$I829="Project-driven",Analysis!$D829,""))</f>
        <v/>
      </c>
      <c r="D829" s="29" t="str">
        <f>IF(Analysis!$I829="","",IF(Analysis!$I829="Drifting",Analysis!$D829,""))</f>
        <v/>
      </c>
      <c r="E829" s="29" t="str">
        <f>IF(Analysis!$I829="","",IF(Analysis!$I829="Embedded",Analysis!$C829,""))</f>
        <v/>
      </c>
      <c r="F829" s="29" t="str">
        <f>IF(Analysis!$I829="","",IF(Analysis!$I829="Loyal but shallow",Analysis!$C829,""))</f>
        <v/>
      </c>
      <c r="G829" s="29" t="str">
        <f>IF(Analysis!$I829="","",IF(Analysis!$I829="Project-driven",Analysis!$C829,""))</f>
        <v/>
      </c>
      <c r="H829" s="29" t="str">
        <f>IF(Analysis!$I829="","",IF(Analysis!$I829="Drifting",Analysis!$C829,""))</f>
        <v/>
      </c>
      <c r="I829" s="29" t="str">
        <f>IF(Analysis!$I829="","",IF(Analysis!$I829="Embedded",Analysis!$F829,""))</f>
        <v/>
      </c>
      <c r="J829" s="29" t="str">
        <f>IF(Analysis!$I829="","",IF(Analysis!$I829="Loyal but shallow",Analysis!$F829,""))</f>
        <v/>
      </c>
      <c r="K829" s="29" t="str">
        <f>IF(Analysis!$I829="","",IF(Analysis!$I829="Project-driven",Analysis!$F829,""))</f>
        <v/>
      </c>
      <c r="L829" s="29" t="str">
        <f>IF(Analysis!$I829="","",IF(Analysis!$I829="Drifting",Analysis!$F829,""))</f>
        <v/>
      </c>
      <c r="M829" s="29" t="str">
        <f>IF(Analysis!$I829="","",IF(Analysis!$I829="Embedded",Analysis!$H829,""))</f>
        <v/>
      </c>
      <c r="N829" s="29" t="str">
        <f>IF(Analysis!$I829="","",IF(Analysis!$I829="Loyal but shallow",Analysis!$H829,""))</f>
        <v/>
      </c>
      <c r="O829" s="29" t="str">
        <f>IF(Analysis!$I829="","",IF(Analysis!$I829="Project-driven",Analysis!$H829,""))</f>
        <v/>
      </c>
      <c r="P829" s="29" t="str">
        <f>IF(Analysis!$I829="","",IF(Analysis!$I829="Drifting",Analysis!$H829,""))</f>
        <v/>
      </c>
    </row>
    <row r="830" spans="1:16" x14ac:dyDescent="0.25">
      <c r="A830" s="29" t="str">
        <f>IF(Analysis!$I830="","",IF(Analysis!$I830="Embedded",Analysis!$D830,""))</f>
        <v/>
      </c>
      <c r="B830" s="29" t="str">
        <f>IF(Analysis!$I830="","",IF(Analysis!$I830="Loyal but shallow",Analysis!$D830,""))</f>
        <v/>
      </c>
      <c r="C830" s="29" t="str">
        <f>IF(Analysis!$I830="","",IF(Analysis!$I830="Project-driven",Analysis!$D830,""))</f>
        <v/>
      </c>
      <c r="D830" s="29" t="str">
        <f>IF(Analysis!$I830="","",IF(Analysis!$I830="Drifting",Analysis!$D830,""))</f>
        <v/>
      </c>
      <c r="E830" s="29" t="str">
        <f>IF(Analysis!$I830="","",IF(Analysis!$I830="Embedded",Analysis!$C830,""))</f>
        <v/>
      </c>
      <c r="F830" s="29" t="str">
        <f>IF(Analysis!$I830="","",IF(Analysis!$I830="Loyal but shallow",Analysis!$C830,""))</f>
        <v/>
      </c>
      <c r="G830" s="29" t="str">
        <f>IF(Analysis!$I830="","",IF(Analysis!$I830="Project-driven",Analysis!$C830,""))</f>
        <v/>
      </c>
      <c r="H830" s="29" t="str">
        <f>IF(Analysis!$I830="","",IF(Analysis!$I830="Drifting",Analysis!$C830,""))</f>
        <v/>
      </c>
      <c r="I830" s="29" t="str">
        <f>IF(Analysis!$I830="","",IF(Analysis!$I830="Embedded",Analysis!$F830,""))</f>
        <v/>
      </c>
      <c r="J830" s="29" t="str">
        <f>IF(Analysis!$I830="","",IF(Analysis!$I830="Loyal but shallow",Analysis!$F830,""))</f>
        <v/>
      </c>
      <c r="K830" s="29" t="str">
        <f>IF(Analysis!$I830="","",IF(Analysis!$I830="Project-driven",Analysis!$F830,""))</f>
        <v/>
      </c>
      <c r="L830" s="29" t="str">
        <f>IF(Analysis!$I830="","",IF(Analysis!$I830="Drifting",Analysis!$F830,""))</f>
        <v/>
      </c>
      <c r="M830" s="29" t="str">
        <f>IF(Analysis!$I830="","",IF(Analysis!$I830="Embedded",Analysis!$H830,""))</f>
        <v/>
      </c>
      <c r="N830" s="29" t="str">
        <f>IF(Analysis!$I830="","",IF(Analysis!$I830="Loyal but shallow",Analysis!$H830,""))</f>
        <v/>
      </c>
      <c r="O830" s="29" t="str">
        <f>IF(Analysis!$I830="","",IF(Analysis!$I830="Project-driven",Analysis!$H830,""))</f>
        <v/>
      </c>
      <c r="P830" s="29" t="str">
        <f>IF(Analysis!$I830="","",IF(Analysis!$I830="Drifting",Analysis!$H830,""))</f>
        <v/>
      </c>
    </row>
    <row r="831" spans="1:16" x14ac:dyDescent="0.25">
      <c r="A831" s="29" t="str">
        <f>IF(Analysis!$I831="","",IF(Analysis!$I831="Embedded",Analysis!$D831,""))</f>
        <v/>
      </c>
      <c r="B831" s="29" t="str">
        <f>IF(Analysis!$I831="","",IF(Analysis!$I831="Loyal but shallow",Analysis!$D831,""))</f>
        <v/>
      </c>
      <c r="C831" s="29" t="str">
        <f>IF(Analysis!$I831="","",IF(Analysis!$I831="Project-driven",Analysis!$D831,""))</f>
        <v/>
      </c>
      <c r="D831" s="29" t="str">
        <f>IF(Analysis!$I831="","",IF(Analysis!$I831="Drifting",Analysis!$D831,""))</f>
        <v/>
      </c>
      <c r="E831" s="29" t="str">
        <f>IF(Analysis!$I831="","",IF(Analysis!$I831="Embedded",Analysis!$C831,""))</f>
        <v/>
      </c>
      <c r="F831" s="29" t="str">
        <f>IF(Analysis!$I831="","",IF(Analysis!$I831="Loyal but shallow",Analysis!$C831,""))</f>
        <v/>
      </c>
      <c r="G831" s="29" t="str">
        <f>IF(Analysis!$I831="","",IF(Analysis!$I831="Project-driven",Analysis!$C831,""))</f>
        <v/>
      </c>
      <c r="H831" s="29" t="str">
        <f>IF(Analysis!$I831="","",IF(Analysis!$I831="Drifting",Analysis!$C831,""))</f>
        <v/>
      </c>
      <c r="I831" s="29" t="str">
        <f>IF(Analysis!$I831="","",IF(Analysis!$I831="Embedded",Analysis!$F831,""))</f>
        <v/>
      </c>
      <c r="J831" s="29" t="str">
        <f>IF(Analysis!$I831="","",IF(Analysis!$I831="Loyal but shallow",Analysis!$F831,""))</f>
        <v/>
      </c>
      <c r="K831" s="29" t="str">
        <f>IF(Analysis!$I831="","",IF(Analysis!$I831="Project-driven",Analysis!$F831,""))</f>
        <v/>
      </c>
      <c r="L831" s="29" t="str">
        <f>IF(Analysis!$I831="","",IF(Analysis!$I831="Drifting",Analysis!$F831,""))</f>
        <v/>
      </c>
      <c r="M831" s="29" t="str">
        <f>IF(Analysis!$I831="","",IF(Analysis!$I831="Embedded",Analysis!$H831,""))</f>
        <v/>
      </c>
      <c r="N831" s="29" t="str">
        <f>IF(Analysis!$I831="","",IF(Analysis!$I831="Loyal but shallow",Analysis!$H831,""))</f>
        <v/>
      </c>
      <c r="O831" s="29" t="str">
        <f>IF(Analysis!$I831="","",IF(Analysis!$I831="Project-driven",Analysis!$H831,""))</f>
        <v/>
      </c>
      <c r="P831" s="29" t="str">
        <f>IF(Analysis!$I831="","",IF(Analysis!$I831="Drifting",Analysis!$H831,""))</f>
        <v/>
      </c>
    </row>
    <row r="832" spans="1:16" x14ac:dyDescent="0.25">
      <c r="A832" s="29" t="str">
        <f>IF(Analysis!$I832="","",IF(Analysis!$I832="Embedded",Analysis!$D832,""))</f>
        <v/>
      </c>
      <c r="B832" s="29" t="str">
        <f>IF(Analysis!$I832="","",IF(Analysis!$I832="Loyal but shallow",Analysis!$D832,""))</f>
        <v/>
      </c>
      <c r="C832" s="29" t="str">
        <f>IF(Analysis!$I832="","",IF(Analysis!$I832="Project-driven",Analysis!$D832,""))</f>
        <v/>
      </c>
      <c r="D832" s="29" t="str">
        <f>IF(Analysis!$I832="","",IF(Analysis!$I832="Drifting",Analysis!$D832,""))</f>
        <v/>
      </c>
      <c r="E832" s="29" t="str">
        <f>IF(Analysis!$I832="","",IF(Analysis!$I832="Embedded",Analysis!$C832,""))</f>
        <v/>
      </c>
      <c r="F832" s="29" t="str">
        <f>IF(Analysis!$I832="","",IF(Analysis!$I832="Loyal but shallow",Analysis!$C832,""))</f>
        <v/>
      </c>
      <c r="G832" s="29" t="str">
        <f>IF(Analysis!$I832="","",IF(Analysis!$I832="Project-driven",Analysis!$C832,""))</f>
        <v/>
      </c>
      <c r="H832" s="29" t="str">
        <f>IF(Analysis!$I832="","",IF(Analysis!$I832="Drifting",Analysis!$C832,""))</f>
        <v/>
      </c>
      <c r="I832" s="29" t="str">
        <f>IF(Analysis!$I832="","",IF(Analysis!$I832="Embedded",Analysis!$F832,""))</f>
        <v/>
      </c>
      <c r="J832" s="29" t="str">
        <f>IF(Analysis!$I832="","",IF(Analysis!$I832="Loyal but shallow",Analysis!$F832,""))</f>
        <v/>
      </c>
      <c r="K832" s="29" t="str">
        <f>IF(Analysis!$I832="","",IF(Analysis!$I832="Project-driven",Analysis!$F832,""))</f>
        <v/>
      </c>
      <c r="L832" s="29" t="str">
        <f>IF(Analysis!$I832="","",IF(Analysis!$I832="Drifting",Analysis!$F832,""))</f>
        <v/>
      </c>
      <c r="M832" s="29" t="str">
        <f>IF(Analysis!$I832="","",IF(Analysis!$I832="Embedded",Analysis!$H832,""))</f>
        <v/>
      </c>
      <c r="N832" s="29" t="str">
        <f>IF(Analysis!$I832="","",IF(Analysis!$I832="Loyal but shallow",Analysis!$H832,""))</f>
        <v/>
      </c>
      <c r="O832" s="29" t="str">
        <f>IF(Analysis!$I832="","",IF(Analysis!$I832="Project-driven",Analysis!$H832,""))</f>
        <v/>
      </c>
      <c r="P832" s="29" t="str">
        <f>IF(Analysis!$I832="","",IF(Analysis!$I832="Drifting",Analysis!$H832,""))</f>
        <v/>
      </c>
    </row>
    <row r="833" spans="1:16" x14ac:dyDescent="0.25">
      <c r="A833" s="29" t="str">
        <f>IF(Analysis!$I833="","",IF(Analysis!$I833="Embedded",Analysis!$D833,""))</f>
        <v/>
      </c>
      <c r="B833" s="29" t="str">
        <f>IF(Analysis!$I833="","",IF(Analysis!$I833="Loyal but shallow",Analysis!$D833,""))</f>
        <v/>
      </c>
      <c r="C833" s="29" t="str">
        <f>IF(Analysis!$I833="","",IF(Analysis!$I833="Project-driven",Analysis!$D833,""))</f>
        <v/>
      </c>
      <c r="D833" s="29" t="str">
        <f>IF(Analysis!$I833="","",IF(Analysis!$I833="Drifting",Analysis!$D833,""))</f>
        <v/>
      </c>
      <c r="E833" s="29" t="str">
        <f>IF(Analysis!$I833="","",IF(Analysis!$I833="Embedded",Analysis!$C833,""))</f>
        <v/>
      </c>
      <c r="F833" s="29" t="str">
        <f>IF(Analysis!$I833="","",IF(Analysis!$I833="Loyal but shallow",Analysis!$C833,""))</f>
        <v/>
      </c>
      <c r="G833" s="29" t="str">
        <f>IF(Analysis!$I833="","",IF(Analysis!$I833="Project-driven",Analysis!$C833,""))</f>
        <v/>
      </c>
      <c r="H833" s="29" t="str">
        <f>IF(Analysis!$I833="","",IF(Analysis!$I833="Drifting",Analysis!$C833,""))</f>
        <v/>
      </c>
      <c r="I833" s="29" t="str">
        <f>IF(Analysis!$I833="","",IF(Analysis!$I833="Embedded",Analysis!$F833,""))</f>
        <v/>
      </c>
      <c r="J833" s="29" t="str">
        <f>IF(Analysis!$I833="","",IF(Analysis!$I833="Loyal but shallow",Analysis!$F833,""))</f>
        <v/>
      </c>
      <c r="K833" s="29" t="str">
        <f>IF(Analysis!$I833="","",IF(Analysis!$I833="Project-driven",Analysis!$F833,""))</f>
        <v/>
      </c>
      <c r="L833" s="29" t="str">
        <f>IF(Analysis!$I833="","",IF(Analysis!$I833="Drifting",Analysis!$F833,""))</f>
        <v/>
      </c>
      <c r="M833" s="29" t="str">
        <f>IF(Analysis!$I833="","",IF(Analysis!$I833="Embedded",Analysis!$H833,""))</f>
        <v/>
      </c>
      <c r="N833" s="29" t="str">
        <f>IF(Analysis!$I833="","",IF(Analysis!$I833="Loyal but shallow",Analysis!$H833,""))</f>
        <v/>
      </c>
      <c r="O833" s="29" t="str">
        <f>IF(Analysis!$I833="","",IF(Analysis!$I833="Project-driven",Analysis!$H833,""))</f>
        <v/>
      </c>
      <c r="P833" s="29" t="str">
        <f>IF(Analysis!$I833="","",IF(Analysis!$I833="Drifting",Analysis!$H833,""))</f>
        <v/>
      </c>
    </row>
    <row r="834" spans="1:16" x14ac:dyDescent="0.25">
      <c r="A834" s="29" t="str">
        <f>IF(Analysis!$I834="","",IF(Analysis!$I834="Embedded",Analysis!$D834,""))</f>
        <v/>
      </c>
      <c r="B834" s="29" t="str">
        <f>IF(Analysis!$I834="","",IF(Analysis!$I834="Loyal but shallow",Analysis!$D834,""))</f>
        <v/>
      </c>
      <c r="C834" s="29" t="str">
        <f>IF(Analysis!$I834="","",IF(Analysis!$I834="Project-driven",Analysis!$D834,""))</f>
        <v/>
      </c>
      <c r="D834" s="29" t="str">
        <f>IF(Analysis!$I834="","",IF(Analysis!$I834="Drifting",Analysis!$D834,""))</f>
        <v/>
      </c>
      <c r="E834" s="29" t="str">
        <f>IF(Analysis!$I834="","",IF(Analysis!$I834="Embedded",Analysis!$C834,""))</f>
        <v/>
      </c>
      <c r="F834" s="29" t="str">
        <f>IF(Analysis!$I834="","",IF(Analysis!$I834="Loyal but shallow",Analysis!$C834,""))</f>
        <v/>
      </c>
      <c r="G834" s="29" t="str">
        <f>IF(Analysis!$I834="","",IF(Analysis!$I834="Project-driven",Analysis!$C834,""))</f>
        <v/>
      </c>
      <c r="H834" s="29" t="str">
        <f>IF(Analysis!$I834="","",IF(Analysis!$I834="Drifting",Analysis!$C834,""))</f>
        <v/>
      </c>
      <c r="I834" s="29" t="str">
        <f>IF(Analysis!$I834="","",IF(Analysis!$I834="Embedded",Analysis!$F834,""))</f>
        <v/>
      </c>
      <c r="J834" s="29" t="str">
        <f>IF(Analysis!$I834="","",IF(Analysis!$I834="Loyal but shallow",Analysis!$F834,""))</f>
        <v/>
      </c>
      <c r="K834" s="29" t="str">
        <f>IF(Analysis!$I834="","",IF(Analysis!$I834="Project-driven",Analysis!$F834,""))</f>
        <v/>
      </c>
      <c r="L834" s="29" t="str">
        <f>IF(Analysis!$I834="","",IF(Analysis!$I834="Drifting",Analysis!$F834,""))</f>
        <v/>
      </c>
      <c r="M834" s="29" t="str">
        <f>IF(Analysis!$I834="","",IF(Analysis!$I834="Embedded",Analysis!$H834,""))</f>
        <v/>
      </c>
      <c r="N834" s="29" t="str">
        <f>IF(Analysis!$I834="","",IF(Analysis!$I834="Loyal but shallow",Analysis!$H834,""))</f>
        <v/>
      </c>
      <c r="O834" s="29" t="str">
        <f>IF(Analysis!$I834="","",IF(Analysis!$I834="Project-driven",Analysis!$H834,""))</f>
        <v/>
      </c>
      <c r="P834" s="29" t="str">
        <f>IF(Analysis!$I834="","",IF(Analysis!$I834="Drifting",Analysis!$H834,""))</f>
        <v/>
      </c>
    </row>
    <row r="835" spans="1:16" x14ac:dyDescent="0.25">
      <c r="A835" s="29" t="str">
        <f>IF(Analysis!$I835="","",IF(Analysis!$I835="Embedded",Analysis!$D835,""))</f>
        <v/>
      </c>
      <c r="B835" s="29" t="str">
        <f>IF(Analysis!$I835="","",IF(Analysis!$I835="Loyal but shallow",Analysis!$D835,""))</f>
        <v/>
      </c>
      <c r="C835" s="29" t="str">
        <f>IF(Analysis!$I835="","",IF(Analysis!$I835="Project-driven",Analysis!$D835,""))</f>
        <v/>
      </c>
      <c r="D835" s="29" t="str">
        <f>IF(Analysis!$I835="","",IF(Analysis!$I835="Drifting",Analysis!$D835,""))</f>
        <v/>
      </c>
      <c r="E835" s="29" t="str">
        <f>IF(Analysis!$I835="","",IF(Analysis!$I835="Embedded",Analysis!$C835,""))</f>
        <v/>
      </c>
      <c r="F835" s="29" t="str">
        <f>IF(Analysis!$I835="","",IF(Analysis!$I835="Loyal but shallow",Analysis!$C835,""))</f>
        <v/>
      </c>
      <c r="G835" s="29" t="str">
        <f>IF(Analysis!$I835="","",IF(Analysis!$I835="Project-driven",Analysis!$C835,""))</f>
        <v/>
      </c>
      <c r="H835" s="29" t="str">
        <f>IF(Analysis!$I835="","",IF(Analysis!$I835="Drifting",Analysis!$C835,""))</f>
        <v/>
      </c>
      <c r="I835" s="29" t="str">
        <f>IF(Analysis!$I835="","",IF(Analysis!$I835="Embedded",Analysis!$F835,""))</f>
        <v/>
      </c>
      <c r="J835" s="29" t="str">
        <f>IF(Analysis!$I835="","",IF(Analysis!$I835="Loyal but shallow",Analysis!$F835,""))</f>
        <v/>
      </c>
      <c r="K835" s="29" t="str">
        <f>IF(Analysis!$I835="","",IF(Analysis!$I835="Project-driven",Analysis!$F835,""))</f>
        <v/>
      </c>
      <c r="L835" s="29" t="str">
        <f>IF(Analysis!$I835="","",IF(Analysis!$I835="Drifting",Analysis!$F835,""))</f>
        <v/>
      </c>
      <c r="M835" s="29" t="str">
        <f>IF(Analysis!$I835="","",IF(Analysis!$I835="Embedded",Analysis!$H835,""))</f>
        <v/>
      </c>
      <c r="N835" s="29" t="str">
        <f>IF(Analysis!$I835="","",IF(Analysis!$I835="Loyal but shallow",Analysis!$H835,""))</f>
        <v/>
      </c>
      <c r="O835" s="29" t="str">
        <f>IF(Analysis!$I835="","",IF(Analysis!$I835="Project-driven",Analysis!$H835,""))</f>
        <v/>
      </c>
      <c r="P835" s="29" t="str">
        <f>IF(Analysis!$I835="","",IF(Analysis!$I835="Drifting",Analysis!$H835,""))</f>
        <v/>
      </c>
    </row>
    <row r="836" spans="1:16" x14ac:dyDescent="0.25">
      <c r="A836" s="29" t="str">
        <f>IF(Analysis!$I836="","",IF(Analysis!$I836="Embedded",Analysis!$D836,""))</f>
        <v/>
      </c>
      <c r="B836" s="29" t="str">
        <f>IF(Analysis!$I836="","",IF(Analysis!$I836="Loyal but shallow",Analysis!$D836,""))</f>
        <v/>
      </c>
      <c r="C836" s="29" t="str">
        <f>IF(Analysis!$I836="","",IF(Analysis!$I836="Project-driven",Analysis!$D836,""))</f>
        <v/>
      </c>
      <c r="D836" s="29" t="str">
        <f>IF(Analysis!$I836="","",IF(Analysis!$I836="Drifting",Analysis!$D836,""))</f>
        <v/>
      </c>
      <c r="E836" s="29" t="str">
        <f>IF(Analysis!$I836="","",IF(Analysis!$I836="Embedded",Analysis!$C836,""))</f>
        <v/>
      </c>
      <c r="F836" s="29" t="str">
        <f>IF(Analysis!$I836="","",IF(Analysis!$I836="Loyal but shallow",Analysis!$C836,""))</f>
        <v/>
      </c>
      <c r="G836" s="29" t="str">
        <f>IF(Analysis!$I836="","",IF(Analysis!$I836="Project-driven",Analysis!$C836,""))</f>
        <v/>
      </c>
      <c r="H836" s="29" t="str">
        <f>IF(Analysis!$I836="","",IF(Analysis!$I836="Drifting",Analysis!$C836,""))</f>
        <v/>
      </c>
      <c r="I836" s="29" t="str">
        <f>IF(Analysis!$I836="","",IF(Analysis!$I836="Embedded",Analysis!$F836,""))</f>
        <v/>
      </c>
      <c r="J836" s="29" t="str">
        <f>IF(Analysis!$I836="","",IF(Analysis!$I836="Loyal but shallow",Analysis!$F836,""))</f>
        <v/>
      </c>
      <c r="K836" s="29" t="str">
        <f>IF(Analysis!$I836="","",IF(Analysis!$I836="Project-driven",Analysis!$F836,""))</f>
        <v/>
      </c>
      <c r="L836" s="29" t="str">
        <f>IF(Analysis!$I836="","",IF(Analysis!$I836="Drifting",Analysis!$F836,""))</f>
        <v/>
      </c>
      <c r="M836" s="29" t="str">
        <f>IF(Analysis!$I836="","",IF(Analysis!$I836="Embedded",Analysis!$H836,""))</f>
        <v/>
      </c>
      <c r="N836" s="29" t="str">
        <f>IF(Analysis!$I836="","",IF(Analysis!$I836="Loyal but shallow",Analysis!$H836,""))</f>
        <v/>
      </c>
      <c r="O836" s="29" t="str">
        <f>IF(Analysis!$I836="","",IF(Analysis!$I836="Project-driven",Analysis!$H836,""))</f>
        <v/>
      </c>
      <c r="P836" s="29" t="str">
        <f>IF(Analysis!$I836="","",IF(Analysis!$I836="Drifting",Analysis!$H836,""))</f>
        <v/>
      </c>
    </row>
    <row r="837" spans="1:16" x14ac:dyDescent="0.25">
      <c r="A837" s="29" t="str">
        <f>IF(Analysis!$I837="","",IF(Analysis!$I837="Embedded",Analysis!$D837,""))</f>
        <v/>
      </c>
      <c r="B837" s="29" t="str">
        <f>IF(Analysis!$I837="","",IF(Analysis!$I837="Loyal but shallow",Analysis!$D837,""))</f>
        <v/>
      </c>
      <c r="C837" s="29" t="str">
        <f>IF(Analysis!$I837="","",IF(Analysis!$I837="Project-driven",Analysis!$D837,""))</f>
        <v/>
      </c>
      <c r="D837" s="29" t="str">
        <f>IF(Analysis!$I837="","",IF(Analysis!$I837="Drifting",Analysis!$D837,""))</f>
        <v/>
      </c>
      <c r="E837" s="29" t="str">
        <f>IF(Analysis!$I837="","",IF(Analysis!$I837="Embedded",Analysis!$C837,""))</f>
        <v/>
      </c>
      <c r="F837" s="29" t="str">
        <f>IF(Analysis!$I837="","",IF(Analysis!$I837="Loyal but shallow",Analysis!$C837,""))</f>
        <v/>
      </c>
      <c r="G837" s="29" t="str">
        <f>IF(Analysis!$I837="","",IF(Analysis!$I837="Project-driven",Analysis!$C837,""))</f>
        <v/>
      </c>
      <c r="H837" s="29" t="str">
        <f>IF(Analysis!$I837="","",IF(Analysis!$I837="Drifting",Analysis!$C837,""))</f>
        <v/>
      </c>
      <c r="I837" s="29" t="str">
        <f>IF(Analysis!$I837="","",IF(Analysis!$I837="Embedded",Analysis!$F837,""))</f>
        <v/>
      </c>
      <c r="J837" s="29" t="str">
        <f>IF(Analysis!$I837="","",IF(Analysis!$I837="Loyal but shallow",Analysis!$F837,""))</f>
        <v/>
      </c>
      <c r="K837" s="29" t="str">
        <f>IF(Analysis!$I837="","",IF(Analysis!$I837="Project-driven",Analysis!$F837,""))</f>
        <v/>
      </c>
      <c r="L837" s="29" t="str">
        <f>IF(Analysis!$I837="","",IF(Analysis!$I837="Drifting",Analysis!$F837,""))</f>
        <v/>
      </c>
      <c r="M837" s="29" t="str">
        <f>IF(Analysis!$I837="","",IF(Analysis!$I837="Embedded",Analysis!$H837,""))</f>
        <v/>
      </c>
      <c r="N837" s="29" t="str">
        <f>IF(Analysis!$I837="","",IF(Analysis!$I837="Loyal but shallow",Analysis!$H837,""))</f>
        <v/>
      </c>
      <c r="O837" s="29" t="str">
        <f>IF(Analysis!$I837="","",IF(Analysis!$I837="Project-driven",Analysis!$H837,""))</f>
        <v/>
      </c>
      <c r="P837" s="29" t="str">
        <f>IF(Analysis!$I837="","",IF(Analysis!$I837="Drifting",Analysis!$H837,""))</f>
        <v/>
      </c>
    </row>
    <row r="838" spans="1:16" x14ac:dyDescent="0.25">
      <c r="A838" s="29" t="str">
        <f>IF(Analysis!$I838="","",IF(Analysis!$I838="Embedded",Analysis!$D838,""))</f>
        <v/>
      </c>
      <c r="B838" s="29" t="str">
        <f>IF(Analysis!$I838="","",IF(Analysis!$I838="Loyal but shallow",Analysis!$D838,""))</f>
        <v/>
      </c>
      <c r="C838" s="29" t="str">
        <f>IF(Analysis!$I838="","",IF(Analysis!$I838="Project-driven",Analysis!$D838,""))</f>
        <v/>
      </c>
      <c r="D838" s="29" t="str">
        <f>IF(Analysis!$I838="","",IF(Analysis!$I838="Drifting",Analysis!$D838,""))</f>
        <v/>
      </c>
      <c r="E838" s="29" t="str">
        <f>IF(Analysis!$I838="","",IF(Analysis!$I838="Embedded",Analysis!$C838,""))</f>
        <v/>
      </c>
      <c r="F838" s="29" t="str">
        <f>IF(Analysis!$I838="","",IF(Analysis!$I838="Loyal but shallow",Analysis!$C838,""))</f>
        <v/>
      </c>
      <c r="G838" s="29" t="str">
        <f>IF(Analysis!$I838="","",IF(Analysis!$I838="Project-driven",Analysis!$C838,""))</f>
        <v/>
      </c>
      <c r="H838" s="29" t="str">
        <f>IF(Analysis!$I838="","",IF(Analysis!$I838="Drifting",Analysis!$C838,""))</f>
        <v/>
      </c>
      <c r="I838" s="29" t="str">
        <f>IF(Analysis!$I838="","",IF(Analysis!$I838="Embedded",Analysis!$F838,""))</f>
        <v/>
      </c>
      <c r="J838" s="29" t="str">
        <f>IF(Analysis!$I838="","",IF(Analysis!$I838="Loyal but shallow",Analysis!$F838,""))</f>
        <v/>
      </c>
      <c r="K838" s="29" t="str">
        <f>IF(Analysis!$I838="","",IF(Analysis!$I838="Project-driven",Analysis!$F838,""))</f>
        <v/>
      </c>
      <c r="L838" s="29" t="str">
        <f>IF(Analysis!$I838="","",IF(Analysis!$I838="Drifting",Analysis!$F838,""))</f>
        <v/>
      </c>
      <c r="M838" s="29" t="str">
        <f>IF(Analysis!$I838="","",IF(Analysis!$I838="Embedded",Analysis!$H838,""))</f>
        <v/>
      </c>
      <c r="N838" s="29" t="str">
        <f>IF(Analysis!$I838="","",IF(Analysis!$I838="Loyal but shallow",Analysis!$H838,""))</f>
        <v/>
      </c>
      <c r="O838" s="29" t="str">
        <f>IF(Analysis!$I838="","",IF(Analysis!$I838="Project-driven",Analysis!$H838,""))</f>
        <v/>
      </c>
      <c r="P838" s="29" t="str">
        <f>IF(Analysis!$I838="","",IF(Analysis!$I838="Drifting",Analysis!$H838,""))</f>
        <v/>
      </c>
    </row>
    <row r="839" spans="1:16" x14ac:dyDescent="0.25">
      <c r="A839" s="29" t="str">
        <f>IF(Analysis!$I839="","",IF(Analysis!$I839="Embedded",Analysis!$D839,""))</f>
        <v/>
      </c>
      <c r="B839" s="29" t="str">
        <f>IF(Analysis!$I839="","",IF(Analysis!$I839="Loyal but shallow",Analysis!$D839,""))</f>
        <v/>
      </c>
      <c r="C839" s="29" t="str">
        <f>IF(Analysis!$I839="","",IF(Analysis!$I839="Project-driven",Analysis!$D839,""))</f>
        <v/>
      </c>
      <c r="D839" s="29" t="str">
        <f>IF(Analysis!$I839="","",IF(Analysis!$I839="Drifting",Analysis!$D839,""))</f>
        <v/>
      </c>
      <c r="E839" s="29" t="str">
        <f>IF(Analysis!$I839="","",IF(Analysis!$I839="Embedded",Analysis!$C839,""))</f>
        <v/>
      </c>
      <c r="F839" s="29" t="str">
        <f>IF(Analysis!$I839="","",IF(Analysis!$I839="Loyal but shallow",Analysis!$C839,""))</f>
        <v/>
      </c>
      <c r="G839" s="29" t="str">
        <f>IF(Analysis!$I839="","",IF(Analysis!$I839="Project-driven",Analysis!$C839,""))</f>
        <v/>
      </c>
      <c r="H839" s="29" t="str">
        <f>IF(Analysis!$I839="","",IF(Analysis!$I839="Drifting",Analysis!$C839,""))</f>
        <v/>
      </c>
      <c r="I839" s="29" t="str">
        <f>IF(Analysis!$I839="","",IF(Analysis!$I839="Embedded",Analysis!$F839,""))</f>
        <v/>
      </c>
      <c r="J839" s="29" t="str">
        <f>IF(Analysis!$I839="","",IF(Analysis!$I839="Loyal but shallow",Analysis!$F839,""))</f>
        <v/>
      </c>
      <c r="K839" s="29" t="str">
        <f>IF(Analysis!$I839="","",IF(Analysis!$I839="Project-driven",Analysis!$F839,""))</f>
        <v/>
      </c>
      <c r="L839" s="29" t="str">
        <f>IF(Analysis!$I839="","",IF(Analysis!$I839="Drifting",Analysis!$F839,""))</f>
        <v/>
      </c>
      <c r="M839" s="29" t="str">
        <f>IF(Analysis!$I839="","",IF(Analysis!$I839="Embedded",Analysis!$H839,""))</f>
        <v/>
      </c>
      <c r="N839" s="29" t="str">
        <f>IF(Analysis!$I839="","",IF(Analysis!$I839="Loyal but shallow",Analysis!$H839,""))</f>
        <v/>
      </c>
      <c r="O839" s="29" t="str">
        <f>IF(Analysis!$I839="","",IF(Analysis!$I839="Project-driven",Analysis!$H839,""))</f>
        <v/>
      </c>
      <c r="P839" s="29" t="str">
        <f>IF(Analysis!$I839="","",IF(Analysis!$I839="Drifting",Analysis!$H839,""))</f>
        <v/>
      </c>
    </row>
    <row r="840" spans="1:16" x14ac:dyDescent="0.25">
      <c r="A840" s="29" t="str">
        <f>IF(Analysis!$I840="","",IF(Analysis!$I840="Embedded",Analysis!$D840,""))</f>
        <v/>
      </c>
      <c r="B840" s="29" t="str">
        <f>IF(Analysis!$I840="","",IF(Analysis!$I840="Loyal but shallow",Analysis!$D840,""))</f>
        <v/>
      </c>
      <c r="C840" s="29" t="str">
        <f>IF(Analysis!$I840="","",IF(Analysis!$I840="Project-driven",Analysis!$D840,""))</f>
        <v/>
      </c>
      <c r="D840" s="29" t="str">
        <f>IF(Analysis!$I840="","",IF(Analysis!$I840="Drifting",Analysis!$D840,""))</f>
        <v/>
      </c>
      <c r="E840" s="29" t="str">
        <f>IF(Analysis!$I840="","",IF(Analysis!$I840="Embedded",Analysis!$C840,""))</f>
        <v/>
      </c>
      <c r="F840" s="29" t="str">
        <f>IF(Analysis!$I840="","",IF(Analysis!$I840="Loyal but shallow",Analysis!$C840,""))</f>
        <v/>
      </c>
      <c r="G840" s="29" t="str">
        <f>IF(Analysis!$I840="","",IF(Analysis!$I840="Project-driven",Analysis!$C840,""))</f>
        <v/>
      </c>
      <c r="H840" s="29" t="str">
        <f>IF(Analysis!$I840="","",IF(Analysis!$I840="Drifting",Analysis!$C840,""))</f>
        <v/>
      </c>
      <c r="I840" s="29" t="str">
        <f>IF(Analysis!$I840="","",IF(Analysis!$I840="Embedded",Analysis!$F840,""))</f>
        <v/>
      </c>
      <c r="J840" s="29" t="str">
        <f>IF(Analysis!$I840="","",IF(Analysis!$I840="Loyal but shallow",Analysis!$F840,""))</f>
        <v/>
      </c>
      <c r="K840" s="29" t="str">
        <f>IF(Analysis!$I840="","",IF(Analysis!$I840="Project-driven",Analysis!$F840,""))</f>
        <v/>
      </c>
      <c r="L840" s="29" t="str">
        <f>IF(Analysis!$I840="","",IF(Analysis!$I840="Drifting",Analysis!$F840,""))</f>
        <v/>
      </c>
      <c r="M840" s="29" t="str">
        <f>IF(Analysis!$I840="","",IF(Analysis!$I840="Embedded",Analysis!$H840,""))</f>
        <v/>
      </c>
      <c r="N840" s="29" t="str">
        <f>IF(Analysis!$I840="","",IF(Analysis!$I840="Loyal but shallow",Analysis!$H840,""))</f>
        <v/>
      </c>
      <c r="O840" s="29" t="str">
        <f>IF(Analysis!$I840="","",IF(Analysis!$I840="Project-driven",Analysis!$H840,""))</f>
        <v/>
      </c>
      <c r="P840" s="29" t="str">
        <f>IF(Analysis!$I840="","",IF(Analysis!$I840="Drifting",Analysis!$H840,""))</f>
        <v/>
      </c>
    </row>
    <row r="841" spans="1:16" x14ac:dyDescent="0.25">
      <c r="A841" s="29" t="str">
        <f>IF(Analysis!$I841="","",IF(Analysis!$I841="Embedded",Analysis!$D841,""))</f>
        <v/>
      </c>
      <c r="B841" s="29" t="str">
        <f>IF(Analysis!$I841="","",IF(Analysis!$I841="Loyal but shallow",Analysis!$D841,""))</f>
        <v/>
      </c>
      <c r="C841" s="29" t="str">
        <f>IF(Analysis!$I841="","",IF(Analysis!$I841="Project-driven",Analysis!$D841,""))</f>
        <v/>
      </c>
      <c r="D841" s="29" t="str">
        <f>IF(Analysis!$I841="","",IF(Analysis!$I841="Drifting",Analysis!$D841,""))</f>
        <v/>
      </c>
      <c r="E841" s="29" t="str">
        <f>IF(Analysis!$I841="","",IF(Analysis!$I841="Embedded",Analysis!$C841,""))</f>
        <v/>
      </c>
      <c r="F841" s="29" t="str">
        <f>IF(Analysis!$I841="","",IF(Analysis!$I841="Loyal but shallow",Analysis!$C841,""))</f>
        <v/>
      </c>
      <c r="G841" s="29" t="str">
        <f>IF(Analysis!$I841="","",IF(Analysis!$I841="Project-driven",Analysis!$C841,""))</f>
        <v/>
      </c>
      <c r="H841" s="29" t="str">
        <f>IF(Analysis!$I841="","",IF(Analysis!$I841="Drifting",Analysis!$C841,""))</f>
        <v/>
      </c>
      <c r="I841" s="29" t="str">
        <f>IF(Analysis!$I841="","",IF(Analysis!$I841="Embedded",Analysis!$F841,""))</f>
        <v/>
      </c>
      <c r="J841" s="29" t="str">
        <f>IF(Analysis!$I841="","",IF(Analysis!$I841="Loyal but shallow",Analysis!$F841,""))</f>
        <v/>
      </c>
      <c r="K841" s="29" t="str">
        <f>IF(Analysis!$I841="","",IF(Analysis!$I841="Project-driven",Analysis!$F841,""))</f>
        <v/>
      </c>
      <c r="L841" s="29" t="str">
        <f>IF(Analysis!$I841="","",IF(Analysis!$I841="Drifting",Analysis!$F841,""))</f>
        <v/>
      </c>
      <c r="M841" s="29" t="str">
        <f>IF(Analysis!$I841="","",IF(Analysis!$I841="Embedded",Analysis!$H841,""))</f>
        <v/>
      </c>
      <c r="N841" s="29" t="str">
        <f>IF(Analysis!$I841="","",IF(Analysis!$I841="Loyal but shallow",Analysis!$H841,""))</f>
        <v/>
      </c>
      <c r="O841" s="29" t="str">
        <f>IF(Analysis!$I841="","",IF(Analysis!$I841="Project-driven",Analysis!$H841,""))</f>
        <v/>
      </c>
      <c r="P841" s="29" t="str">
        <f>IF(Analysis!$I841="","",IF(Analysis!$I841="Drifting",Analysis!$H841,""))</f>
        <v/>
      </c>
    </row>
    <row r="842" spans="1:16" x14ac:dyDescent="0.25">
      <c r="A842" s="29" t="str">
        <f>IF(Analysis!$I842="","",IF(Analysis!$I842="Embedded",Analysis!$D842,""))</f>
        <v/>
      </c>
      <c r="B842" s="29" t="str">
        <f>IF(Analysis!$I842="","",IF(Analysis!$I842="Loyal but shallow",Analysis!$D842,""))</f>
        <v/>
      </c>
      <c r="C842" s="29" t="str">
        <f>IF(Analysis!$I842="","",IF(Analysis!$I842="Project-driven",Analysis!$D842,""))</f>
        <v/>
      </c>
      <c r="D842" s="29" t="str">
        <f>IF(Analysis!$I842="","",IF(Analysis!$I842="Drifting",Analysis!$D842,""))</f>
        <v/>
      </c>
      <c r="E842" s="29" t="str">
        <f>IF(Analysis!$I842="","",IF(Analysis!$I842="Embedded",Analysis!$C842,""))</f>
        <v/>
      </c>
      <c r="F842" s="29" t="str">
        <f>IF(Analysis!$I842="","",IF(Analysis!$I842="Loyal but shallow",Analysis!$C842,""))</f>
        <v/>
      </c>
      <c r="G842" s="29" t="str">
        <f>IF(Analysis!$I842="","",IF(Analysis!$I842="Project-driven",Analysis!$C842,""))</f>
        <v/>
      </c>
      <c r="H842" s="29" t="str">
        <f>IF(Analysis!$I842="","",IF(Analysis!$I842="Drifting",Analysis!$C842,""))</f>
        <v/>
      </c>
      <c r="I842" s="29" t="str">
        <f>IF(Analysis!$I842="","",IF(Analysis!$I842="Embedded",Analysis!$F842,""))</f>
        <v/>
      </c>
      <c r="J842" s="29" t="str">
        <f>IF(Analysis!$I842="","",IF(Analysis!$I842="Loyal but shallow",Analysis!$F842,""))</f>
        <v/>
      </c>
      <c r="K842" s="29" t="str">
        <f>IF(Analysis!$I842="","",IF(Analysis!$I842="Project-driven",Analysis!$F842,""))</f>
        <v/>
      </c>
      <c r="L842" s="29" t="str">
        <f>IF(Analysis!$I842="","",IF(Analysis!$I842="Drifting",Analysis!$F842,""))</f>
        <v/>
      </c>
      <c r="M842" s="29" t="str">
        <f>IF(Analysis!$I842="","",IF(Analysis!$I842="Embedded",Analysis!$H842,""))</f>
        <v/>
      </c>
      <c r="N842" s="29" t="str">
        <f>IF(Analysis!$I842="","",IF(Analysis!$I842="Loyal but shallow",Analysis!$H842,""))</f>
        <v/>
      </c>
      <c r="O842" s="29" t="str">
        <f>IF(Analysis!$I842="","",IF(Analysis!$I842="Project-driven",Analysis!$H842,""))</f>
        <v/>
      </c>
      <c r="P842" s="29" t="str">
        <f>IF(Analysis!$I842="","",IF(Analysis!$I842="Drifting",Analysis!$H842,""))</f>
        <v/>
      </c>
    </row>
    <row r="843" spans="1:16" x14ac:dyDescent="0.25">
      <c r="A843" s="29" t="str">
        <f>IF(Analysis!$I843="","",IF(Analysis!$I843="Embedded",Analysis!$D843,""))</f>
        <v/>
      </c>
      <c r="B843" s="29" t="str">
        <f>IF(Analysis!$I843="","",IF(Analysis!$I843="Loyal but shallow",Analysis!$D843,""))</f>
        <v/>
      </c>
      <c r="C843" s="29" t="str">
        <f>IF(Analysis!$I843="","",IF(Analysis!$I843="Project-driven",Analysis!$D843,""))</f>
        <v/>
      </c>
      <c r="D843" s="29" t="str">
        <f>IF(Analysis!$I843="","",IF(Analysis!$I843="Drifting",Analysis!$D843,""))</f>
        <v/>
      </c>
      <c r="E843" s="29" t="str">
        <f>IF(Analysis!$I843="","",IF(Analysis!$I843="Embedded",Analysis!$C843,""))</f>
        <v/>
      </c>
      <c r="F843" s="29" t="str">
        <f>IF(Analysis!$I843="","",IF(Analysis!$I843="Loyal but shallow",Analysis!$C843,""))</f>
        <v/>
      </c>
      <c r="G843" s="29" t="str">
        <f>IF(Analysis!$I843="","",IF(Analysis!$I843="Project-driven",Analysis!$C843,""))</f>
        <v/>
      </c>
      <c r="H843" s="29" t="str">
        <f>IF(Analysis!$I843="","",IF(Analysis!$I843="Drifting",Analysis!$C843,""))</f>
        <v/>
      </c>
      <c r="I843" s="29" t="str">
        <f>IF(Analysis!$I843="","",IF(Analysis!$I843="Embedded",Analysis!$F843,""))</f>
        <v/>
      </c>
      <c r="J843" s="29" t="str">
        <f>IF(Analysis!$I843="","",IF(Analysis!$I843="Loyal but shallow",Analysis!$F843,""))</f>
        <v/>
      </c>
      <c r="K843" s="29" t="str">
        <f>IF(Analysis!$I843="","",IF(Analysis!$I843="Project-driven",Analysis!$F843,""))</f>
        <v/>
      </c>
      <c r="L843" s="29" t="str">
        <f>IF(Analysis!$I843="","",IF(Analysis!$I843="Drifting",Analysis!$F843,""))</f>
        <v/>
      </c>
      <c r="M843" s="29" t="str">
        <f>IF(Analysis!$I843="","",IF(Analysis!$I843="Embedded",Analysis!$H843,""))</f>
        <v/>
      </c>
      <c r="N843" s="29" t="str">
        <f>IF(Analysis!$I843="","",IF(Analysis!$I843="Loyal but shallow",Analysis!$H843,""))</f>
        <v/>
      </c>
      <c r="O843" s="29" t="str">
        <f>IF(Analysis!$I843="","",IF(Analysis!$I843="Project-driven",Analysis!$H843,""))</f>
        <v/>
      </c>
      <c r="P843" s="29" t="str">
        <f>IF(Analysis!$I843="","",IF(Analysis!$I843="Drifting",Analysis!$H843,""))</f>
        <v/>
      </c>
    </row>
    <row r="844" spans="1:16" x14ac:dyDescent="0.25">
      <c r="A844" s="29" t="str">
        <f>IF(Analysis!$I844="","",IF(Analysis!$I844="Embedded",Analysis!$D844,""))</f>
        <v/>
      </c>
      <c r="B844" s="29" t="str">
        <f>IF(Analysis!$I844="","",IF(Analysis!$I844="Loyal but shallow",Analysis!$D844,""))</f>
        <v/>
      </c>
      <c r="C844" s="29" t="str">
        <f>IF(Analysis!$I844="","",IF(Analysis!$I844="Project-driven",Analysis!$D844,""))</f>
        <v/>
      </c>
      <c r="D844" s="29" t="str">
        <f>IF(Analysis!$I844="","",IF(Analysis!$I844="Drifting",Analysis!$D844,""))</f>
        <v/>
      </c>
      <c r="E844" s="29" t="str">
        <f>IF(Analysis!$I844="","",IF(Analysis!$I844="Embedded",Analysis!$C844,""))</f>
        <v/>
      </c>
      <c r="F844" s="29" t="str">
        <f>IF(Analysis!$I844="","",IF(Analysis!$I844="Loyal but shallow",Analysis!$C844,""))</f>
        <v/>
      </c>
      <c r="G844" s="29" t="str">
        <f>IF(Analysis!$I844="","",IF(Analysis!$I844="Project-driven",Analysis!$C844,""))</f>
        <v/>
      </c>
      <c r="H844" s="29" t="str">
        <f>IF(Analysis!$I844="","",IF(Analysis!$I844="Drifting",Analysis!$C844,""))</f>
        <v/>
      </c>
      <c r="I844" s="29" t="str">
        <f>IF(Analysis!$I844="","",IF(Analysis!$I844="Embedded",Analysis!$F844,""))</f>
        <v/>
      </c>
      <c r="J844" s="29" t="str">
        <f>IF(Analysis!$I844="","",IF(Analysis!$I844="Loyal but shallow",Analysis!$F844,""))</f>
        <v/>
      </c>
      <c r="K844" s="29" t="str">
        <f>IF(Analysis!$I844="","",IF(Analysis!$I844="Project-driven",Analysis!$F844,""))</f>
        <v/>
      </c>
      <c r="L844" s="29" t="str">
        <f>IF(Analysis!$I844="","",IF(Analysis!$I844="Drifting",Analysis!$F844,""))</f>
        <v/>
      </c>
      <c r="M844" s="29" t="str">
        <f>IF(Analysis!$I844="","",IF(Analysis!$I844="Embedded",Analysis!$H844,""))</f>
        <v/>
      </c>
      <c r="N844" s="29" t="str">
        <f>IF(Analysis!$I844="","",IF(Analysis!$I844="Loyal but shallow",Analysis!$H844,""))</f>
        <v/>
      </c>
      <c r="O844" s="29" t="str">
        <f>IF(Analysis!$I844="","",IF(Analysis!$I844="Project-driven",Analysis!$H844,""))</f>
        <v/>
      </c>
      <c r="P844" s="29" t="str">
        <f>IF(Analysis!$I844="","",IF(Analysis!$I844="Drifting",Analysis!$H844,""))</f>
        <v/>
      </c>
    </row>
    <row r="845" spans="1:16" x14ac:dyDescent="0.25">
      <c r="A845" s="29" t="str">
        <f>IF(Analysis!$I845="","",IF(Analysis!$I845="Embedded",Analysis!$D845,""))</f>
        <v/>
      </c>
      <c r="B845" s="29" t="str">
        <f>IF(Analysis!$I845="","",IF(Analysis!$I845="Loyal but shallow",Analysis!$D845,""))</f>
        <v/>
      </c>
      <c r="C845" s="29" t="str">
        <f>IF(Analysis!$I845="","",IF(Analysis!$I845="Project-driven",Analysis!$D845,""))</f>
        <v/>
      </c>
      <c r="D845" s="29" t="str">
        <f>IF(Analysis!$I845="","",IF(Analysis!$I845="Drifting",Analysis!$D845,""))</f>
        <v/>
      </c>
      <c r="E845" s="29" t="str">
        <f>IF(Analysis!$I845="","",IF(Analysis!$I845="Embedded",Analysis!$C845,""))</f>
        <v/>
      </c>
      <c r="F845" s="29" t="str">
        <f>IF(Analysis!$I845="","",IF(Analysis!$I845="Loyal but shallow",Analysis!$C845,""))</f>
        <v/>
      </c>
      <c r="G845" s="29" t="str">
        <f>IF(Analysis!$I845="","",IF(Analysis!$I845="Project-driven",Analysis!$C845,""))</f>
        <v/>
      </c>
      <c r="H845" s="29" t="str">
        <f>IF(Analysis!$I845="","",IF(Analysis!$I845="Drifting",Analysis!$C845,""))</f>
        <v/>
      </c>
      <c r="I845" s="29" t="str">
        <f>IF(Analysis!$I845="","",IF(Analysis!$I845="Embedded",Analysis!$F845,""))</f>
        <v/>
      </c>
      <c r="J845" s="29" t="str">
        <f>IF(Analysis!$I845="","",IF(Analysis!$I845="Loyal but shallow",Analysis!$F845,""))</f>
        <v/>
      </c>
      <c r="K845" s="29" t="str">
        <f>IF(Analysis!$I845="","",IF(Analysis!$I845="Project-driven",Analysis!$F845,""))</f>
        <v/>
      </c>
      <c r="L845" s="29" t="str">
        <f>IF(Analysis!$I845="","",IF(Analysis!$I845="Drifting",Analysis!$F845,""))</f>
        <v/>
      </c>
      <c r="M845" s="29" t="str">
        <f>IF(Analysis!$I845="","",IF(Analysis!$I845="Embedded",Analysis!$H845,""))</f>
        <v/>
      </c>
      <c r="N845" s="29" t="str">
        <f>IF(Analysis!$I845="","",IF(Analysis!$I845="Loyal but shallow",Analysis!$H845,""))</f>
        <v/>
      </c>
      <c r="O845" s="29" t="str">
        <f>IF(Analysis!$I845="","",IF(Analysis!$I845="Project-driven",Analysis!$H845,""))</f>
        <v/>
      </c>
      <c r="P845" s="29" t="str">
        <f>IF(Analysis!$I845="","",IF(Analysis!$I845="Drifting",Analysis!$H845,""))</f>
        <v/>
      </c>
    </row>
    <row r="846" spans="1:16" x14ac:dyDescent="0.25">
      <c r="A846" s="29" t="str">
        <f>IF(Analysis!$I846="","",IF(Analysis!$I846="Embedded",Analysis!$D846,""))</f>
        <v/>
      </c>
      <c r="B846" s="29" t="str">
        <f>IF(Analysis!$I846="","",IF(Analysis!$I846="Loyal but shallow",Analysis!$D846,""))</f>
        <v/>
      </c>
      <c r="C846" s="29" t="str">
        <f>IF(Analysis!$I846="","",IF(Analysis!$I846="Project-driven",Analysis!$D846,""))</f>
        <v/>
      </c>
      <c r="D846" s="29" t="str">
        <f>IF(Analysis!$I846="","",IF(Analysis!$I846="Drifting",Analysis!$D846,""))</f>
        <v/>
      </c>
      <c r="E846" s="29" t="str">
        <f>IF(Analysis!$I846="","",IF(Analysis!$I846="Embedded",Analysis!$C846,""))</f>
        <v/>
      </c>
      <c r="F846" s="29" t="str">
        <f>IF(Analysis!$I846="","",IF(Analysis!$I846="Loyal but shallow",Analysis!$C846,""))</f>
        <v/>
      </c>
      <c r="G846" s="29" t="str">
        <f>IF(Analysis!$I846="","",IF(Analysis!$I846="Project-driven",Analysis!$C846,""))</f>
        <v/>
      </c>
      <c r="H846" s="29" t="str">
        <f>IF(Analysis!$I846="","",IF(Analysis!$I846="Drifting",Analysis!$C846,""))</f>
        <v/>
      </c>
      <c r="I846" s="29" t="str">
        <f>IF(Analysis!$I846="","",IF(Analysis!$I846="Embedded",Analysis!$F846,""))</f>
        <v/>
      </c>
      <c r="J846" s="29" t="str">
        <f>IF(Analysis!$I846="","",IF(Analysis!$I846="Loyal but shallow",Analysis!$F846,""))</f>
        <v/>
      </c>
      <c r="K846" s="29" t="str">
        <f>IF(Analysis!$I846="","",IF(Analysis!$I846="Project-driven",Analysis!$F846,""))</f>
        <v/>
      </c>
      <c r="L846" s="29" t="str">
        <f>IF(Analysis!$I846="","",IF(Analysis!$I846="Drifting",Analysis!$F846,""))</f>
        <v/>
      </c>
      <c r="M846" s="29" t="str">
        <f>IF(Analysis!$I846="","",IF(Analysis!$I846="Embedded",Analysis!$H846,""))</f>
        <v/>
      </c>
      <c r="N846" s="29" t="str">
        <f>IF(Analysis!$I846="","",IF(Analysis!$I846="Loyal but shallow",Analysis!$H846,""))</f>
        <v/>
      </c>
      <c r="O846" s="29" t="str">
        <f>IF(Analysis!$I846="","",IF(Analysis!$I846="Project-driven",Analysis!$H846,""))</f>
        <v/>
      </c>
      <c r="P846" s="29" t="str">
        <f>IF(Analysis!$I846="","",IF(Analysis!$I846="Drifting",Analysis!$H846,""))</f>
        <v/>
      </c>
    </row>
    <row r="847" spans="1:16" x14ac:dyDescent="0.25">
      <c r="A847" s="29" t="str">
        <f>IF(Analysis!$I847="","",IF(Analysis!$I847="Embedded",Analysis!$D847,""))</f>
        <v/>
      </c>
      <c r="B847" s="29" t="str">
        <f>IF(Analysis!$I847="","",IF(Analysis!$I847="Loyal but shallow",Analysis!$D847,""))</f>
        <v/>
      </c>
      <c r="C847" s="29" t="str">
        <f>IF(Analysis!$I847="","",IF(Analysis!$I847="Project-driven",Analysis!$D847,""))</f>
        <v/>
      </c>
      <c r="D847" s="29" t="str">
        <f>IF(Analysis!$I847="","",IF(Analysis!$I847="Drifting",Analysis!$D847,""))</f>
        <v/>
      </c>
      <c r="E847" s="29" t="str">
        <f>IF(Analysis!$I847="","",IF(Analysis!$I847="Embedded",Analysis!$C847,""))</f>
        <v/>
      </c>
      <c r="F847" s="29" t="str">
        <f>IF(Analysis!$I847="","",IF(Analysis!$I847="Loyal but shallow",Analysis!$C847,""))</f>
        <v/>
      </c>
      <c r="G847" s="29" t="str">
        <f>IF(Analysis!$I847="","",IF(Analysis!$I847="Project-driven",Analysis!$C847,""))</f>
        <v/>
      </c>
      <c r="H847" s="29" t="str">
        <f>IF(Analysis!$I847="","",IF(Analysis!$I847="Drifting",Analysis!$C847,""))</f>
        <v/>
      </c>
      <c r="I847" s="29" t="str">
        <f>IF(Analysis!$I847="","",IF(Analysis!$I847="Embedded",Analysis!$F847,""))</f>
        <v/>
      </c>
      <c r="J847" s="29" t="str">
        <f>IF(Analysis!$I847="","",IF(Analysis!$I847="Loyal but shallow",Analysis!$F847,""))</f>
        <v/>
      </c>
      <c r="K847" s="29" t="str">
        <f>IF(Analysis!$I847="","",IF(Analysis!$I847="Project-driven",Analysis!$F847,""))</f>
        <v/>
      </c>
      <c r="L847" s="29" t="str">
        <f>IF(Analysis!$I847="","",IF(Analysis!$I847="Drifting",Analysis!$F847,""))</f>
        <v/>
      </c>
      <c r="M847" s="29" t="str">
        <f>IF(Analysis!$I847="","",IF(Analysis!$I847="Embedded",Analysis!$H847,""))</f>
        <v/>
      </c>
      <c r="N847" s="29" t="str">
        <f>IF(Analysis!$I847="","",IF(Analysis!$I847="Loyal but shallow",Analysis!$H847,""))</f>
        <v/>
      </c>
      <c r="O847" s="29" t="str">
        <f>IF(Analysis!$I847="","",IF(Analysis!$I847="Project-driven",Analysis!$H847,""))</f>
        <v/>
      </c>
      <c r="P847" s="29" t="str">
        <f>IF(Analysis!$I847="","",IF(Analysis!$I847="Drifting",Analysis!$H847,""))</f>
        <v/>
      </c>
    </row>
    <row r="848" spans="1:16" x14ac:dyDescent="0.25">
      <c r="A848" s="29" t="str">
        <f>IF(Analysis!$I848="","",IF(Analysis!$I848="Embedded",Analysis!$D848,""))</f>
        <v/>
      </c>
      <c r="B848" s="29" t="str">
        <f>IF(Analysis!$I848="","",IF(Analysis!$I848="Loyal but shallow",Analysis!$D848,""))</f>
        <v/>
      </c>
      <c r="C848" s="29" t="str">
        <f>IF(Analysis!$I848="","",IF(Analysis!$I848="Project-driven",Analysis!$D848,""))</f>
        <v/>
      </c>
      <c r="D848" s="29" t="str">
        <f>IF(Analysis!$I848="","",IF(Analysis!$I848="Drifting",Analysis!$D848,""))</f>
        <v/>
      </c>
      <c r="E848" s="29" t="str">
        <f>IF(Analysis!$I848="","",IF(Analysis!$I848="Embedded",Analysis!$C848,""))</f>
        <v/>
      </c>
      <c r="F848" s="29" t="str">
        <f>IF(Analysis!$I848="","",IF(Analysis!$I848="Loyal but shallow",Analysis!$C848,""))</f>
        <v/>
      </c>
      <c r="G848" s="29" t="str">
        <f>IF(Analysis!$I848="","",IF(Analysis!$I848="Project-driven",Analysis!$C848,""))</f>
        <v/>
      </c>
      <c r="H848" s="29" t="str">
        <f>IF(Analysis!$I848="","",IF(Analysis!$I848="Drifting",Analysis!$C848,""))</f>
        <v/>
      </c>
      <c r="I848" s="29" t="str">
        <f>IF(Analysis!$I848="","",IF(Analysis!$I848="Embedded",Analysis!$F848,""))</f>
        <v/>
      </c>
      <c r="J848" s="29" t="str">
        <f>IF(Analysis!$I848="","",IF(Analysis!$I848="Loyal but shallow",Analysis!$F848,""))</f>
        <v/>
      </c>
      <c r="K848" s="29" t="str">
        <f>IF(Analysis!$I848="","",IF(Analysis!$I848="Project-driven",Analysis!$F848,""))</f>
        <v/>
      </c>
      <c r="L848" s="29" t="str">
        <f>IF(Analysis!$I848="","",IF(Analysis!$I848="Drifting",Analysis!$F848,""))</f>
        <v/>
      </c>
      <c r="M848" s="29" t="str">
        <f>IF(Analysis!$I848="","",IF(Analysis!$I848="Embedded",Analysis!$H848,""))</f>
        <v/>
      </c>
      <c r="N848" s="29" t="str">
        <f>IF(Analysis!$I848="","",IF(Analysis!$I848="Loyal but shallow",Analysis!$H848,""))</f>
        <v/>
      </c>
      <c r="O848" s="29" t="str">
        <f>IF(Analysis!$I848="","",IF(Analysis!$I848="Project-driven",Analysis!$H848,""))</f>
        <v/>
      </c>
      <c r="P848" s="29" t="str">
        <f>IF(Analysis!$I848="","",IF(Analysis!$I848="Drifting",Analysis!$H848,""))</f>
        <v/>
      </c>
    </row>
    <row r="849" spans="1:16" x14ac:dyDescent="0.25">
      <c r="A849" s="29" t="str">
        <f>IF(Analysis!$I849="","",IF(Analysis!$I849="Embedded",Analysis!$D849,""))</f>
        <v/>
      </c>
      <c r="B849" s="29" t="str">
        <f>IF(Analysis!$I849="","",IF(Analysis!$I849="Loyal but shallow",Analysis!$D849,""))</f>
        <v/>
      </c>
      <c r="C849" s="29" t="str">
        <f>IF(Analysis!$I849="","",IF(Analysis!$I849="Project-driven",Analysis!$D849,""))</f>
        <v/>
      </c>
      <c r="D849" s="29" t="str">
        <f>IF(Analysis!$I849="","",IF(Analysis!$I849="Drifting",Analysis!$D849,""))</f>
        <v/>
      </c>
      <c r="E849" s="29" t="str">
        <f>IF(Analysis!$I849="","",IF(Analysis!$I849="Embedded",Analysis!$C849,""))</f>
        <v/>
      </c>
      <c r="F849" s="29" t="str">
        <f>IF(Analysis!$I849="","",IF(Analysis!$I849="Loyal but shallow",Analysis!$C849,""))</f>
        <v/>
      </c>
      <c r="G849" s="29" t="str">
        <f>IF(Analysis!$I849="","",IF(Analysis!$I849="Project-driven",Analysis!$C849,""))</f>
        <v/>
      </c>
      <c r="H849" s="29" t="str">
        <f>IF(Analysis!$I849="","",IF(Analysis!$I849="Drifting",Analysis!$C849,""))</f>
        <v/>
      </c>
      <c r="I849" s="29" t="str">
        <f>IF(Analysis!$I849="","",IF(Analysis!$I849="Embedded",Analysis!$F849,""))</f>
        <v/>
      </c>
      <c r="J849" s="29" t="str">
        <f>IF(Analysis!$I849="","",IF(Analysis!$I849="Loyal but shallow",Analysis!$F849,""))</f>
        <v/>
      </c>
      <c r="K849" s="29" t="str">
        <f>IF(Analysis!$I849="","",IF(Analysis!$I849="Project-driven",Analysis!$F849,""))</f>
        <v/>
      </c>
      <c r="L849" s="29" t="str">
        <f>IF(Analysis!$I849="","",IF(Analysis!$I849="Drifting",Analysis!$F849,""))</f>
        <v/>
      </c>
      <c r="M849" s="29" t="str">
        <f>IF(Analysis!$I849="","",IF(Analysis!$I849="Embedded",Analysis!$H849,""))</f>
        <v/>
      </c>
      <c r="N849" s="29" t="str">
        <f>IF(Analysis!$I849="","",IF(Analysis!$I849="Loyal but shallow",Analysis!$H849,""))</f>
        <v/>
      </c>
      <c r="O849" s="29" t="str">
        <f>IF(Analysis!$I849="","",IF(Analysis!$I849="Project-driven",Analysis!$H849,""))</f>
        <v/>
      </c>
      <c r="P849" s="29" t="str">
        <f>IF(Analysis!$I849="","",IF(Analysis!$I849="Drifting",Analysis!$H849,""))</f>
        <v/>
      </c>
    </row>
    <row r="850" spans="1:16" x14ac:dyDescent="0.25">
      <c r="A850" s="29" t="str">
        <f>IF(Analysis!$I850="","",IF(Analysis!$I850="Embedded",Analysis!$D850,""))</f>
        <v/>
      </c>
      <c r="B850" s="29" t="str">
        <f>IF(Analysis!$I850="","",IF(Analysis!$I850="Loyal but shallow",Analysis!$D850,""))</f>
        <v/>
      </c>
      <c r="C850" s="29" t="str">
        <f>IF(Analysis!$I850="","",IF(Analysis!$I850="Project-driven",Analysis!$D850,""))</f>
        <v/>
      </c>
      <c r="D850" s="29" t="str">
        <f>IF(Analysis!$I850="","",IF(Analysis!$I850="Drifting",Analysis!$D850,""))</f>
        <v/>
      </c>
      <c r="E850" s="29" t="str">
        <f>IF(Analysis!$I850="","",IF(Analysis!$I850="Embedded",Analysis!$C850,""))</f>
        <v/>
      </c>
      <c r="F850" s="29" t="str">
        <f>IF(Analysis!$I850="","",IF(Analysis!$I850="Loyal but shallow",Analysis!$C850,""))</f>
        <v/>
      </c>
      <c r="G850" s="29" t="str">
        <f>IF(Analysis!$I850="","",IF(Analysis!$I850="Project-driven",Analysis!$C850,""))</f>
        <v/>
      </c>
      <c r="H850" s="29" t="str">
        <f>IF(Analysis!$I850="","",IF(Analysis!$I850="Drifting",Analysis!$C850,""))</f>
        <v/>
      </c>
      <c r="I850" s="29" t="str">
        <f>IF(Analysis!$I850="","",IF(Analysis!$I850="Embedded",Analysis!$F850,""))</f>
        <v/>
      </c>
      <c r="J850" s="29" t="str">
        <f>IF(Analysis!$I850="","",IF(Analysis!$I850="Loyal but shallow",Analysis!$F850,""))</f>
        <v/>
      </c>
      <c r="K850" s="29" t="str">
        <f>IF(Analysis!$I850="","",IF(Analysis!$I850="Project-driven",Analysis!$F850,""))</f>
        <v/>
      </c>
      <c r="L850" s="29" t="str">
        <f>IF(Analysis!$I850="","",IF(Analysis!$I850="Drifting",Analysis!$F850,""))</f>
        <v/>
      </c>
      <c r="M850" s="29" t="str">
        <f>IF(Analysis!$I850="","",IF(Analysis!$I850="Embedded",Analysis!$H850,""))</f>
        <v/>
      </c>
      <c r="N850" s="29" t="str">
        <f>IF(Analysis!$I850="","",IF(Analysis!$I850="Loyal but shallow",Analysis!$H850,""))</f>
        <v/>
      </c>
      <c r="O850" s="29" t="str">
        <f>IF(Analysis!$I850="","",IF(Analysis!$I850="Project-driven",Analysis!$H850,""))</f>
        <v/>
      </c>
      <c r="P850" s="29" t="str">
        <f>IF(Analysis!$I850="","",IF(Analysis!$I850="Drifting",Analysis!$H850,""))</f>
        <v/>
      </c>
    </row>
    <row r="851" spans="1:16" x14ac:dyDescent="0.25">
      <c r="A851" s="29" t="str">
        <f>IF(Analysis!$I851="","",IF(Analysis!$I851="Embedded",Analysis!$D851,""))</f>
        <v/>
      </c>
      <c r="B851" s="29" t="str">
        <f>IF(Analysis!$I851="","",IF(Analysis!$I851="Loyal but shallow",Analysis!$D851,""))</f>
        <v/>
      </c>
      <c r="C851" s="29" t="str">
        <f>IF(Analysis!$I851="","",IF(Analysis!$I851="Project-driven",Analysis!$D851,""))</f>
        <v/>
      </c>
      <c r="D851" s="29" t="str">
        <f>IF(Analysis!$I851="","",IF(Analysis!$I851="Drifting",Analysis!$D851,""))</f>
        <v/>
      </c>
      <c r="E851" s="29" t="str">
        <f>IF(Analysis!$I851="","",IF(Analysis!$I851="Embedded",Analysis!$C851,""))</f>
        <v/>
      </c>
      <c r="F851" s="29" t="str">
        <f>IF(Analysis!$I851="","",IF(Analysis!$I851="Loyal but shallow",Analysis!$C851,""))</f>
        <v/>
      </c>
      <c r="G851" s="29" t="str">
        <f>IF(Analysis!$I851="","",IF(Analysis!$I851="Project-driven",Analysis!$C851,""))</f>
        <v/>
      </c>
      <c r="H851" s="29" t="str">
        <f>IF(Analysis!$I851="","",IF(Analysis!$I851="Drifting",Analysis!$C851,""))</f>
        <v/>
      </c>
      <c r="I851" s="29" t="str">
        <f>IF(Analysis!$I851="","",IF(Analysis!$I851="Embedded",Analysis!$F851,""))</f>
        <v/>
      </c>
      <c r="J851" s="29" t="str">
        <f>IF(Analysis!$I851="","",IF(Analysis!$I851="Loyal but shallow",Analysis!$F851,""))</f>
        <v/>
      </c>
      <c r="K851" s="29" t="str">
        <f>IF(Analysis!$I851="","",IF(Analysis!$I851="Project-driven",Analysis!$F851,""))</f>
        <v/>
      </c>
      <c r="L851" s="29" t="str">
        <f>IF(Analysis!$I851="","",IF(Analysis!$I851="Drifting",Analysis!$F851,""))</f>
        <v/>
      </c>
      <c r="M851" s="29" t="str">
        <f>IF(Analysis!$I851="","",IF(Analysis!$I851="Embedded",Analysis!$H851,""))</f>
        <v/>
      </c>
      <c r="N851" s="29" t="str">
        <f>IF(Analysis!$I851="","",IF(Analysis!$I851="Loyal but shallow",Analysis!$H851,""))</f>
        <v/>
      </c>
      <c r="O851" s="29" t="str">
        <f>IF(Analysis!$I851="","",IF(Analysis!$I851="Project-driven",Analysis!$H851,""))</f>
        <v/>
      </c>
      <c r="P851" s="29" t="str">
        <f>IF(Analysis!$I851="","",IF(Analysis!$I851="Drifting",Analysis!$H851,""))</f>
        <v/>
      </c>
    </row>
    <row r="852" spans="1:16" x14ac:dyDescent="0.25">
      <c r="A852" s="29" t="str">
        <f>IF(Analysis!$I852="","",IF(Analysis!$I852="Embedded",Analysis!$D852,""))</f>
        <v/>
      </c>
      <c r="B852" s="29" t="str">
        <f>IF(Analysis!$I852="","",IF(Analysis!$I852="Loyal but shallow",Analysis!$D852,""))</f>
        <v/>
      </c>
      <c r="C852" s="29" t="str">
        <f>IF(Analysis!$I852="","",IF(Analysis!$I852="Project-driven",Analysis!$D852,""))</f>
        <v/>
      </c>
      <c r="D852" s="29" t="str">
        <f>IF(Analysis!$I852="","",IF(Analysis!$I852="Drifting",Analysis!$D852,""))</f>
        <v/>
      </c>
      <c r="E852" s="29" t="str">
        <f>IF(Analysis!$I852="","",IF(Analysis!$I852="Embedded",Analysis!$C852,""))</f>
        <v/>
      </c>
      <c r="F852" s="29" t="str">
        <f>IF(Analysis!$I852="","",IF(Analysis!$I852="Loyal but shallow",Analysis!$C852,""))</f>
        <v/>
      </c>
      <c r="G852" s="29" t="str">
        <f>IF(Analysis!$I852="","",IF(Analysis!$I852="Project-driven",Analysis!$C852,""))</f>
        <v/>
      </c>
      <c r="H852" s="29" t="str">
        <f>IF(Analysis!$I852="","",IF(Analysis!$I852="Drifting",Analysis!$C852,""))</f>
        <v/>
      </c>
      <c r="I852" s="29" t="str">
        <f>IF(Analysis!$I852="","",IF(Analysis!$I852="Embedded",Analysis!$F852,""))</f>
        <v/>
      </c>
      <c r="J852" s="29" t="str">
        <f>IF(Analysis!$I852="","",IF(Analysis!$I852="Loyal but shallow",Analysis!$F852,""))</f>
        <v/>
      </c>
      <c r="K852" s="29" t="str">
        <f>IF(Analysis!$I852="","",IF(Analysis!$I852="Project-driven",Analysis!$F852,""))</f>
        <v/>
      </c>
      <c r="L852" s="29" t="str">
        <f>IF(Analysis!$I852="","",IF(Analysis!$I852="Drifting",Analysis!$F852,""))</f>
        <v/>
      </c>
      <c r="M852" s="29" t="str">
        <f>IF(Analysis!$I852="","",IF(Analysis!$I852="Embedded",Analysis!$H852,""))</f>
        <v/>
      </c>
      <c r="N852" s="29" t="str">
        <f>IF(Analysis!$I852="","",IF(Analysis!$I852="Loyal but shallow",Analysis!$H852,""))</f>
        <v/>
      </c>
      <c r="O852" s="29" t="str">
        <f>IF(Analysis!$I852="","",IF(Analysis!$I852="Project-driven",Analysis!$H852,""))</f>
        <v/>
      </c>
      <c r="P852" s="29" t="str">
        <f>IF(Analysis!$I852="","",IF(Analysis!$I852="Drifting",Analysis!$H852,""))</f>
        <v/>
      </c>
    </row>
    <row r="853" spans="1:16" x14ac:dyDescent="0.25">
      <c r="A853" s="29" t="str">
        <f>IF(Analysis!$I853="","",IF(Analysis!$I853="Embedded",Analysis!$D853,""))</f>
        <v/>
      </c>
      <c r="B853" s="29" t="str">
        <f>IF(Analysis!$I853="","",IF(Analysis!$I853="Loyal but shallow",Analysis!$D853,""))</f>
        <v/>
      </c>
      <c r="C853" s="29" t="str">
        <f>IF(Analysis!$I853="","",IF(Analysis!$I853="Project-driven",Analysis!$D853,""))</f>
        <v/>
      </c>
      <c r="D853" s="29" t="str">
        <f>IF(Analysis!$I853="","",IF(Analysis!$I853="Drifting",Analysis!$D853,""))</f>
        <v/>
      </c>
      <c r="E853" s="29" t="str">
        <f>IF(Analysis!$I853="","",IF(Analysis!$I853="Embedded",Analysis!$C853,""))</f>
        <v/>
      </c>
      <c r="F853" s="29" t="str">
        <f>IF(Analysis!$I853="","",IF(Analysis!$I853="Loyal but shallow",Analysis!$C853,""))</f>
        <v/>
      </c>
      <c r="G853" s="29" t="str">
        <f>IF(Analysis!$I853="","",IF(Analysis!$I853="Project-driven",Analysis!$C853,""))</f>
        <v/>
      </c>
      <c r="H853" s="29" t="str">
        <f>IF(Analysis!$I853="","",IF(Analysis!$I853="Drifting",Analysis!$C853,""))</f>
        <v/>
      </c>
      <c r="I853" s="29" t="str">
        <f>IF(Analysis!$I853="","",IF(Analysis!$I853="Embedded",Analysis!$F853,""))</f>
        <v/>
      </c>
      <c r="J853" s="29" t="str">
        <f>IF(Analysis!$I853="","",IF(Analysis!$I853="Loyal but shallow",Analysis!$F853,""))</f>
        <v/>
      </c>
      <c r="K853" s="29" t="str">
        <f>IF(Analysis!$I853="","",IF(Analysis!$I853="Project-driven",Analysis!$F853,""))</f>
        <v/>
      </c>
      <c r="L853" s="29" t="str">
        <f>IF(Analysis!$I853="","",IF(Analysis!$I853="Drifting",Analysis!$F853,""))</f>
        <v/>
      </c>
      <c r="M853" s="29" t="str">
        <f>IF(Analysis!$I853="","",IF(Analysis!$I853="Embedded",Analysis!$H853,""))</f>
        <v/>
      </c>
      <c r="N853" s="29" t="str">
        <f>IF(Analysis!$I853="","",IF(Analysis!$I853="Loyal but shallow",Analysis!$H853,""))</f>
        <v/>
      </c>
      <c r="O853" s="29" t="str">
        <f>IF(Analysis!$I853="","",IF(Analysis!$I853="Project-driven",Analysis!$H853,""))</f>
        <v/>
      </c>
      <c r="P853" s="29" t="str">
        <f>IF(Analysis!$I853="","",IF(Analysis!$I853="Drifting",Analysis!$H853,""))</f>
        <v/>
      </c>
    </row>
    <row r="854" spans="1:16" x14ac:dyDescent="0.25">
      <c r="A854" s="29" t="str">
        <f>IF(Analysis!$I854="","",IF(Analysis!$I854="Embedded",Analysis!$D854,""))</f>
        <v/>
      </c>
      <c r="B854" s="29" t="str">
        <f>IF(Analysis!$I854="","",IF(Analysis!$I854="Loyal but shallow",Analysis!$D854,""))</f>
        <v/>
      </c>
      <c r="C854" s="29" t="str">
        <f>IF(Analysis!$I854="","",IF(Analysis!$I854="Project-driven",Analysis!$D854,""))</f>
        <v/>
      </c>
      <c r="D854" s="29" t="str">
        <f>IF(Analysis!$I854="","",IF(Analysis!$I854="Drifting",Analysis!$D854,""))</f>
        <v/>
      </c>
      <c r="E854" s="29" t="str">
        <f>IF(Analysis!$I854="","",IF(Analysis!$I854="Embedded",Analysis!$C854,""))</f>
        <v/>
      </c>
      <c r="F854" s="29" t="str">
        <f>IF(Analysis!$I854="","",IF(Analysis!$I854="Loyal but shallow",Analysis!$C854,""))</f>
        <v/>
      </c>
      <c r="G854" s="29" t="str">
        <f>IF(Analysis!$I854="","",IF(Analysis!$I854="Project-driven",Analysis!$C854,""))</f>
        <v/>
      </c>
      <c r="H854" s="29" t="str">
        <f>IF(Analysis!$I854="","",IF(Analysis!$I854="Drifting",Analysis!$C854,""))</f>
        <v/>
      </c>
      <c r="I854" s="29" t="str">
        <f>IF(Analysis!$I854="","",IF(Analysis!$I854="Embedded",Analysis!$F854,""))</f>
        <v/>
      </c>
      <c r="J854" s="29" t="str">
        <f>IF(Analysis!$I854="","",IF(Analysis!$I854="Loyal but shallow",Analysis!$F854,""))</f>
        <v/>
      </c>
      <c r="K854" s="29" t="str">
        <f>IF(Analysis!$I854="","",IF(Analysis!$I854="Project-driven",Analysis!$F854,""))</f>
        <v/>
      </c>
      <c r="L854" s="29" t="str">
        <f>IF(Analysis!$I854="","",IF(Analysis!$I854="Drifting",Analysis!$F854,""))</f>
        <v/>
      </c>
      <c r="M854" s="29" t="str">
        <f>IF(Analysis!$I854="","",IF(Analysis!$I854="Embedded",Analysis!$H854,""))</f>
        <v/>
      </c>
      <c r="N854" s="29" t="str">
        <f>IF(Analysis!$I854="","",IF(Analysis!$I854="Loyal but shallow",Analysis!$H854,""))</f>
        <v/>
      </c>
      <c r="O854" s="29" t="str">
        <f>IF(Analysis!$I854="","",IF(Analysis!$I854="Project-driven",Analysis!$H854,""))</f>
        <v/>
      </c>
      <c r="P854" s="29" t="str">
        <f>IF(Analysis!$I854="","",IF(Analysis!$I854="Drifting",Analysis!$H854,""))</f>
        <v/>
      </c>
    </row>
    <row r="855" spans="1:16" x14ac:dyDescent="0.25">
      <c r="A855" s="29" t="str">
        <f>IF(Analysis!$I855="","",IF(Analysis!$I855="Embedded",Analysis!$D855,""))</f>
        <v/>
      </c>
      <c r="B855" s="29" t="str">
        <f>IF(Analysis!$I855="","",IF(Analysis!$I855="Loyal but shallow",Analysis!$D855,""))</f>
        <v/>
      </c>
      <c r="C855" s="29" t="str">
        <f>IF(Analysis!$I855="","",IF(Analysis!$I855="Project-driven",Analysis!$D855,""))</f>
        <v/>
      </c>
      <c r="D855" s="29" t="str">
        <f>IF(Analysis!$I855="","",IF(Analysis!$I855="Drifting",Analysis!$D855,""))</f>
        <v/>
      </c>
      <c r="E855" s="29" t="str">
        <f>IF(Analysis!$I855="","",IF(Analysis!$I855="Embedded",Analysis!$C855,""))</f>
        <v/>
      </c>
      <c r="F855" s="29" t="str">
        <f>IF(Analysis!$I855="","",IF(Analysis!$I855="Loyal but shallow",Analysis!$C855,""))</f>
        <v/>
      </c>
      <c r="G855" s="29" t="str">
        <f>IF(Analysis!$I855="","",IF(Analysis!$I855="Project-driven",Analysis!$C855,""))</f>
        <v/>
      </c>
      <c r="H855" s="29" t="str">
        <f>IF(Analysis!$I855="","",IF(Analysis!$I855="Drifting",Analysis!$C855,""))</f>
        <v/>
      </c>
      <c r="I855" s="29" t="str">
        <f>IF(Analysis!$I855="","",IF(Analysis!$I855="Embedded",Analysis!$F855,""))</f>
        <v/>
      </c>
      <c r="J855" s="29" t="str">
        <f>IF(Analysis!$I855="","",IF(Analysis!$I855="Loyal but shallow",Analysis!$F855,""))</f>
        <v/>
      </c>
      <c r="K855" s="29" t="str">
        <f>IF(Analysis!$I855="","",IF(Analysis!$I855="Project-driven",Analysis!$F855,""))</f>
        <v/>
      </c>
      <c r="L855" s="29" t="str">
        <f>IF(Analysis!$I855="","",IF(Analysis!$I855="Drifting",Analysis!$F855,""))</f>
        <v/>
      </c>
      <c r="M855" s="29" t="str">
        <f>IF(Analysis!$I855="","",IF(Analysis!$I855="Embedded",Analysis!$H855,""))</f>
        <v/>
      </c>
      <c r="N855" s="29" t="str">
        <f>IF(Analysis!$I855="","",IF(Analysis!$I855="Loyal but shallow",Analysis!$H855,""))</f>
        <v/>
      </c>
      <c r="O855" s="29" t="str">
        <f>IF(Analysis!$I855="","",IF(Analysis!$I855="Project-driven",Analysis!$H855,""))</f>
        <v/>
      </c>
      <c r="P855" s="29" t="str">
        <f>IF(Analysis!$I855="","",IF(Analysis!$I855="Drifting",Analysis!$H855,""))</f>
        <v/>
      </c>
    </row>
    <row r="856" spans="1:16" x14ac:dyDescent="0.25">
      <c r="A856" s="29" t="str">
        <f>IF(Analysis!$I856="","",IF(Analysis!$I856="Embedded",Analysis!$D856,""))</f>
        <v/>
      </c>
      <c r="B856" s="29" t="str">
        <f>IF(Analysis!$I856="","",IF(Analysis!$I856="Loyal but shallow",Analysis!$D856,""))</f>
        <v/>
      </c>
      <c r="C856" s="29" t="str">
        <f>IF(Analysis!$I856="","",IF(Analysis!$I856="Project-driven",Analysis!$D856,""))</f>
        <v/>
      </c>
      <c r="D856" s="29" t="str">
        <f>IF(Analysis!$I856="","",IF(Analysis!$I856="Drifting",Analysis!$D856,""))</f>
        <v/>
      </c>
      <c r="E856" s="29" t="str">
        <f>IF(Analysis!$I856="","",IF(Analysis!$I856="Embedded",Analysis!$C856,""))</f>
        <v/>
      </c>
      <c r="F856" s="29" t="str">
        <f>IF(Analysis!$I856="","",IF(Analysis!$I856="Loyal but shallow",Analysis!$C856,""))</f>
        <v/>
      </c>
      <c r="G856" s="29" t="str">
        <f>IF(Analysis!$I856="","",IF(Analysis!$I856="Project-driven",Analysis!$C856,""))</f>
        <v/>
      </c>
      <c r="H856" s="29" t="str">
        <f>IF(Analysis!$I856="","",IF(Analysis!$I856="Drifting",Analysis!$C856,""))</f>
        <v/>
      </c>
      <c r="I856" s="29" t="str">
        <f>IF(Analysis!$I856="","",IF(Analysis!$I856="Embedded",Analysis!$F856,""))</f>
        <v/>
      </c>
      <c r="J856" s="29" t="str">
        <f>IF(Analysis!$I856="","",IF(Analysis!$I856="Loyal but shallow",Analysis!$F856,""))</f>
        <v/>
      </c>
      <c r="K856" s="29" t="str">
        <f>IF(Analysis!$I856="","",IF(Analysis!$I856="Project-driven",Analysis!$F856,""))</f>
        <v/>
      </c>
      <c r="L856" s="29" t="str">
        <f>IF(Analysis!$I856="","",IF(Analysis!$I856="Drifting",Analysis!$F856,""))</f>
        <v/>
      </c>
      <c r="M856" s="29" t="str">
        <f>IF(Analysis!$I856="","",IF(Analysis!$I856="Embedded",Analysis!$H856,""))</f>
        <v/>
      </c>
      <c r="N856" s="29" t="str">
        <f>IF(Analysis!$I856="","",IF(Analysis!$I856="Loyal but shallow",Analysis!$H856,""))</f>
        <v/>
      </c>
      <c r="O856" s="29" t="str">
        <f>IF(Analysis!$I856="","",IF(Analysis!$I856="Project-driven",Analysis!$H856,""))</f>
        <v/>
      </c>
      <c r="P856" s="29" t="str">
        <f>IF(Analysis!$I856="","",IF(Analysis!$I856="Drifting",Analysis!$H856,""))</f>
        <v/>
      </c>
    </row>
    <row r="857" spans="1:16" x14ac:dyDescent="0.25">
      <c r="A857" s="29" t="str">
        <f>IF(Analysis!$I857="","",IF(Analysis!$I857="Embedded",Analysis!$D857,""))</f>
        <v/>
      </c>
      <c r="B857" s="29" t="str">
        <f>IF(Analysis!$I857="","",IF(Analysis!$I857="Loyal but shallow",Analysis!$D857,""))</f>
        <v/>
      </c>
      <c r="C857" s="29" t="str">
        <f>IF(Analysis!$I857="","",IF(Analysis!$I857="Project-driven",Analysis!$D857,""))</f>
        <v/>
      </c>
      <c r="D857" s="29" t="str">
        <f>IF(Analysis!$I857="","",IF(Analysis!$I857="Drifting",Analysis!$D857,""))</f>
        <v/>
      </c>
      <c r="E857" s="29" t="str">
        <f>IF(Analysis!$I857="","",IF(Analysis!$I857="Embedded",Analysis!$C857,""))</f>
        <v/>
      </c>
      <c r="F857" s="29" t="str">
        <f>IF(Analysis!$I857="","",IF(Analysis!$I857="Loyal but shallow",Analysis!$C857,""))</f>
        <v/>
      </c>
      <c r="G857" s="29" t="str">
        <f>IF(Analysis!$I857="","",IF(Analysis!$I857="Project-driven",Analysis!$C857,""))</f>
        <v/>
      </c>
      <c r="H857" s="29" t="str">
        <f>IF(Analysis!$I857="","",IF(Analysis!$I857="Drifting",Analysis!$C857,""))</f>
        <v/>
      </c>
      <c r="I857" s="29" t="str">
        <f>IF(Analysis!$I857="","",IF(Analysis!$I857="Embedded",Analysis!$F857,""))</f>
        <v/>
      </c>
      <c r="J857" s="29" t="str">
        <f>IF(Analysis!$I857="","",IF(Analysis!$I857="Loyal but shallow",Analysis!$F857,""))</f>
        <v/>
      </c>
      <c r="K857" s="29" t="str">
        <f>IF(Analysis!$I857="","",IF(Analysis!$I857="Project-driven",Analysis!$F857,""))</f>
        <v/>
      </c>
      <c r="L857" s="29" t="str">
        <f>IF(Analysis!$I857="","",IF(Analysis!$I857="Drifting",Analysis!$F857,""))</f>
        <v/>
      </c>
      <c r="M857" s="29" t="str">
        <f>IF(Analysis!$I857="","",IF(Analysis!$I857="Embedded",Analysis!$H857,""))</f>
        <v/>
      </c>
      <c r="N857" s="29" t="str">
        <f>IF(Analysis!$I857="","",IF(Analysis!$I857="Loyal but shallow",Analysis!$H857,""))</f>
        <v/>
      </c>
      <c r="O857" s="29" t="str">
        <f>IF(Analysis!$I857="","",IF(Analysis!$I857="Project-driven",Analysis!$H857,""))</f>
        <v/>
      </c>
      <c r="P857" s="29" t="str">
        <f>IF(Analysis!$I857="","",IF(Analysis!$I857="Drifting",Analysis!$H857,""))</f>
        <v/>
      </c>
    </row>
    <row r="858" spans="1:16" x14ac:dyDescent="0.25">
      <c r="A858" s="29" t="str">
        <f>IF(Analysis!$I858="","",IF(Analysis!$I858="Embedded",Analysis!$D858,""))</f>
        <v/>
      </c>
      <c r="B858" s="29" t="str">
        <f>IF(Analysis!$I858="","",IF(Analysis!$I858="Loyal but shallow",Analysis!$D858,""))</f>
        <v/>
      </c>
      <c r="C858" s="29" t="str">
        <f>IF(Analysis!$I858="","",IF(Analysis!$I858="Project-driven",Analysis!$D858,""))</f>
        <v/>
      </c>
      <c r="D858" s="29" t="str">
        <f>IF(Analysis!$I858="","",IF(Analysis!$I858="Drifting",Analysis!$D858,""))</f>
        <v/>
      </c>
      <c r="E858" s="29" t="str">
        <f>IF(Analysis!$I858="","",IF(Analysis!$I858="Embedded",Analysis!$C858,""))</f>
        <v/>
      </c>
      <c r="F858" s="29" t="str">
        <f>IF(Analysis!$I858="","",IF(Analysis!$I858="Loyal but shallow",Analysis!$C858,""))</f>
        <v/>
      </c>
      <c r="G858" s="29" t="str">
        <f>IF(Analysis!$I858="","",IF(Analysis!$I858="Project-driven",Analysis!$C858,""))</f>
        <v/>
      </c>
      <c r="H858" s="29" t="str">
        <f>IF(Analysis!$I858="","",IF(Analysis!$I858="Drifting",Analysis!$C858,""))</f>
        <v/>
      </c>
      <c r="I858" s="29" t="str">
        <f>IF(Analysis!$I858="","",IF(Analysis!$I858="Embedded",Analysis!$F858,""))</f>
        <v/>
      </c>
      <c r="J858" s="29" t="str">
        <f>IF(Analysis!$I858="","",IF(Analysis!$I858="Loyal but shallow",Analysis!$F858,""))</f>
        <v/>
      </c>
      <c r="K858" s="29" t="str">
        <f>IF(Analysis!$I858="","",IF(Analysis!$I858="Project-driven",Analysis!$F858,""))</f>
        <v/>
      </c>
      <c r="L858" s="29" t="str">
        <f>IF(Analysis!$I858="","",IF(Analysis!$I858="Drifting",Analysis!$F858,""))</f>
        <v/>
      </c>
      <c r="M858" s="29" t="str">
        <f>IF(Analysis!$I858="","",IF(Analysis!$I858="Embedded",Analysis!$H858,""))</f>
        <v/>
      </c>
      <c r="N858" s="29" t="str">
        <f>IF(Analysis!$I858="","",IF(Analysis!$I858="Loyal but shallow",Analysis!$H858,""))</f>
        <v/>
      </c>
      <c r="O858" s="29" t="str">
        <f>IF(Analysis!$I858="","",IF(Analysis!$I858="Project-driven",Analysis!$H858,""))</f>
        <v/>
      </c>
      <c r="P858" s="29" t="str">
        <f>IF(Analysis!$I858="","",IF(Analysis!$I858="Drifting",Analysis!$H858,""))</f>
        <v/>
      </c>
    </row>
    <row r="859" spans="1:16" x14ac:dyDescent="0.25">
      <c r="A859" s="29" t="str">
        <f>IF(Analysis!$I859="","",IF(Analysis!$I859="Embedded",Analysis!$D859,""))</f>
        <v/>
      </c>
      <c r="B859" s="29" t="str">
        <f>IF(Analysis!$I859="","",IF(Analysis!$I859="Loyal but shallow",Analysis!$D859,""))</f>
        <v/>
      </c>
      <c r="C859" s="29" t="str">
        <f>IF(Analysis!$I859="","",IF(Analysis!$I859="Project-driven",Analysis!$D859,""))</f>
        <v/>
      </c>
      <c r="D859" s="29" t="str">
        <f>IF(Analysis!$I859="","",IF(Analysis!$I859="Drifting",Analysis!$D859,""))</f>
        <v/>
      </c>
      <c r="E859" s="29" t="str">
        <f>IF(Analysis!$I859="","",IF(Analysis!$I859="Embedded",Analysis!$C859,""))</f>
        <v/>
      </c>
      <c r="F859" s="29" t="str">
        <f>IF(Analysis!$I859="","",IF(Analysis!$I859="Loyal but shallow",Analysis!$C859,""))</f>
        <v/>
      </c>
      <c r="G859" s="29" t="str">
        <f>IF(Analysis!$I859="","",IF(Analysis!$I859="Project-driven",Analysis!$C859,""))</f>
        <v/>
      </c>
      <c r="H859" s="29" t="str">
        <f>IF(Analysis!$I859="","",IF(Analysis!$I859="Drifting",Analysis!$C859,""))</f>
        <v/>
      </c>
      <c r="I859" s="29" t="str">
        <f>IF(Analysis!$I859="","",IF(Analysis!$I859="Embedded",Analysis!$F859,""))</f>
        <v/>
      </c>
      <c r="J859" s="29" t="str">
        <f>IF(Analysis!$I859="","",IF(Analysis!$I859="Loyal but shallow",Analysis!$F859,""))</f>
        <v/>
      </c>
      <c r="K859" s="29" t="str">
        <f>IF(Analysis!$I859="","",IF(Analysis!$I859="Project-driven",Analysis!$F859,""))</f>
        <v/>
      </c>
      <c r="L859" s="29" t="str">
        <f>IF(Analysis!$I859="","",IF(Analysis!$I859="Drifting",Analysis!$F859,""))</f>
        <v/>
      </c>
      <c r="M859" s="29" t="str">
        <f>IF(Analysis!$I859="","",IF(Analysis!$I859="Embedded",Analysis!$H859,""))</f>
        <v/>
      </c>
      <c r="N859" s="29" t="str">
        <f>IF(Analysis!$I859="","",IF(Analysis!$I859="Loyal but shallow",Analysis!$H859,""))</f>
        <v/>
      </c>
      <c r="O859" s="29" t="str">
        <f>IF(Analysis!$I859="","",IF(Analysis!$I859="Project-driven",Analysis!$H859,""))</f>
        <v/>
      </c>
      <c r="P859" s="29" t="str">
        <f>IF(Analysis!$I859="","",IF(Analysis!$I859="Drifting",Analysis!$H859,""))</f>
        <v/>
      </c>
    </row>
    <row r="860" spans="1:16" x14ac:dyDescent="0.25">
      <c r="A860" s="29" t="str">
        <f>IF(Analysis!$I860="","",IF(Analysis!$I860="Embedded",Analysis!$D860,""))</f>
        <v/>
      </c>
      <c r="B860" s="29" t="str">
        <f>IF(Analysis!$I860="","",IF(Analysis!$I860="Loyal but shallow",Analysis!$D860,""))</f>
        <v/>
      </c>
      <c r="C860" s="29" t="str">
        <f>IF(Analysis!$I860="","",IF(Analysis!$I860="Project-driven",Analysis!$D860,""))</f>
        <v/>
      </c>
      <c r="D860" s="29" t="str">
        <f>IF(Analysis!$I860="","",IF(Analysis!$I860="Drifting",Analysis!$D860,""))</f>
        <v/>
      </c>
      <c r="E860" s="29" t="str">
        <f>IF(Analysis!$I860="","",IF(Analysis!$I860="Embedded",Analysis!$C860,""))</f>
        <v/>
      </c>
      <c r="F860" s="29" t="str">
        <f>IF(Analysis!$I860="","",IF(Analysis!$I860="Loyal but shallow",Analysis!$C860,""))</f>
        <v/>
      </c>
      <c r="G860" s="29" t="str">
        <f>IF(Analysis!$I860="","",IF(Analysis!$I860="Project-driven",Analysis!$C860,""))</f>
        <v/>
      </c>
      <c r="H860" s="29" t="str">
        <f>IF(Analysis!$I860="","",IF(Analysis!$I860="Drifting",Analysis!$C860,""))</f>
        <v/>
      </c>
      <c r="I860" s="29" t="str">
        <f>IF(Analysis!$I860="","",IF(Analysis!$I860="Embedded",Analysis!$F860,""))</f>
        <v/>
      </c>
      <c r="J860" s="29" t="str">
        <f>IF(Analysis!$I860="","",IF(Analysis!$I860="Loyal but shallow",Analysis!$F860,""))</f>
        <v/>
      </c>
      <c r="K860" s="29" t="str">
        <f>IF(Analysis!$I860="","",IF(Analysis!$I860="Project-driven",Analysis!$F860,""))</f>
        <v/>
      </c>
      <c r="L860" s="29" t="str">
        <f>IF(Analysis!$I860="","",IF(Analysis!$I860="Drifting",Analysis!$F860,""))</f>
        <v/>
      </c>
      <c r="M860" s="29" t="str">
        <f>IF(Analysis!$I860="","",IF(Analysis!$I860="Embedded",Analysis!$H860,""))</f>
        <v/>
      </c>
      <c r="N860" s="29" t="str">
        <f>IF(Analysis!$I860="","",IF(Analysis!$I860="Loyal but shallow",Analysis!$H860,""))</f>
        <v/>
      </c>
      <c r="O860" s="29" t="str">
        <f>IF(Analysis!$I860="","",IF(Analysis!$I860="Project-driven",Analysis!$H860,""))</f>
        <v/>
      </c>
      <c r="P860" s="29" t="str">
        <f>IF(Analysis!$I860="","",IF(Analysis!$I860="Drifting",Analysis!$H860,""))</f>
        <v/>
      </c>
    </row>
    <row r="861" spans="1:16" x14ac:dyDescent="0.25">
      <c r="A861" s="29" t="str">
        <f>IF(Analysis!$I861="","",IF(Analysis!$I861="Embedded",Analysis!$D861,""))</f>
        <v/>
      </c>
      <c r="B861" s="29" t="str">
        <f>IF(Analysis!$I861="","",IF(Analysis!$I861="Loyal but shallow",Analysis!$D861,""))</f>
        <v/>
      </c>
      <c r="C861" s="29" t="str">
        <f>IF(Analysis!$I861="","",IF(Analysis!$I861="Project-driven",Analysis!$D861,""))</f>
        <v/>
      </c>
      <c r="D861" s="29" t="str">
        <f>IF(Analysis!$I861="","",IF(Analysis!$I861="Drifting",Analysis!$D861,""))</f>
        <v/>
      </c>
      <c r="E861" s="29" t="str">
        <f>IF(Analysis!$I861="","",IF(Analysis!$I861="Embedded",Analysis!$C861,""))</f>
        <v/>
      </c>
      <c r="F861" s="29" t="str">
        <f>IF(Analysis!$I861="","",IF(Analysis!$I861="Loyal but shallow",Analysis!$C861,""))</f>
        <v/>
      </c>
      <c r="G861" s="29" t="str">
        <f>IF(Analysis!$I861="","",IF(Analysis!$I861="Project-driven",Analysis!$C861,""))</f>
        <v/>
      </c>
      <c r="H861" s="29" t="str">
        <f>IF(Analysis!$I861="","",IF(Analysis!$I861="Drifting",Analysis!$C861,""))</f>
        <v/>
      </c>
      <c r="I861" s="29" t="str">
        <f>IF(Analysis!$I861="","",IF(Analysis!$I861="Embedded",Analysis!$F861,""))</f>
        <v/>
      </c>
      <c r="J861" s="29" t="str">
        <f>IF(Analysis!$I861="","",IF(Analysis!$I861="Loyal but shallow",Analysis!$F861,""))</f>
        <v/>
      </c>
      <c r="K861" s="29" t="str">
        <f>IF(Analysis!$I861="","",IF(Analysis!$I861="Project-driven",Analysis!$F861,""))</f>
        <v/>
      </c>
      <c r="L861" s="29" t="str">
        <f>IF(Analysis!$I861="","",IF(Analysis!$I861="Drifting",Analysis!$F861,""))</f>
        <v/>
      </c>
      <c r="M861" s="29" t="str">
        <f>IF(Analysis!$I861="","",IF(Analysis!$I861="Embedded",Analysis!$H861,""))</f>
        <v/>
      </c>
      <c r="N861" s="29" t="str">
        <f>IF(Analysis!$I861="","",IF(Analysis!$I861="Loyal but shallow",Analysis!$H861,""))</f>
        <v/>
      </c>
      <c r="O861" s="29" t="str">
        <f>IF(Analysis!$I861="","",IF(Analysis!$I861="Project-driven",Analysis!$H861,""))</f>
        <v/>
      </c>
      <c r="P861" s="29" t="str">
        <f>IF(Analysis!$I861="","",IF(Analysis!$I861="Drifting",Analysis!$H861,""))</f>
        <v/>
      </c>
    </row>
    <row r="862" spans="1:16" x14ac:dyDescent="0.25">
      <c r="A862" s="29" t="str">
        <f>IF(Analysis!$I862="","",IF(Analysis!$I862="Embedded",Analysis!$D862,""))</f>
        <v/>
      </c>
      <c r="B862" s="29" t="str">
        <f>IF(Analysis!$I862="","",IF(Analysis!$I862="Loyal but shallow",Analysis!$D862,""))</f>
        <v/>
      </c>
      <c r="C862" s="29" t="str">
        <f>IF(Analysis!$I862="","",IF(Analysis!$I862="Project-driven",Analysis!$D862,""))</f>
        <v/>
      </c>
      <c r="D862" s="29" t="str">
        <f>IF(Analysis!$I862="","",IF(Analysis!$I862="Drifting",Analysis!$D862,""))</f>
        <v/>
      </c>
      <c r="E862" s="29" t="str">
        <f>IF(Analysis!$I862="","",IF(Analysis!$I862="Embedded",Analysis!$C862,""))</f>
        <v/>
      </c>
      <c r="F862" s="29" t="str">
        <f>IF(Analysis!$I862="","",IF(Analysis!$I862="Loyal but shallow",Analysis!$C862,""))</f>
        <v/>
      </c>
      <c r="G862" s="29" t="str">
        <f>IF(Analysis!$I862="","",IF(Analysis!$I862="Project-driven",Analysis!$C862,""))</f>
        <v/>
      </c>
      <c r="H862" s="29" t="str">
        <f>IF(Analysis!$I862="","",IF(Analysis!$I862="Drifting",Analysis!$C862,""))</f>
        <v/>
      </c>
      <c r="I862" s="29" t="str">
        <f>IF(Analysis!$I862="","",IF(Analysis!$I862="Embedded",Analysis!$F862,""))</f>
        <v/>
      </c>
      <c r="J862" s="29" t="str">
        <f>IF(Analysis!$I862="","",IF(Analysis!$I862="Loyal but shallow",Analysis!$F862,""))</f>
        <v/>
      </c>
      <c r="K862" s="29" t="str">
        <f>IF(Analysis!$I862="","",IF(Analysis!$I862="Project-driven",Analysis!$F862,""))</f>
        <v/>
      </c>
      <c r="L862" s="29" t="str">
        <f>IF(Analysis!$I862="","",IF(Analysis!$I862="Drifting",Analysis!$F862,""))</f>
        <v/>
      </c>
      <c r="M862" s="29" t="str">
        <f>IF(Analysis!$I862="","",IF(Analysis!$I862="Embedded",Analysis!$H862,""))</f>
        <v/>
      </c>
      <c r="N862" s="29" t="str">
        <f>IF(Analysis!$I862="","",IF(Analysis!$I862="Loyal but shallow",Analysis!$H862,""))</f>
        <v/>
      </c>
      <c r="O862" s="29" t="str">
        <f>IF(Analysis!$I862="","",IF(Analysis!$I862="Project-driven",Analysis!$H862,""))</f>
        <v/>
      </c>
      <c r="P862" s="29" t="str">
        <f>IF(Analysis!$I862="","",IF(Analysis!$I862="Drifting",Analysis!$H862,""))</f>
        <v/>
      </c>
    </row>
    <row r="863" spans="1:16" x14ac:dyDescent="0.25">
      <c r="A863" s="29" t="str">
        <f>IF(Analysis!$I863="","",IF(Analysis!$I863="Embedded",Analysis!$D863,""))</f>
        <v/>
      </c>
      <c r="B863" s="29" t="str">
        <f>IF(Analysis!$I863="","",IF(Analysis!$I863="Loyal but shallow",Analysis!$D863,""))</f>
        <v/>
      </c>
      <c r="C863" s="29" t="str">
        <f>IF(Analysis!$I863="","",IF(Analysis!$I863="Project-driven",Analysis!$D863,""))</f>
        <v/>
      </c>
      <c r="D863" s="29" t="str">
        <f>IF(Analysis!$I863="","",IF(Analysis!$I863="Drifting",Analysis!$D863,""))</f>
        <v/>
      </c>
      <c r="E863" s="29" t="str">
        <f>IF(Analysis!$I863="","",IF(Analysis!$I863="Embedded",Analysis!$C863,""))</f>
        <v/>
      </c>
      <c r="F863" s="29" t="str">
        <f>IF(Analysis!$I863="","",IF(Analysis!$I863="Loyal but shallow",Analysis!$C863,""))</f>
        <v/>
      </c>
      <c r="G863" s="29" t="str">
        <f>IF(Analysis!$I863="","",IF(Analysis!$I863="Project-driven",Analysis!$C863,""))</f>
        <v/>
      </c>
      <c r="H863" s="29" t="str">
        <f>IF(Analysis!$I863="","",IF(Analysis!$I863="Drifting",Analysis!$C863,""))</f>
        <v/>
      </c>
      <c r="I863" s="29" t="str">
        <f>IF(Analysis!$I863="","",IF(Analysis!$I863="Embedded",Analysis!$F863,""))</f>
        <v/>
      </c>
      <c r="J863" s="29" t="str">
        <f>IF(Analysis!$I863="","",IF(Analysis!$I863="Loyal but shallow",Analysis!$F863,""))</f>
        <v/>
      </c>
      <c r="K863" s="29" t="str">
        <f>IF(Analysis!$I863="","",IF(Analysis!$I863="Project-driven",Analysis!$F863,""))</f>
        <v/>
      </c>
      <c r="L863" s="29" t="str">
        <f>IF(Analysis!$I863="","",IF(Analysis!$I863="Drifting",Analysis!$F863,""))</f>
        <v/>
      </c>
      <c r="M863" s="29" t="str">
        <f>IF(Analysis!$I863="","",IF(Analysis!$I863="Embedded",Analysis!$H863,""))</f>
        <v/>
      </c>
      <c r="N863" s="29" t="str">
        <f>IF(Analysis!$I863="","",IF(Analysis!$I863="Loyal but shallow",Analysis!$H863,""))</f>
        <v/>
      </c>
      <c r="O863" s="29" t="str">
        <f>IF(Analysis!$I863="","",IF(Analysis!$I863="Project-driven",Analysis!$H863,""))</f>
        <v/>
      </c>
      <c r="P863" s="29" t="str">
        <f>IF(Analysis!$I863="","",IF(Analysis!$I863="Drifting",Analysis!$H863,""))</f>
        <v/>
      </c>
    </row>
    <row r="864" spans="1:16" x14ac:dyDescent="0.25">
      <c r="A864" s="29" t="str">
        <f>IF(Analysis!$I864="","",IF(Analysis!$I864="Embedded",Analysis!$D864,""))</f>
        <v/>
      </c>
      <c r="B864" s="29" t="str">
        <f>IF(Analysis!$I864="","",IF(Analysis!$I864="Loyal but shallow",Analysis!$D864,""))</f>
        <v/>
      </c>
      <c r="C864" s="29" t="str">
        <f>IF(Analysis!$I864="","",IF(Analysis!$I864="Project-driven",Analysis!$D864,""))</f>
        <v/>
      </c>
      <c r="D864" s="29" t="str">
        <f>IF(Analysis!$I864="","",IF(Analysis!$I864="Drifting",Analysis!$D864,""))</f>
        <v/>
      </c>
      <c r="E864" s="29" t="str">
        <f>IF(Analysis!$I864="","",IF(Analysis!$I864="Embedded",Analysis!$C864,""))</f>
        <v/>
      </c>
      <c r="F864" s="29" t="str">
        <f>IF(Analysis!$I864="","",IF(Analysis!$I864="Loyal but shallow",Analysis!$C864,""))</f>
        <v/>
      </c>
      <c r="G864" s="29" t="str">
        <f>IF(Analysis!$I864="","",IF(Analysis!$I864="Project-driven",Analysis!$C864,""))</f>
        <v/>
      </c>
      <c r="H864" s="29" t="str">
        <f>IF(Analysis!$I864="","",IF(Analysis!$I864="Drifting",Analysis!$C864,""))</f>
        <v/>
      </c>
      <c r="I864" s="29" t="str">
        <f>IF(Analysis!$I864="","",IF(Analysis!$I864="Embedded",Analysis!$F864,""))</f>
        <v/>
      </c>
      <c r="J864" s="29" t="str">
        <f>IF(Analysis!$I864="","",IF(Analysis!$I864="Loyal but shallow",Analysis!$F864,""))</f>
        <v/>
      </c>
      <c r="K864" s="29" t="str">
        <f>IF(Analysis!$I864="","",IF(Analysis!$I864="Project-driven",Analysis!$F864,""))</f>
        <v/>
      </c>
      <c r="L864" s="29" t="str">
        <f>IF(Analysis!$I864="","",IF(Analysis!$I864="Drifting",Analysis!$F864,""))</f>
        <v/>
      </c>
      <c r="M864" s="29" t="str">
        <f>IF(Analysis!$I864="","",IF(Analysis!$I864="Embedded",Analysis!$H864,""))</f>
        <v/>
      </c>
      <c r="N864" s="29" t="str">
        <f>IF(Analysis!$I864="","",IF(Analysis!$I864="Loyal but shallow",Analysis!$H864,""))</f>
        <v/>
      </c>
      <c r="O864" s="29" t="str">
        <f>IF(Analysis!$I864="","",IF(Analysis!$I864="Project-driven",Analysis!$H864,""))</f>
        <v/>
      </c>
      <c r="P864" s="29" t="str">
        <f>IF(Analysis!$I864="","",IF(Analysis!$I864="Drifting",Analysis!$H864,""))</f>
        <v/>
      </c>
    </row>
    <row r="865" spans="1:16" x14ac:dyDescent="0.25">
      <c r="A865" s="29" t="str">
        <f>IF(Analysis!$I865="","",IF(Analysis!$I865="Embedded",Analysis!$D865,""))</f>
        <v/>
      </c>
      <c r="B865" s="29" t="str">
        <f>IF(Analysis!$I865="","",IF(Analysis!$I865="Loyal but shallow",Analysis!$D865,""))</f>
        <v/>
      </c>
      <c r="C865" s="29" t="str">
        <f>IF(Analysis!$I865="","",IF(Analysis!$I865="Project-driven",Analysis!$D865,""))</f>
        <v/>
      </c>
      <c r="D865" s="29" t="str">
        <f>IF(Analysis!$I865="","",IF(Analysis!$I865="Drifting",Analysis!$D865,""))</f>
        <v/>
      </c>
      <c r="E865" s="29" t="str">
        <f>IF(Analysis!$I865="","",IF(Analysis!$I865="Embedded",Analysis!$C865,""))</f>
        <v/>
      </c>
      <c r="F865" s="29" t="str">
        <f>IF(Analysis!$I865="","",IF(Analysis!$I865="Loyal but shallow",Analysis!$C865,""))</f>
        <v/>
      </c>
      <c r="G865" s="29" t="str">
        <f>IF(Analysis!$I865="","",IF(Analysis!$I865="Project-driven",Analysis!$C865,""))</f>
        <v/>
      </c>
      <c r="H865" s="29" t="str">
        <f>IF(Analysis!$I865="","",IF(Analysis!$I865="Drifting",Analysis!$C865,""))</f>
        <v/>
      </c>
      <c r="I865" s="29" t="str">
        <f>IF(Analysis!$I865="","",IF(Analysis!$I865="Embedded",Analysis!$F865,""))</f>
        <v/>
      </c>
      <c r="J865" s="29" t="str">
        <f>IF(Analysis!$I865="","",IF(Analysis!$I865="Loyal but shallow",Analysis!$F865,""))</f>
        <v/>
      </c>
      <c r="K865" s="29" t="str">
        <f>IF(Analysis!$I865="","",IF(Analysis!$I865="Project-driven",Analysis!$F865,""))</f>
        <v/>
      </c>
      <c r="L865" s="29" t="str">
        <f>IF(Analysis!$I865="","",IF(Analysis!$I865="Drifting",Analysis!$F865,""))</f>
        <v/>
      </c>
      <c r="M865" s="29" t="str">
        <f>IF(Analysis!$I865="","",IF(Analysis!$I865="Embedded",Analysis!$H865,""))</f>
        <v/>
      </c>
      <c r="N865" s="29" t="str">
        <f>IF(Analysis!$I865="","",IF(Analysis!$I865="Loyal but shallow",Analysis!$H865,""))</f>
        <v/>
      </c>
      <c r="O865" s="29" t="str">
        <f>IF(Analysis!$I865="","",IF(Analysis!$I865="Project-driven",Analysis!$H865,""))</f>
        <v/>
      </c>
      <c r="P865" s="29" t="str">
        <f>IF(Analysis!$I865="","",IF(Analysis!$I865="Drifting",Analysis!$H865,""))</f>
        <v/>
      </c>
    </row>
    <row r="866" spans="1:16" x14ac:dyDescent="0.25">
      <c r="A866" s="29" t="str">
        <f>IF(Analysis!$I866="","",IF(Analysis!$I866="Embedded",Analysis!$D866,""))</f>
        <v/>
      </c>
      <c r="B866" s="29" t="str">
        <f>IF(Analysis!$I866="","",IF(Analysis!$I866="Loyal but shallow",Analysis!$D866,""))</f>
        <v/>
      </c>
      <c r="C866" s="29" t="str">
        <f>IF(Analysis!$I866="","",IF(Analysis!$I866="Project-driven",Analysis!$D866,""))</f>
        <v/>
      </c>
      <c r="D866" s="29" t="str">
        <f>IF(Analysis!$I866="","",IF(Analysis!$I866="Drifting",Analysis!$D866,""))</f>
        <v/>
      </c>
      <c r="E866" s="29" t="str">
        <f>IF(Analysis!$I866="","",IF(Analysis!$I866="Embedded",Analysis!$C866,""))</f>
        <v/>
      </c>
      <c r="F866" s="29" t="str">
        <f>IF(Analysis!$I866="","",IF(Analysis!$I866="Loyal but shallow",Analysis!$C866,""))</f>
        <v/>
      </c>
      <c r="G866" s="29" t="str">
        <f>IF(Analysis!$I866="","",IF(Analysis!$I866="Project-driven",Analysis!$C866,""))</f>
        <v/>
      </c>
      <c r="H866" s="29" t="str">
        <f>IF(Analysis!$I866="","",IF(Analysis!$I866="Drifting",Analysis!$C866,""))</f>
        <v/>
      </c>
      <c r="I866" s="29" t="str">
        <f>IF(Analysis!$I866="","",IF(Analysis!$I866="Embedded",Analysis!$F866,""))</f>
        <v/>
      </c>
      <c r="J866" s="29" t="str">
        <f>IF(Analysis!$I866="","",IF(Analysis!$I866="Loyal but shallow",Analysis!$F866,""))</f>
        <v/>
      </c>
      <c r="K866" s="29" t="str">
        <f>IF(Analysis!$I866="","",IF(Analysis!$I866="Project-driven",Analysis!$F866,""))</f>
        <v/>
      </c>
      <c r="L866" s="29" t="str">
        <f>IF(Analysis!$I866="","",IF(Analysis!$I866="Drifting",Analysis!$F866,""))</f>
        <v/>
      </c>
      <c r="M866" s="29" t="str">
        <f>IF(Analysis!$I866="","",IF(Analysis!$I866="Embedded",Analysis!$H866,""))</f>
        <v/>
      </c>
      <c r="N866" s="29" t="str">
        <f>IF(Analysis!$I866="","",IF(Analysis!$I866="Loyal but shallow",Analysis!$H866,""))</f>
        <v/>
      </c>
      <c r="O866" s="29" t="str">
        <f>IF(Analysis!$I866="","",IF(Analysis!$I866="Project-driven",Analysis!$H866,""))</f>
        <v/>
      </c>
      <c r="P866" s="29" t="str">
        <f>IF(Analysis!$I866="","",IF(Analysis!$I866="Drifting",Analysis!$H866,""))</f>
        <v/>
      </c>
    </row>
    <row r="867" spans="1:16" x14ac:dyDescent="0.25">
      <c r="A867" s="29" t="str">
        <f>IF(Analysis!$I867="","",IF(Analysis!$I867="Embedded",Analysis!$D867,""))</f>
        <v/>
      </c>
      <c r="B867" s="29" t="str">
        <f>IF(Analysis!$I867="","",IF(Analysis!$I867="Loyal but shallow",Analysis!$D867,""))</f>
        <v/>
      </c>
      <c r="C867" s="29" t="str">
        <f>IF(Analysis!$I867="","",IF(Analysis!$I867="Project-driven",Analysis!$D867,""))</f>
        <v/>
      </c>
      <c r="D867" s="29" t="str">
        <f>IF(Analysis!$I867="","",IF(Analysis!$I867="Drifting",Analysis!$D867,""))</f>
        <v/>
      </c>
      <c r="E867" s="29" t="str">
        <f>IF(Analysis!$I867="","",IF(Analysis!$I867="Embedded",Analysis!$C867,""))</f>
        <v/>
      </c>
      <c r="F867" s="29" t="str">
        <f>IF(Analysis!$I867="","",IF(Analysis!$I867="Loyal but shallow",Analysis!$C867,""))</f>
        <v/>
      </c>
      <c r="G867" s="29" t="str">
        <f>IF(Analysis!$I867="","",IF(Analysis!$I867="Project-driven",Analysis!$C867,""))</f>
        <v/>
      </c>
      <c r="H867" s="29" t="str">
        <f>IF(Analysis!$I867="","",IF(Analysis!$I867="Drifting",Analysis!$C867,""))</f>
        <v/>
      </c>
      <c r="I867" s="29" t="str">
        <f>IF(Analysis!$I867="","",IF(Analysis!$I867="Embedded",Analysis!$F867,""))</f>
        <v/>
      </c>
      <c r="J867" s="29" t="str">
        <f>IF(Analysis!$I867="","",IF(Analysis!$I867="Loyal but shallow",Analysis!$F867,""))</f>
        <v/>
      </c>
      <c r="K867" s="29" t="str">
        <f>IF(Analysis!$I867="","",IF(Analysis!$I867="Project-driven",Analysis!$F867,""))</f>
        <v/>
      </c>
      <c r="L867" s="29" t="str">
        <f>IF(Analysis!$I867="","",IF(Analysis!$I867="Drifting",Analysis!$F867,""))</f>
        <v/>
      </c>
      <c r="M867" s="29" t="str">
        <f>IF(Analysis!$I867="","",IF(Analysis!$I867="Embedded",Analysis!$H867,""))</f>
        <v/>
      </c>
      <c r="N867" s="29" t="str">
        <f>IF(Analysis!$I867="","",IF(Analysis!$I867="Loyal but shallow",Analysis!$H867,""))</f>
        <v/>
      </c>
      <c r="O867" s="29" t="str">
        <f>IF(Analysis!$I867="","",IF(Analysis!$I867="Project-driven",Analysis!$H867,""))</f>
        <v/>
      </c>
      <c r="P867" s="29" t="str">
        <f>IF(Analysis!$I867="","",IF(Analysis!$I867="Drifting",Analysis!$H867,""))</f>
        <v/>
      </c>
    </row>
    <row r="868" spans="1:16" x14ac:dyDescent="0.25">
      <c r="A868" s="29" t="str">
        <f>IF(Analysis!$I868="","",IF(Analysis!$I868="Embedded",Analysis!$D868,""))</f>
        <v/>
      </c>
      <c r="B868" s="29" t="str">
        <f>IF(Analysis!$I868="","",IF(Analysis!$I868="Loyal but shallow",Analysis!$D868,""))</f>
        <v/>
      </c>
      <c r="C868" s="29" t="str">
        <f>IF(Analysis!$I868="","",IF(Analysis!$I868="Project-driven",Analysis!$D868,""))</f>
        <v/>
      </c>
      <c r="D868" s="29" t="str">
        <f>IF(Analysis!$I868="","",IF(Analysis!$I868="Drifting",Analysis!$D868,""))</f>
        <v/>
      </c>
      <c r="E868" s="29" t="str">
        <f>IF(Analysis!$I868="","",IF(Analysis!$I868="Embedded",Analysis!$C868,""))</f>
        <v/>
      </c>
      <c r="F868" s="29" t="str">
        <f>IF(Analysis!$I868="","",IF(Analysis!$I868="Loyal but shallow",Analysis!$C868,""))</f>
        <v/>
      </c>
      <c r="G868" s="29" t="str">
        <f>IF(Analysis!$I868="","",IF(Analysis!$I868="Project-driven",Analysis!$C868,""))</f>
        <v/>
      </c>
      <c r="H868" s="29" t="str">
        <f>IF(Analysis!$I868="","",IF(Analysis!$I868="Drifting",Analysis!$C868,""))</f>
        <v/>
      </c>
      <c r="I868" s="29" t="str">
        <f>IF(Analysis!$I868="","",IF(Analysis!$I868="Embedded",Analysis!$F868,""))</f>
        <v/>
      </c>
      <c r="J868" s="29" t="str">
        <f>IF(Analysis!$I868="","",IF(Analysis!$I868="Loyal but shallow",Analysis!$F868,""))</f>
        <v/>
      </c>
      <c r="K868" s="29" t="str">
        <f>IF(Analysis!$I868="","",IF(Analysis!$I868="Project-driven",Analysis!$F868,""))</f>
        <v/>
      </c>
      <c r="L868" s="29" t="str">
        <f>IF(Analysis!$I868="","",IF(Analysis!$I868="Drifting",Analysis!$F868,""))</f>
        <v/>
      </c>
      <c r="M868" s="29" t="str">
        <f>IF(Analysis!$I868="","",IF(Analysis!$I868="Embedded",Analysis!$H868,""))</f>
        <v/>
      </c>
      <c r="N868" s="29" t="str">
        <f>IF(Analysis!$I868="","",IF(Analysis!$I868="Loyal but shallow",Analysis!$H868,""))</f>
        <v/>
      </c>
      <c r="O868" s="29" t="str">
        <f>IF(Analysis!$I868="","",IF(Analysis!$I868="Project-driven",Analysis!$H868,""))</f>
        <v/>
      </c>
      <c r="P868" s="29" t="str">
        <f>IF(Analysis!$I868="","",IF(Analysis!$I868="Drifting",Analysis!$H868,""))</f>
        <v/>
      </c>
    </row>
    <row r="869" spans="1:16" x14ac:dyDescent="0.25">
      <c r="A869" s="29" t="str">
        <f>IF(Analysis!$I869="","",IF(Analysis!$I869="Embedded",Analysis!$D869,""))</f>
        <v/>
      </c>
      <c r="B869" s="29" t="str">
        <f>IF(Analysis!$I869="","",IF(Analysis!$I869="Loyal but shallow",Analysis!$D869,""))</f>
        <v/>
      </c>
      <c r="C869" s="29" t="str">
        <f>IF(Analysis!$I869="","",IF(Analysis!$I869="Project-driven",Analysis!$D869,""))</f>
        <v/>
      </c>
      <c r="D869" s="29" t="str">
        <f>IF(Analysis!$I869="","",IF(Analysis!$I869="Drifting",Analysis!$D869,""))</f>
        <v/>
      </c>
      <c r="E869" s="29" t="str">
        <f>IF(Analysis!$I869="","",IF(Analysis!$I869="Embedded",Analysis!$C869,""))</f>
        <v/>
      </c>
      <c r="F869" s="29" t="str">
        <f>IF(Analysis!$I869="","",IF(Analysis!$I869="Loyal but shallow",Analysis!$C869,""))</f>
        <v/>
      </c>
      <c r="G869" s="29" t="str">
        <f>IF(Analysis!$I869="","",IF(Analysis!$I869="Project-driven",Analysis!$C869,""))</f>
        <v/>
      </c>
      <c r="H869" s="29" t="str">
        <f>IF(Analysis!$I869="","",IF(Analysis!$I869="Drifting",Analysis!$C869,""))</f>
        <v/>
      </c>
      <c r="I869" s="29" t="str">
        <f>IF(Analysis!$I869="","",IF(Analysis!$I869="Embedded",Analysis!$F869,""))</f>
        <v/>
      </c>
      <c r="J869" s="29" t="str">
        <f>IF(Analysis!$I869="","",IF(Analysis!$I869="Loyal but shallow",Analysis!$F869,""))</f>
        <v/>
      </c>
      <c r="K869" s="29" t="str">
        <f>IF(Analysis!$I869="","",IF(Analysis!$I869="Project-driven",Analysis!$F869,""))</f>
        <v/>
      </c>
      <c r="L869" s="29" t="str">
        <f>IF(Analysis!$I869="","",IF(Analysis!$I869="Drifting",Analysis!$F869,""))</f>
        <v/>
      </c>
      <c r="M869" s="29" t="str">
        <f>IF(Analysis!$I869="","",IF(Analysis!$I869="Embedded",Analysis!$H869,""))</f>
        <v/>
      </c>
      <c r="N869" s="29" t="str">
        <f>IF(Analysis!$I869="","",IF(Analysis!$I869="Loyal but shallow",Analysis!$H869,""))</f>
        <v/>
      </c>
      <c r="O869" s="29" t="str">
        <f>IF(Analysis!$I869="","",IF(Analysis!$I869="Project-driven",Analysis!$H869,""))</f>
        <v/>
      </c>
      <c r="P869" s="29" t="str">
        <f>IF(Analysis!$I869="","",IF(Analysis!$I869="Drifting",Analysis!$H869,""))</f>
        <v/>
      </c>
    </row>
    <row r="870" spans="1:16" x14ac:dyDescent="0.25">
      <c r="A870" s="29" t="str">
        <f>IF(Analysis!$I870="","",IF(Analysis!$I870="Embedded",Analysis!$D870,""))</f>
        <v/>
      </c>
      <c r="B870" s="29" t="str">
        <f>IF(Analysis!$I870="","",IF(Analysis!$I870="Loyal but shallow",Analysis!$D870,""))</f>
        <v/>
      </c>
      <c r="C870" s="29" t="str">
        <f>IF(Analysis!$I870="","",IF(Analysis!$I870="Project-driven",Analysis!$D870,""))</f>
        <v/>
      </c>
      <c r="D870" s="29" t="str">
        <f>IF(Analysis!$I870="","",IF(Analysis!$I870="Drifting",Analysis!$D870,""))</f>
        <v/>
      </c>
      <c r="E870" s="29" t="str">
        <f>IF(Analysis!$I870="","",IF(Analysis!$I870="Embedded",Analysis!$C870,""))</f>
        <v/>
      </c>
      <c r="F870" s="29" t="str">
        <f>IF(Analysis!$I870="","",IF(Analysis!$I870="Loyal but shallow",Analysis!$C870,""))</f>
        <v/>
      </c>
      <c r="G870" s="29" t="str">
        <f>IF(Analysis!$I870="","",IF(Analysis!$I870="Project-driven",Analysis!$C870,""))</f>
        <v/>
      </c>
      <c r="H870" s="29" t="str">
        <f>IF(Analysis!$I870="","",IF(Analysis!$I870="Drifting",Analysis!$C870,""))</f>
        <v/>
      </c>
      <c r="I870" s="29" t="str">
        <f>IF(Analysis!$I870="","",IF(Analysis!$I870="Embedded",Analysis!$F870,""))</f>
        <v/>
      </c>
      <c r="J870" s="29" t="str">
        <f>IF(Analysis!$I870="","",IF(Analysis!$I870="Loyal but shallow",Analysis!$F870,""))</f>
        <v/>
      </c>
      <c r="K870" s="29" t="str">
        <f>IF(Analysis!$I870="","",IF(Analysis!$I870="Project-driven",Analysis!$F870,""))</f>
        <v/>
      </c>
      <c r="L870" s="29" t="str">
        <f>IF(Analysis!$I870="","",IF(Analysis!$I870="Drifting",Analysis!$F870,""))</f>
        <v/>
      </c>
      <c r="M870" s="29" t="str">
        <f>IF(Analysis!$I870="","",IF(Analysis!$I870="Embedded",Analysis!$H870,""))</f>
        <v/>
      </c>
      <c r="N870" s="29" t="str">
        <f>IF(Analysis!$I870="","",IF(Analysis!$I870="Loyal but shallow",Analysis!$H870,""))</f>
        <v/>
      </c>
      <c r="O870" s="29" t="str">
        <f>IF(Analysis!$I870="","",IF(Analysis!$I870="Project-driven",Analysis!$H870,""))</f>
        <v/>
      </c>
      <c r="P870" s="29" t="str">
        <f>IF(Analysis!$I870="","",IF(Analysis!$I870="Drifting",Analysis!$H870,""))</f>
        <v/>
      </c>
    </row>
    <row r="871" spans="1:16" x14ac:dyDescent="0.25">
      <c r="A871" s="29" t="str">
        <f>IF(Analysis!$I871="","",IF(Analysis!$I871="Embedded",Analysis!$D871,""))</f>
        <v/>
      </c>
      <c r="B871" s="29" t="str">
        <f>IF(Analysis!$I871="","",IF(Analysis!$I871="Loyal but shallow",Analysis!$D871,""))</f>
        <v/>
      </c>
      <c r="C871" s="29" t="str">
        <f>IF(Analysis!$I871="","",IF(Analysis!$I871="Project-driven",Analysis!$D871,""))</f>
        <v/>
      </c>
      <c r="D871" s="29" t="str">
        <f>IF(Analysis!$I871="","",IF(Analysis!$I871="Drifting",Analysis!$D871,""))</f>
        <v/>
      </c>
      <c r="E871" s="29" t="str">
        <f>IF(Analysis!$I871="","",IF(Analysis!$I871="Embedded",Analysis!$C871,""))</f>
        <v/>
      </c>
      <c r="F871" s="29" t="str">
        <f>IF(Analysis!$I871="","",IF(Analysis!$I871="Loyal but shallow",Analysis!$C871,""))</f>
        <v/>
      </c>
      <c r="G871" s="29" t="str">
        <f>IF(Analysis!$I871="","",IF(Analysis!$I871="Project-driven",Analysis!$C871,""))</f>
        <v/>
      </c>
      <c r="H871" s="29" t="str">
        <f>IF(Analysis!$I871="","",IF(Analysis!$I871="Drifting",Analysis!$C871,""))</f>
        <v/>
      </c>
      <c r="I871" s="29" t="str">
        <f>IF(Analysis!$I871="","",IF(Analysis!$I871="Embedded",Analysis!$F871,""))</f>
        <v/>
      </c>
      <c r="J871" s="29" t="str">
        <f>IF(Analysis!$I871="","",IF(Analysis!$I871="Loyal but shallow",Analysis!$F871,""))</f>
        <v/>
      </c>
      <c r="K871" s="29" t="str">
        <f>IF(Analysis!$I871="","",IF(Analysis!$I871="Project-driven",Analysis!$F871,""))</f>
        <v/>
      </c>
      <c r="L871" s="29" t="str">
        <f>IF(Analysis!$I871="","",IF(Analysis!$I871="Drifting",Analysis!$F871,""))</f>
        <v/>
      </c>
      <c r="M871" s="29" t="str">
        <f>IF(Analysis!$I871="","",IF(Analysis!$I871="Embedded",Analysis!$H871,""))</f>
        <v/>
      </c>
      <c r="N871" s="29" t="str">
        <f>IF(Analysis!$I871="","",IF(Analysis!$I871="Loyal but shallow",Analysis!$H871,""))</f>
        <v/>
      </c>
      <c r="O871" s="29" t="str">
        <f>IF(Analysis!$I871="","",IF(Analysis!$I871="Project-driven",Analysis!$H871,""))</f>
        <v/>
      </c>
      <c r="P871" s="29" t="str">
        <f>IF(Analysis!$I871="","",IF(Analysis!$I871="Drifting",Analysis!$H871,""))</f>
        <v/>
      </c>
    </row>
    <row r="872" spans="1:16" x14ac:dyDescent="0.25">
      <c r="A872" s="29" t="str">
        <f>IF(Analysis!$I872="","",IF(Analysis!$I872="Embedded",Analysis!$D872,""))</f>
        <v/>
      </c>
      <c r="B872" s="29" t="str">
        <f>IF(Analysis!$I872="","",IF(Analysis!$I872="Loyal but shallow",Analysis!$D872,""))</f>
        <v/>
      </c>
      <c r="C872" s="29" t="str">
        <f>IF(Analysis!$I872="","",IF(Analysis!$I872="Project-driven",Analysis!$D872,""))</f>
        <v/>
      </c>
      <c r="D872" s="29" t="str">
        <f>IF(Analysis!$I872="","",IF(Analysis!$I872="Drifting",Analysis!$D872,""))</f>
        <v/>
      </c>
      <c r="E872" s="29" t="str">
        <f>IF(Analysis!$I872="","",IF(Analysis!$I872="Embedded",Analysis!$C872,""))</f>
        <v/>
      </c>
      <c r="F872" s="29" t="str">
        <f>IF(Analysis!$I872="","",IF(Analysis!$I872="Loyal but shallow",Analysis!$C872,""))</f>
        <v/>
      </c>
      <c r="G872" s="29" t="str">
        <f>IF(Analysis!$I872="","",IF(Analysis!$I872="Project-driven",Analysis!$C872,""))</f>
        <v/>
      </c>
      <c r="H872" s="29" t="str">
        <f>IF(Analysis!$I872="","",IF(Analysis!$I872="Drifting",Analysis!$C872,""))</f>
        <v/>
      </c>
      <c r="I872" s="29" t="str">
        <f>IF(Analysis!$I872="","",IF(Analysis!$I872="Embedded",Analysis!$F872,""))</f>
        <v/>
      </c>
      <c r="J872" s="29" t="str">
        <f>IF(Analysis!$I872="","",IF(Analysis!$I872="Loyal but shallow",Analysis!$F872,""))</f>
        <v/>
      </c>
      <c r="K872" s="29" t="str">
        <f>IF(Analysis!$I872="","",IF(Analysis!$I872="Project-driven",Analysis!$F872,""))</f>
        <v/>
      </c>
      <c r="L872" s="29" t="str">
        <f>IF(Analysis!$I872="","",IF(Analysis!$I872="Drifting",Analysis!$F872,""))</f>
        <v/>
      </c>
      <c r="M872" s="29" t="str">
        <f>IF(Analysis!$I872="","",IF(Analysis!$I872="Embedded",Analysis!$H872,""))</f>
        <v/>
      </c>
      <c r="N872" s="29" t="str">
        <f>IF(Analysis!$I872="","",IF(Analysis!$I872="Loyal but shallow",Analysis!$H872,""))</f>
        <v/>
      </c>
      <c r="O872" s="29" t="str">
        <f>IF(Analysis!$I872="","",IF(Analysis!$I872="Project-driven",Analysis!$H872,""))</f>
        <v/>
      </c>
      <c r="P872" s="29" t="str">
        <f>IF(Analysis!$I872="","",IF(Analysis!$I872="Drifting",Analysis!$H872,""))</f>
        <v/>
      </c>
    </row>
    <row r="873" spans="1:16" x14ac:dyDescent="0.25">
      <c r="A873" s="29" t="str">
        <f>IF(Analysis!$I873="","",IF(Analysis!$I873="Embedded",Analysis!$D873,""))</f>
        <v/>
      </c>
      <c r="B873" s="29" t="str">
        <f>IF(Analysis!$I873="","",IF(Analysis!$I873="Loyal but shallow",Analysis!$D873,""))</f>
        <v/>
      </c>
      <c r="C873" s="29" t="str">
        <f>IF(Analysis!$I873="","",IF(Analysis!$I873="Project-driven",Analysis!$D873,""))</f>
        <v/>
      </c>
      <c r="D873" s="29" t="str">
        <f>IF(Analysis!$I873="","",IF(Analysis!$I873="Drifting",Analysis!$D873,""))</f>
        <v/>
      </c>
      <c r="E873" s="29" t="str">
        <f>IF(Analysis!$I873="","",IF(Analysis!$I873="Embedded",Analysis!$C873,""))</f>
        <v/>
      </c>
      <c r="F873" s="29" t="str">
        <f>IF(Analysis!$I873="","",IF(Analysis!$I873="Loyal but shallow",Analysis!$C873,""))</f>
        <v/>
      </c>
      <c r="G873" s="29" t="str">
        <f>IF(Analysis!$I873="","",IF(Analysis!$I873="Project-driven",Analysis!$C873,""))</f>
        <v/>
      </c>
      <c r="H873" s="29" t="str">
        <f>IF(Analysis!$I873="","",IF(Analysis!$I873="Drifting",Analysis!$C873,""))</f>
        <v/>
      </c>
      <c r="I873" s="29" t="str">
        <f>IF(Analysis!$I873="","",IF(Analysis!$I873="Embedded",Analysis!$F873,""))</f>
        <v/>
      </c>
      <c r="J873" s="29" t="str">
        <f>IF(Analysis!$I873="","",IF(Analysis!$I873="Loyal but shallow",Analysis!$F873,""))</f>
        <v/>
      </c>
      <c r="K873" s="29" t="str">
        <f>IF(Analysis!$I873="","",IF(Analysis!$I873="Project-driven",Analysis!$F873,""))</f>
        <v/>
      </c>
      <c r="L873" s="29" t="str">
        <f>IF(Analysis!$I873="","",IF(Analysis!$I873="Drifting",Analysis!$F873,""))</f>
        <v/>
      </c>
      <c r="M873" s="29" t="str">
        <f>IF(Analysis!$I873="","",IF(Analysis!$I873="Embedded",Analysis!$H873,""))</f>
        <v/>
      </c>
      <c r="N873" s="29" t="str">
        <f>IF(Analysis!$I873="","",IF(Analysis!$I873="Loyal but shallow",Analysis!$H873,""))</f>
        <v/>
      </c>
      <c r="O873" s="29" t="str">
        <f>IF(Analysis!$I873="","",IF(Analysis!$I873="Project-driven",Analysis!$H873,""))</f>
        <v/>
      </c>
      <c r="P873" s="29" t="str">
        <f>IF(Analysis!$I873="","",IF(Analysis!$I873="Drifting",Analysis!$H873,""))</f>
        <v/>
      </c>
    </row>
    <row r="874" spans="1:16" x14ac:dyDescent="0.25">
      <c r="A874" s="29" t="str">
        <f>IF(Analysis!$I874="","",IF(Analysis!$I874="Embedded",Analysis!$D874,""))</f>
        <v/>
      </c>
      <c r="B874" s="29" t="str">
        <f>IF(Analysis!$I874="","",IF(Analysis!$I874="Loyal but shallow",Analysis!$D874,""))</f>
        <v/>
      </c>
      <c r="C874" s="29" t="str">
        <f>IF(Analysis!$I874="","",IF(Analysis!$I874="Project-driven",Analysis!$D874,""))</f>
        <v/>
      </c>
      <c r="D874" s="29" t="str">
        <f>IF(Analysis!$I874="","",IF(Analysis!$I874="Drifting",Analysis!$D874,""))</f>
        <v/>
      </c>
      <c r="E874" s="29" t="str">
        <f>IF(Analysis!$I874="","",IF(Analysis!$I874="Embedded",Analysis!$C874,""))</f>
        <v/>
      </c>
      <c r="F874" s="29" t="str">
        <f>IF(Analysis!$I874="","",IF(Analysis!$I874="Loyal but shallow",Analysis!$C874,""))</f>
        <v/>
      </c>
      <c r="G874" s="29" t="str">
        <f>IF(Analysis!$I874="","",IF(Analysis!$I874="Project-driven",Analysis!$C874,""))</f>
        <v/>
      </c>
      <c r="H874" s="29" t="str">
        <f>IF(Analysis!$I874="","",IF(Analysis!$I874="Drifting",Analysis!$C874,""))</f>
        <v/>
      </c>
      <c r="I874" s="29" t="str">
        <f>IF(Analysis!$I874="","",IF(Analysis!$I874="Embedded",Analysis!$F874,""))</f>
        <v/>
      </c>
      <c r="J874" s="29" t="str">
        <f>IF(Analysis!$I874="","",IF(Analysis!$I874="Loyal but shallow",Analysis!$F874,""))</f>
        <v/>
      </c>
      <c r="K874" s="29" t="str">
        <f>IF(Analysis!$I874="","",IF(Analysis!$I874="Project-driven",Analysis!$F874,""))</f>
        <v/>
      </c>
      <c r="L874" s="29" t="str">
        <f>IF(Analysis!$I874="","",IF(Analysis!$I874="Drifting",Analysis!$F874,""))</f>
        <v/>
      </c>
      <c r="M874" s="29" t="str">
        <f>IF(Analysis!$I874="","",IF(Analysis!$I874="Embedded",Analysis!$H874,""))</f>
        <v/>
      </c>
      <c r="N874" s="29" t="str">
        <f>IF(Analysis!$I874="","",IF(Analysis!$I874="Loyal but shallow",Analysis!$H874,""))</f>
        <v/>
      </c>
      <c r="O874" s="29" t="str">
        <f>IF(Analysis!$I874="","",IF(Analysis!$I874="Project-driven",Analysis!$H874,""))</f>
        <v/>
      </c>
      <c r="P874" s="29" t="str">
        <f>IF(Analysis!$I874="","",IF(Analysis!$I874="Drifting",Analysis!$H874,""))</f>
        <v/>
      </c>
    </row>
    <row r="875" spans="1:16" x14ac:dyDescent="0.25">
      <c r="A875" s="29" t="str">
        <f>IF(Analysis!$I875="","",IF(Analysis!$I875="Embedded",Analysis!$D875,""))</f>
        <v/>
      </c>
      <c r="B875" s="29" t="str">
        <f>IF(Analysis!$I875="","",IF(Analysis!$I875="Loyal but shallow",Analysis!$D875,""))</f>
        <v/>
      </c>
      <c r="C875" s="29" t="str">
        <f>IF(Analysis!$I875="","",IF(Analysis!$I875="Project-driven",Analysis!$D875,""))</f>
        <v/>
      </c>
      <c r="D875" s="29" t="str">
        <f>IF(Analysis!$I875="","",IF(Analysis!$I875="Drifting",Analysis!$D875,""))</f>
        <v/>
      </c>
      <c r="E875" s="29" t="str">
        <f>IF(Analysis!$I875="","",IF(Analysis!$I875="Embedded",Analysis!$C875,""))</f>
        <v/>
      </c>
      <c r="F875" s="29" t="str">
        <f>IF(Analysis!$I875="","",IF(Analysis!$I875="Loyal but shallow",Analysis!$C875,""))</f>
        <v/>
      </c>
      <c r="G875" s="29" t="str">
        <f>IF(Analysis!$I875="","",IF(Analysis!$I875="Project-driven",Analysis!$C875,""))</f>
        <v/>
      </c>
      <c r="H875" s="29" t="str">
        <f>IF(Analysis!$I875="","",IF(Analysis!$I875="Drifting",Analysis!$C875,""))</f>
        <v/>
      </c>
      <c r="I875" s="29" t="str">
        <f>IF(Analysis!$I875="","",IF(Analysis!$I875="Embedded",Analysis!$F875,""))</f>
        <v/>
      </c>
      <c r="J875" s="29" t="str">
        <f>IF(Analysis!$I875="","",IF(Analysis!$I875="Loyal but shallow",Analysis!$F875,""))</f>
        <v/>
      </c>
      <c r="K875" s="29" t="str">
        <f>IF(Analysis!$I875="","",IF(Analysis!$I875="Project-driven",Analysis!$F875,""))</f>
        <v/>
      </c>
      <c r="L875" s="29" t="str">
        <f>IF(Analysis!$I875="","",IF(Analysis!$I875="Drifting",Analysis!$F875,""))</f>
        <v/>
      </c>
      <c r="M875" s="29" t="str">
        <f>IF(Analysis!$I875="","",IF(Analysis!$I875="Embedded",Analysis!$H875,""))</f>
        <v/>
      </c>
      <c r="N875" s="29" t="str">
        <f>IF(Analysis!$I875="","",IF(Analysis!$I875="Loyal but shallow",Analysis!$H875,""))</f>
        <v/>
      </c>
      <c r="O875" s="29" t="str">
        <f>IF(Analysis!$I875="","",IF(Analysis!$I875="Project-driven",Analysis!$H875,""))</f>
        <v/>
      </c>
      <c r="P875" s="29" t="str">
        <f>IF(Analysis!$I875="","",IF(Analysis!$I875="Drifting",Analysis!$H875,""))</f>
        <v/>
      </c>
    </row>
    <row r="876" spans="1:16" x14ac:dyDescent="0.25">
      <c r="A876" s="29" t="str">
        <f>IF(Analysis!$I876="","",IF(Analysis!$I876="Embedded",Analysis!$D876,""))</f>
        <v/>
      </c>
      <c r="B876" s="29" t="str">
        <f>IF(Analysis!$I876="","",IF(Analysis!$I876="Loyal but shallow",Analysis!$D876,""))</f>
        <v/>
      </c>
      <c r="C876" s="29" t="str">
        <f>IF(Analysis!$I876="","",IF(Analysis!$I876="Project-driven",Analysis!$D876,""))</f>
        <v/>
      </c>
      <c r="D876" s="29" t="str">
        <f>IF(Analysis!$I876="","",IF(Analysis!$I876="Drifting",Analysis!$D876,""))</f>
        <v/>
      </c>
      <c r="E876" s="29" t="str">
        <f>IF(Analysis!$I876="","",IF(Analysis!$I876="Embedded",Analysis!$C876,""))</f>
        <v/>
      </c>
      <c r="F876" s="29" t="str">
        <f>IF(Analysis!$I876="","",IF(Analysis!$I876="Loyal but shallow",Analysis!$C876,""))</f>
        <v/>
      </c>
      <c r="G876" s="29" t="str">
        <f>IF(Analysis!$I876="","",IF(Analysis!$I876="Project-driven",Analysis!$C876,""))</f>
        <v/>
      </c>
      <c r="H876" s="29" t="str">
        <f>IF(Analysis!$I876="","",IF(Analysis!$I876="Drifting",Analysis!$C876,""))</f>
        <v/>
      </c>
      <c r="I876" s="29" t="str">
        <f>IF(Analysis!$I876="","",IF(Analysis!$I876="Embedded",Analysis!$F876,""))</f>
        <v/>
      </c>
      <c r="J876" s="29" t="str">
        <f>IF(Analysis!$I876="","",IF(Analysis!$I876="Loyal but shallow",Analysis!$F876,""))</f>
        <v/>
      </c>
      <c r="K876" s="29" t="str">
        <f>IF(Analysis!$I876="","",IF(Analysis!$I876="Project-driven",Analysis!$F876,""))</f>
        <v/>
      </c>
      <c r="L876" s="29" t="str">
        <f>IF(Analysis!$I876="","",IF(Analysis!$I876="Drifting",Analysis!$F876,""))</f>
        <v/>
      </c>
      <c r="M876" s="29" t="str">
        <f>IF(Analysis!$I876="","",IF(Analysis!$I876="Embedded",Analysis!$H876,""))</f>
        <v/>
      </c>
      <c r="N876" s="29" t="str">
        <f>IF(Analysis!$I876="","",IF(Analysis!$I876="Loyal but shallow",Analysis!$H876,""))</f>
        <v/>
      </c>
      <c r="O876" s="29" t="str">
        <f>IF(Analysis!$I876="","",IF(Analysis!$I876="Project-driven",Analysis!$H876,""))</f>
        <v/>
      </c>
      <c r="P876" s="29" t="str">
        <f>IF(Analysis!$I876="","",IF(Analysis!$I876="Drifting",Analysis!$H876,""))</f>
        <v/>
      </c>
    </row>
    <row r="877" spans="1:16" x14ac:dyDescent="0.25">
      <c r="A877" s="29" t="str">
        <f>IF(Analysis!$I877="","",IF(Analysis!$I877="Embedded",Analysis!$D877,""))</f>
        <v/>
      </c>
      <c r="B877" s="29" t="str">
        <f>IF(Analysis!$I877="","",IF(Analysis!$I877="Loyal but shallow",Analysis!$D877,""))</f>
        <v/>
      </c>
      <c r="C877" s="29" t="str">
        <f>IF(Analysis!$I877="","",IF(Analysis!$I877="Project-driven",Analysis!$D877,""))</f>
        <v/>
      </c>
      <c r="D877" s="29" t="str">
        <f>IF(Analysis!$I877="","",IF(Analysis!$I877="Drifting",Analysis!$D877,""))</f>
        <v/>
      </c>
      <c r="E877" s="29" t="str">
        <f>IF(Analysis!$I877="","",IF(Analysis!$I877="Embedded",Analysis!$C877,""))</f>
        <v/>
      </c>
      <c r="F877" s="29" t="str">
        <f>IF(Analysis!$I877="","",IF(Analysis!$I877="Loyal but shallow",Analysis!$C877,""))</f>
        <v/>
      </c>
      <c r="G877" s="29" t="str">
        <f>IF(Analysis!$I877="","",IF(Analysis!$I877="Project-driven",Analysis!$C877,""))</f>
        <v/>
      </c>
      <c r="H877" s="29" t="str">
        <f>IF(Analysis!$I877="","",IF(Analysis!$I877="Drifting",Analysis!$C877,""))</f>
        <v/>
      </c>
      <c r="I877" s="29" t="str">
        <f>IF(Analysis!$I877="","",IF(Analysis!$I877="Embedded",Analysis!$F877,""))</f>
        <v/>
      </c>
      <c r="J877" s="29" t="str">
        <f>IF(Analysis!$I877="","",IF(Analysis!$I877="Loyal but shallow",Analysis!$F877,""))</f>
        <v/>
      </c>
      <c r="K877" s="29" t="str">
        <f>IF(Analysis!$I877="","",IF(Analysis!$I877="Project-driven",Analysis!$F877,""))</f>
        <v/>
      </c>
      <c r="L877" s="29" t="str">
        <f>IF(Analysis!$I877="","",IF(Analysis!$I877="Drifting",Analysis!$F877,""))</f>
        <v/>
      </c>
      <c r="M877" s="29" t="str">
        <f>IF(Analysis!$I877="","",IF(Analysis!$I877="Embedded",Analysis!$H877,""))</f>
        <v/>
      </c>
      <c r="N877" s="29" t="str">
        <f>IF(Analysis!$I877="","",IF(Analysis!$I877="Loyal but shallow",Analysis!$H877,""))</f>
        <v/>
      </c>
      <c r="O877" s="29" t="str">
        <f>IF(Analysis!$I877="","",IF(Analysis!$I877="Project-driven",Analysis!$H877,""))</f>
        <v/>
      </c>
      <c r="P877" s="29" t="str">
        <f>IF(Analysis!$I877="","",IF(Analysis!$I877="Drifting",Analysis!$H877,""))</f>
        <v/>
      </c>
    </row>
    <row r="878" spans="1:16" x14ac:dyDescent="0.25">
      <c r="A878" s="29" t="str">
        <f>IF(Analysis!$I878="","",IF(Analysis!$I878="Embedded",Analysis!$D878,""))</f>
        <v/>
      </c>
      <c r="B878" s="29" t="str">
        <f>IF(Analysis!$I878="","",IF(Analysis!$I878="Loyal but shallow",Analysis!$D878,""))</f>
        <v/>
      </c>
      <c r="C878" s="29" t="str">
        <f>IF(Analysis!$I878="","",IF(Analysis!$I878="Project-driven",Analysis!$D878,""))</f>
        <v/>
      </c>
      <c r="D878" s="29" t="str">
        <f>IF(Analysis!$I878="","",IF(Analysis!$I878="Drifting",Analysis!$D878,""))</f>
        <v/>
      </c>
      <c r="E878" s="29" t="str">
        <f>IF(Analysis!$I878="","",IF(Analysis!$I878="Embedded",Analysis!$C878,""))</f>
        <v/>
      </c>
      <c r="F878" s="29" t="str">
        <f>IF(Analysis!$I878="","",IF(Analysis!$I878="Loyal but shallow",Analysis!$C878,""))</f>
        <v/>
      </c>
      <c r="G878" s="29" t="str">
        <f>IF(Analysis!$I878="","",IF(Analysis!$I878="Project-driven",Analysis!$C878,""))</f>
        <v/>
      </c>
      <c r="H878" s="29" t="str">
        <f>IF(Analysis!$I878="","",IF(Analysis!$I878="Drifting",Analysis!$C878,""))</f>
        <v/>
      </c>
      <c r="I878" s="29" t="str">
        <f>IF(Analysis!$I878="","",IF(Analysis!$I878="Embedded",Analysis!$F878,""))</f>
        <v/>
      </c>
      <c r="J878" s="29" t="str">
        <f>IF(Analysis!$I878="","",IF(Analysis!$I878="Loyal but shallow",Analysis!$F878,""))</f>
        <v/>
      </c>
      <c r="K878" s="29" t="str">
        <f>IF(Analysis!$I878="","",IF(Analysis!$I878="Project-driven",Analysis!$F878,""))</f>
        <v/>
      </c>
      <c r="L878" s="29" t="str">
        <f>IF(Analysis!$I878="","",IF(Analysis!$I878="Drifting",Analysis!$F878,""))</f>
        <v/>
      </c>
      <c r="M878" s="29" t="str">
        <f>IF(Analysis!$I878="","",IF(Analysis!$I878="Embedded",Analysis!$H878,""))</f>
        <v/>
      </c>
      <c r="N878" s="29" t="str">
        <f>IF(Analysis!$I878="","",IF(Analysis!$I878="Loyal but shallow",Analysis!$H878,""))</f>
        <v/>
      </c>
      <c r="O878" s="29" t="str">
        <f>IF(Analysis!$I878="","",IF(Analysis!$I878="Project-driven",Analysis!$H878,""))</f>
        <v/>
      </c>
      <c r="P878" s="29" t="str">
        <f>IF(Analysis!$I878="","",IF(Analysis!$I878="Drifting",Analysis!$H878,""))</f>
        <v/>
      </c>
    </row>
    <row r="879" spans="1:16" x14ac:dyDescent="0.25">
      <c r="A879" s="29" t="str">
        <f>IF(Analysis!$I879="","",IF(Analysis!$I879="Embedded",Analysis!$D879,""))</f>
        <v/>
      </c>
      <c r="B879" s="29" t="str">
        <f>IF(Analysis!$I879="","",IF(Analysis!$I879="Loyal but shallow",Analysis!$D879,""))</f>
        <v/>
      </c>
      <c r="C879" s="29" t="str">
        <f>IF(Analysis!$I879="","",IF(Analysis!$I879="Project-driven",Analysis!$D879,""))</f>
        <v/>
      </c>
      <c r="D879" s="29" t="str">
        <f>IF(Analysis!$I879="","",IF(Analysis!$I879="Drifting",Analysis!$D879,""))</f>
        <v/>
      </c>
      <c r="E879" s="29" t="str">
        <f>IF(Analysis!$I879="","",IF(Analysis!$I879="Embedded",Analysis!$C879,""))</f>
        <v/>
      </c>
      <c r="F879" s="29" t="str">
        <f>IF(Analysis!$I879="","",IF(Analysis!$I879="Loyal but shallow",Analysis!$C879,""))</f>
        <v/>
      </c>
      <c r="G879" s="29" t="str">
        <f>IF(Analysis!$I879="","",IF(Analysis!$I879="Project-driven",Analysis!$C879,""))</f>
        <v/>
      </c>
      <c r="H879" s="29" t="str">
        <f>IF(Analysis!$I879="","",IF(Analysis!$I879="Drifting",Analysis!$C879,""))</f>
        <v/>
      </c>
      <c r="I879" s="29" t="str">
        <f>IF(Analysis!$I879="","",IF(Analysis!$I879="Embedded",Analysis!$F879,""))</f>
        <v/>
      </c>
      <c r="J879" s="29" t="str">
        <f>IF(Analysis!$I879="","",IF(Analysis!$I879="Loyal but shallow",Analysis!$F879,""))</f>
        <v/>
      </c>
      <c r="K879" s="29" t="str">
        <f>IF(Analysis!$I879="","",IF(Analysis!$I879="Project-driven",Analysis!$F879,""))</f>
        <v/>
      </c>
      <c r="L879" s="29" t="str">
        <f>IF(Analysis!$I879="","",IF(Analysis!$I879="Drifting",Analysis!$F879,""))</f>
        <v/>
      </c>
      <c r="M879" s="29" t="str">
        <f>IF(Analysis!$I879="","",IF(Analysis!$I879="Embedded",Analysis!$H879,""))</f>
        <v/>
      </c>
      <c r="N879" s="29" t="str">
        <f>IF(Analysis!$I879="","",IF(Analysis!$I879="Loyal but shallow",Analysis!$H879,""))</f>
        <v/>
      </c>
      <c r="O879" s="29" t="str">
        <f>IF(Analysis!$I879="","",IF(Analysis!$I879="Project-driven",Analysis!$H879,""))</f>
        <v/>
      </c>
      <c r="P879" s="29" t="str">
        <f>IF(Analysis!$I879="","",IF(Analysis!$I879="Drifting",Analysis!$H879,""))</f>
        <v/>
      </c>
    </row>
    <row r="880" spans="1:16" x14ac:dyDescent="0.25">
      <c r="A880" s="29" t="str">
        <f>IF(Analysis!$I880="","",IF(Analysis!$I880="Embedded",Analysis!$D880,""))</f>
        <v/>
      </c>
      <c r="B880" s="29" t="str">
        <f>IF(Analysis!$I880="","",IF(Analysis!$I880="Loyal but shallow",Analysis!$D880,""))</f>
        <v/>
      </c>
      <c r="C880" s="29" t="str">
        <f>IF(Analysis!$I880="","",IF(Analysis!$I880="Project-driven",Analysis!$D880,""))</f>
        <v/>
      </c>
      <c r="D880" s="29" t="str">
        <f>IF(Analysis!$I880="","",IF(Analysis!$I880="Drifting",Analysis!$D880,""))</f>
        <v/>
      </c>
      <c r="E880" s="29" t="str">
        <f>IF(Analysis!$I880="","",IF(Analysis!$I880="Embedded",Analysis!$C880,""))</f>
        <v/>
      </c>
      <c r="F880" s="29" t="str">
        <f>IF(Analysis!$I880="","",IF(Analysis!$I880="Loyal but shallow",Analysis!$C880,""))</f>
        <v/>
      </c>
      <c r="G880" s="29" t="str">
        <f>IF(Analysis!$I880="","",IF(Analysis!$I880="Project-driven",Analysis!$C880,""))</f>
        <v/>
      </c>
      <c r="H880" s="29" t="str">
        <f>IF(Analysis!$I880="","",IF(Analysis!$I880="Drifting",Analysis!$C880,""))</f>
        <v/>
      </c>
      <c r="I880" s="29" t="str">
        <f>IF(Analysis!$I880="","",IF(Analysis!$I880="Embedded",Analysis!$F880,""))</f>
        <v/>
      </c>
      <c r="J880" s="29" t="str">
        <f>IF(Analysis!$I880="","",IF(Analysis!$I880="Loyal but shallow",Analysis!$F880,""))</f>
        <v/>
      </c>
      <c r="K880" s="29" t="str">
        <f>IF(Analysis!$I880="","",IF(Analysis!$I880="Project-driven",Analysis!$F880,""))</f>
        <v/>
      </c>
      <c r="L880" s="29" t="str">
        <f>IF(Analysis!$I880="","",IF(Analysis!$I880="Drifting",Analysis!$F880,""))</f>
        <v/>
      </c>
      <c r="M880" s="29" t="str">
        <f>IF(Analysis!$I880="","",IF(Analysis!$I880="Embedded",Analysis!$H880,""))</f>
        <v/>
      </c>
      <c r="N880" s="29" t="str">
        <f>IF(Analysis!$I880="","",IF(Analysis!$I880="Loyal but shallow",Analysis!$H880,""))</f>
        <v/>
      </c>
      <c r="O880" s="29" t="str">
        <f>IF(Analysis!$I880="","",IF(Analysis!$I880="Project-driven",Analysis!$H880,""))</f>
        <v/>
      </c>
      <c r="P880" s="29" t="str">
        <f>IF(Analysis!$I880="","",IF(Analysis!$I880="Drifting",Analysis!$H880,""))</f>
        <v/>
      </c>
    </row>
    <row r="881" spans="1:16" x14ac:dyDescent="0.25">
      <c r="A881" s="29" t="str">
        <f>IF(Analysis!$I881="","",IF(Analysis!$I881="Embedded",Analysis!$D881,""))</f>
        <v/>
      </c>
      <c r="B881" s="29" t="str">
        <f>IF(Analysis!$I881="","",IF(Analysis!$I881="Loyal but shallow",Analysis!$D881,""))</f>
        <v/>
      </c>
      <c r="C881" s="29" t="str">
        <f>IF(Analysis!$I881="","",IF(Analysis!$I881="Project-driven",Analysis!$D881,""))</f>
        <v/>
      </c>
      <c r="D881" s="29" t="str">
        <f>IF(Analysis!$I881="","",IF(Analysis!$I881="Drifting",Analysis!$D881,""))</f>
        <v/>
      </c>
      <c r="E881" s="29" t="str">
        <f>IF(Analysis!$I881="","",IF(Analysis!$I881="Embedded",Analysis!$C881,""))</f>
        <v/>
      </c>
      <c r="F881" s="29" t="str">
        <f>IF(Analysis!$I881="","",IF(Analysis!$I881="Loyal but shallow",Analysis!$C881,""))</f>
        <v/>
      </c>
      <c r="G881" s="29" t="str">
        <f>IF(Analysis!$I881="","",IF(Analysis!$I881="Project-driven",Analysis!$C881,""))</f>
        <v/>
      </c>
      <c r="H881" s="29" t="str">
        <f>IF(Analysis!$I881="","",IF(Analysis!$I881="Drifting",Analysis!$C881,""))</f>
        <v/>
      </c>
      <c r="I881" s="29" t="str">
        <f>IF(Analysis!$I881="","",IF(Analysis!$I881="Embedded",Analysis!$F881,""))</f>
        <v/>
      </c>
      <c r="J881" s="29" t="str">
        <f>IF(Analysis!$I881="","",IF(Analysis!$I881="Loyal but shallow",Analysis!$F881,""))</f>
        <v/>
      </c>
      <c r="K881" s="29" t="str">
        <f>IF(Analysis!$I881="","",IF(Analysis!$I881="Project-driven",Analysis!$F881,""))</f>
        <v/>
      </c>
      <c r="L881" s="29" t="str">
        <f>IF(Analysis!$I881="","",IF(Analysis!$I881="Drifting",Analysis!$F881,""))</f>
        <v/>
      </c>
      <c r="M881" s="29" t="str">
        <f>IF(Analysis!$I881="","",IF(Analysis!$I881="Embedded",Analysis!$H881,""))</f>
        <v/>
      </c>
      <c r="N881" s="29" t="str">
        <f>IF(Analysis!$I881="","",IF(Analysis!$I881="Loyal but shallow",Analysis!$H881,""))</f>
        <v/>
      </c>
      <c r="O881" s="29" t="str">
        <f>IF(Analysis!$I881="","",IF(Analysis!$I881="Project-driven",Analysis!$H881,""))</f>
        <v/>
      </c>
      <c r="P881" s="29" t="str">
        <f>IF(Analysis!$I881="","",IF(Analysis!$I881="Drifting",Analysis!$H881,""))</f>
        <v/>
      </c>
    </row>
    <row r="882" spans="1:16" x14ac:dyDescent="0.25">
      <c r="A882" s="29" t="str">
        <f>IF(Analysis!$I882="","",IF(Analysis!$I882="Embedded",Analysis!$D882,""))</f>
        <v/>
      </c>
      <c r="B882" s="29" t="str">
        <f>IF(Analysis!$I882="","",IF(Analysis!$I882="Loyal but shallow",Analysis!$D882,""))</f>
        <v/>
      </c>
      <c r="C882" s="29" t="str">
        <f>IF(Analysis!$I882="","",IF(Analysis!$I882="Project-driven",Analysis!$D882,""))</f>
        <v/>
      </c>
      <c r="D882" s="29" t="str">
        <f>IF(Analysis!$I882="","",IF(Analysis!$I882="Drifting",Analysis!$D882,""))</f>
        <v/>
      </c>
      <c r="E882" s="29" t="str">
        <f>IF(Analysis!$I882="","",IF(Analysis!$I882="Embedded",Analysis!$C882,""))</f>
        <v/>
      </c>
      <c r="F882" s="29" t="str">
        <f>IF(Analysis!$I882="","",IF(Analysis!$I882="Loyal but shallow",Analysis!$C882,""))</f>
        <v/>
      </c>
      <c r="G882" s="29" t="str">
        <f>IF(Analysis!$I882="","",IF(Analysis!$I882="Project-driven",Analysis!$C882,""))</f>
        <v/>
      </c>
      <c r="H882" s="29" t="str">
        <f>IF(Analysis!$I882="","",IF(Analysis!$I882="Drifting",Analysis!$C882,""))</f>
        <v/>
      </c>
      <c r="I882" s="29" t="str">
        <f>IF(Analysis!$I882="","",IF(Analysis!$I882="Embedded",Analysis!$F882,""))</f>
        <v/>
      </c>
      <c r="J882" s="29" t="str">
        <f>IF(Analysis!$I882="","",IF(Analysis!$I882="Loyal but shallow",Analysis!$F882,""))</f>
        <v/>
      </c>
      <c r="K882" s="29" t="str">
        <f>IF(Analysis!$I882="","",IF(Analysis!$I882="Project-driven",Analysis!$F882,""))</f>
        <v/>
      </c>
      <c r="L882" s="29" t="str">
        <f>IF(Analysis!$I882="","",IF(Analysis!$I882="Drifting",Analysis!$F882,""))</f>
        <v/>
      </c>
      <c r="M882" s="29" t="str">
        <f>IF(Analysis!$I882="","",IF(Analysis!$I882="Embedded",Analysis!$H882,""))</f>
        <v/>
      </c>
      <c r="N882" s="29" t="str">
        <f>IF(Analysis!$I882="","",IF(Analysis!$I882="Loyal but shallow",Analysis!$H882,""))</f>
        <v/>
      </c>
      <c r="O882" s="29" t="str">
        <f>IF(Analysis!$I882="","",IF(Analysis!$I882="Project-driven",Analysis!$H882,""))</f>
        <v/>
      </c>
      <c r="P882" s="29" t="str">
        <f>IF(Analysis!$I882="","",IF(Analysis!$I882="Drifting",Analysis!$H882,""))</f>
        <v/>
      </c>
    </row>
    <row r="883" spans="1:16" x14ac:dyDescent="0.25">
      <c r="A883" s="29" t="str">
        <f>IF(Analysis!$I883="","",IF(Analysis!$I883="Embedded",Analysis!$D883,""))</f>
        <v/>
      </c>
      <c r="B883" s="29" t="str">
        <f>IF(Analysis!$I883="","",IF(Analysis!$I883="Loyal but shallow",Analysis!$D883,""))</f>
        <v/>
      </c>
      <c r="C883" s="29" t="str">
        <f>IF(Analysis!$I883="","",IF(Analysis!$I883="Project-driven",Analysis!$D883,""))</f>
        <v/>
      </c>
      <c r="D883" s="29" t="str">
        <f>IF(Analysis!$I883="","",IF(Analysis!$I883="Drifting",Analysis!$D883,""))</f>
        <v/>
      </c>
      <c r="E883" s="29" t="str">
        <f>IF(Analysis!$I883="","",IF(Analysis!$I883="Embedded",Analysis!$C883,""))</f>
        <v/>
      </c>
      <c r="F883" s="29" t="str">
        <f>IF(Analysis!$I883="","",IF(Analysis!$I883="Loyal but shallow",Analysis!$C883,""))</f>
        <v/>
      </c>
      <c r="G883" s="29" t="str">
        <f>IF(Analysis!$I883="","",IF(Analysis!$I883="Project-driven",Analysis!$C883,""))</f>
        <v/>
      </c>
      <c r="H883" s="29" t="str">
        <f>IF(Analysis!$I883="","",IF(Analysis!$I883="Drifting",Analysis!$C883,""))</f>
        <v/>
      </c>
      <c r="I883" s="29" t="str">
        <f>IF(Analysis!$I883="","",IF(Analysis!$I883="Embedded",Analysis!$F883,""))</f>
        <v/>
      </c>
      <c r="J883" s="29" t="str">
        <f>IF(Analysis!$I883="","",IF(Analysis!$I883="Loyal but shallow",Analysis!$F883,""))</f>
        <v/>
      </c>
      <c r="K883" s="29" t="str">
        <f>IF(Analysis!$I883="","",IF(Analysis!$I883="Project-driven",Analysis!$F883,""))</f>
        <v/>
      </c>
      <c r="L883" s="29" t="str">
        <f>IF(Analysis!$I883="","",IF(Analysis!$I883="Drifting",Analysis!$F883,""))</f>
        <v/>
      </c>
      <c r="M883" s="29" t="str">
        <f>IF(Analysis!$I883="","",IF(Analysis!$I883="Embedded",Analysis!$H883,""))</f>
        <v/>
      </c>
      <c r="N883" s="29" t="str">
        <f>IF(Analysis!$I883="","",IF(Analysis!$I883="Loyal but shallow",Analysis!$H883,""))</f>
        <v/>
      </c>
      <c r="O883" s="29" t="str">
        <f>IF(Analysis!$I883="","",IF(Analysis!$I883="Project-driven",Analysis!$H883,""))</f>
        <v/>
      </c>
      <c r="P883" s="29" t="str">
        <f>IF(Analysis!$I883="","",IF(Analysis!$I883="Drifting",Analysis!$H883,""))</f>
        <v/>
      </c>
    </row>
    <row r="884" spans="1:16" x14ac:dyDescent="0.25">
      <c r="A884" s="29" t="str">
        <f>IF(Analysis!$I884="","",IF(Analysis!$I884="Embedded",Analysis!$D884,""))</f>
        <v/>
      </c>
      <c r="B884" s="29" t="str">
        <f>IF(Analysis!$I884="","",IF(Analysis!$I884="Loyal but shallow",Analysis!$D884,""))</f>
        <v/>
      </c>
      <c r="C884" s="29" t="str">
        <f>IF(Analysis!$I884="","",IF(Analysis!$I884="Project-driven",Analysis!$D884,""))</f>
        <v/>
      </c>
      <c r="D884" s="29" t="str">
        <f>IF(Analysis!$I884="","",IF(Analysis!$I884="Drifting",Analysis!$D884,""))</f>
        <v/>
      </c>
      <c r="E884" s="29" t="str">
        <f>IF(Analysis!$I884="","",IF(Analysis!$I884="Embedded",Analysis!$C884,""))</f>
        <v/>
      </c>
      <c r="F884" s="29" t="str">
        <f>IF(Analysis!$I884="","",IF(Analysis!$I884="Loyal but shallow",Analysis!$C884,""))</f>
        <v/>
      </c>
      <c r="G884" s="29" t="str">
        <f>IF(Analysis!$I884="","",IF(Analysis!$I884="Project-driven",Analysis!$C884,""))</f>
        <v/>
      </c>
      <c r="H884" s="29" t="str">
        <f>IF(Analysis!$I884="","",IF(Analysis!$I884="Drifting",Analysis!$C884,""))</f>
        <v/>
      </c>
      <c r="I884" s="29" t="str">
        <f>IF(Analysis!$I884="","",IF(Analysis!$I884="Embedded",Analysis!$F884,""))</f>
        <v/>
      </c>
      <c r="J884" s="29" t="str">
        <f>IF(Analysis!$I884="","",IF(Analysis!$I884="Loyal but shallow",Analysis!$F884,""))</f>
        <v/>
      </c>
      <c r="K884" s="29" t="str">
        <f>IF(Analysis!$I884="","",IF(Analysis!$I884="Project-driven",Analysis!$F884,""))</f>
        <v/>
      </c>
      <c r="L884" s="29" t="str">
        <f>IF(Analysis!$I884="","",IF(Analysis!$I884="Drifting",Analysis!$F884,""))</f>
        <v/>
      </c>
      <c r="M884" s="29" t="str">
        <f>IF(Analysis!$I884="","",IF(Analysis!$I884="Embedded",Analysis!$H884,""))</f>
        <v/>
      </c>
      <c r="N884" s="29" t="str">
        <f>IF(Analysis!$I884="","",IF(Analysis!$I884="Loyal but shallow",Analysis!$H884,""))</f>
        <v/>
      </c>
      <c r="O884" s="29" t="str">
        <f>IF(Analysis!$I884="","",IF(Analysis!$I884="Project-driven",Analysis!$H884,""))</f>
        <v/>
      </c>
      <c r="P884" s="29" t="str">
        <f>IF(Analysis!$I884="","",IF(Analysis!$I884="Drifting",Analysis!$H884,""))</f>
        <v/>
      </c>
    </row>
    <row r="885" spans="1:16" x14ac:dyDescent="0.25">
      <c r="A885" s="29" t="str">
        <f>IF(Analysis!$I885="","",IF(Analysis!$I885="Embedded",Analysis!$D885,""))</f>
        <v/>
      </c>
      <c r="B885" s="29" t="str">
        <f>IF(Analysis!$I885="","",IF(Analysis!$I885="Loyal but shallow",Analysis!$D885,""))</f>
        <v/>
      </c>
      <c r="C885" s="29" t="str">
        <f>IF(Analysis!$I885="","",IF(Analysis!$I885="Project-driven",Analysis!$D885,""))</f>
        <v/>
      </c>
      <c r="D885" s="29" t="str">
        <f>IF(Analysis!$I885="","",IF(Analysis!$I885="Drifting",Analysis!$D885,""))</f>
        <v/>
      </c>
      <c r="E885" s="29" t="str">
        <f>IF(Analysis!$I885="","",IF(Analysis!$I885="Embedded",Analysis!$C885,""))</f>
        <v/>
      </c>
      <c r="F885" s="29" t="str">
        <f>IF(Analysis!$I885="","",IF(Analysis!$I885="Loyal but shallow",Analysis!$C885,""))</f>
        <v/>
      </c>
      <c r="G885" s="29" t="str">
        <f>IF(Analysis!$I885="","",IF(Analysis!$I885="Project-driven",Analysis!$C885,""))</f>
        <v/>
      </c>
      <c r="H885" s="29" t="str">
        <f>IF(Analysis!$I885="","",IF(Analysis!$I885="Drifting",Analysis!$C885,""))</f>
        <v/>
      </c>
      <c r="I885" s="29" t="str">
        <f>IF(Analysis!$I885="","",IF(Analysis!$I885="Embedded",Analysis!$F885,""))</f>
        <v/>
      </c>
      <c r="J885" s="29" t="str">
        <f>IF(Analysis!$I885="","",IF(Analysis!$I885="Loyal but shallow",Analysis!$F885,""))</f>
        <v/>
      </c>
      <c r="K885" s="29" t="str">
        <f>IF(Analysis!$I885="","",IF(Analysis!$I885="Project-driven",Analysis!$F885,""))</f>
        <v/>
      </c>
      <c r="L885" s="29" t="str">
        <f>IF(Analysis!$I885="","",IF(Analysis!$I885="Drifting",Analysis!$F885,""))</f>
        <v/>
      </c>
      <c r="M885" s="29" t="str">
        <f>IF(Analysis!$I885="","",IF(Analysis!$I885="Embedded",Analysis!$H885,""))</f>
        <v/>
      </c>
      <c r="N885" s="29" t="str">
        <f>IF(Analysis!$I885="","",IF(Analysis!$I885="Loyal but shallow",Analysis!$H885,""))</f>
        <v/>
      </c>
      <c r="O885" s="29" t="str">
        <f>IF(Analysis!$I885="","",IF(Analysis!$I885="Project-driven",Analysis!$H885,""))</f>
        <v/>
      </c>
      <c r="P885" s="29" t="str">
        <f>IF(Analysis!$I885="","",IF(Analysis!$I885="Drifting",Analysis!$H885,""))</f>
        <v/>
      </c>
    </row>
    <row r="886" spans="1:16" x14ac:dyDescent="0.25">
      <c r="A886" s="29" t="str">
        <f>IF(Analysis!$I886="","",IF(Analysis!$I886="Embedded",Analysis!$D886,""))</f>
        <v/>
      </c>
      <c r="B886" s="29" t="str">
        <f>IF(Analysis!$I886="","",IF(Analysis!$I886="Loyal but shallow",Analysis!$D886,""))</f>
        <v/>
      </c>
      <c r="C886" s="29" t="str">
        <f>IF(Analysis!$I886="","",IF(Analysis!$I886="Project-driven",Analysis!$D886,""))</f>
        <v/>
      </c>
      <c r="D886" s="29" t="str">
        <f>IF(Analysis!$I886="","",IF(Analysis!$I886="Drifting",Analysis!$D886,""))</f>
        <v/>
      </c>
      <c r="E886" s="29" t="str">
        <f>IF(Analysis!$I886="","",IF(Analysis!$I886="Embedded",Analysis!$C886,""))</f>
        <v/>
      </c>
      <c r="F886" s="29" t="str">
        <f>IF(Analysis!$I886="","",IF(Analysis!$I886="Loyal but shallow",Analysis!$C886,""))</f>
        <v/>
      </c>
      <c r="G886" s="29" t="str">
        <f>IF(Analysis!$I886="","",IF(Analysis!$I886="Project-driven",Analysis!$C886,""))</f>
        <v/>
      </c>
      <c r="H886" s="29" t="str">
        <f>IF(Analysis!$I886="","",IF(Analysis!$I886="Drifting",Analysis!$C886,""))</f>
        <v/>
      </c>
      <c r="I886" s="29" t="str">
        <f>IF(Analysis!$I886="","",IF(Analysis!$I886="Embedded",Analysis!$F886,""))</f>
        <v/>
      </c>
      <c r="J886" s="29" t="str">
        <f>IF(Analysis!$I886="","",IF(Analysis!$I886="Loyal but shallow",Analysis!$F886,""))</f>
        <v/>
      </c>
      <c r="K886" s="29" t="str">
        <f>IF(Analysis!$I886="","",IF(Analysis!$I886="Project-driven",Analysis!$F886,""))</f>
        <v/>
      </c>
      <c r="L886" s="29" t="str">
        <f>IF(Analysis!$I886="","",IF(Analysis!$I886="Drifting",Analysis!$F886,""))</f>
        <v/>
      </c>
      <c r="M886" s="29" t="str">
        <f>IF(Analysis!$I886="","",IF(Analysis!$I886="Embedded",Analysis!$H886,""))</f>
        <v/>
      </c>
      <c r="N886" s="29" t="str">
        <f>IF(Analysis!$I886="","",IF(Analysis!$I886="Loyal but shallow",Analysis!$H886,""))</f>
        <v/>
      </c>
      <c r="O886" s="29" t="str">
        <f>IF(Analysis!$I886="","",IF(Analysis!$I886="Project-driven",Analysis!$H886,""))</f>
        <v/>
      </c>
      <c r="P886" s="29" t="str">
        <f>IF(Analysis!$I886="","",IF(Analysis!$I886="Drifting",Analysis!$H886,""))</f>
        <v/>
      </c>
    </row>
    <row r="887" spans="1:16" x14ac:dyDescent="0.25">
      <c r="A887" s="29" t="str">
        <f>IF(Analysis!$I887="","",IF(Analysis!$I887="Embedded",Analysis!$D887,""))</f>
        <v/>
      </c>
      <c r="B887" s="29" t="str">
        <f>IF(Analysis!$I887="","",IF(Analysis!$I887="Loyal but shallow",Analysis!$D887,""))</f>
        <v/>
      </c>
      <c r="C887" s="29" t="str">
        <f>IF(Analysis!$I887="","",IF(Analysis!$I887="Project-driven",Analysis!$D887,""))</f>
        <v/>
      </c>
      <c r="D887" s="29" t="str">
        <f>IF(Analysis!$I887="","",IF(Analysis!$I887="Drifting",Analysis!$D887,""))</f>
        <v/>
      </c>
      <c r="E887" s="29" t="str">
        <f>IF(Analysis!$I887="","",IF(Analysis!$I887="Embedded",Analysis!$C887,""))</f>
        <v/>
      </c>
      <c r="F887" s="29" t="str">
        <f>IF(Analysis!$I887="","",IF(Analysis!$I887="Loyal but shallow",Analysis!$C887,""))</f>
        <v/>
      </c>
      <c r="G887" s="29" t="str">
        <f>IF(Analysis!$I887="","",IF(Analysis!$I887="Project-driven",Analysis!$C887,""))</f>
        <v/>
      </c>
      <c r="H887" s="29" t="str">
        <f>IF(Analysis!$I887="","",IF(Analysis!$I887="Drifting",Analysis!$C887,""))</f>
        <v/>
      </c>
      <c r="I887" s="29" t="str">
        <f>IF(Analysis!$I887="","",IF(Analysis!$I887="Embedded",Analysis!$F887,""))</f>
        <v/>
      </c>
      <c r="J887" s="29" t="str">
        <f>IF(Analysis!$I887="","",IF(Analysis!$I887="Loyal but shallow",Analysis!$F887,""))</f>
        <v/>
      </c>
      <c r="K887" s="29" t="str">
        <f>IF(Analysis!$I887="","",IF(Analysis!$I887="Project-driven",Analysis!$F887,""))</f>
        <v/>
      </c>
      <c r="L887" s="29" t="str">
        <f>IF(Analysis!$I887="","",IF(Analysis!$I887="Drifting",Analysis!$F887,""))</f>
        <v/>
      </c>
      <c r="M887" s="29" t="str">
        <f>IF(Analysis!$I887="","",IF(Analysis!$I887="Embedded",Analysis!$H887,""))</f>
        <v/>
      </c>
      <c r="N887" s="29" t="str">
        <f>IF(Analysis!$I887="","",IF(Analysis!$I887="Loyal but shallow",Analysis!$H887,""))</f>
        <v/>
      </c>
      <c r="O887" s="29" t="str">
        <f>IF(Analysis!$I887="","",IF(Analysis!$I887="Project-driven",Analysis!$H887,""))</f>
        <v/>
      </c>
      <c r="P887" s="29" t="str">
        <f>IF(Analysis!$I887="","",IF(Analysis!$I887="Drifting",Analysis!$H887,""))</f>
        <v/>
      </c>
    </row>
    <row r="888" spans="1:16" x14ac:dyDescent="0.25">
      <c r="A888" s="29" t="str">
        <f>IF(Analysis!$I888="","",IF(Analysis!$I888="Embedded",Analysis!$D888,""))</f>
        <v/>
      </c>
      <c r="B888" s="29" t="str">
        <f>IF(Analysis!$I888="","",IF(Analysis!$I888="Loyal but shallow",Analysis!$D888,""))</f>
        <v/>
      </c>
      <c r="C888" s="29" t="str">
        <f>IF(Analysis!$I888="","",IF(Analysis!$I888="Project-driven",Analysis!$D888,""))</f>
        <v/>
      </c>
      <c r="D888" s="29" t="str">
        <f>IF(Analysis!$I888="","",IF(Analysis!$I888="Drifting",Analysis!$D888,""))</f>
        <v/>
      </c>
      <c r="E888" s="29" t="str">
        <f>IF(Analysis!$I888="","",IF(Analysis!$I888="Embedded",Analysis!$C888,""))</f>
        <v/>
      </c>
      <c r="F888" s="29" t="str">
        <f>IF(Analysis!$I888="","",IF(Analysis!$I888="Loyal but shallow",Analysis!$C888,""))</f>
        <v/>
      </c>
      <c r="G888" s="29" t="str">
        <f>IF(Analysis!$I888="","",IF(Analysis!$I888="Project-driven",Analysis!$C888,""))</f>
        <v/>
      </c>
      <c r="H888" s="29" t="str">
        <f>IF(Analysis!$I888="","",IF(Analysis!$I888="Drifting",Analysis!$C888,""))</f>
        <v/>
      </c>
      <c r="I888" s="29" t="str">
        <f>IF(Analysis!$I888="","",IF(Analysis!$I888="Embedded",Analysis!$F888,""))</f>
        <v/>
      </c>
      <c r="J888" s="29" t="str">
        <f>IF(Analysis!$I888="","",IF(Analysis!$I888="Loyal but shallow",Analysis!$F888,""))</f>
        <v/>
      </c>
      <c r="K888" s="29" t="str">
        <f>IF(Analysis!$I888="","",IF(Analysis!$I888="Project-driven",Analysis!$F888,""))</f>
        <v/>
      </c>
      <c r="L888" s="29" t="str">
        <f>IF(Analysis!$I888="","",IF(Analysis!$I888="Drifting",Analysis!$F888,""))</f>
        <v/>
      </c>
      <c r="M888" s="29" t="str">
        <f>IF(Analysis!$I888="","",IF(Analysis!$I888="Embedded",Analysis!$H888,""))</f>
        <v/>
      </c>
      <c r="N888" s="29" t="str">
        <f>IF(Analysis!$I888="","",IF(Analysis!$I888="Loyal but shallow",Analysis!$H888,""))</f>
        <v/>
      </c>
      <c r="O888" s="29" t="str">
        <f>IF(Analysis!$I888="","",IF(Analysis!$I888="Project-driven",Analysis!$H888,""))</f>
        <v/>
      </c>
      <c r="P888" s="29" t="str">
        <f>IF(Analysis!$I888="","",IF(Analysis!$I888="Drifting",Analysis!$H888,""))</f>
        <v/>
      </c>
    </row>
    <row r="889" spans="1:16" x14ac:dyDescent="0.25">
      <c r="A889" s="29" t="str">
        <f>IF(Analysis!$I889="","",IF(Analysis!$I889="Embedded",Analysis!$D889,""))</f>
        <v/>
      </c>
      <c r="B889" s="29" t="str">
        <f>IF(Analysis!$I889="","",IF(Analysis!$I889="Loyal but shallow",Analysis!$D889,""))</f>
        <v/>
      </c>
      <c r="C889" s="29" t="str">
        <f>IF(Analysis!$I889="","",IF(Analysis!$I889="Project-driven",Analysis!$D889,""))</f>
        <v/>
      </c>
      <c r="D889" s="29" t="str">
        <f>IF(Analysis!$I889="","",IF(Analysis!$I889="Drifting",Analysis!$D889,""))</f>
        <v/>
      </c>
      <c r="E889" s="29" t="str">
        <f>IF(Analysis!$I889="","",IF(Analysis!$I889="Embedded",Analysis!$C889,""))</f>
        <v/>
      </c>
      <c r="F889" s="29" t="str">
        <f>IF(Analysis!$I889="","",IF(Analysis!$I889="Loyal but shallow",Analysis!$C889,""))</f>
        <v/>
      </c>
      <c r="G889" s="29" t="str">
        <f>IF(Analysis!$I889="","",IF(Analysis!$I889="Project-driven",Analysis!$C889,""))</f>
        <v/>
      </c>
      <c r="H889" s="29" t="str">
        <f>IF(Analysis!$I889="","",IF(Analysis!$I889="Drifting",Analysis!$C889,""))</f>
        <v/>
      </c>
      <c r="I889" s="29" t="str">
        <f>IF(Analysis!$I889="","",IF(Analysis!$I889="Embedded",Analysis!$F889,""))</f>
        <v/>
      </c>
      <c r="J889" s="29" t="str">
        <f>IF(Analysis!$I889="","",IF(Analysis!$I889="Loyal but shallow",Analysis!$F889,""))</f>
        <v/>
      </c>
      <c r="K889" s="29" t="str">
        <f>IF(Analysis!$I889="","",IF(Analysis!$I889="Project-driven",Analysis!$F889,""))</f>
        <v/>
      </c>
      <c r="L889" s="29" t="str">
        <f>IF(Analysis!$I889="","",IF(Analysis!$I889="Drifting",Analysis!$F889,""))</f>
        <v/>
      </c>
      <c r="M889" s="29" t="str">
        <f>IF(Analysis!$I889="","",IF(Analysis!$I889="Embedded",Analysis!$H889,""))</f>
        <v/>
      </c>
      <c r="N889" s="29" t="str">
        <f>IF(Analysis!$I889="","",IF(Analysis!$I889="Loyal but shallow",Analysis!$H889,""))</f>
        <v/>
      </c>
      <c r="O889" s="29" t="str">
        <f>IF(Analysis!$I889="","",IF(Analysis!$I889="Project-driven",Analysis!$H889,""))</f>
        <v/>
      </c>
      <c r="P889" s="29" t="str">
        <f>IF(Analysis!$I889="","",IF(Analysis!$I889="Drifting",Analysis!$H889,""))</f>
        <v/>
      </c>
    </row>
    <row r="890" spans="1:16" x14ac:dyDescent="0.25">
      <c r="A890" s="29" t="str">
        <f>IF(Analysis!$I890="","",IF(Analysis!$I890="Embedded",Analysis!$D890,""))</f>
        <v/>
      </c>
      <c r="B890" s="29" t="str">
        <f>IF(Analysis!$I890="","",IF(Analysis!$I890="Loyal but shallow",Analysis!$D890,""))</f>
        <v/>
      </c>
      <c r="C890" s="29" t="str">
        <f>IF(Analysis!$I890="","",IF(Analysis!$I890="Project-driven",Analysis!$D890,""))</f>
        <v/>
      </c>
      <c r="D890" s="29" t="str">
        <f>IF(Analysis!$I890="","",IF(Analysis!$I890="Drifting",Analysis!$D890,""))</f>
        <v/>
      </c>
      <c r="E890" s="29" t="str">
        <f>IF(Analysis!$I890="","",IF(Analysis!$I890="Embedded",Analysis!$C890,""))</f>
        <v/>
      </c>
      <c r="F890" s="29" t="str">
        <f>IF(Analysis!$I890="","",IF(Analysis!$I890="Loyal but shallow",Analysis!$C890,""))</f>
        <v/>
      </c>
      <c r="G890" s="29" t="str">
        <f>IF(Analysis!$I890="","",IF(Analysis!$I890="Project-driven",Analysis!$C890,""))</f>
        <v/>
      </c>
      <c r="H890" s="29" t="str">
        <f>IF(Analysis!$I890="","",IF(Analysis!$I890="Drifting",Analysis!$C890,""))</f>
        <v/>
      </c>
      <c r="I890" s="29" t="str">
        <f>IF(Analysis!$I890="","",IF(Analysis!$I890="Embedded",Analysis!$F890,""))</f>
        <v/>
      </c>
      <c r="J890" s="29" t="str">
        <f>IF(Analysis!$I890="","",IF(Analysis!$I890="Loyal but shallow",Analysis!$F890,""))</f>
        <v/>
      </c>
      <c r="K890" s="29" t="str">
        <f>IF(Analysis!$I890="","",IF(Analysis!$I890="Project-driven",Analysis!$F890,""))</f>
        <v/>
      </c>
      <c r="L890" s="29" t="str">
        <f>IF(Analysis!$I890="","",IF(Analysis!$I890="Drifting",Analysis!$F890,""))</f>
        <v/>
      </c>
      <c r="M890" s="29" t="str">
        <f>IF(Analysis!$I890="","",IF(Analysis!$I890="Embedded",Analysis!$H890,""))</f>
        <v/>
      </c>
      <c r="N890" s="29" t="str">
        <f>IF(Analysis!$I890="","",IF(Analysis!$I890="Loyal but shallow",Analysis!$H890,""))</f>
        <v/>
      </c>
      <c r="O890" s="29" t="str">
        <f>IF(Analysis!$I890="","",IF(Analysis!$I890="Project-driven",Analysis!$H890,""))</f>
        <v/>
      </c>
      <c r="P890" s="29" t="str">
        <f>IF(Analysis!$I890="","",IF(Analysis!$I890="Drifting",Analysis!$H890,""))</f>
        <v/>
      </c>
    </row>
    <row r="891" spans="1:16" x14ac:dyDescent="0.25">
      <c r="A891" s="29" t="str">
        <f>IF(Analysis!$I891="","",IF(Analysis!$I891="Embedded",Analysis!$D891,""))</f>
        <v/>
      </c>
      <c r="B891" s="29" t="str">
        <f>IF(Analysis!$I891="","",IF(Analysis!$I891="Loyal but shallow",Analysis!$D891,""))</f>
        <v/>
      </c>
      <c r="C891" s="29" t="str">
        <f>IF(Analysis!$I891="","",IF(Analysis!$I891="Project-driven",Analysis!$D891,""))</f>
        <v/>
      </c>
      <c r="D891" s="29" t="str">
        <f>IF(Analysis!$I891="","",IF(Analysis!$I891="Drifting",Analysis!$D891,""))</f>
        <v/>
      </c>
      <c r="E891" s="29" t="str">
        <f>IF(Analysis!$I891="","",IF(Analysis!$I891="Embedded",Analysis!$C891,""))</f>
        <v/>
      </c>
      <c r="F891" s="29" t="str">
        <f>IF(Analysis!$I891="","",IF(Analysis!$I891="Loyal but shallow",Analysis!$C891,""))</f>
        <v/>
      </c>
      <c r="G891" s="29" t="str">
        <f>IF(Analysis!$I891="","",IF(Analysis!$I891="Project-driven",Analysis!$C891,""))</f>
        <v/>
      </c>
      <c r="H891" s="29" t="str">
        <f>IF(Analysis!$I891="","",IF(Analysis!$I891="Drifting",Analysis!$C891,""))</f>
        <v/>
      </c>
      <c r="I891" s="29" t="str">
        <f>IF(Analysis!$I891="","",IF(Analysis!$I891="Embedded",Analysis!$F891,""))</f>
        <v/>
      </c>
      <c r="J891" s="29" t="str">
        <f>IF(Analysis!$I891="","",IF(Analysis!$I891="Loyal but shallow",Analysis!$F891,""))</f>
        <v/>
      </c>
      <c r="K891" s="29" t="str">
        <f>IF(Analysis!$I891="","",IF(Analysis!$I891="Project-driven",Analysis!$F891,""))</f>
        <v/>
      </c>
      <c r="L891" s="29" t="str">
        <f>IF(Analysis!$I891="","",IF(Analysis!$I891="Drifting",Analysis!$F891,""))</f>
        <v/>
      </c>
      <c r="M891" s="29" t="str">
        <f>IF(Analysis!$I891="","",IF(Analysis!$I891="Embedded",Analysis!$H891,""))</f>
        <v/>
      </c>
      <c r="N891" s="29" t="str">
        <f>IF(Analysis!$I891="","",IF(Analysis!$I891="Loyal but shallow",Analysis!$H891,""))</f>
        <v/>
      </c>
      <c r="O891" s="29" t="str">
        <f>IF(Analysis!$I891="","",IF(Analysis!$I891="Project-driven",Analysis!$H891,""))</f>
        <v/>
      </c>
      <c r="P891" s="29" t="str">
        <f>IF(Analysis!$I891="","",IF(Analysis!$I891="Drifting",Analysis!$H891,""))</f>
        <v/>
      </c>
    </row>
    <row r="892" spans="1:16" x14ac:dyDescent="0.25">
      <c r="A892" s="29" t="str">
        <f>IF(Analysis!$I892="","",IF(Analysis!$I892="Embedded",Analysis!$D892,""))</f>
        <v/>
      </c>
      <c r="B892" s="29" t="str">
        <f>IF(Analysis!$I892="","",IF(Analysis!$I892="Loyal but shallow",Analysis!$D892,""))</f>
        <v/>
      </c>
      <c r="C892" s="29" t="str">
        <f>IF(Analysis!$I892="","",IF(Analysis!$I892="Project-driven",Analysis!$D892,""))</f>
        <v/>
      </c>
      <c r="D892" s="29" t="str">
        <f>IF(Analysis!$I892="","",IF(Analysis!$I892="Drifting",Analysis!$D892,""))</f>
        <v/>
      </c>
      <c r="E892" s="29" t="str">
        <f>IF(Analysis!$I892="","",IF(Analysis!$I892="Embedded",Analysis!$C892,""))</f>
        <v/>
      </c>
      <c r="F892" s="29" t="str">
        <f>IF(Analysis!$I892="","",IF(Analysis!$I892="Loyal but shallow",Analysis!$C892,""))</f>
        <v/>
      </c>
      <c r="G892" s="29" t="str">
        <f>IF(Analysis!$I892="","",IF(Analysis!$I892="Project-driven",Analysis!$C892,""))</f>
        <v/>
      </c>
      <c r="H892" s="29" t="str">
        <f>IF(Analysis!$I892="","",IF(Analysis!$I892="Drifting",Analysis!$C892,""))</f>
        <v/>
      </c>
      <c r="I892" s="29" t="str">
        <f>IF(Analysis!$I892="","",IF(Analysis!$I892="Embedded",Analysis!$F892,""))</f>
        <v/>
      </c>
      <c r="J892" s="29" t="str">
        <f>IF(Analysis!$I892="","",IF(Analysis!$I892="Loyal but shallow",Analysis!$F892,""))</f>
        <v/>
      </c>
      <c r="K892" s="29" t="str">
        <f>IF(Analysis!$I892="","",IF(Analysis!$I892="Project-driven",Analysis!$F892,""))</f>
        <v/>
      </c>
      <c r="L892" s="29" t="str">
        <f>IF(Analysis!$I892="","",IF(Analysis!$I892="Drifting",Analysis!$F892,""))</f>
        <v/>
      </c>
      <c r="M892" s="29" t="str">
        <f>IF(Analysis!$I892="","",IF(Analysis!$I892="Embedded",Analysis!$H892,""))</f>
        <v/>
      </c>
      <c r="N892" s="29" t="str">
        <f>IF(Analysis!$I892="","",IF(Analysis!$I892="Loyal but shallow",Analysis!$H892,""))</f>
        <v/>
      </c>
      <c r="O892" s="29" t="str">
        <f>IF(Analysis!$I892="","",IF(Analysis!$I892="Project-driven",Analysis!$H892,""))</f>
        <v/>
      </c>
      <c r="P892" s="29" t="str">
        <f>IF(Analysis!$I892="","",IF(Analysis!$I892="Drifting",Analysis!$H892,""))</f>
        <v/>
      </c>
    </row>
    <row r="893" spans="1:16" x14ac:dyDescent="0.25">
      <c r="A893" s="29" t="str">
        <f>IF(Analysis!$I893="","",IF(Analysis!$I893="Embedded",Analysis!$D893,""))</f>
        <v/>
      </c>
      <c r="B893" s="29" t="str">
        <f>IF(Analysis!$I893="","",IF(Analysis!$I893="Loyal but shallow",Analysis!$D893,""))</f>
        <v/>
      </c>
      <c r="C893" s="29" t="str">
        <f>IF(Analysis!$I893="","",IF(Analysis!$I893="Project-driven",Analysis!$D893,""))</f>
        <v/>
      </c>
      <c r="D893" s="29" t="str">
        <f>IF(Analysis!$I893="","",IF(Analysis!$I893="Drifting",Analysis!$D893,""))</f>
        <v/>
      </c>
      <c r="E893" s="29" t="str">
        <f>IF(Analysis!$I893="","",IF(Analysis!$I893="Embedded",Analysis!$C893,""))</f>
        <v/>
      </c>
      <c r="F893" s="29" t="str">
        <f>IF(Analysis!$I893="","",IF(Analysis!$I893="Loyal but shallow",Analysis!$C893,""))</f>
        <v/>
      </c>
      <c r="G893" s="29" t="str">
        <f>IF(Analysis!$I893="","",IF(Analysis!$I893="Project-driven",Analysis!$C893,""))</f>
        <v/>
      </c>
      <c r="H893" s="29" t="str">
        <f>IF(Analysis!$I893="","",IF(Analysis!$I893="Drifting",Analysis!$C893,""))</f>
        <v/>
      </c>
      <c r="I893" s="29" t="str">
        <f>IF(Analysis!$I893="","",IF(Analysis!$I893="Embedded",Analysis!$F893,""))</f>
        <v/>
      </c>
      <c r="J893" s="29" t="str">
        <f>IF(Analysis!$I893="","",IF(Analysis!$I893="Loyal but shallow",Analysis!$F893,""))</f>
        <v/>
      </c>
      <c r="K893" s="29" t="str">
        <f>IF(Analysis!$I893="","",IF(Analysis!$I893="Project-driven",Analysis!$F893,""))</f>
        <v/>
      </c>
      <c r="L893" s="29" t="str">
        <f>IF(Analysis!$I893="","",IF(Analysis!$I893="Drifting",Analysis!$F893,""))</f>
        <v/>
      </c>
      <c r="M893" s="29" t="str">
        <f>IF(Analysis!$I893="","",IF(Analysis!$I893="Embedded",Analysis!$H893,""))</f>
        <v/>
      </c>
      <c r="N893" s="29" t="str">
        <f>IF(Analysis!$I893="","",IF(Analysis!$I893="Loyal but shallow",Analysis!$H893,""))</f>
        <v/>
      </c>
      <c r="O893" s="29" t="str">
        <f>IF(Analysis!$I893="","",IF(Analysis!$I893="Project-driven",Analysis!$H893,""))</f>
        <v/>
      </c>
      <c r="P893" s="29" t="str">
        <f>IF(Analysis!$I893="","",IF(Analysis!$I893="Drifting",Analysis!$H893,""))</f>
        <v/>
      </c>
    </row>
    <row r="894" spans="1:16" x14ac:dyDescent="0.25">
      <c r="A894" s="29" t="str">
        <f>IF(Analysis!$I894="","",IF(Analysis!$I894="Embedded",Analysis!$D894,""))</f>
        <v/>
      </c>
      <c r="B894" s="29" t="str">
        <f>IF(Analysis!$I894="","",IF(Analysis!$I894="Loyal but shallow",Analysis!$D894,""))</f>
        <v/>
      </c>
      <c r="C894" s="29" t="str">
        <f>IF(Analysis!$I894="","",IF(Analysis!$I894="Project-driven",Analysis!$D894,""))</f>
        <v/>
      </c>
      <c r="D894" s="29" t="str">
        <f>IF(Analysis!$I894="","",IF(Analysis!$I894="Drifting",Analysis!$D894,""))</f>
        <v/>
      </c>
      <c r="E894" s="29" t="str">
        <f>IF(Analysis!$I894="","",IF(Analysis!$I894="Embedded",Analysis!$C894,""))</f>
        <v/>
      </c>
      <c r="F894" s="29" t="str">
        <f>IF(Analysis!$I894="","",IF(Analysis!$I894="Loyal but shallow",Analysis!$C894,""))</f>
        <v/>
      </c>
      <c r="G894" s="29" t="str">
        <f>IF(Analysis!$I894="","",IF(Analysis!$I894="Project-driven",Analysis!$C894,""))</f>
        <v/>
      </c>
      <c r="H894" s="29" t="str">
        <f>IF(Analysis!$I894="","",IF(Analysis!$I894="Drifting",Analysis!$C894,""))</f>
        <v/>
      </c>
      <c r="I894" s="29" t="str">
        <f>IF(Analysis!$I894="","",IF(Analysis!$I894="Embedded",Analysis!$F894,""))</f>
        <v/>
      </c>
      <c r="J894" s="29" t="str">
        <f>IF(Analysis!$I894="","",IF(Analysis!$I894="Loyal but shallow",Analysis!$F894,""))</f>
        <v/>
      </c>
      <c r="K894" s="29" t="str">
        <f>IF(Analysis!$I894="","",IF(Analysis!$I894="Project-driven",Analysis!$F894,""))</f>
        <v/>
      </c>
      <c r="L894" s="29" t="str">
        <f>IF(Analysis!$I894="","",IF(Analysis!$I894="Drifting",Analysis!$F894,""))</f>
        <v/>
      </c>
      <c r="M894" s="29" t="str">
        <f>IF(Analysis!$I894="","",IF(Analysis!$I894="Embedded",Analysis!$H894,""))</f>
        <v/>
      </c>
      <c r="N894" s="29" t="str">
        <f>IF(Analysis!$I894="","",IF(Analysis!$I894="Loyal but shallow",Analysis!$H894,""))</f>
        <v/>
      </c>
      <c r="O894" s="29" t="str">
        <f>IF(Analysis!$I894="","",IF(Analysis!$I894="Project-driven",Analysis!$H894,""))</f>
        <v/>
      </c>
      <c r="P894" s="29" t="str">
        <f>IF(Analysis!$I894="","",IF(Analysis!$I894="Drifting",Analysis!$H894,""))</f>
        <v/>
      </c>
    </row>
    <row r="895" spans="1:16" x14ac:dyDescent="0.25">
      <c r="A895" s="29" t="str">
        <f>IF(Analysis!$I895="","",IF(Analysis!$I895="Embedded",Analysis!$D895,""))</f>
        <v/>
      </c>
      <c r="B895" s="29" t="str">
        <f>IF(Analysis!$I895="","",IF(Analysis!$I895="Loyal but shallow",Analysis!$D895,""))</f>
        <v/>
      </c>
      <c r="C895" s="29" t="str">
        <f>IF(Analysis!$I895="","",IF(Analysis!$I895="Project-driven",Analysis!$D895,""))</f>
        <v/>
      </c>
      <c r="D895" s="29" t="str">
        <f>IF(Analysis!$I895="","",IF(Analysis!$I895="Drifting",Analysis!$D895,""))</f>
        <v/>
      </c>
      <c r="E895" s="29" t="str">
        <f>IF(Analysis!$I895="","",IF(Analysis!$I895="Embedded",Analysis!$C895,""))</f>
        <v/>
      </c>
      <c r="F895" s="29" t="str">
        <f>IF(Analysis!$I895="","",IF(Analysis!$I895="Loyal but shallow",Analysis!$C895,""))</f>
        <v/>
      </c>
      <c r="G895" s="29" t="str">
        <f>IF(Analysis!$I895="","",IF(Analysis!$I895="Project-driven",Analysis!$C895,""))</f>
        <v/>
      </c>
      <c r="H895" s="29" t="str">
        <f>IF(Analysis!$I895="","",IF(Analysis!$I895="Drifting",Analysis!$C895,""))</f>
        <v/>
      </c>
      <c r="I895" s="29" t="str">
        <f>IF(Analysis!$I895="","",IF(Analysis!$I895="Embedded",Analysis!$F895,""))</f>
        <v/>
      </c>
      <c r="J895" s="29" t="str">
        <f>IF(Analysis!$I895="","",IF(Analysis!$I895="Loyal but shallow",Analysis!$F895,""))</f>
        <v/>
      </c>
      <c r="K895" s="29" t="str">
        <f>IF(Analysis!$I895="","",IF(Analysis!$I895="Project-driven",Analysis!$F895,""))</f>
        <v/>
      </c>
      <c r="L895" s="29" t="str">
        <f>IF(Analysis!$I895="","",IF(Analysis!$I895="Drifting",Analysis!$F895,""))</f>
        <v/>
      </c>
      <c r="M895" s="29" t="str">
        <f>IF(Analysis!$I895="","",IF(Analysis!$I895="Embedded",Analysis!$H895,""))</f>
        <v/>
      </c>
      <c r="N895" s="29" t="str">
        <f>IF(Analysis!$I895="","",IF(Analysis!$I895="Loyal but shallow",Analysis!$H895,""))</f>
        <v/>
      </c>
      <c r="O895" s="29" t="str">
        <f>IF(Analysis!$I895="","",IF(Analysis!$I895="Project-driven",Analysis!$H895,""))</f>
        <v/>
      </c>
      <c r="P895" s="29" t="str">
        <f>IF(Analysis!$I895="","",IF(Analysis!$I895="Drifting",Analysis!$H895,""))</f>
        <v/>
      </c>
    </row>
    <row r="896" spans="1:16" x14ac:dyDescent="0.25">
      <c r="A896" s="29" t="str">
        <f>IF(Analysis!$I896="","",IF(Analysis!$I896="Embedded",Analysis!$D896,""))</f>
        <v/>
      </c>
      <c r="B896" s="29" t="str">
        <f>IF(Analysis!$I896="","",IF(Analysis!$I896="Loyal but shallow",Analysis!$D896,""))</f>
        <v/>
      </c>
      <c r="C896" s="29" t="str">
        <f>IF(Analysis!$I896="","",IF(Analysis!$I896="Project-driven",Analysis!$D896,""))</f>
        <v/>
      </c>
      <c r="D896" s="29" t="str">
        <f>IF(Analysis!$I896="","",IF(Analysis!$I896="Drifting",Analysis!$D896,""))</f>
        <v/>
      </c>
      <c r="E896" s="29" t="str">
        <f>IF(Analysis!$I896="","",IF(Analysis!$I896="Embedded",Analysis!$C896,""))</f>
        <v/>
      </c>
      <c r="F896" s="29" t="str">
        <f>IF(Analysis!$I896="","",IF(Analysis!$I896="Loyal but shallow",Analysis!$C896,""))</f>
        <v/>
      </c>
      <c r="G896" s="29" t="str">
        <f>IF(Analysis!$I896="","",IF(Analysis!$I896="Project-driven",Analysis!$C896,""))</f>
        <v/>
      </c>
      <c r="H896" s="29" t="str">
        <f>IF(Analysis!$I896="","",IF(Analysis!$I896="Drifting",Analysis!$C896,""))</f>
        <v/>
      </c>
      <c r="I896" s="29" t="str">
        <f>IF(Analysis!$I896="","",IF(Analysis!$I896="Embedded",Analysis!$F896,""))</f>
        <v/>
      </c>
      <c r="J896" s="29" t="str">
        <f>IF(Analysis!$I896="","",IF(Analysis!$I896="Loyal but shallow",Analysis!$F896,""))</f>
        <v/>
      </c>
      <c r="K896" s="29" t="str">
        <f>IF(Analysis!$I896="","",IF(Analysis!$I896="Project-driven",Analysis!$F896,""))</f>
        <v/>
      </c>
      <c r="L896" s="29" t="str">
        <f>IF(Analysis!$I896="","",IF(Analysis!$I896="Drifting",Analysis!$F896,""))</f>
        <v/>
      </c>
      <c r="M896" s="29" t="str">
        <f>IF(Analysis!$I896="","",IF(Analysis!$I896="Embedded",Analysis!$H896,""))</f>
        <v/>
      </c>
      <c r="N896" s="29" t="str">
        <f>IF(Analysis!$I896="","",IF(Analysis!$I896="Loyal but shallow",Analysis!$H896,""))</f>
        <v/>
      </c>
      <c r="O896" s="29" t="str">
        <f>IF(Analysis!$I896="","",IF(Analysis!$I896="Project-driven",Analysis!$H896,""))</f>
        <v/>
      </c>
      <c r="P896" s="29" t="str">
        <f>IF(Analysis!$I896="","",IF(Analysis!$I896="Drifting",Analysis!$H896,""))</f>
        <v/>
      </c>
    </row>
    <row r="897" spans="1:16" x14ac:dyDescent="0.25">
      <c r="A897" s="29" t="str">
        <f>IF(Analysis!$I897="","",IF(Analysis!$I897="Embedded",Analysis!$D897,""))</f>
        <v/>
      </c>
      <c r="B897" s="29" t="str">
        <f>IF(Analysis!$I897="","",IF(Analysis!$I897="Loyal but shallow",Analysis!$D897,""))</f>
        <v/>
      </c>
      <c r="C897" s="29" t="str">
        <f>IF(Analysis!$I897="","",IF(Analysis!$I897="Project-driven",Analysis!$D897,""))</f>
        <v/>
      </c>
      <c r="D897" s="29" t="str">
        <f>IF(Analysis!$I897="","",IF(Analysis!$I897="Drifting",Analysis!$D897,""))</f>
        <v/>
      </c>
      <c r="E897" s="29" t="str">
        <f>IF(Analysis!$I897="","",IF(Analysis!$I897="Embedded",Analysis!$C897,""))</f>
        <v/>
      </c>
      <c r="F897" s="29" t="str">
        <f>IF(Analysis!$I897="","",IF(Analysis!$I897="Loyal but shallow",Analysis!$C897,""))</f>
        <v/>
      </c>
      <c r="G897" s="29" t="str">
        <f>IF(Analysis!$I897="","",IF(Analysis!$I897="Project-driven",Analysis!$C897,""))</f>
        <v/>
      </c>
      <c r="H897" s="29" t="str">
        <f>IF(Analysis!$I897="","",IF(Analysis!$I897="Drifting",Analysis!$C897,""))</f>
        <v/>
      </c>
      <c r="I897" s="29" t="str">
        <f>IF(Analysis!$I897="","",IF(Analysis!$I897="Embedded",Analysis!$F897,""))</f>
        <v/>
      </c>
      <c r="J897" s="29" t="str">
        <f>IF(Analysis!$I897="","",IF(Analysis!$I897="Loyal but shallow",Analysis!$F897,""))</f>
        <v/>
      </c>
      <c r="K897" s="29" t="str">
        <f>IF(Analysis!$I897="","",IF(Analysis!$I897="Project-driven",Analysis!$F897,""))</f>
        <v/>
      </c>
      <c r="L897" s="29" t="str">
        <f>IF(Analysis!$I897="","",IF(Analysis!$I897="Drifting",Analysis!$F897,""))</f>
        <v/>
      </c>
      <c r="M897" s="29" t="str">
        <f>IF(Analysis!$I897="","",IF(Analysis!$I897="Embedded",Analysis!$H897,""))</f>
        <v/>
      </c>
      <c r="N897" s="29" t="str">
        <f>IF(Analysis!$I897="","",IF(Analysis!$I897="Loyal but shallow",Analysis!$H897,""))</f>
        <v/>
      </c>
      <c r="O897" s="29" t="str">
        <f>IF(Analysis!$I897="","",IF(Analysis!$I897="Project-driven",Analysis!$H897,""))</f>
        <v/>
      </c>
      <c r="P897" s="29" t="str">
        <f>IF(Analysis!$I897="","",IF(Analysis!$I897="Drifting",Analysis!$H897,""))</f>
        <v/>
      </c>
    </row>
    <row r="898" spans="1:16" x14ac:dyDescent="0.25">
      <c r="A898" s="29" t="str">
        <f>IF(Analysis!$I898="","",IF(Analysis!$I898="Embedded",Analysis!$D898,""))</f>
        <v/>
      </c>
      <c r="B898" s="29" t="str">
        <f>IF(Analysis!$I898="","",IF(Analysis!$I898="Loyal but shallow",Analysis!$D898,""))</f>
        <v/>
      </c>
      <c r="C898" s="29" t="str">
        <f>IF(Analysis!$I898="","",IF(Analysis!$I898="Project-driven",Analysis!$D898,""))</f>
        <v/>
      </c>
      <c r="D898" s="29" t="str">
        <f>IF(Analysis!$I898="","",IF(Analysis!$I898="Drifting",Analysis!$D898,""))</f>
        <v/>
      </c>
      <c r="E898" s="29" t="str">
        <f>IF(Analysis!$I898="","",IF(Analysis!$I898="Embedded",Analysis!$C898,""))</f>
        <v/>
      </c>
      <c r="F898" s="29" t="str">
        <f>IF(Analysis!$I898="","",IF(Analysis!$I898="Loyal but shallow",Analysis!$C898,""))</f>
        <v/>
      </c>
      <c r="G898" s="29" t="str">
        <f>IF(Analysis!$I898="","",IF(Analysis!$I898="Project-driven",Analysis!$C898,""))</f>
        <v/>
      </c>
      <c r="H898" s="29" t="str">
        <f>IF(Analysis!$I898="","",IF(Analysis!$I898="Drifting",Analysis!$C898,""))</f>
        <v/>
      </c>
      <c r="I898" s="29" t="str">
        <f>IF(Analysis!$I898="","",IF(Analysis!$I898="Embedded",Analysis!$F898,""))</f>
        <v/>
      </c>
      <c r="J898" s="29" t="str">
        <f>IF(Analysis!$I898="","",IF(Analysis!$I898="Loyal but shallow",Analysis!$F898,""))</f>
        <v/>
      </c>
      <c r="K898" s="29" t="str">
        <f>IF(Analysis!$I898="","",IF(Analysis!$I898="Project-driven",Analysis!$F898,""))</f>
        <v/>
      </c>
      <c r="L898" s="29" t="str">
        <f>IF(Analysis!$I898="","",IF(Analysis!$I898="Drifting",Analysis!$F898,""))</f>
        <v/>
      </c>
      <c r="M898" s="29" t="str">
        <f>IF(Analysis!$I898="","",IF(Analysis!$I898="Embedded",Analysis!$H898,""))</f>
        <v/>
      </c>
      <c r="N898" s="29" t="str">
        <f>IF(Analysis!$I898="","",IF(Analysis!$I898="Loyal but shallow",Analysis!$H898,""))</f>
        <v/>
      </c>
      <c r="O898" s="29" t="str">
        <f>IF(Analysis!$I898="","",IF(Analysis!$I898="Project-driven",Analysis!$H898,""))</f>
        <v/>
      </c>
      <c r="P898" s="29" t="str">
        <f>IF(Analysis!$I898="","",IF(Analysis!$I898="Drifting",Analysis!$H898,""))</f>
        <v/>
      </c>
    </row>
    <row r="899" spans="1:16" x14ac:dyDescent="0.25">
      <c r="A899" s="29" t="str">
        <f>IF(Analysis!$I899="","",IF(Analysis!$I899="Embedded",Analysis!$D899,""))</f>
        <v/>
      </c>
      <c r="B899" s="29" t="str">
        <f>IF(Analysis!$I899="","",IF(Analysis!$I899="Loyal but shallow",Analysis!$D899,""))</f>
        <v/>
      </c>
      <c r="C899" s="29" t="str">
        <f>IF(Analysis!$I899="","",IF(Analysis!$I899="Project-driven",Analysis!$D899,""))</f>
        <v/>
      </c>
      <c r="D899" s="29" t="str">
        <f>IF(Analysis!$I899="","",IF(Analysis!$I899="Drifting",Analysis!$D899,""))</f>
        <v/>
      </c>
      <c r="E899" s="29" t="str">
        <f>IF(Analysis!$I899="","",IF(Analysis!$I899="Embedded",Analysis!$C899,""))</f>
        <v/>
      </c>
      <c r="F899" s="29" t="str">
        <f>IF(Analysis!$I899="","",IF(Analysis!$I899="Loyal but shallow",Analysis!$C899,""))</f>
        <v/>
      </c>
      <c r="G899" s="29" t="str">
        <f>IF(Analysis!$I899="","",IF(Analysis!$I899="Project-driven",Analysis!$C899,""))</f>
        <v/>
      </c>
      <c r="H899" s="29" t="str">
        <f>IF(Analysis!$I899="","",IF(Analysis!$I899="Drifting",Analysis!$C899,""))</f>
        <v/>
      </c>
      <c r="I899" s="29" t="str">
        <f>IF(Analysis!$I899="","",IF(Analysis!$I899="Embedded",Analysis!$F899,""))</f>
        <v/>
      </c>
      <c r="J899" s="29" t="str">
        <f>IF(Analysis!$I899="","",IF(Analysis!$I899="Loyal but shallow",Analysis!$F899,""))</f>
        <v/>
      </c>
      <c r="K899" s="29" t="str">
        <f>IF(Analysis!$I899="","",IF(Analysis!$I899="Project-driven",Analysis!$F899,""))</f>
        <v/>
      </c>
      <c r="L899" s="29" t="str">
        <f>IF(Analysis!$I899="","",IF(Analysis!$I899="Drifting",Analysis!$F899,""))</f>
        <v/>
      </c>
      <c r="M899" s="29" t="str">
        <f>IF(Analysis!$I899="","",IF(Analysis!$I899="Embedded",Analysis!$H899,""))</f>
        <v/>
      </c>
      <c r="N899" s="29" t="str">
        <f>IF(Analysis!$I899="","",IF(Analysis!$I899="Loyal but shallow",Analysis!$H899,""))</f>
        <v/>
      </c>
      <c r="O899" s="29" t="str">
        <f>IF(Analysis!$I899="","",IF(Analysis!$I899="Project-driven",Analysis!$H899,""))</f>
        <v/>
      </c>
      <c r="P899" s="29" t="str">
        <f>IF(Analysis!$I899="","",IF(Analysis!$I899="Drifting",Analysis!$H899,""))</f>
        <v/>
      </c>
    </row>
    <row r="900" spans="1:16" x14ac:dyDescent="0.25">
      <c r="A900" s="29" t="str">
        <f>IF(Analysis!$I900="","",IF(Analysis!$I900="Embedded",Analysis!$D900,""))</f>
        <v/>
      </c>
      <c r="B900" s="29" t="str">
        <f>IF(Analysis!$I900="","",IF(Analysis!$I900="Loyal but shallow",Analysis!$D900,""))</f>
        <v/>
      </c>
      <c r="C900" s="29" t="str">
        <f>IF(Analysis!$I900="","",IF(Analysis!$I900="Project-driven",Analysis!$D900,""))</f>
        <v/>
      </c>
      <c r="D900" s="29" t="str">
        <f>IF(Analysis!$I900="","",IF(Analysis!$I900="Drifting",Analysis!$D900,""))</f>
        <v/>
      </c>
      <c r="E900" s="29" t="str">
        <f>IF(Analysis!$I900="","",IF(Analysis!$I900="Embedded",Analysis!$C900,""))</f>
        <v/>
      </c>
      <c r="F900" s="29" t="str">
        <f>IF(Analysis!$I900="","",IF(Analysis!$I900="Loyal but shallow",Analysis!$C900,""))</f>
        <v/>
      </c>
      <c r="G900" s="29" t="str">
        <f>IF(Analysis!$I900="","",IF(Analysis!$I900="Project-driven",Analysis!$C900,""))</f>
        <v/>
      </c>
      <c r="H900" s="29" t="str">
        <f>IF(Analysis!$I900="","",IF(Analysis!$I900="Drifting",Analysis!$C900,""))</f>
        <v/>
      </c>
      <c r="I900" s="29" t="str">
        <f>IF(Analysis!$I900="","",IF(Analysis!$I900="Embedded",Analysis!$F900,""))</f>
        <v/>
      </c>
      <c r="J900" s="29" t="str">
        <f>IF(Analysis!$I900="","",IF(Analysis!$I900="Loyal but shallow",Analysis!$F900,""))</f>
        <v/>
      </c>
      <c r="K900" s="29" t="str">
        <f>IF(Analysis!$I900="","",IF(Analysis!$I900="Project-driven",Analysis!$F900,""))</f>
        <v/>
      </c>
      <c r="L900" s="29" t="str">
        <f>IF(Analysis!$I900="","",IF(Analysis!$I900="Drifting",Analysis!$F900,""))</f>
        <v/>
      </c>
      <c r="M900" s="29" t="str">
        <f>IF(Analysis!$I900="","",IF(Analysis!$I900="Embedded",Analysis!$H900,""))</f>
        <v/>
      </c>
      <c r="N900" s="29" t="str">
        <f>IF(Analysis!$I900="","",IF(Analysis!$I900="Loyal but shallow",Analysis!$H900,""))</f>
        <v/>
      </c>
      <c r="O900" s="29" t="str">
        <f>IF(Analysis!$I900="","",IF(Analysis!$I900="Project-driven",Analysis!$H900,""))</f>
        <v/>
      </c>
      <c r="P900" s="29" t="str">
        <f>IF(Analysis!$I900="","",IF(Analysis!$I900="Drifting",Analysis!$H900,""))</f>
        <v/>
      </c>
    </row>
    <row r="901" spans="1:16" x14ac:dyDescent="0.25">
      <c r="A901" s="29" t="str">
        <f>IF(Analysis!$I901="","",IF(Analysis!$I901="Embedded",Analysis!$D901,""))</f>
        <v/>
      </c>
      <c r="B901" s="29" t="str">
        <f>IF(Analysis!$I901="","",IF(Analysis!$I901="Loyal but shallow",Analysis!$D901,""))</f>
        <v/>
      </c>
      <c r="C901" s="29" t="str">
        <f>IF(Analysis!$I901="","",IF(Analysis!$I901="Project-driven",Analysis!$D901,""))</f>
        <v/>
      </c>
      <c r="D901" s="29" t="str">
        <f>IF(Analysis!$I901="","",IF(Analysis!$I901="Drifting",Analysis!$D901,""))</f>
        <v/>
      </c>
      <c r="E901" s="29" t="str">
        <f>IF(Analysis!$I901="","",IF(Analysis!$I901="Embedded",Analysis!$C901,""))</f>
        <v/>
      </c>
      <c r="F901" s="29" t="str">
        <f>IF(Analysis!$I901="","",IF(Analysis!$I901="Loyal but shallow",Analysis!$C901,""))</f>
        <v/>
      </c>
      <c r="G901" s="29" t="str">
        <f>IF(Analysis!$I901="","",IF(Analysis!$I901="Project-driven",Analysis!$C901,""))</f>
        <v/>
      </c>
      <c r="H901" s="29" t="str">
        <f>IF(Analysis!$I901="","",IF(Analysis!$I901="Drifting",Analysis!$C901,""))</f>
        <v/>
      </c>
      <c r="I901" s="29" t="str">
        <f>IF(Analysis!$I901="","",IF(Analysis!$I901="Embedded",Analysis!$F901,""))</f>
        <v/>
      </c>
      <c r="J901" s="29" t="str">
        <f>IF(Analysis!$I901="","",IF(Analysis!$I901="Loyal but shallow",Analysis!$F901,""))</f>
        <v/>
      </c>
      <c r="K901" s="29" t="str">
        <f>IF(Analysis!$I901="","",IF(Analysis!$I901="Project-driven",Analysis!$F901,""))</f>
        <v/>
      </c>
      <c r="L901" s="29" t="str">
        <f>IF(Analysis!$I901="","",IF(Analysis!$I901="Drifting",Analysis!$F901,""))</f>
        <v/>
      </c>
      <c r="M901" s="29" t="str">
        <f>IF(Analysis!$I901="","",IF(Analysis!$I901="Embedded",Analysis!$H901,""))</f>
        <v/>
      </c>
      <c r="N901" s="29" t="str">
        <f>IF(Analysis!$I901="","",IF(Analysis!$I901="Loyal but shallow",Analysis!$H901,""))</f>
        <v/>
      </c>
      <c r="O901" s="29" t="str">
        <f>IF(Analysis!$I901="","",IF(Analysis!$I901="Project-driven",Analysis!$H901,""))</f>
        <v/>
      </c>
      <c r="P901" s="29" t="str">
        <f>IF(Analysis!$I901="","",IF(Analysis!$I901="Drifting",Analysis!$H901,""))</f>
        <v/>
      </c>
    </row>
    <row r="902" spans="1:16" x14ac:dyDescent="0.25">
      <c r="A902" s="29" t="str">
        <f>IF(Analysis!$I902="","",IF(Analysis!$I902="Embedded",Analysis!$D902,""))</f>
        <v/>
      </c>
      <c r="B902" s="29" t="str">
        <f>IF(Analysis!$I902="","",IF(Analysis!$I902="Loyal but shallow",Analysis!$D902,""))</f>
        <v/>
      </c>
      <c r="C902" s="29" t="str">
        <f>IF(Analysis!$I902="","",IF(Analysis!$I902="Project-driven",Analysis!$D902,""))</f>
        <v/>
      </c>
      <c r="D902" s="29" t="str">
        <f>IF(Analysis!$I902="","",IF(Analysis!$I902="Drifting",Analysis!$D902,""))</f>
        <v/>
      </c>
      <c r="E902" s="29" t="str">
        <f>IF(Analysis!$I902="","",IF(Analysis!$I902="Embedded",Analysis!$C902,""))</f>
        <v/>
      </c>
      <c r="F902" s="29" t="str">
        <f>IF(Analysis!$I902="","",IF(Analysis!$I902="Loyal but shallow",Analysis!$C902,""))</f>
        <v/>
      </c>
      <c r="G902" s="29" t="str">
        <f>IF(Analysis!$I902="","",IF(Analysis!$I902="Project-driven",Analysis!$C902,""))</f>
        <v/>
      </c>
      <c r="H902" s="29" t="str">
        <f>IF(Analysis!$I902="","",IF(Analysis!$I902="Drifting",Analysis!$C902,""))</f>
        <v/>
      </c>
      <c r="I902" s="29" t="str">
        <f>IF(Analysis!$I902="","",IF(Analysis!$I902="Embedded",Analysis!$F902,""))</f>
        <v/>
      </c>
      <c r="J902" s="29" t="str">
        <f>IF(Analysis!$I902="","",IF(Analysis!$I902="Loyal but shallow",Analysis!$F902,""))</f>
        <v/>
      </c>
      <c r="K902" s="29" t="str">
        <f>IF(Analysis!$I902="","",IF(Analysis!$I902="Project-driven",Analysis!$F902,""))</f>
        <v/>
      </c>
      <c r="L902" s="29" t="str">
        <f>IF(Analysis!$I902="","",IF(Analysis!$I902="Drifting",Analysis!$F902,""))</f>
        <v/>
      </c>
      <c r="M902" s="29" t="str">
        <f>IF(Analysis!$I902="","",IF(Analysis!$I902="Embedded",Analysis!$H902,""))</f>
        <v/>
      </c>
      <c r="N902" s="29" t="str">
        <f>IF(Analysis!$I902="","",IF(Analysis!$I902="Loyal but shallow",Analysis!$H902,""))</f>
        <v/>
      </c>
      <c r="O902" s="29" t="str">
        <f>IF(Analysis!$I902="","",IF(Analysis!$I902="Project-driven",Analysis!$H902,""))</f>
        <v/>
      </c>
      <c r="P902" s="29" t="str">
        <f>IF(Analysis!$I902="","",IF(Analysis!$I902="Drifting",Analysis!$H902,""))</f>
        <v/>
      </c>
    </row>
    <row r="903" spans="1:16" x14ac:dyDescent="0.25">
      <c r="A903" s="29" t="str">
        <f>IF(Analysis!$I903="","",IF(Analysis!$I903="Embedded",Analysis!$D903,""))</f>
        <v/>
      </c>
      <c r="B903" s="29" t="str">
        <f>IF(Analysis!$I903="","",IF(Analysis!$I903="Loyal but shallow",Analysis!$D903,""))</f>
        <v/>
      </c>
      <c r="C903" s="29" t="str">
        <f>IF(Analysis!$I903="","",IF(Analysis!$I903="Project-driven",Analysis!$D903,""))</f>
        <v/>
      </c>
      <c r="D903" s="29" t="str">
        <f>IF(Analysis!$I903="","",IF(Analysis!$I903="Drifting",Analysis!$D903,""))</f>
        <v/>
      </c>
      <c r="E903" s="29" t="str">
        <f>IF(Analysis!$I903="","",IF(Analysis!$I903="Embedded",Analysis!$C903,""))</f>
        <v/>
      </c>
      <c r="F903" s="29" t="str">
        <f>IF(Analysis!$I903="","",IF(Analysis!$I903="Loyal but shallow",Analysis!$C903,""))</f>
        <v/>
      </c>
      <c r="G903" s="29" t="str">
        <f>IF(Analysis!$I903="","",IF(Analysis!$I903="Project-driven",Analysis!$C903,""))</f>
        <v/>
      </c>
      <c r="H903" s="29" t="str">
        <f>IF(Analysis!$I903="","",IF(Analysis!$I903="Drifting",Analysis!$C903,""))</f>
        <v/>
      </c>
      <c r="I903" s="29" t="str">
        <f>IF(Analysis!$I903="","",IF(Analysis!$I903="Embedded",Analysis!$F903,""))</f>
        <v/>
      </c>
      <c r="J903" s="29" t="str">
        <f>IF(Analysis!$I903="","",IF(Analysis!$I903="Loyal but shallow",Analysis!$F903,""))</f>
        <v/>
      </c>
      <c r="K903" s="29" t="str">
        <f>IF(Analysis!$I903="","",IF(Analysis!$I903="Project-driven",Analysis!$F903,""))</f>
        <v/>
      </c>
      <c r="L903" s="29" t="str">
        <f>IF(Analysis!$I903="","",IF(Analysis!$I903="Drifting",Analysis!$F903,""))</f>
        <v/>
      </c>
      <c r="M903" s="29" t="str">
        <f>IF(Analysis!$I903="","",IF(Analysis!$I903="Embedded",Analysis!$H903,""))</f>
        <v/>
      </c>
      <c r="N903" s="29" t="str">
        <f>IF(Analysis!$I903="","",IF(Analysis!$I903="Loyal but shallow",Analysis!$H903,""))</f>
        <v/>
      </c>
      <c r="O903" s="29" t="str">
        <f>IF(Analysis!$I903="","",IF(Analysis!$I903="Project-driven",Analysis!$H903,""))</f>
        <v/>
      </c>
      <c r="P903" s="29" t="str">
        <f>IF(Analysis!$I903="","",IF(Analysis!$I903="Drifting",Analysis!$H903,""))</f>
        <v/>
      </c>
    </row>
    <row r="904" spans="1:16" x14ac:dyDescent="0.25">
      <c r="A904" s="29" t="str">
        <f>IF(Analysis!$I904="","",IF(Analysis!$I904="Embedded",Analysis!$D904,""))</f>
        <v/>
      </c>
      <c r="B904" s="29" t="str">
        <f>IF(Analysis!$I904="","",IF(Analysis!$I904="Loyal but shallow",Analysis!$D904,""))</f>
        <v/>
      </c>
      <c r="C904" s="29" t="str">
        <f>IF(Analysis!$I904="","",IF(Analysis!$I904="Project-driven",Analysis!$D904,""))</f>
        <v/>
      </c>
      <c r="D904" s="29" t="str">
        <f>IF(Analysis!$I904="","",IF(Analysis!$I904="Drifting",Analysis!$D904,""))</f>
        <v/>
      </c>
      <c r="E904" s="29" t="str">
        <f>IF(Analysis!$I904="","",IF(Analysis!$I904="Embedded",Analysis!$C904,""))</f>
        <v/>
      </c>
      <c r="F904" s="29" t="str">
        <f>IF(Analysis!$I904="","",IF(Analysis!$I904="Loyal but shallow",Analysis!$C904,""))</f>
        <v/>
      </c>
      <c r="G904" s="29" t="str">
        <f>IF(Analysis!$I904="","",IF(Analysis!$I904="Project-driven",Analysis!$C904,""))</f>
        <v/>
      </c>
      <c r="H904" s="29" t="str">
        <f>IF(Analysis!$I904="","",IF(Analysis!$I904="Drifting",Analysis!$C904,""))</f>
        <v/>
      </c>
      <c r="I904" s="29" t="str">
        <f>IF(Analysis!$I904="","",IF(Analysis!$I904="Embedded",Analysis!$F904,""))</f>
        <v/>
      </c>
      <c r="J904" s="29" t="str">
        <f>IF(Analysis!$I904="","",IF(Analysis!$I904="Loyal but shallow",Analysis!$F904,""))</f>
        <v/>
      </c>
      <c r="K904" s="29" t="str">
        <f>IF(Analysis!$I904="","",IF(Analysis!$I904="Project-driven",Analysis!$F904,""))</f>
        <v/>
      </c>
      <c r="L904" s="29" t="str">
        <f>IF(Analysis!$I904="","",IF(Analysis!$I904="Drifting",Analysis!$F904,""))</f>
        <v/>
      </c>
      <c r="M904" s="29" t="str">
        <f>IF(Analysis!$I904="","",IF(Analysis!$I904="Embedded",Analysis!$H904,""))</f>
        <v/>
      </c>
      <c r="N904" s="29" t="str">
        <f>IF(Analysis!$I904="","",IF(Analysis!$I904="Loyal but shallow",Analysis!$H904,""))</f>
        <v/>
      </c>
      <c r="O904" s="29" t="str">
        <f>IF(Analysis!$I904="","",IF(Analysis!$I904="Project-driven",Analysis!$H904,""))</f>
        <v/>
      </c>
      <c r="P904" s="29" t="str">
        <f>IF(Analysis!$I904="","",IF(Analysis!$I904="Drifting",Analysis!$H904,""))</f>
        <v/>
      </c>
    </row>
    <row r="905" spans="1:16" x14ac:dyDescent="0.25">
      <c r="A905" s="29" t="str">
        <f>IF(Analysis!$I905="","",IF(Analysis!$I905="Embedded",Analysis!$D905,""))</f>
        <v/>
      </c>
      <c r="B905" s="29" t="str">
        <f>IF(Analysis!$I905="","",IF(Analysis!$I905="Loyal but shallow",Analysis!$D905,""))</f>
        <v/>
      </c>
      <c r="C905" s="29" t="str">
        <f>IF(Analysis!$I905="","",IF(Analysis!$I905="Project-driven",Analysis!$D905,""))</f>
        <v/>
      </c>
      <c r="D905" s="29" t="str">
        <f>IF(Analysis!$I905="","",IF(Analysis!$I905="Drifting",Analysis!$D905,""))</f>
        <v/>
      </c>
      <c r="E905" s="29" t="str">
        <f>IF(Analysis!$I905="","",IF(Analysis!$I905="Embedded",Analysis!$C905,""))</f>
        <v/>
      </c>
      <c r="F905" s="29" t="str">
        <f>IF(Analysis!$I905="","",IF(Analysis!$I905="Loyal but shallow",Analysis!$C905,""))</f>
        <v/>
      </c>
      <c r="G905" s="29" t="str">
        <f>IF(Analysis!$I905="","",IF(Analysis!$I905="Project-driven",Analysis!$C905,""))</f>
        <v/>
      </c>
      <c r="H905" s="29" t="str">
        <f>IF(Analysis!$I905="","",IF(Analysis!$I905="Drifting",Analysis!$C905,""))</f>
        <v/>
      </c>
      <c r="I905" s="29" t="str">
        <f>IF(Analysis!$I905="","",IF(Analysis!$I905="Embedded",Analysis!$F905,""))</f>
        <v/>
      </c>
      <c r="J905" s="29" t="str">
        <f>IF(Analysis!$I905="","",IF(Analysis!$I905="Loyal but shallow",Analysis!$F905,""))</f>
        <v/>
      </c>
      <c r="K905" s="29" t="str">
        <f>IF(Analysis!$I905="","",IF(Analysis!$I905="Project-driven",Analysis!$F905,""))</f>
        <v/>
      </c>
      <c r="L905" s="29" t="str">
        <f>IF(Analysis!$I905="","",IF(Analysis!$I905="Drifting",Analysis!$F905,""))</f>
        <v/>
      </c>
      <c r="M905" s="29" t="str">
        <f>IF(Analysis!$I905="","",IF(Analysis!$I905="Embedded",Analysis!$H905,""))</f>
        <v/>
      </c>
      <c r="N905" s="29" t="str">
        <f>IF(Analysis!$I905="","",IF(Analysis!$I905="Loyal but shallow",Analysis!$H905,""))</f>
        <v/>
      </c>
      <c r="O905" s="29" t="str">
        <f>IF(Analysis!$I905="","",IF(Analysis!$I905="Project-driven",Analysis!$H905,""))</f>
        <v/>
      </c>
      <c r="P905" s="29" t="str">
        <f>IF(Analysis!$I905="","",IF(Analysis!$I905="Drifting",Analysis!$H905,""))</f>
        <v/>
      </c>
    </row>
    <row r="906" spans="1:16" x14ac:dyDescent="0.25">
      <c r="A906" s="29" t="str">
        <f>IF(Analysis!$I906="","",IF(Analysis!$I906="Embedded",Analysis!$D906,""))</f>
        <v/>
      </c>
      <c r="B906" s="29" t="str">
        <f>IF(Analysis!$I906="","",IF(Analysis!$I906="Loyal but shallow",Analysis!$D906,""))</f>
        <v/>
      </c>
      <c r="C906" s="29" t="str">
        <f>IF(Analysis!$I906="","",IF(Analysis!$I906="Project-driven",Analysis!$D906,""))</f>
        <v/>
      </c>
      <c r="D906" s="29" t="str">
        <f>IF(Analysis!$I906="","",IF(Analysis!$I906="Drifting",Analysis!$D906,""))</f>
        <v/>
      </c>
      <c r="E906" s="29" t="str">
        <f>IF(Analysis!$I906="","",IF(Analysis!$I906="Embedded",Analysis!$C906,""))</f>
        <v/>
      </c>
      <c r="F906" s="29" t="str">
        <f>IF(Analysis!$I906="","",IF(Analysis!$I906="Loyal but shallow",Analysis!$C906,""))</f>
        <v/>
      </c>
      <c r="G906" s="29" t="str">
        <f>IF(Analysis!$I906="","",IF(Analysis!$I906="Project-driven",Analysis!$C906,""))</f>
        <v/>
      </c>
      <c r="H906" s="29" t="str">
        <f>IF(Analysis!$I906="","",IF(Analysis!$I906="Drifting",Analysis!$C906,""))</f>
        <v/>
      </c>
      <c r="I906" s="29" t="str">
        <f>IF(Analysis!$I906="","",IF(Analysis!$I906="Embedded",Analysis!$F906,""))</f>
        <v/>
      </c>
      <c r="J906" s="29" t="str">
        <f>IF(Analysis!$I906="","",IF(Analysis!$I906="Loyal but shallow",Analysis!$F906,""))</f>
        <v/>
      </c>
      <c r="K906" s="29" t="str">
        <f>IF(Analysis!$I906="","",IF(Analysis!$I906="Project-driven",Analysis!$F906,""))</f>
        <v/>
      </c>
      <c r="L906" s="29" t="str">
        <f>IF(Analysis!$I906="","",IF(Analysis!$I906="Drifting",Analysis!$F906,""))</f>
        <v/>
      </c>
      <c r="M906" s="29" t="str">
        <f>IF(Analysis!$I906="","",IF(Analysis!$I906="Embedded",Analysis!$H906,""))</f>
        <v/>
      </c>
      <c r="N906" s="29" t="str">
        <f>IF(Analysis!$I906="","",IF(Analysis!$I906="Loyal but shallow",Analysis!$H906,""))</f>
        <v/>
      </c>
      <c r="O906" s="29" t="str">
        <f>IF(Analysis!$I906="","",IF(Analysis!$I906="Project-driven",Analysis!$H906,""))</f>
        <v/>
      </c>
      <c r="P906" s="29" t="str">
        <f>IF(Analysis!$I906="","",IF(Analysis!$I906="Drifting",Analysis!$H906,""))</f>
        <v/>
      </c>
    </row>
    <row r="907" spans="1:16" x14ac:dyDescent="0.25">
      <c r="A907" s="29" t="str">
        <f>IF(Analysis!$I907="","",IF(Analysis!$I907="Embedded",Analysis!$D907,""))</f>
        <v/>
      </c>
      <c r="B907" s="29" t="str">
        <f>IF(Analysis!$I907="","",IF(Analysis!$I907="Loyal but shallow",Analysis!$D907,""))</f>
        <v/>
      </c>
      <c r="C907" s="29" t="str">
        <f>IF(Analysis!$I907="","",IF(Analysis!$I907="Project-driven",Analysis!$D907,""))</f>
        <v/>
      </c>
      <c r="D907" s="29" t="str">
        <f>IF(Analysis!$I907="","",IF(Analysis!$I907="Drifting",Analysis!$D907,""))</f>
        <v/>
      </c>
      <c r="E907" s="29" t="str">
        <f>IF(Analysis!$I907="","",IF(Analysis!$I907="Embedded",Analysis!$C907,""))</f>
        <v/>
      </c>
      <c r="F907" s="29" t="str">
        <f>IF(Analysis!$I907="","",IF(Analysis!$I907="Loyal but shallow",Analysis!$C907,""))</f>
        <v/>
      </c>
      <c r="G907" s="29" t="str">
        <f>IF(Analysis!$I907="","",IF(Analysis!$I907="Project-driven",Analysis!$C907,""))</f>
        <v/>
      </c>
      <c r="H907" s="29" t="str">
        <f>IF(Analysis!$I907="","",IF(Analysis!$I907="Drifting",Analysis!$C907,""))</f>
        <v/>
      </c>
      <c r="I907" s="29" t="str">
        <f>IF(Analysis!$I907="","",IF(Analysis!$I907="Embedded",Analysis!$F907,""))</f>
        <v/>
      </c>
      <c r="J907" s="29" t="str">
        <f>IF(Analysis!$I907="","",IF(Analysis!$I907="Loyal but shallow",Analysis!$F907,""))</f>
        <v/>
      </c>
      <c r="K907" s="29" t="str">
        <f>IF(Analysis!$I907="","",IF(Analysis!$I907="Project-driven",Analysis!$F907,""))</f>
        <v/>
      </c>
      <c r="L907" s="29" t="str">
        <f>IF(Analysis!$I907="","",IF(Analysis!$I907="Drifting",Analysis!$F907,""))</f>
        <v/>
      </c>
      <c r="M907" s="29" t="str">
        <f>IF(Analysis!$I907="","",IF(Analysis!$I907="Embedded",Analysis!$H907,""))</f>
        <v/>
      </c>
      <c r="N907" s="29" t="str">
        <f>IF(Analysis!$I907="","",IF(Analysis!$I907="Loyal but shallow",Analysis!$H907,""))</f>
        <v/>
      </c>
      <c r="O907" s="29" t="str">
        <f>IF(Analysis!$I907="","",IF(Analysis!$I907="Project-driven",Analysis!$H907,""))</f>
        <v/>
      </c>
      <c r="P907" s="29" t="str">
        <f>IF(Analysis!$I907="","",IF(Analysis!$I907="Drifting",Analysis!$H907,""))</f>
        <v/>
      </c>
    </row>
    <row r="908" spans="1:16" x14ac:dyDescent="0.25">
      <c r="A908" s="29" t="str">
        <f>IF(Analysis!$I908="","",IF(Analysis!$I908="Embedded",Analysis!$D908,""))</f>
        <v/>
      </c>
      <c r="B908" s="29" t="str">
        <f>IF(Analysis!$I908="","",IF(Analysis!$I908="Loyal but shallow",Analysis!$D908,""))</f>
        <v/>
      </c>
      <c r="C908" s="29" t="str">
        <f>IF(Analysis!$I908="","",IF(Analysis!$I908="Project-driven",Analysis!$D908,""))</f>
        <v/>
      </c>
      <c r="D908" s="29" t="str">
        <f>IF(Analysis!$I908="","",IF(Analysis!$I908="Drifting",Analysis!$D908,""))</f>
        <v/>
      </c>
      <c r="E908" s="29" t="str">
        <f>IF(Analysis!$I908="","",IF(Analysis!$I908="Embedded",Analysis!$C908,""))</f>
        <v/>
      </c>
      <c r="F908" s="29" t="str">
        <f>IF(Analysis!$I908="","",IF(Analysis!$I908="Loyal but shallow",Analysis!$C908,""))</f>
        <v/>
      </c>
      <c r="G908" s="29" t="str">
        <f>IF(Analysis!$I908="","",IF(Analysis!$I908="Project-driven",Analysis!$C908,""))</f>
        <v/>
      </c>
      <c r="H908" s="29" t="str">
        <f>IF(Analysis!$I908="","",IF(Analysis!$I908="Drifting",Analysis!$C908,""))</f>
        <v/>
      </c>
      <c r="I908" s="29" t="str">
        <f>IF(Analysis!$I908="","",IF(Analysis!$I908="Embedded",Analysis!$F908,""))</f>
        <v/>
      </c>
      <c r="J908" s="29" t="str">
        <f>IF(Analysis!$I908="","",IF(Analysis!$I908="Loyal but shallow",Analysis!$F908,""))</f>
        <v/>
      </c>
      <c r="K908" s="29" t="str">
        <f>IF(Analysis!$I908="","",IF(Analysis!$I908="Project-driven",Analysis!$F908,""))</f>
        <v/>
      </c>
      <c r="L908" s="29" t="str">
        <f>IF(Analysis!$I908="","",IF(Analysis!$I908="Drifting",Analysis!$F908,""))</f>
        <v/>
      </c>
      <c r="M908" s="29" t="str">
        <f>IF(Analysis!$I908="","",IF(Analysis!$I908="Embedded",Analysis!$H908,""))</f>
        <v/>
      </c>
      <c r="N908" s="29" t="str">
        <f>IF(Analysis!$I908="","",IF(Analysis!$I908="Loyal but shallow",Analysis!$H908,""))</f>
        <v/>
      </c>
      <c r="O908" s="29" t="str">
        <f>IF(Analysis!$I908="","",IF(Analysis!$I908="Project-driven",Analysis!$H908,""))</f>
        <v/>
      </c>
      <c r="P908" s="29" t="str">
        <f>IF(Analysis!$I908="","",IF(Analysis!$I908="Drifting",Analysis!$H908,""))</f>
        <v/>
      </c>
    </row>
    <row r="909" spans="1:16" x14ac:dyDescent="0.25">
      <c r="A909" s="29" t="str">
        <f>IF(Analysis!$I909="","",IF(Analysis!$I909="Embedded",Analysis!$D909,""))</f>
        <v/>
      </c>
      <c r="B909" s="29" t="str">
        <f>IF(Analysis!$I909="","",IF(Analysis!$I909="Loyal but shallow",Analysis!$D909,""))</f>
        <v/>
      </c>
      <c r="C909" s="29" t="str">
        <f>IF(Analysis!$I909="","",IF(Analysis!$I909="Project-driven",Analysis!$D909,""))</f>
        <v/>
      </c>
      <c r="D909" s="29" t="str">
        <f>IF(Analysis!$I909="","",IF(Analysis!$I909="Drifting",Analysis!$D909,""))</f>
        <v/>
      </c>
      <c r="E909" s="29" t="str">
        <f>IF(Analysis!$I909="","",IF(Analysis!$I909="Embedded",Analysis!$C909,""))</f>
        <v/>
      </c>
      <c r="F909" s="29" t="str">
        <f>IF(Analysis!$I909="","",IF(Analysis!$I909="Loyal but shallow",Analysis!$C909,""))</f>
        <v/>
      </c>
      <c r="G909" s="29" t="str">
        <f>IF(Analysis!$I909="","",IF(Analysis!$I909="Project-driven",Analysis!$C909,""))</f>
        <v/>
      </c>
      <c r="H909" s="29" t="str">
        <f>IF(Analysis!$I909="","",IF(Analysis!$I909="Drifting",Analysis!$C909,""))</f>
        <v/>
      </c>
      <c r="I909" s="29" t="str">
        <f>IF(Analysis!$I909="","",IF(Analysis!$I909="Embedded",Analysis!$F909,""))</f>
        <v/>
      </c>
      <c r="J909" s="29" t="str">
        <f>IF(Analysis!$I909="","",IF(Analysis!$I909="Loyal but shallow",Analysis!$F909,""))</f>
        <v/>
      </c>
      <c r="K909" s="29" t="str">
        <f>IF(Analysis!$I909="","",IF(Analysis!$I909="Project-driven",Analysis!$F909,""))</f>
        <v/>
      </c>
      <c r="L909" s="29" t="str">
        <f>IF(Analysis!$I909="","",IF(Analysis!$I909="Drifting",Analysis!$F909,""))</f>
        <v/>
      </c>
      <c r="M909" s="29" t="str">
        <f>IF(Analysis!$I909="","",IF(Analysis!$I909="Embedded",Analysis!$H909,""))</f>
        <v/>
      </c>
      <c r="N909" s="29" t="str">
        <f>IF(Analysis!$I909="","",IF(Analysis!$I909="Loyal but shallow",Analysis!$H909,""))</f>
        <v/>
      </c>
      <c r="O909" s="29" t="str">
        <f>IF(Analysis!$I909="","",IF(Analysis!$I909="Project-driven",Analysis!$H909,""))</f>
        <v/>
      </c>
      <c r="P909" s="29" t="str">
        <f>IF(Analysis!$I909="","",IF(Analysis!$I909="Drifting",Analysis!$H909,""))</f>
        <v/>
      </c>
    </row>
    <row r="910" spans="1:16" x14ac:dyDescent="0.25">
      <c r="A910" s="29" t="str">
        <f>IF(Analysis!$I910="","",IF(Analysis!$I910="Embedded",Analysis!$D910,""))</f>
        <v/>
      </c>
      <c r="B910" s="29" t="str">
        <f>IF(Analysis!$I910="","",IF(Analysis!$I910="Loyal but shallow",Analysis!$D910,""))</f>
        <v/>
      </c>
      <c r="C910" s="29" t="str">
        <f>IF(Analysis!$I910="","",IF(Analysis!$I910="Project-driven",Analysis!$D910,""))</f>
        <v/>
      </c>
      <c r="D910" s="29" t="str">
        <f>IF(Analysis!$I910="","",IF(Analysis!$I910="Drifting",Analysis!$D910,""))</f>
        <v/>
      </c>
      <c r="E910" s="29" t="str">
        <f>IF(Analysis!$I910="","",IF(Analysis!$I910="Embedded",Analysis!$C910,""))</f>
        <v/>
      </c>
      <c r="F910" s="29" t="str">
        <f>IF(Analysis!$I910="","",IF(Analysis!$I910="Loyal but shallow",Analysis!$C910,""))</f>
        <v/>
      </c>
      <c r="G910" s="29" t="str">
        <f>IF(Analysis!$I910="","",IF(Analysis!$I910="Project-driven",Analysis!$C910,""))</f>
        <v/>
      </c>
      <c r="H910" s="29" t="str">
        <f>IF(Analysis!$I910="","",IF(Analysis!$I910="Drifting",Analysis!$C910,""))</f>
        <v/>
      </c>
      <c r="I910" s="29" t="str">
        <f>IF(Analysis!$I910="","",IF(Analysis!$I910="Embedded",Analysis!$F910,""))</f>
        <v/>
      </c>
      <c r="J910" s="29" t="str">
        <f>IF(Analysis!$I910="","",IF(Analysis!$I910="Loyal but shallow",Analysis!$F910,""))</f>
        <v/>
      </c>
      <c r="K910" s="29" t="str">
        <f>IF(Analysis!$I910="","",IF(Analysis!$I910="Project-driven",Analysis!$F910,""))</f>
        <v/>
      </c>
      <c r="L910" s="29" t="str">
        <f>IF(Analysis!$I910="","",IF(Analysis!$I910="Drifting",Analysis!$F910,""))</f>
        <v/>
      </c>
      <c r="M910" s="29" t="str">
        <f>IF(Analysis!$I910="","",IF(Analysis!$I910="Embedded",Analysis!$H910,""))</f>
        <v/>
      </c>
      <c r="N910" s="29" t="str">
        <f>IF(Analysis!$I910="","",IF(Analysis!$I910="Loyal but shallow",Analysis!$H910,""))</f>
        <v/>
      </c>
      <c r="O910" s="29" t="str">
        <f>IF(Analysis!$I910="","",IF(Analysis!$I910="Project-driven",Analysis!$H910,""))</f>
        <v/>
      </c>
      <c r="P910" s="29" t="str">
        <f>IF(Analysis!$I910="","",IF(Analysis!$I910="Drifting",Analysis!$H910,""))</f>
        <v/>
      </c>
    </row>
    <row r="911" spans="1:16" x14ac:dyDescent="0.25">
      <c r="A911" s="29" t="str">
        <f>IF(Analysis!$I911="","",IF(Analysis!$I911="Embedded",Analysis!$D911,""))</f>
        <v/>
      </c>
      <c r="B911" s="29" t="str">
        <f>IF(Analysis!$I911="","",IF(Analysis!$I911="Loyal but shallow",Analysis!$D911,""))</f>
        <v/>
      </c>
      <c r="C911" s="29" t="str">
        <f>IF(Analysis!$I911="","",IF(Analysis!$I911="Project-driven",Analysis!$D911,""))</f>
        <v/>
      </c>
      <c r="D911" s="29" t="str">
        <f>IF(Analysis!$I911="","",IF(Analysis!$I911="Drifting",Analysis!$D911,""))</f>
        <v/>
      </c>
      <c r="E911" s="29" t="str">
        <f>IF(Analysis!$I911="","",IF(Analysis!$I911="Embedded",Analysis!$C911,""))</f>
        <v/>
      </c>
      <c r="F911" s="29" t="str">
        <f>IF(Analysis!$I911="","",IF(Analysis!$I911="Loyal but shallow",Analysis!$C911,""))</f>
        <v/>
      </c>
      <c r="G911" s="29" t="str">
        <f>IF(Analysis!$I911="","",IF(Analysis!$I911="Project-driven",Analysis!$C911,""))</f>
        <v/>
      </c>
      <c r="H911" s="29" t="str">
        <f>IF(Analysis!$I911="","",IF(Analysis!$I911="Drifting",Analysis!$C911,""))</f>
        <v/>
      </c>
      <c r="I911" s="29" t="str">
        <f>IF(Analysis!$I911="","",IF(Analysis!$I911="Embedded",Analysis!$F911,""))</f>
        <v/>
      </c>
      <c r="J911" s="29" t="str">
        <f>IF(Analysis!$I911="","",IF(Analysis!$I911="Loyal but shallow",Analysis!$F911,""))</f>
        <v/>
      </c>
      <c r="K911" s="29" t="str">
        <f>IF(Analysis!$I911="","",IF(Analysis!$I911="Project-driven",Analysis!$F911,""))</f>
        <v/>
      </c>
      <c r="L911" s="29" t="str">
        <f>IF(Analysis!$I911="","",IF(Analysis!$I911="Drifting",Analysis!$F911,""))</f>
        <v/>
      </c>
      <c r="M911" s="29" t="str">
        <f>IF(Analysis!$I911="","",IF(Analysis!$I911="Embedded",Analysis!$H911,""))</f>
        <v/>
      </c>
      <c r="N911" s="29" t="str">
        <f>IF(Analysis!$I911="","",IF(Analysis!$I911="Loyal but shallow",Analysis!$H911,""))</f>
        <v/>
      </c>
      <c r="O911" s="29" t="str">
        <f>IF(Analysis!$I911="","",IF(Analysis!$I911="Project-driven",Analysis!$H911,""))</f>
        <v/>
      </c>
      <c r="P911" s="29" t="str">
        <f>IF(Analysis!$I911="","",IF(Analysis!$I911="Drifting",Analysis!$H911,""))</f>
        <v/>
      </c>
    </row>
    <row r="912" spans="1:16" x14ac:dyDescent="0.25">
      <c r="A912" s="29" t="str">
        <f>IF(Analysis!$I912="","",IF(Analysis!$I912="Embedded",Analysis!$D912,""))</f>
        <v/>
      </c>
      <c r="B912" s="29" t="str">
        <f>IF(Analysis!$I912="","",IF(Analysis!$I912="Loyal but shallow",Analysis!$D912,""))</f>
        <v/>
      </c>
      <c r="C912" s="29" t="str">
        <f>IF(Analysis!$I912="","",IF(Analysis!$I912="Project-driven",Analysis!$D912,""))</f>
        <v/>
      </c>
      <c r="D912" s="29" t="str">
        <f>IF(Analysis!$I912="","",IF(Analysis!$I912="Drifting",Analysis!$D912,""))</f>
        <v/>
      </c>
      <c r="E912" s="29" t="str">
        <f>IF(Analysis!$I912="","",IF(Analysis!$I912="Embedded",Analysis!$C912,""))</f>
        <v/>
      </c>
      <c r="F912" s="29" t="str">
        <f>IF(Analysis!$I912="","",IF(Analysis!$I912="Loyal but shallow",Analysis!$C912,""))</f>
        <v/>
      </c>
      <c r="G912" s="29" t="str">
        <f>IF(Analysis!$I912="","",IF(Analysis!$I912="Project-driven",Analysis!$C912,""))</f>
        <v/>
      </c>
      <c r="H912" s="29" t="str">
        <f>IF(Analysis!$I912="","",IF(Analysis!$I912="Drifting",Analysis!$C912,""))</f>
        <v/>
      </c>
      <c r="I912" s="29" t="str">
        <f>IF(Analysis!$I912="","",IF(Analysis!$I912="Embedded",Analysis!$F912,""))</f>
        <v/>
      </c>
      <c r="J912" s="29" t="str">
        <f>IF(Analysis!$I912="","",IF(Analysis!$I912="Loyal but shallow",Analysis!$F912,""))</f>
        <v/>
      </c>
      <c r="K912" s="29" t="str">
        <f>IF(Analysis!$I912="","",IF(Analysis!$I912="Project-driven",Analysis!$F912,""))</f>
        <v/>
      </c>
      <c r="L912" s="29" t="str">
        <f>IF(Analysis!$I912="","",IF(Analysis!$I912="Drifting",Analysis!$F912,""))</f>
        <v/>
      </c>
      <c r="M912" s="29" t="str">
        <f>IF(Analysis!$I912="","",IF(Analysis!$I912="Embedded",Analysis!$H912,""))</f>
        <v/>
      </c>
      <c r="N912" s="29" t="str">
        <f>IF(Analysis!$I912="","",IF(Analysis!$I912="Loyal but shallow",Analysis!$H912,""))</f>
        <v/>
      </c>
      <c r="O912" s="29" t="str">
        <f>IF(Analysis!$I912="","",IF(Analysis!$I912="Project-driven",Analysis!$H912,""))</f>
        <v/>
      </c>
      <c r="P912" s="29" t="str">
        <f>IF(Analysis!$I912="","",IF(Analysis!$I912="Drifting",Analysis!$H912,""))</f>
        <v/>
      </c>
    </row>
    <row r="913" spans="1:16" x14ac:dyDescent="0.25">
      <c r="A913" s="29" t="str">
        <f>IF(Analysis!$I913="","",IF(Analysis!$I913="Embedded",Analysis!$D913,""))</f>
        <v/>
      </c>
      <c r="B913" s="29" t="str">
        <f>IF(Analysis!$I913="","",IF(Analysis!$I913="Loyal but shallow",Analysis!$D913,""))</f>
        <v/>
      </c>
      <c r="C913" s="29" t="str">
        <f>IF(Analysis!$I913="","",IF(Analysis!$I913="Project-driven",Analysis!$D913,""))</f>
        <v/>
      </c>
      <c r="D913" s="29" t="str">
        <f>IF(Analysis!$I913="","",IF(Analysis!$I913="Drifting",Analysis!$D913,""))</f>
        <v/>
      </c>
      <c r="E913" s="29" t="str">
        <f>IF(Analysis!$I913="","",IF(Analysis!$I913="Embedded",Analysis!$C913,""))</f>
        <v/>
      </c>
      <c r="F913" s="29" t="str">
        <f>IF(Analysis!$I913="","",IF(Analysis!$I913="Loyal but shallow",Analysis!$C913,""))</f>
        <v/>
      </c>
      <c r="G913" s="29" t="str">
        <f>IF(Analysis!$I913="","",IF(Analysis!$I913="Project-driven",Analysis!$C913,""))</f>
        <v/>
      </c>
      <c r="H913" s="29" t="str">
        <f>IF(Analysis!$I913="","",IF(Analysis!$I913="Drifting",Analysis!$C913,""))</f>
        <v/>
      </c>
      <c r="I913" s="29" t="str">
        <f>IF(Analysis!$I913="","",IF(Analysis!$I913="Embedded",Analysis!$F913,""))</f>
        <v/>
      </c>
      <c r="J913" s="29" t="str">
        <f>IF(Analysis!$I913="","",IF(Analysis!$I913="Loyal but shallow",Analysis!$F913,""))</f>
        <v/>
      </c>
      <c r="K913" s="29" t="str">
        <f>IF(Analysis!$I913="","",IF(Analysis!$I913="Project-driven",Analysis!$F913,""))</f>
        <v/>
      </c>
      <c r="L913" s="29" t="str">
        <f>IF(Analysis!$I913="","",IF(Analysis!$I913="Drifting",Analysis!$F913,""))</f>
        <v/>
      </c>
      <c r="M913" s="29" t="str">
        <f>IF(Analysis!$I913="","",IF(Analysis!$I913="Embedded",Analysis!$H913,""))</f>
        <v/>
      </c>
      <c r="N913" s="29" t="str">
        <f>IF(Analysis!$I913="","",IF(Analysis!$I913="Loyal but shallow",Analysis!$H913,""))</f>
        <v/>
      </c>
      <c r="O913" s="29" t="str">
        <f>IF(Analysis!$I913="","",IF(Analysis!$I913="Project-driven",Analysis!$H913,""))</f>
        <v/>
      </c>
      <c r="P913" s="29" t="str">
        <f>IF(Analysis!$I913="","",IF(Analysis!$I913="Drifting",Analysis!$H913,""))</f>
        <v/>
      </c>
    </row>
    <row r="914" spans="1:16" x14ac:dyDescent="0.25">
      <c r="A914" s="29" t="str">
        <f>IF(Analysis!$I914="","",IF(Analysis!$I914="Embedded",Analysis!$D914,""))</f>
        <v/>
      </c>
      <c r="B914" s="29" t="str">
        <f>IF(Analysis!$I914="","",IF(Analysis!$I914="Loyal but shallow",Analysis!$D914,""))</f>
        <v/>
      </c>
      <c r="C914" s="29" t="str">
        <f>IF(Analysis!$I914="","",IF(Analysis!$I914="Project-driven",Analysis!$D914,""))</f>
        <v/>
      </c>
      <c r="D914" s="29" t="str">
        <f>IF(Analysis!$I914="","",IF(Analysis!$I914="Drifting",Analysis!$D914,""))</f>
        <v/>
      </c>
      <c r="E914" s="29" t="str">
        <f>IF(Analysis!$I914="","",IF(Analysis!$I914="Embedded",Analysis!$C914,""))</f>
        <v/>
      </c>
      <c r="F914" s="29" t="str">
        <f>IF(Analysis!$I914="","",IF(Analysis!$I914="Loyal but shallow",Analysis!$C914,""))</f>
        <v/>
      </c>
      <c r="G914" s="29" t="str">
        <f>IF(Analysis!$I914="","",IF(Analysis!$I914="Project-driven",Analysis!$C914,""))</f>
        <v/>
      </c>
      <c r="H914" s="29" t="str">
        <f>IF(Analysis!$I914="","",IF(Analysis!$I914="Drifting",Analysis!$C914,""))</f>
        <v/>
      </c>
      <c r="I914" s="29" t="str">
        <f>IF(Analysis!$I914="","",IF(Analysis!$I914="Embedded",Analysis!$F914,""))</f>
        <v/>
      </c>
      <c r="J914" s="29" t="str">
        <f>IF(Analysis!$I914="","",IF(Analysis!$I914="Loyal but shallow",Analysis!$F914,""))</f>
        <v/>
      </c>
      <c r="K914" s="29" t="str">
        <f>IF(Analysis!$I914="","",IF(Analysis!$I914="Project-driven",Analysis!$F914,""))</f>
        <v/>
      </c>
      <c r="L914" s="29" t="str">
        <f>IF(Analysis!$I914="","",IF(Analysis!$I914="Drifting",Analysis!$F914,""))</f>
        <v/>
      </c>
      <c r="M914" s="29" t="str">
        <f>IF(Analysis!$I914="","",IF(Analysis!$I914="Embedded",Analysis!$H914,""))</f>
        <v/>
      </c>
      <c r="N914" s="29" t="str">
        <f>IF(Analysis!$I914="","",IF(Analysis!$I914="Loyal but shallow",Analysis!$H914,""))</f>
        <v/>
      </c>
      <c r="O914" s="29" t="str">
        <f>IF(Analysis!$I914="","",IF(Analysis!$I914="Project-driven",Analysis!$H914,""))</f>
        <v/>
      </c>
      <c r="P914" s="29" t="str">
        <f>IF(Analysis!$I914="","",IF(Analysis!$I914="Drifting",Analysis!$H914,""))</f>
        <v/>
      </c>
    </row>
    <row r="915" spans="1:16" x14ac:dyDescent="0.25">
      <c r="A915" s="29" t="str">
        <f>IF(Analysis!$I915="","",IF(Analysis!$I915="Embedded",Analysis!$D915,""))</f>
        <v/>
      </c>
      <c r="B915" s="29" t="str">
        <f>IF(Analysis!$I915="","",IF(Analysis!$I915="Loyal but shallow",Analysis!$D915,""))</f>
        <v/>
      </c>
      <c r="C915" s="29" t="str">
        <f>IF(Analysis!$I915="","",IF(Analysis!$I915="Project-driven",Analysis!$D915,""))</f>
        <v/>
      </c>
      <c r="D915" s="29" t="str">
        <f>IF(Analysis!$I915="","",IF(Analysis!$I915="Drifting",Analysis!$D915,""))</f>
        <v/>
      </c>
      <c r="E915" s="29" t="str">
        <f>IF(Analysis!$I915="","",IF(Analysis!$I915="Embedded",Analysis!$C915,""))</f>
        <v/>
      </c>
      <c r="F915" s="29" t="str">
        <f>IF(Analysis!$I915="","",IF(Analysis!$I915="Loyal but shallow",Analysis!$C915,""))</f>
        <v/>
      </c>
      <c r="G915" s="29" t="str">
        <f>IF(Analysis!$I915="","",IF(Analysis!$I915="Project-driven",Analysis!$C915,""))</f>
        <v/>
      </c>
      <c r="H915" s="29" t="str">
        <f>IF(Analysis!$I915="","",IF(Analysis!$I915="Drifting",Analysis!$C915,""))</f>
        <v/>
      </c>
      <c r="I915" s="29" t="str">
        <f>IF(Analysis!$I915="","",IF(Analysis!$I915="Embedded",Analysis!$F915,""))</f>
        <v/>
      </c>
      <c r="J915" s="29" t="str">
        <f>IF(Analysis!$I915="","",IF(Analysis!$I915="Loyal but shallow",Analysis!$F915,""))</f>
        <v/>
      </c>
      <c r="K915" s="29" t="str">
        <f>IF(Analysis!$I915="","",IF(Analysis!$I915="Project-driven",Analysis!$F915,""))</f>
        <v/>
      </c>
      <c r="L915" s="29" t="str">
        <f>IF(Analysis!$I915="","",IF(Analysis!$I915="Drifting",Analysis!$F915,""))</f>
        <v/>
      </c>
      <c r="M915" s="29" t="str">
        <f>IF(Analysis!$I915="","",IF(Analysis!$I915="Embedded",Analysis!$H915,""))</f>
        <v/>
      </c>
      <c r="N915" s="29" t="str">
        <f>IF(Analysis!$I915="","",IF(Analysis!$I915="Loyal but shallow",Analysis!$H915,""))</f>
        <v/>
      </c>
      <c r="O915" s="29" t="str">
        <f>IF(Analysis!$I915="","",IF(Analysis!$I915="Project-driven",Analysis!$H915,""))</f>
        <v/>
      </c>
      <c r="P915" s="29" t="str">
        <f>IF(Analysis!$I915="","",IF(Analysis!$I915="Drifting",Analysis!$H915,""))</f>
        <v/>
      </c>
    </row>
    <row r="916" spans="1:16" x14ac:dyDescent="0.25">
      <c r="A916" s="29" t="str">
        <f>IF(Analysis!$I916="","",IF(Analysis!$I916="Embedded",Analysis!$D916,""))</f>
        <v/>
      </c>
      <c r="B916" s="29" t="str">
        <f>IF(Analysis!$I916="","",IF(Analysis!$I916="Loyal but shallow",Analysis!$D916,""))</f>
        <v/>
      </c>
      <c r="C916" s="29" t="str">
        <f>IF(Analysis!$I916="","",IF(Analysis!$I916="Project-driven",Analysis!$D916,""))</f>
        <v/>
      </c>
      <c r="D916" s="29" t="str">
        <f>IF(Analysis!$I916="","",IF(Analysis!$I916="Drifting",Analysis!$D916,""))</f>
        <v/>
      </c>
      <c r="E916" s="29" t="str">
        <f>IF(Analysis!$I916="","",IF(Analysis!$I916="Embedded",Analysis!$C916,""))</f>
        <v/>
      </c>
      <c r="F916" s="29" t="str">
        <f>IF(Analysis!$I916="","",IF(Analysis!$I916="Loyal but shallow",Analysis!$C916,""))</f>
        <v/>
      </c>
      <c r="G916" s="29" t="str">
        <f>IF(Analysis!$I916="","",IF(Analysis!$I916="Project-driven",Analysis!$C916,""))</f>
        <v/>
      </c>
      <c r="H916" s="29" t="str">
        <f>IF(Analysis!$I916="","",IF(Analysis!$I916="Drifting",Analysis!$C916,""))</f>
        <v/>
      </c>
      <c r="I916" s="29" t="str">
        <f>IF(Analysis!$I916="","",IF(Analysis!$I916="Embedded",Analysis!$F916,""))</f>
        <v/>
      </c>
      <c r="J916" s="29" t="str">
        <f>IF(Analysis!$I916="","",IF(Analysis!$I916="Loyal but shallow",Analysis!$F916,""))</f>
        <v/>
      </c>
      <c r="K916" s="29" t="str">
        <f>IF(Analysis!$I916="","",IF(Analysis!$I916="Project-driven",Analysis!$F916,""))</f>
        <v/>
      </c>
      <c r="L916" s="29" t="str">
        <f>IF(Analysis!$I916="","",IF(Analysis!$I916="Drifting",Analysis!$F916,""))</f>
        <v/>
      </c>
      <c r="M916" s="29" t="str">
        <f>IF(Analysis!$I916="","",IF(Analysis!$I916="Embedded",Analysis!$H916,""))</f>
        <v/>
      </c>
      <c r="N916" s="29" t="str">
        <f>IF(Analysis!$I916="","",IF(Analysis!$I916="Loyal but shallow",Analysis!$H916,""))</f>
        <v/>
      </c>
      <c r="O916" s="29" t="str">
        <f>IF(Analysis!$I916="","",IF(Analysis!$I916="Project-driven",Analysis!$H916,""))</f>
        <v/>
      </c>
      <c r="P916" s="29" t="str">
        <f>IF(Analysis!$I916="","",IF(Analysis!$I916="Drifting",Analysis!$H916,""))</f>
        <v/>
      </c>
    </row>
    <row r="917" spans="1:16" x14ac:dyDescent="0.25">
      <c r="A917" s="29" t="str">
        <f>IF(Analysis!$I917="","",IF(Analysis!$I917="Embedded",Analysis!$D917,""))</f>
        <v/>
      </c>
      <c r="B917" s="29" t="str">
        <f>IF(Analysis!$I917="","",IF(Analysis!$I917="Loyal but shallow",Analysis!$D917,""))</f>
        <v/>
      </c>
      <c r="C917" s="29" t="str">
        <f>IF(Analysis!$I917="","",IF(Analysis!$I917="Project-driven",Analysis!$D917,""))</f>
        <v/>
      </c>
      <c r="D917" s="29" t="str">
        <f>IF(Analysis!$I917="","",IF(Analysis!$I917="Drifting",Analysis!$D917,""))</f>
        <v/>
      </c>
      <c r="E917" s="29" t="str">
        <f>IF(Analysis!$I917="","",IF(Analysis!$I917="Embedded",Analysis!$C917,""))</f>
        <v/>
      </c>
      <c r="F917" s="29" t="str">
        <f>IF(Analysis!$I917="","",IF(Analysis!$I917="Loyal but shallow",Analysis!$C917,""))</f>
        <v/>
      </c>
      <c r="G917" s="29" t="str">
        <f>IF(Analysis!$I917="","",IF(Analysis!$I917="Project-driven",Analysis!$C917,""))</f>
        <v/>
      </c>
      <c r="H917" s="29" t="str">
        <f>IF(Analysis!$I917="","",IF(Analysis!$I917="Drifting",Analysis!$C917,""))</f>
        <v/>
      </c>
      <c r="I917" s="29" t="str">
        <f>IF(Analysis!$I917="","",IF(Analysis!$I917="Embedded",Analysis!$F917,""))</f>
        <v/>
      </c>
      <c r="J917" s="29" t="str">
        <f>IF(Analysis!$I917="","",IF(Analysis!$I917="Loyal but shallow",Analysis!$F917,""))</f>
        <v/>
      </c>
      <c r="K917" s="29" t="str">
        <f>IF(Analysis!$I917="","",IF(Analysis!$I917="Project-driven",Analysis!$F917,""))</f>
        <v/>
      </c>
      <c r="L917" s="29" t="str">
        <f>IF(Analysis!$I917="","",IF(Analysis!$I917="Drifting",Analysis!$F917,""))</f>
        <v/>
      </c>
      <c r="M917" s="29" t="str">
        <f>IF(Analysis!$I917="","",IF(Analysis!$I917="Embedded",Analysis!$H917,""))</f>
        <v/>
      </c>
      <c r="N917" s="29" t="str">
        <f>IF(Analysis!$I917="","",IF(Analysis!$I917="Loyal but shallow",Analysis!$H917,""))</f>
        <v/>
      </c>
      <c r="O917" s="29" t="str">
        <f>IF(Analysis!$I917="","",IF(Analysis!$I917="Project-driven",Analysis!$H917,""))</f>
        <v/>
      </c>
      <c r="P917" s="29" t="str">
        <f>IF(Analysis!$I917="","",IF(Analysis!$I917="Drifting",Analysis!$H917,""))</f>
        <v/>
      </c>
    </row>
    <row r="918" spans="1:16" x14ac:dyDescent="0.25">
      <c r="A918" s="29" t="str">
        <f>IF(Analysis!$I918="","",IF(Analysis!$I918="Embedded",Analysis!$D918,""))</f>
        <v/>
      </c>
      <c r="B918" s="29" t="str">
        <f>IF(Analysis!$I918="","",IF(Analysis!$I918="Loyal but shallow",Analysis!$D918,""))</f>
        <v/>
      </c>
      <c r="C918" s="29" t="str">
        <f>IF(Analysis!$I918="","",IF(Analysis!$I918="Project-driven",Analysis!$D918,""))</f>
        <v/>
      </c>
      <c r="D918" s="29" t="str">
        <f>IF(Analysis!$I918="","",IF(Analysis!$I918="Drifting",Analysis!$D918,""))</f>
        <v/>
      </c>
      <c r="E918" s="29" t="str">
        <f>IF(Analysis!$I918="","",IF(Analysis!$I918="Embedded",Analysis!$C918,""))</f>
        <v/>
      </c>
      <c r="F918" s="29" t="str">
        <f>IF(Analysis!$I918="","",IF(Analysis!$I918="Loyal but shallow",Analysis!$C918,""))</f>
        <v/>
      </c>
      <c r="G918" s="29" t="str">
        <f>IF(Analysis!$I918="","",IF(Analysis!$I918="Project-driven",Analysis!$C918,""))</f>
        <v/>
      </c>
      <c r="H918" s="29" t="str">
        <f>IF(Analysis!$I918="","",IF(Analysis!$I918="Drifting",Analysis!$C918,""))</f>
        <v/>
      </c>
      <c r="I918" s="29" t="str">
        <f>IF(Analysis!$I918="","",IF(Analysis!$I918="Embedded",Analysis!$F918,""))</f>
        <v/>
      </c>
      <c r="J918" s="29" t="str">
        <f>IF(Analysis!$I918="","",IF(Analysis!$I918="Loyal but shallow",Analysis!$F918,""))</f>
        <v/>
      </c>
      <c r="K918" s="29" t="str">
        <f>IF(Analysis!$I918="","",IF(Analysis!$I918="Project-driven",Analysis!$F918,""))</f>
        <v/>
      </c>
      <c r="L918" s="29" t="str">
        <f>IF(Analysis!$I918="","",IF(Analysis!$I918="Drifting",Analysis!$F918,""))</f>
        <v/>
      </c>
      <c r="M918" s="29" t="str">
        <f>IF(Analysis!$I918="","",IF(Analysis!$I918="Embedded",Analysis!$H918,""))</f>
        <v/>
      </c>
      <c r="N918" s="29" t="str">
        <f>IF(Analysis!$I918="","",IF(Analysis!$I918="Loyal but shallow",Analysis!$H918,""))</f>
        <v/>
      </c>
      <c r="O918" s="29" t="str">
        <f>IF(Analysis!$I918="","",IF(Analysis!$I918="Project-driven",Analysis!$H918,""))</f>
        <v/>
      </c>
      <c r="P918" s="29" t="str">
        <f>IF(Analysis!$I918="","",IF(Analysis!$I918="Drifting",Analysis!$H918,""))</f>
        <v/>
      </c>
    </row>
    <row r="919" spans="1:16" x14ac:dyDescent="0.25">
      <c r="A919" s="29" t="str">
        <f>IF(Analysis!$I919="","",IF(Analysis!$I919="Embedded",Analysis!$D919,""))</f>
        <v/>
      </c>
      <c r="B919" s="29" t="str">
        <f>IF(Analysis!$I919="","",IF(Analysis!$I919="Loyal but shallow",Analysis!$D919,""))</f>
        <v/>
      </c>
      <c r="C919" s="29" t="str">
        <f>IF(Analysis!$I919="","",IF(Analysis!$I919="Project-driven",Analysis!$D919,""))</f>
        <v/>
      </c>
      <c r="D919" s="29" t="str">
        <f>IF(Analysis!$I919="","",IF(Analysis!$I919="Drifting",Analysis!$D919,""))</f>
        <v/>
      </c>
      <c r="E919" s="29" t="str">
        <f>IF(Analysis!$I919="","",IF(Analysis!$I919="Embedded",Analysis!$C919,""))</f>
        <v/>
      </c>
      <c r="F919" s="29" t="str">
        <f>IF(Analysis!$I919="","",IF(Analysis!$I919="Loyal but shallow",Analysis!$C919,""))</f>
        <v/>
      </c>
      <c r="G919" s="29" t="str">
        <f>IF(Analysis!$I919="","",IF(Analysis!$I919="Project-driven",Analysis!$C919,""))</f>
        <v/>
      </c>
      <c r="H919" s="29" t="str">
        <f>IF(Analysis!$I919="","",IF(Analysis!$I919="Drifting",Analysis!$C919,""))</f>
        <v/>
      </c>
      <c r="I919" s="29" t="str">
        <f>IF(Analysis!$I919="","",IF(Analysis!$I919="Embedded",Analysis!$F919,""))</f>
        <v/>
      </c>
      <c r="J919" s="29" t="str">
        <f>IF(Analysis!$I919="","",IF(Analysis!$I919="Loyal but shallow",Analysis!$F919,""))</f>
        <v/>
      </c>
      <c r="K919" s="29" t="str">
        <f>IF(Analysis!$I919="","",IF(Analysis!$I919="Project-driven",Analysis!$F919,""))</f>
        <v/>
      </c>
      <c r="L919" s="29" t="str">
        <f>IF(Analysis!$I919="","",IF(Analysis!$I919="Drifting",Analysis!$F919,""))</f>
        <v/>
      </c>
      <c r="M919" s="29" t="str">
        <f>IF(Analysis!$I919="","",IF(Analysis!$I919="Embedded",Analysis!$H919,""))</f>
        <v/>
      </c>
      <c r="N919" s="29" t="str">
        <f>IF(Analysis!$I919="","",IF(Analysis!$I919="Loyal but shallow",Analysis!$H919,""))</f>
        <v/>
      </c>
      <c r="O919" s="29" t="str">
        <f>IF(Analysis!$I919="","",IF(Analysis!$I919="Project-driven",Analysis!$H919,""))</f>
        <v/>
      </c>
      <c r="P919" s="29" t="str">
        <f>IF(Analysis!$I919="","",IF(Analysis!$I919="Drifting",Analysis!$H919,""))</f>
        <v/>
      </c>
    </row>
    <row r="920" spans="1:16" x14ac:dyDescent="0.25">
      <c r="A920" s="29" t="str">
        <f>IF(Analysis!$I920="","",IF(Analysis!$I920="Embedded",Analysis!$D920,""))</f>
        <v/>
      </c>
      <c r="B920" s="29" t="str">
        <f>IF(Analysis!$I920="","",IF(Analysis!$I920="Loyal but shallow",Analysis!$D920,""))</f>
        <v/>
      </c>
      <c r="C920" s="29" t="str">
        <f>IF(Analysis!$I920="","",IF(Analysis!$I920="Project-driven",Analysis!$D920,""))</f>
        <v/>
      </c>
      <c r="D920" s="29" t="str">
        <f>IF(Analysis!$I920="","",IF(Analysis!$I920="Drifting",Analysis!$D920,""))</f>
        <v/>
      </c>
      <c r="E920" s="29" t="str">
        <f>IF(Analysis!$I920="","",IF(Analysis!$I920="Embedded",Analysis!$C920,""))</f>
        <v/>
      </c>
      <c r="F920" s="29" t="str">
        <f>IF(Analysis!$I920="","",IF(Analysis!$I920="Loyal but shallow",Analysis!$C920,""))</f>
        <v/>
      </c>
      <c r="G920" s="29" t="str">
        <f>IF(Analysis!$I920="","",IF(Analysis!$I920="Project-driven",Analysis!$C920,""))</f>
        <v/>
      </c>
      <c r="H920" s="29" t="str">
        <f>IF(Analysis!$I920="","",IF(Analysis!$I920="Drifting",Analysis!$C920,""))</f>
        <v/>
      </c>
      <c r="I920" s="29" t="str">
        <f>IF(Analysis!$I920="","",IF(Analysis!$I920="Embedded",Analysis!$F920,""))</f>
        <v/>
      </c>
      <c r="J920" s="29" t="str">
        <f>IF(Analysis!$I920="","",IF(Analysis!$I920="Loyal but shallow",Analysis!$F920,""))</f>
        <v/>
      </c>
      <c r="K920" s="29" t="str">
        <f>IF(Analysis!$I920="","",IF(Analysis!$I920="Project-driven",Analysis!$F920,""))</f>
        <v/>
      </c>
      <c r="L920" s="29" t="str">
        <f>IF(Analysis!$I920="","",IF(Analysis!$I920="Drifting",Analysis!$F920,""))</f>
        <v/>
      </c>
      <c r="M920" s="29" t="str">
        <f>IF(Analysis!$I920="","",IF(Analysis!$I920="Embedded",Analysis!$H920,""))</f>
        <v/>
      </c>
      <c r="N920" s="29" t="str">
        <f>IF(Analysis!$I920="","",IF(Analysis!$I920="Loyal but shallow",Analysis!$H920,""))</f>
        <v/>
      </c>
      <c r="O920" s="29" t="str">
        <f>IF(Analysis!$I920="","",IF(Analysis!$I920="Project-driven",Analysis!$H920,""))</f>
        <v/>
      </c>
      <c r="P920" s="29" t="str">
        <f>IF(Analysis!$I920="","",IF(Analysis!$I920="Drifting",Analysis!$H920,""))</f>
        <v/>
      </c>
    </row>
    <row r="921" spans="1:16" x14ac:dyDescent="0.25">
      <c r="A921" s="29" t="str">
        <f>IF(Analysis!$I921="","",IF(Analysis!$I921="Embedded",Analysis!$D921,""))</f>
        <v/>
      </c>
      <c r="B921" s="29" t="str">
        <f>IF(Analysis!$I921="","",IF(Analysis!$I921="Loyal but shallow",Analysis!$D921,""))</f>
        <v/>
      </c>
      <c r="C921" s="29" t="str">
        <f>IF(Analysis!$I921="","",IF(Analysis!$I921="Project-driven",Analysis!$D921,""))</f>
        <v/>
      </c>
      <c r="D921" s="29" t="str">
        <f>IF(Analysis!$I921="","",IF(Analysis!$I921="Drifting",Analysis!$D921,""))</f>
        <v/>
      </c>
      <c r="E921" s="29" t="str">
        <f>IF(Analysis!$I921="","",IF(Analysis!$I921="Embedded",Analysis!$C921,""))</f>
        <v/>
      </c>
      <c r="F921" s="29" t="str">
        <f>IF(Analysis!$I921="","",IF(Analysis!$I921="Loyal but shallow",Analysis!$C921,""))</f>
        <v/>
      </c>
      <c r="G921" s="29" t="str">
        <f>IF(Analysis!$I921="","",IF(Analysis!$I921="Project-driven",Analysis!$C921,""))</f>
        <v/>
      </c>
      <c r="H921" s="29" t="str">
        <f>IF(Analysis!$I921="","",IF(Analysis!$I921="Drifting",Analysis!$C921,""))</f>
        <v/>
      </c>
      <c r="I921" s="29" t="str">
        <f>IF(Analysis!$I921="","",IF(Analysis!$I921="Embedded",Analysis!$F921,""))</f>
        <v/>
      </c>
      <c r="J921" s="29" t="str">
        <f>IF(Analysis!$I921="","",IF(Analysis!$I921="Loyal but shallow",Analysis!$F921,""))</f>
        <v/>
      </c>
      <c r="K921" s="29" t="str">
        <f>IF(Analysis!$I921="","",IF(Analysis!$I921="Project-driven",Analysis!$F921,""))</f>
        <v/>
      </c>
      <c r="L921" s="29" t="str">
        <f>IF(Analysis!$I921="","",IF(Analysis!$I921="Drifting",Analysis!$F921,""))</f>
        <v/>
      </c>
      <c r="M921" s="29" t="str">
        <f>IF(Analysis!$I921="","",IF(Analysis!$I921="Embedded",Analysis!$H921,""))</f>
        <v/>
      </c>
      <c r="N921" s="29" t="str">
        <f>IF(Analysis!$I921="","",IF(Analysis!$I921="Loyal but shallow",Analysis!$H921,""))</f>
        <v/>
      </c>
      <c r="O921" s="29" t="str">
        <f>IF(Analysis!$I921="","",IF(Analysis!$I921="Project-driven",Analysis!$H921,""))</f>
        <v/>
      </c>
      <c r="P921" s="29" t="str">
        <f>IF(Analysis!$I921="","",IF(Analysis!$I921="Drifting",Analysis!$H921,""))</f>
        <v/>
      </c>
    </row>
    <row r="922" spans="1:16" x14ac:dyDescent="0.25">
      <c r="A922" s="29" t="str">
        <f>IF(Analysis!$I922="","",IF(Analysis!$I922="Embedded",Analysis!$D922,""))</f>
        <v/>
      </c>
      <c r="B922" s="29" t="str">
        <f>IF(Analysis!$I922="","",IF(Analysis!$I922="Loyal but shallow",Analysis!$D922,""))</f>
        <v/>
      </c>
      <c r="C922" s="29" t="str">
        <f>IF(Analysis!$I922="","",IF(Analysis!$I922="Project-driven",Analysis!$D922,""))</f>
        <v/>
      </c>
      <c r="D922" s="29" t="str">
        <f>IF(Analysis!$I922="","",IF(Analysis!$I922="Drifting",Analysis!$D922,""))</f>
        <v/>
      </c>
      <c r="E922" s="29" t="str">
        <f>IF(Analysis!$I922="","",IF(Analysis!$I922="Embedded",Analysis!$C922,""))</f>
        <v/>
      </c>
      <c r="F922" s="29" t="str">
        <f>IF(Analysis!$I922="","",IF(Analysis!$I922="Loyal but shallow",Analysis!$C922,""))</f>
        <v/>
      </c>
      <c r="G922" s="29" t="str">
        <f>IF(Analysis!$I922="","",IF(Analysis!$I922="Project-driven",Analysis!$C922,""))</f>
        <v/>
      </c>
      <c r="H922" s="29" t="str">
        <f>IF(Analysis!$I922="","",IF(Analysis!$I922="Drifting",Analysis!$C922,""))</f>
        <v/>
      </c>
      <c r="I922" s="29" t="str">
        <f>IF(Analysis!$I922="","",IF(Analysis!$I922="Embedded",Analysis!$F922,""))</f>
        <v/>
      </c>
      <c r="J922" s="29" t="str">
        <f>IF(Analysis!$I922="","",IF(Analysis!$I922="Loyal but shallow",Analysis!$F922,""))</f>
        <v/>
      </c>
      <c r="K922" s="29" t="str">
        <f>IF(Analysis!$I922="","",IF(Analysis!$I922="Project-driven",Analysis!$F922,""))</f>
        <v/>
      </c>
      <c r="L922" s="29" t="str">
        <f>IF(Analysis!$I922="","",IF(Analysis!$I922="Drifting",Analysis!$F922,""))</f>
        <v/>
      </c>
      <c r="M922" s="29" t="str">
        <f>IF(Analysis!$I922="","",IF(Analysis!$I922="Embedded",Analysis!$H922,""))</f>
        <v/>
      </c>
      <c r="N922" s="29" t="str">
        <f>IF(Analysis!$I922="","",IF(Analysis!$I922="Loyal but shallow",Analysis!$H922,""))</f>
        <v/>
      </c>
      <c r="O922" s="29" t="str">
        <f>IF(Analysis!$I922="","",IF(Analysis!$I922="Project-driven",Analysis!$H922,""))</f>
        <v/>
      </c>
      <c r="P922" s="29" t="str">
        <f>IF(Analysis!$I922="","",IF(Analysis!$I922="Drifting",Analysis!$H922,""))</f>
        <v/>
      </c>
    </row>
    <row r="923" spans="1:16" x14ac:dyDescent="0.25">
      <c r="A923" s="29" t="str">
        <f>IF(Analysis!$I923="","",IF(Analysis!$I923="Embedded",Analysis!$D923,""))</f>
        <v/>
      </c>
      <c r="B923" s="29" t="str">
        <f>IF(Analysis!$I923="","",IF(Analysis!$I923="Loyal but shallow",Analysis!$D923,""))</f>
        <v/>
      </c>
      <c r="C923" s="29" t="str">
        <f>IF(Analysis!$I923="","",IF(Analysis!$I923="Project-driven",Analysis!$D923,""))</f>
        <v/>
      </c>
      <c r="D923" s="29" t="str">
        <f>IF(Analysis!$I923="","",IF(Analysis!$I923="Drifting",Analysis!$D923,""))</f>
        <v/>
      </c>
      <c r="E923" s="29" t="str">
        <f>IF(Analysis!$I923="","",IF(Analysis!$I923="Embedded",Analysis!$C923,""))</f>
        <v/>
      </c>
      <c r="F923" s="29" t="str">
        <f>IF(Analysis!$I923="","",IF(Analysis!$I923="Loyal but shallow",Analysis!$C923,""))</f>
        <v/>
      </c>
      <c r="G923" s="29" t="str">
        <f>IF(Analysis!$I923="","",IF(Analysis!$I923="Project-driven",Analysis!$C923,""))</f>
        <v/>
      </c>
      <c r="H923" s="29" t="str">
        <f>IF(Analysis!$I923="","",IF(Analysis!$I923="Drifting",Analysis!$C923,""))</f>
        <v/>
      </c>
      <c r="I923" s="29" t="str">
        <f>IF(Analysis!$I923="","",IF(Analysis!$I923="Embedded",Analysis!$F923,""))</f>
        <v/>
      </c>
      <c r="J923" s="29" t="str">
        <f>IF(Analysis!$I923="","",IF(Analysis!$I923="Loyal but shallow",Analysis!$F923,""))</f>
        <v/>
      </c>
      <c r="K923" s="29" t="str">
        <f>IF(Analysis!$I923="","",IF(Analysis!$I923="Project-driven",Analysis!$F923,""))</f>
        <v/>
      </c>
      <c r="L923" s="29" t="str">
        <f>IF(Analysis!$I923="","",IF(Analysis!$I923="Drifting",Analysis!$F923,""))</f>
        <v/>
      </c>
      <c r="M923" s="29" t="str">
        <f>IF(Analysis!$I923="","",IF(Analysis!$I923="Embedded",Analysis!$H923,""))</f>
        <v/>
      </c>
      <c r="N923" s="29" t="str">
        <f>IF(Analysis!$I923="","",IF(Analysis!$I923="Loyal but shallow",Analysis!$H923,""))</f>
        <v/>
      </c>
      <c r="O923" s="29" t="str">
        <f>IF(Analysis!$I923="","",IF(Analysis!$I923="Project-driven",Analysis!$H923,""))</f>
        <v/>
      </c>
      <c r="P923" s="29" t="str">
        <f>IF(Analysis!$I923="","",IF(Analysis!$I923="Drifting",Analysis!$H923,""))</f>
        <v/>
      </c>
    </row>
    <row r="924" spans="1:16" x14ac:dyDescent="0.25">
      <c r="A924" s="29" t="str">
        <f>IF(Analysis!$I924="","",IF(Analysis!$I924="Embedded",Analysis!$D924,""))</f>
        <v/>
      </c>
      <c r="B924" s="29" t="str">
        <f>IF(Analysis!$I924="","",IF(Analysis!$I924="Loyal but shallow",Analysis!$D924,""))</f>
        <v/>
      </c>
      <c r="C924" s="29" t="str">
        <f>IF(Analysis!$I924="","",IF(Analysis!$I924="Project-driven",Analysis!$D924,""))</f>
        <v/>
      </c>
      <c r="D924" s="29" t="str">
        <f>IF(Analysis!$I924="","",IF(Analysis!$I924="Drifting",Analysis!$D924,""))</f>
        <v/>
      </c>
      <c r="E924" s="29" t="str">
        <f>IF(Analysis!$I924="","",IF(Analysis!$I924="Embedded",Analysis!$C924,""))</f>
        <v/>
      </c>
      <c r="F924" s="29" t="str">
        <f>IF(Analysis!$I924="","",IF(Analysis!$I924="Loyal but shallow",Analysis!$C924,""))</f>
        <v/>
      </c>
      <c r="G924" s="29" t="str">
        <f>IF(Analysis!$I924="","",IF(Analysis!$I924="Project-driven",Analysis!$C924,""))</f>
        <v/>
      </c>
      <c r="H924" s="29" t="str">
        <f>IF(Analysis!$I924="","",IF(Analysis!$I924="Drifting",Analysis!$C924,""))</f>
        <v/>
      </c>
      <c r="I924" s="29" t="str">
        <f>IF(Analysis!$I924="","",IF(Analysis!$I924="Embedded",Analysis!$F924,""))</f>
        <v/>
      </c>
      <c r="J924" s="29" t="str">
        <f>IF(Analysis!$I924="","",IF(Analysis!$I924="Loyal but shallow",Analysis!$F924,""))</f>
        <v/>
      </c>
      <c r="K924" s="29" t="str">
        <f>IF(Analysis!$I924="","",IF(Analysis!$I924="Project-driven",Analysis!$F924,""))</f>
        <v/>
      </c>
      <c r="L924" s="29" t="str">
        <f>IF(Analysis!$I924="","",IF(Analysis!$I924="Drifting",Analysis!$F924,""))</f>
        <v/>
      </c>
      <c r="M924" s="29" t="str">
        <f>IF(Analysis!$I924="","",IF(Analysis!$I924="Embedded",Analysis!$H924,""))</f>
        <v/>
      </c>
      <c r="N924" s="29" t="str">
        <f>IF(Analysis!$I924="","",IF(Analysis!$I924="Loyal but shallow",Analysis!$H924,""))</f>
        <v/>
      </c>
      <c r="O924" s="29" t="str">
        <f>IF(Analysis!$I924="","",IF(Analysis!$I924="Project-driven",Analysis!$H924,""))</f>
        <v/>
      </c>
      <c r="P924" s="29" t="str">
        <f>IF(Analysis!$I924="","",IF(Analysis!$I924="Drifting",Analysis!$H924,""))</f>
        <v/>
      </c>
    </row>
    <row r="925" spans="1:16" x14ac:dyDescent="0.25">
      <c r="A925" s="29" t="str">
        <f>IF(Analysis!$I925="","",IF(Analysis!$I925="Embedded",Analysis!$D925,""))</f>
        <v/>
      </c>
      <c r="B925" s="29" t="str">
        <f>IF(Analysis!$I925="","",IF(Analysis!$I925="Loyal but shallow",Analysis!$D925,""))</f>
        <v/>
      </c>
      <c r="C925" s="29" t="str">
        <f>IF(Analysis!$I925="","",IF(Analysis!$I925="Project-driven",Analysis!$D925,""))</f>
        <v/>
      </c>
      <c r="D925" s="29" t="str">
        <f>IF(Analysis!$I925="","",IF(Analysis!$I925="Drifting",Analysis!$D925,""))</f>
        <v/>
      </c>
      <c r="E925" s="29" t="str">
        <f>IF(Analysis!$I925="","",IF(Analysis!$I925="Embedded",Analysis!$C925,""))</f>
        <v/>
      </c>
      <c r="F925" s="29" t="str">
        <f>IF(Analysis!$I925="","",IF(Analysis!$I925="Loyal but shallow",Analysis!$C925,""))</f>
        <v/>
      </c>
      <c r="G925" s="29" t="str">
        <f>IF(Analysis!$I925="","",IF(Analysis!$I925="Project-driven",Analysis!$C925,""))</f>
        <v/>
      </c>
      <c r="H925" s="29" t="str">
        <f>IF(Analysis!$I925="","",IF(Analysis!$I925="Drifting",Analysis!$C925,""))</f>
        <v/>
      </c>
      <c r="I925" s="29" t="str">
        <f>IF(Analysis!$I925="","",IF(Analysis!$I925="Embedded",Analysis!$F925,""))</f>
        <v/>
      </c>
      <c r="J925" s="29" t="str">
        <f>IF(Analysis!$I925="","",IF(Analysis!$I925="Loyal but shallow",Analysis!$F925,""))</f>
        <v/>
      </c>
      <c r="K925" s="29" t="str">
        <f>IF(Analysis!$I925="","",IF(Analysis!$I925="Project-driven",Analysis!$F925,""))</f>
        <v/>
      </c>
      <c r="L925" s="29" t="str">
        <f>IF(Analysis!$I925="","",IF(Analysis!$I925="Drifting",Analysis!$F925,""))</f>
        <v/>
      </c>
      <c r="M925" s="29" t="str">
        <f>IF(Analysis!$I925="","",IF(Analysis!$I925="Embedded",Analysis!$H925,""))</f>
        <v/>
      </c>
      <c r="N925" s="29" t="str">
        <f>IF(Analysis!$I925="","",IF(Analysis!$I925="Loyal but shallow",Analysis!$H925,""))</f>
        <v/>
      </c>
      <c r="O925" s="29" t="str">
        <f>IF(Analysis!$I925="","",IF(Analysis!$I925="Project-driven",Analysis!$H925,""))</f>
        <v/>
      </c>
      <c r="P925" s="29" t="str">
        <f>IF(Analysis!$I925="","",IF(Analysis!$I925="Drifting",Analysis!$H925,""))</f>
        <v/>
      </c>
    </row>
    <row r="926" spans="1:16" x14ac:dyDescent="0.25">
      <c r="A926" s="29" t="str">
        <f>IF(Analysis!$I926="","",IF(Analysis!$I926="Embedded",Analysis!$D926,""))</f>
        <v/>
      </c>
      <c r="B926" s="29" t="str">
        <f>IF(Analysis!$I926="","",IF(Analysis!$I926="Loyal but shallow",Analysis!$D926,""))</f>
        <v/>
      </c>
      <c r="C926" s="29" t="str">
        <f>IF(Analysis!$I926="","",IF(Analysis!$I926="Project-driven",Analysis!$D926,""))</f>
        <v/>
      </c>
      <c r="D926" s="29" t="str">
        <f>IF(Analysis!$I926="","",IF(Analysis!$I926="Drifting",Analysis!$D926,""))</f>
        <v/>
      </c>
      <c r="E926" s="29" t="str">
        <f>IF(Analysis!$I926="","",IF(Analysis!$I926="Embedded",Analysis!$C926,""))</f>
        <v/>
      </c>
      <c r="F926" s="29" t="str">
        <f>IF(Analysis!$I926="","",IF(Analysis!$I926="Loyal but shallow",Analysis!$C926,""))</f>
        <v/>
      </c>
      <c r="G926" s="29" t="str">
        <f>IF(Analysis!$I926="","",IF(Analysis!$I926="Project-driven",Analysis!$C926,""))</f>
        <v/>
      </c>
      <c r="H926" s="29" t="str">
        <f>IF(Analysis!$I926="","",IF(Analysis!$I926="Drifting",Analysis!$C926,""))</f>
        <v/>
      </c>
      <c r="I926" s="29" t="str">
        <f>IF(Analysis!$I926="","",IF(Analysis!$I926="Embedded",Analysis!$F926,""))</f>
        <v/>
      </c>
      <c r="J926" s="29" t="str">
        <f>IF(Analysis!$I926="","",IF(Analysis!$I926="Loyal but shallow",Analysis!$F926,""))</f>
        <v/>
      </c>
      <c r="K926" s="29" t="str">
        <f>IF(Analysis!$I926="","",IF(Analysis!$I926="Project-driven",Analysis!$F926,""))</f>
        <v/>
      </c>
      <c r="L926" s="29" t="str">
        <f>IF(Analysis!$I926="","",IF(Analysis!$I926="Drifting",Analysis!$F926,""))</f>
        <v/>
      </c>
      <c r="M926" s="29" t="str">
        <f>IF(Analysis!$I926="","",IF(Analysis!$I926="Embedded",Analysis!$H926,""))</f>
        <v/>
      </c>
      <c r="N926" s="29" t="str">
        <f>IF(Analysis!$I926="","",IF(Analysis!$I926="Loyal but shallow",Analysis!$H926,""))</f>
        <v/>
      </c>
      <c r="O926" s="29" t="str">
        <f>IF(Analysis!$I926="","",IF(Analysis!$I926="Project-driven",Analysis!$H926,""))</f>
        <v/>
      </c>
      <c r="P926" s="29" t="str">
        <f>IF(Analysis!$I926="","",IF(Analysis!$I926="Drifting",Analysis!$H926,""))</f>
        <v/>
      </c>
    </row>
    <row r="927" spans="1:16" x14ac:dyDescent="0.25">
      <c r="A927" s="29" t="str">
        <f>IF(Analysis!$I927="","",IF(Analysis!$I927="Embedded",Analysis!$D927,""))</f>
        <v/>
      </c>
      <c r="B927" s="29" t="str">
        <f>IF(Analysis!$I927="","",IF(Analysis!$I927="Loyal but shallow",Analysis!$D927,""))</f>
        <v/>
      </c>
      <c r="C927" s="29" t="str">
        <f>IF(Analysis!$I927="","",IF(Analysis!$I927="Project-driven",Analysis!$D927,""))</f>
        <v/>
      </c>
      <c r="D927" s="29" t="str">
        <f>IF(Analysis!$I927="","",IF(Analysis!$I927="Drifting",Analysis!$D927,""))</f>
        <v/>
      </c>
      <c r="E927" s="29" t="str">
        <f>IF(Analysis!$I927="","",IF(Analysis!$I927="Embedded",Analysis!$C927,""))</f>
        <v/>
      </c>
      <c r="F927" s="29" t="str">
        <f>IF(Analysis!$I927="","",IF(Analysis!$I927="Loyal but shallow",Analysis!$C927,""))</f>
        <v/>
      </c>
      <c r="G927" s="29" t="str">
        <f>IF(Analysis!$I927="","",IF(Analysis!$I927="Project-driven",Analysis!$C927,""))</f>
        <v/>
      </c>
      <c r="H927" s="29" t="str">
        <f>IF(Analysis!$I927="","",IF(Analysis!$I927="Drifting",Analysis!$C927,""))</f>
        <v/>
      </c>
      <c r="I927" s="29" t="str">
        <f>IF(Analysis!$I927="","",IF(Analysis!$I927="Embedded",Analysis!$F927,""))</f>
        <v/>
      </c>
      <c r="J927" s="29" t="str">
        <f>IF(Analysis!$I927="","",IF(Analysis!$I927="Loyal but shallow",Analysis!$F927,""))</f>
        <v/>
      </c>
      <c r="K927" s="29" t="str">
        <f>IF(Analysis!$I927="","",IF(Analysis!$I927="Project-driven",Analysis!$F927,""))</f>
        <v/>
      </c>
      <c r="L927" s="29" t="str">
        <f>IF(Analysis!$I927="","",IF(Analysis!$I927="Drifting",Analysis!$F927,""))</f>
        <v/>
      </c>
      <c r="M927" s="29" t="str">
        <f>IF(Analysis!$I927="","",IF(Analysis!$I927="Embedded",Analysis!$H927,""))</f>
        <v/>
      </c>
      <c r="N927" s="29" t="str">
        <f>IF(Analysis!$I927="","",IF(Analysis!$I927="Loyal but shallow",Analysis!$H927,""))</f>
        <v/>
      </c>
      <c r="O927" s="29" t="str">
        <f>IF(Analysis!$I927="","",IF(Analysis!$I927="Project-driven",Analysis!$H927,""))</f>
        <v/>
      </c>
      <c r="P927" s="29" t="str">
        <f>IF(Analysis!$I927="","",IF(Analysis!$I927="Drifting",Analysis!$H927,""))</f>
        <v/>
      </c>
    </row>
    <row r="928" spans="1:16" x14ac:dyDescent="0.25">
      <c r="A928" s="29" t="str">
        <f>IF(Analysis!$I928="","",IF(Analysis!$I928="Embedded",Analysis!$D928,""))</f>
        <v/>
      </c>
      <c r="B928" s="29" t="str">
        <f>IF(Analysis!$I928="","",IF(Analysis!$I928="Loyal but shallow",Analysis!$D928,""))</f>
        <v/>
      </c>
      <c r="C928" s="29" t="str">
        <f>IF(Analysis!$I928="","",IF(Analysis!$I928="Project-driven",Analysis!$D928,""))</f>
        <v/>
      </c>
      <c r="D928" s="29" t="str">
        <f>IF(Analysis!$I928="","",IF(Analysis!$I928="Drifting",Analysis!$D928,""))</f>
        <v/>
      </c>
      <c r="E928" s="29" t="str">
        <f>IF(Analysis!$I928="","",IF(Analysis!$I928="Embedded",Analysis!$C928,""))</f>
        <v/>
      </c>
      <c r="F928" s="29" t="str">
        <f>IF(Analysis!$I928="","",IF(Analysis!$I928="Loyal but shallow",Analysis!$C928,""))</f>
        <v/>
      </c>
      <c r="G928" s="29" t="str">
        <f>IF(Analysis!$I928="","",IF(Analysis!$I928="Project-driven",Analysis!$C928,""))</f>
        <v/>
      </c>
      <c r="H928" s="29" t="str">
        <f>IF(Analysis!$I928="","",IF(Analysis!$I928="Drifting",Analysis!$C928,""))</f>
        <v/>
      </c>
      <c r="I928" s="29" t="str">
        <f>IF(Analysis!$I928="","",IF(Analysis!$I928="Embedded",Analysis!$F928,""))</f>
        <v/>
      </c>
      <c r="J928" s="29" t="str">
        <f>IF(Analysis!$I928="","",IF(Analysis!$I928="Loyal but shallow",Analysis!$F928,""))</f>
        <v/>
      </c>
      <c r="K928" s="29" t="str">
        <f>IF(Analysis!$I928="","",IF(Analysis!$I928="Project-driven",Analysis!$F928,""))</f>
        <v/>
      </c>
      <c r="L928" s="29" t="str">
        <f>IF(Analysis!$I928="","",IF(Analysis!$I928="Drifting",Analysis!$F928,""))</f>
        <v/>
      </c>
      <c r="M928" s="29" t="str">
        <f>IF(Analysis!$I928="","",IF(Analysis!$I928="Embedded",Analysis!$H928,""))</f>
        <v/>
      </c>
      <c r="N928" s="29" t="str">
        <f>IF(Analysis!$I928="","",IF(Analysis!$I928="Loyal but shallow",Analysis!$H928,""))</f>
        <v/>
      </c>
      <c r="O928" s="29" t="str">
        <f>IF(Analysis!$I928="","",IF(Analysis!$I928="Project-driven",Analysis!$H928,""))</f>
        <v/>
      </c>
      <c r="P928" s="29" t="str">
        <f>IF(Analysis!$I928="","",IF(Analysis!$I928="Drifting",Analysis!$H928,""))</f>
        <v/>
      </c>
    </row>
    <row r="929" spans="1:16" x14ac:dyDescent="0.25">
      <c r="A929" s="29" t="str">
        <f>IF(Analysis!$I929="","",IF(Analysis!$I929="Embedded",Analysis!$D929,""))</f>
        <v/>
      </c>
      <c r="B929" s="29" t="str">
        <f>IF(Analysis!$I929="","",IF(Analysis!$I929="Loyal but shallow",Analysis!$D929,""))</f>
        <v/>
      </c>
      <c r="C929" s="29" t="str">
        <f>IF(Analysis!$I929="","",IF(Analysis!$I929="Project-driven",Analysis!$D929,""))</f>
        <v/>
      </c>
      <c r="D929" s="29" t="str">
        <f>IF(Analysis!$I929="","",IF(Analysis!$I929="Drifting",Analysis!$D929,""))</f>
        <v/>
      </c>
      <c r="E929" s="29" t="str">
        <f>IF(Analysis!$I929="","",IF(Analysis!$I929="Embedded",Analysis!$C929,""))</f>
        <v/>
      </c>
      <c r="F929" s="29" t="str">
        <f>IF(Analysis!$I929="","",IF(Analysis!$I929="Loyal but shallow",Analysis!$C929,""))</f>
        <v/>
      </c>
      <c r="G929" s="29" t="str">
        <f>IF(Analysis!$I929="","",IF(Analysis!$I929="Project-driven",Analysis!$C929,""))</f>
        <v/>
      </c>
      <c r="H929" s="29" t="str">
        <f>IF(Analysis!$I929="","",IF(Analysis!$I929="Drifting",Analysis!$C929,""))</f>
        <v/>
      </c>
      <c r="I929" s="29" t="str">
        <f>IF(Analysis!$I929="","",IF(Analysis!$I929="Embedded",Analysis!$F929,""))</f>
        <v/>
      </c>
      <c r="J929" s="29" t="str">
        <f>IF(Analysis!$I929="","",IF(Analysis!$I929="Loyal but shallow",Analysis!$F929,""))</f>
        <v/>
      </c>
      <c r="K929" s="29" t="str">
        <f>IF(Analysis!$I929="","",IF(Analysis!$I929="Project-driven",Analysis!$F929,""))</f>
        <v/>
      </c>
      <c r="L929" s="29" t="str">
        <f>IF(Analysis!$I929="","",IF(Analysis!$I929="Drifting",Analysis!$F929,""))</f>
        <v/>
      </c>
      <c r="M929" s="29" t="str">
        <f>IF(Analysis!$I929="","",IF(Analysis!$I929="Embedded",Analysis!$H929,""))</f>
        <v/>
      </c>
      <c r="N929" s="29" t="str">
        <f>IF(Analysis!$I929="","",IF(Analysis!$I929="Loyal but shallow",Analysis!$H929,""))</f>
        <v/>
      </c>
      <c r="O929" s="29" t="str">
        <f>IF(Analysis!$I929="","",IF(Analysis!$I929="Project-driven",Analysis!$H929,""))</f>
        <v/>
      </c>
      <c r="P929" s="29" t="str">
        <f>IF(Analysis!$I929="","",IF(Analysis!$I929="Drifting",Analysis!$H929,""))</f>
        <v/>
      </c>
    </row>
    <row r="930" spans="1:16" x14ac:dyDescent="0.25">
      <c r="A930" s="29" t="str">
        <f>IF(Analysis!$I930="","",IF(Analysis!$I930="Embedded",Analysis!$D930,""))</f>
        <v/>
      </c>
      <c r="B930" s="29" t="str">
        <f>IF(Analysis!$I930="","",IF(Analysis!$I930="Loyal but shallow",Analysis!$D930,""))</f>
        <v/>
      </c>
      <c r="C930" s="29" t="str">
        <f>IF(Analysis!$I930="","",IF(Analysis!$I930="Project-driven",Analysis!$D930,""))</f>
        <v/>
      </c>
      <c r="D930" s="29" t="str">
        <f>IF(Analysis!$I930="","",IF(Analysis!$I930="Drifting",Analysis!$D930,""))</f>
        <v/>
      </c>
      <c r="E930" s="29" t="str">
        <f>IF(Analysis!$I930="","",IF(Analysis!$I930="Embedded",Analysis!$C930,""))</f>
        <v/>
      </c>
      <c r="F930" s="29" t="str">
        <f>IF(Analysis!$I930="","",IF(Analysis!$I930="Loyal but shallow",Analysis!$C930,""))</f>
        <v/>
      </c>
      <c r="G930" s="29" t="str">
        <f>IF(Analysis!$I930="","",IF(Analysis!$I930="Project-driven",Analysis!$C930,""))</f>
        <v/>
      </c>
      <c r="H930" s="29" t="str">
        <f>IF(Analysis!$I930="","",IF(Analysis!$I930="Drifting",Analysis!$C930,""))</f>
        <v/>
      </c>
      <c r="I930" s="29" t="str">
        <f>IF(Analysis!$I930="","",IF(Analysis!$I930="Embedded",Analysis!$F930,""))</f>
        <v/>
      </c>
      <c r="J930" s="29" t="str">
        <f>IF(Analysis!$I930="","",IF(Analysis!$I930="Loyal but shallow",Analysis!$F930,""))</f>
        <v/>
      </c>
      <c r="K930" s="29" t="str">
        <f>IF(Analysis!$I930="","",IF(Analysis!$I930="Project-driven",Analysis!$F930,""))</f>
        <v/>
      </c>
      <c r="L930" s="29" t="str">
        <f>IF(Analysis!$I930="","",IF(Analysis!$I930="Drifting",Analysis!$F930,""))</f>
        <v/>
      </c>
      <c r="M930" s="29" t="str">
        <f>IF(Analysis!$I930="","",IF(Analysis!$I930="Embedded",Analysis!$H930,""))</f>
        <v/>
      </c>
      <c r="N930" s="29" t="str">
        <f>IF(Analysis!$I930="","",IF(Analysis!$I930="Loyal but shallow",Analysis!$H930,""))</f>
        <v/>
      </c>
      <c r="O930" s="29" t="str">
        <f>IF(Analysis!$I930="","",IF(Analysis!$I930="Project-driven",Analysis!$H930,""))</f>
        <v/>
      </c>
      <c r="P930" s="29" t="str">
        <f>IF(Analysis!$I930="","",IF(Analysis!$I930="Drifting",Analysis!$H930,""))</f>
        <v/>
      </c>
    </row>
    <row r="931" spans="1:16" x14ac:dyDescent="0.25">
      <c r="A931" s="29" t="str">
        <f>IF(Analysis!$I931="","",IF(Analysis!$I931="Embedded",Analysis!$D931,""))</f>
        <v/>
      </c>
      <c r="B931" s="29" t="str">
        <f>IF(Analysis!$I931="","",IF(Analysis!$I931="Loyal but shallow",Analysis!$D931,""))</f>
        <v/>
      </c>
      <c r="C931" s="29" t="str">
        <f>IF(Analysis!$I931="","",IF(Analysis!$I931="Project-driven",Analysis!$D931,""))</f>
        <v/>
      </c>
      <c r="D931" s="29" t="str">
        <f>IF(Analysis!$I931="","",IF(Analysis!$I931="Drifting",Analysis!$D931,""))</f>
        <v/>
      </c>
      <c r="E931" s="29" t="str">
        <f>IF(Analysis!$I931="","",IF(Analysis!$I931="Embedded",Analysis!$C931,""))</f>
        <v/>
      </c>
      <c r="F931" s="29" t="str">
        <f>IF(Analysis!$I931="","",IF(Analysis!$I931="Loyal but shallow",Analysis!$C931,""))</f>
        <v/>
      </c>
      <c r="G931" s="29" t="str">
        <f>IF(Analysis!$I931="","",IF(Analysis!$I931="Project-driven",Analysis!$C931,""))</f>
        <v/>
      </c>
      <c r="H931" s="29" t="str">
        <f>IF(Analysis!$I931="","",IF(Analysis!$I931="Drifting",Analysis!$C931,""))</f>
        <v/>
      </c>
      <c r="I931" s="29" t="str">
        <f>IF(Analysis!$I931="","",IF(Analysis!$I931="Embedded",Analysis!$F931,""))</f>
        <v/>
      </c>
      <c r="J931" s="29" t="str">
        <f>IF(Analysis!$I931="","",IF(Analysis!$I931="Loyal but shallow",Analysis!$F931,""))</f>
        <v/>
      </c>
      <c r="K931" s="29" t="str">
        <f>IF(Analysis!$I931="","",IF(Analysis!$I931="Project-driven",Analysis!$F931,""))</f>
        <v/>
      </c>
      <c r="L931" s="29" t="str">
        <f>IF(Analysis!$I931="","",IF(Analysis!$I931="Drifting",Analysis!$F931,""))</f>
        <v/>
      </c>
      <c r="M931" s="29" t="str">
        <f>IF(Analysis!$I931="","",IF(Analysis!$I931="Embedded",Analysis!$H931,""))</f>
        <v/>
      </c>
      <c r="N931" s="29" t="str">
        <f>IF(Analysis!$I931="","",IF(Analysis!$I931="Loyal but shallow",Analysis!$H931,""))</f>
        <v/>
      </c>
      <c r="O931" s="29" t="str">
        <f>IF(Analysis!$I931="","",IF(Analysis!$I931="Project-driven",Analysis!$H931,""))</f>
        <v/>
      </c>
      <c r="P931" s="29" t="str">
        <f>IF(Analysis!$I931="","",IF(Analysis!$I931="Drifting",Analysis!$H931,""))</f>
        <v/>
      </c>
    </row>
    <row r="932" spans="1:16" x14ac:dyDescent="0.25">
      <c r="A932" s="29" t="str">
        <f>IF(Analysis!$I932="","",IF(Analysis!$I932="Embedded",Analysis!$D932,""))</f>
        <v/>
      </c>
      <c r="B932" s="29" t="str">
        <f>IF(Analysis!$I932="","",IF(Analysis!$I932="Loyal but shallow",Analysis!$D932,""))</f>
        <v/>
      </c>
      <c r="C932" s="29" t="str">
        <f>IF(Analysis!$I932="","",IF(Analysis!$I932="Project-driven",Analysis!$D932,""))</f>
        <v/>
      </c>
      <c r="D932" s="29" t="str">
        <f>IF(Analysis!$I932="","",IF(Analysis!$I932="Drifting",Analysis!$D932,""))</f>
        <v/>
      </c>
      <c r="E932" s="29" t="str">
        <f>IF(Analysis!$I932="","",IF(Analysis!$I932="Embedded",Analysis!$C932,""))</f>
        <v/>
      </c>
      <c r="F932" s="29" t="str">
        <f>IF(Analysis!$I932="","",IF(Analysis!$I932="Loyal but shallow",Analysis!$C932,""))</f>
        <v/>
      </c>
      <c r="G932" s="29" t="str">
        <f>IF(Analysis!$I932="","",IF(Analysis!$I932="Project-driven",Analysis!$C932,""))</f>
        <v/>
      </c>
      <c r="H932" s="29" t="str">
        <f>IF(Analysis!$I932="","",IF(Analysis!$I932="Drifting",Analysis!$C932,""))</f>
        <v/>
      </c>
      <c r="I932" s="29" t="str">
        <f>IF(Analysis!$I932="","",IF(Analysis!$I932="Embedded",Analysis!$F932,""))</f>
        <v/>
      </c>
      <c r="J932" s="29" t="str">
        <f>IF(Analysis!$I932="","",IF(Analysis!$I932="Loyal but shallow",Analysis!$F932,""))</f>
        <v/>
      </c>
      <c r="K932" s="29" t="str">
        <f>IF(Analysis!$I932="","",IF(Analysis!$I932="Project-driven",Analysis!$F932,""))</f>
        <v/>
      </c>
      <c r="L932" s="29" t="str">
        <f>IF(Analysis!$I932="","",IF(Analysis!$I932="Drifting",Analysis!$F932,""))</f>
        <v/>
      </c>
      <c r="M932" s="29" t="str">
        <f>IF(Analysis!$I932="","",IF(Analysis!$I932="Embedded",Analysis!$H932,""))</f>
        <v/>
      </c>
      <c r="N932" s="29" t="str">
        <f>IF(Analysis!$I932="","",IF(Analysis!$I932="Loyal but shallow",Analysis!$H932,""))</f>
        <v/>
      </c>
      <c r="O932" s="29" t="str">
        <f>IF(Analysis!$I932="","",IF(Analysis!$I932="Project-driven",Analysis!$H932,""))</f>
        <v/>
      </c>
      <c r="P932" s="29" t="str">
        <f>IF(Analysis!$I932="","",IF(Analysis!$I932="Drifting",Analysis!$H932,""))</f>
        <v/>
      </c>
    </row>
    <row r="933" spans="1:16" x14ac:dyDescent="0.25">
      <c r="A933" s="29" t="str">
        <f>IF(Analysis!$I933="","",IF(Analysis!$I933="Embedded",Analysis!$D933,""))</f>
        <v/>
      </c>
      <c r="B933" s="29" t="str">
        <f>IF(Analysis!$I933="","",IF(Analysis!$I933="Loyal but shallow",Analysis!$D933,""))</f>
        <v/>
      </c>
      <c r="C933" s="29" t="str">
        <f>IF(Analysis!$I933="","",IF(Analysis!$I933="Project-driven",Analysis!$D933,""))</f>
        <v/>
      </c>
      <c r="D933" s="29" t="str">
        <f>IF(Analysis!$I933="","",IF(Analysis!$I933="Drifting",Analysis!$D933,""))</f>
        <v/>
      </c>
      <c r="E933" s="29" t="str">
        <f>IF(Analysis!$I933="","",IF(Analysis!$I933="Embedded",Analysis!$C933,""))</f>
        <v/>
      </c>
      <c r="F933" s="29" t="str">
        <f>IF(Analysis!$I933="","",IF(Analysis!$I933="Loyal but shallow",Analysis!$C933,""))</f>
        <v/>
      </c>
      <c r="G933" s="29" t="str">
        <f>IF(Analysis!$I933="","",IF(Analysis!$I933="Project-driven",Analysis!$C933,""))</f>
        <v/>
      </c>
      <c r="H933" s="29" t="str">
        <f>IF(Analysis!$I933="","",IF(Analysis!$I933="Drifting",Analysis!$C933,""))</f>
        <v/>
      </c>
      <c r="I933" s="29" t="str">
        <f>IF(Analysis!$I933="","",IF(Analysis!$I933="Embedded",Analysis!$F933,""))</f>
        <v/>
      </c>
      <c r="J933" s="29" t="str">
        <f>IF(Analysis!$I933="","",IF(Analysis!$I933="Loyal but shallow",Analysis!$F933,""))</f>
        <v/>
      </c>
      <c r="K933" s="29" t="str">
        <f>IF(Analysis!$I933="","",IF(Analysis!$I933="Project-driven",Analysis!$F933,""))</f>
        <v/>
      </c>
      <c r="L933" s="29" t="str">
        <f>IF(Analysis!$I933="","",IF(Analysis!$I933="Drifting",Analysis!$F933,""))</f>
        <v/>
      </c>
      <c r="M933" s="29" t="str">
        <f>IF(Analysis!$I933="","",IF(Analysis!$I933="Embedded",Analysis!$H933,""))</f>
        <v/>
      </c>
      <c r="N933" s="29" t="str">
        <f>IF(Analysis!$I933="","",IF(Analysis!$I933="Loyal but shallow",Analysis!$H933,""))</f>
        <v/>
      </c>
      <c r="O933" s="29" t="str">
        <f>IF(Analysis!$I933="","",IF(Analysis!$I933="Project-driven",Analysis!$H933,""))</f>
        <v/>
      </c>
      <c r="P933" s="29" t="str">
        <f>IF(Analysis!$I933="","",IF(Analysis!$I933="Drifting",Analysis!$H933,""))</f>
        <v/>
      </c>
    </row>
    <row r="934" spans="1:16" x14ac:dyDescent="0.25">
      <c r="A934" s="29" t="str">
        <f>IF(Analysis!$I934="","",IF(Analysis!$I934="Embedded",Analysis!$D934,""))</f>
        <v/>
      </c>
      <c r="B934" s="29" t="str">
        <f>IF(Analysis!$I934="","",IF(Analysis!$I934="Loyal but shallow",Analysis!$D934,""))</f>
        <v/>
      </c>
      <c r="C934" s="29" t="str">
        <f>IF(Analysis!$I934="","",IF(Analysis!$I934="Project-driven",Analysis!$D934,""))</f>
        <v/>
      </c>
      <c r="D934" s="29" t="str">
        <f>IF(Analysis!$I934="","",IF(Analysis!$I934="Drifting",Analysis!$D934,""))</f>
        <v/>
      </c>
      <c r="E934" s="29" t="str">
        <f>IF(Analysis!$I934="","",IF(Analysis!$I934="Embedded",Analysis!$C934,""))</f>
        <v/>
      </c>
      <c r="F934" s="29" t="str">
        <f>IF(Analysis!$I934="","",IF(Analysis!$I934="Loyal but shallow",Analysis!$C934,""))</f>
        <v/>
      </c>
      <c r="G934" s="29" t="str">
        <f>IF(Analysis!$I934="","",IF(Analysis!$I934="Project-driven",Analysis!$C934,""))</f>
        <v/>
      </c>
      <c r="H934" s="29" t="str">
        <f>IF(Analysis!$I934="","",IF(Analysis!$I934="Drifting",Analysis!$C934,""))</f>
        <v/>
      </c>
      <c r="I934" s="29" t="str">
        <f>IF(Analysis!$I934="","",IF(Analysis!$I934="Embedded",Analysis!$F934,""))</f>
        <v/>
      </c>
      <c r="J934" s="29" t="str">
        <f>IF(Analysis!$I934="","",IF(Analysis!$I934="Loyal but shallow",Analysis!$F934,""))</f>
        <v/>
      </c>
      <c r="K934" s="29" t="str">
        <f>IF(Analysis!$I934="","",IF(Analysis!$I934="Project-driven",Analysis!$F934,""))</f>
        <v/>
      </c>
      <c r="L934" s="29" t="str">
        <f>IF(Analysis!$I934="","",IF(Analysis!$I934="Drifting",Analysis!$F934,""))</f>
        <v/>
      </c>
      <c r="M934" s="29" t="str">
        <f>IF(Analysis!$I934="","",IF(Analysis!$I934="Embedded",Analysis!$H934,""))</f>
        <v/>
      </c>
      <c r="N934" s="29" t="str">
        <f>IF(Analysis!$I934="","",IF(Analysis!$I934="Loyal but shallow",Analysis!$H934,""))</f>
        <v/>
      </c>
      <c r="O934" s="29" t="str">
        <f>IF(Analysis!$I934="","",IF(Analysis!$I934="Project-driven",Analysis!$H934,""))</f>
        <v/>
      </c>
      <c r="P934" s="29" t="str">
        <f>IF(Analysis!$I934="","",IF(Analysis!$I934="Drifting",Analysis!$H934,""))</f>
        <v/>
      </c>
    </row>
    <row r="935" spans="1:16" x14ac:dyDescent="0.25">
      <c r="A935" s="29" t="str">
        <f>IF(Analysis!$I935="","",IF(Analysis!$I935="Embedded",Analysis!$D935,""))</f>
        <v/>
      </c>
      <c r="B935" s="29" t="str">
        <f>IF(Analysis!$I935="","",IF(Analysis!$I935="Loyal but shallow",Analysis!$D935,""))</f>
        <v/>
      </c>
      <c r="C935" s="29" t="str">
        <f>IF(Analysis!$I935="","",IF(Analysis!$I935="Project-driven",Analysis!$D935,""))</f>
        <v/>
      </c>
      <c r="D935" s="29" t="str">
        <f>IF(Analysis!$I935="","",IF(Analysis!$I935="Drifting",Analysis!$D935,""))</f>
        <v/>
      </c>
      <c r="E935" s="29" t="str">
        <f>IF(Analysis!$I935="","",IF(Analysis!$I935="Embedded",Analysis!$C935,""))</f>
        <v/>
      </c>
      <c r="F935" s="29" t="str">
        <f>IF(Analysis!$I935="","",IF(Analysis!$I935="Loyal but shallow",Analysis!$C935,""))</f>
        <v/>
      </c>
      <c r="G935" s="29" t="str">
        <f>IF(Analysis!$I935="","",IF(Analysis!$I935="Project-driven",Analysis!$C935,""))</f>
        <v/>
      </c>
      <c r="H935" s="29" t="str">
        <f>IF(Analysis!$I935="","",IF(Analysis!$I935="Drifting",Analysis!$C935,""))</f>
        <v/>
      </c>
      <c r="I935" s="29" t="str">
        <f>IF(Analysis!$I935="","",IF(Analysis!$I935="Embedded",Analysis!$F935,""))</f>
        <v/>
      </c>
      <c r="J935" s="29" t="str">
        <f>IF(Analysis!$I935="","",IF(Analysis!$I935="Loyal but shallow",Analysis!$F935,""))</f>
        <v/>
      </c>
      <c r="K935" s="29" t="str">
        <f>IF(Analysis!$I935="","",IF(Analysis!$I935="Project-driven",Analysis!$F935,""))</f>
        <v/>
      </c>
      <c r="L935" s="29" t="str">
        <f>IF(Analysis!$I935="","",IF(Analysis!$I935="Drifting",Analysis!$F935,""))</f>
        <v/>
      </c>
      <c r="M935" s="29" t="str">
        <f>IF(Analysis!$I935="","",IF(Analysis!$I935="Embedded",Analysis!$H935,""))</f>
        <v/>
      </c>
      <c r="N935" s="29" t="str">
        <f>IF(Analysis!$I935="","",IF(Analysis!$I935="Loyal but shallow",Analysis!$H935,""))</f>
        <v/>
      </c>
      <c r="O935" s="29" t="str">
        <f>IF(Analysis!$I935="","",IF(Analysis!$I935="Project-driven",Analysis!$H935,""))</f>
        <v/>
      </c>
      <c r="P935" s="29" t="str">
        <f>IF(Analysis!$I935="","",IF(Analysis!$I935="Drifting",Analysis!$H935,""))</f>
        <v/>
      </c>
    </row>
    <row r="936" spans="1:16" x14ac:dyDescent="0.25">
      <c r="A936" s="29" t="str">
        <f>IF(Analysis!$I936="","",IF(Analysis!$I936="Embedded",Analysis!$D936,""))</f>
        <v/>
      </c>
      <c r="B936" s="29" t="str">
        <f>IF(Analysis!$I936="","",IF(Analysis!$I936="Loyal but shallow",Analysis!$D936,""))</f>
        <v/>
      </c>
      <c r="C936" s="29" t="str">
        <f>IF(Analysis!$I936="","",IF(Analysis!$I936="Project-driven",Analysis!$D936,""))</f>
        <v/>
      </c>
      <c r="D936" s="29" t="str">
        <f>IF(Analysis!$I936="","",IF(Analysis!$I936="Drifting",Analysis!$D936,""))</f>
        <v/>
      </c>
      <c r="E936" s="29" t="str">
        <f>IF(Analysis!$I936="","",IF(Analysis!$I936="Embedded",Analysis!$C936,""))</f>
        <v/>
      </c>
      <c r="F936" s="29" t="str">
        <f>IF(Analysis!$I936="","",IF(Analysis!$I936="Loyal but shallow",Analysis!$C936,""))</f>
        <v/>
      </c>
      <c r="G936" s="29" t="str">
        <f>IF(Analysis!$I936="","",IF(Analysis!$I936="Project-driven",Analysis!$C936,""))</f>
        <v/>
      </c>
      <c r="H936" s="29" t="str">
        <f>IF(Analysis!$I936="","",IF(Analysis!$I936="Drifting",Analysis!$C936,""))</f>
        <v/>
      </c>
      <c r="I936" s="29" t="str">
        <f>IF(Analysis!$I936="","",IF(Analysis!$I936="Embedded",Analysis!$F936,""))</f>
        <v/>
      </c>
      <c r="J936" s="29" t="str">
        <f>IF(Analysis!$I936="","",IF(Analysis!$I936="Loyal but shallow",Analysis!$F936,""))</f>
        <v/>
      </c>
      <c r="K936" s="29" t="str">
        <f>IF(Analysis!$I936="","",IF(Analysis!$I936="Project-driven",Analysis!$F936,""))</f>
        <v/>
      </c>
      <c r="L936" s="29" t="str">
        <f>IF(Analysis!$I936="","",IF(Analysis!$I936="Drifting",Analysis!$F936,""))</f>
        <v/>
      </c>
      <c r="M936" s="29" t="str">
        <f>IF(Analysis!$I936="","",IF(Analysis!$I936="Embedded",Analysis!$H936,""))</f>
        <v/>
      </c>
      <c r="N936" s="29" t="str">
        <f>IF(Analysis!$I936="","",IF(Analysis!$I936="Loyal but shallow",Analysis!$H936,""))</f>
        <v/>
      </c>
      <c r="O936" s="29" t="str">
        <f>IF(Analysis!$I936="","",IF(Analysis!$I936="Project-driven",Analysis!$H936,""))</f>
        <v/>
      </c>
      <c r="P936" s="29" t="str">
        <f>IF(Analysis!$I936="","",IF(Analysis!$I936="Drifting",Analysis!$H936,""))</f>
        <v/>
      </c>
    </row>
    <row r="937" spans="1:16" x14ac:dyDescent="0.25">
      <c r="A937" s="29" t="str">
        <f>IF(Analysis!$I937="","",IF(Analysis!$I937="Embedded",Analysis!$D937,""))</f>
        <v/>
      </c>
      <c r="B937" s="29" t="str">
        <f>IF(Analysis!$I937="","",IF(Analysis!$I937="Loyal but shallow",Analysis!$D937,""))</f>
        <v/>
      </c>
      <c r="C937" s="29" t="str">
        <f>IF(Analysis!$I937="","",IF(Analysis!$I937="Project-driven",Analysis!$D937,""))</f>
        <v/>
      </c>
      <c r="D937" s="29" t="str">
        <f>IF(Analysis!$I937="","",IF(Analysis!$I937="Drifting",Analysis!$D937,""))</f>
        <v/>
      </c>
      <c r="E937" s="29" t="str">
        <f>IF(Analysis!$I937="","",IF(Analysis!$I937="Embedded",Analysis!$C937,""))</f>
        <v/>
      </c>
      <c r="F937" s="29" t="str">
        <f>IF(Analysis!$I937="","",IF(Analysis!$I937="Loyal but shallow",Analysis!$C937,""))</f>
        <v/>
      </c>
      <c r="G937" s="29" t="str">
        <f>IF(Analysis!$I937="","",IF(Analysis!$I937="Project-driven",Analysis!$C937,""))</f>
        <v/>
      </c>
      <c r="H937" s="29" t="str">
        <f>IF(Analysis!$I937="","",IF(Analysis!$I937="Drifting",Analysis!$C937,""))</f>
        <v/>
      </c>
      <c r="I937" s="29" t="str">
        <f>IF(Analysis!$I937="","",IF(Analysis!$I937="Embedded",Analysis!$F937,""))</f>
        <v/>
      </c>
      <c r="J937" s="29" t="str">
        <f>IF(Analysis!$I937="","",IF(Analysis!$I937="Loyal but shallow",Analysis!$F937,""))</f>
        <v/>
      </c>
      <c r="K937" s="29" t="str">
        <f>IF(Analysis!$I937="","",IF(Analysis!$I937="Project-driven",Analysis!$F937,""))</f>
        <v/>
      </c>
      <c r="L937" s="29" t="str">
        <f>IF(Analysis!$I937="","",IF(Analysis!$I937="Drifting",Analysis!$F937,""))</f>
        <v/>
      </c>
      <c r="M937" s="29" t="str">
        <f>IF(Analysis!$I937="","",IF(Analysis!$I937="Embedded",Analysis!$H937,""))</f>
        <v/>
      </c>
      <c r="N937" s="29" t="str">
        <f>IF(Analysis!$I937="","",IF(Analysis!$I937="Loyal but shallow",Analysis!$H937,""))</f>
        <v/>
      </c>
      <c r="O937" s="29" t="str">
        <f>IF(Analysis!$I937="","",IF(Analysis!$I937="Project-driven",Analysis!$H937,""))</f>
        <v/>
      </c>
      <c r="P937" s="29" t="str">
        <f>IF(Analysis!$I937="","",IF(Analysis!$I937="Drifting",Analysis!$H937,""))</f>
        <v/>
      </c>
    </row>
    <row r="938" spans="1:16" x14ac:dyDescent="0.25">
      <c r="A938" s="29" t="str">
        <f>IF(Analysis!$I938="","",IF(Analysis!$I938="Embedded",Analysis!$D938,""))</f>
        <v/>
      </c>
      <c r="B938" s="29" t="str">
        <f>IF(Analysis!$I938="","",IF(Analysis!$I938="Loyal but shallow",Analysis!$D938,""))</f>
        <v/>
      </c>
      <c r="C938" s="29" t="str">
        <f>IF(Analysis!$I938="","",IF(Analysis!$I938="Project-driven",Analysis!$D938,""))</f>
        <v/>
      </c>
      <c r="D938" s="29" t="str">
        <f>IF(Analysis!$I938="","",IF(Analysis!$I938="Drifting",Analysis!$D938,""))</f>
        <v/>
      </c>
      <c r="E938" s="29" t="str">
        <f>IF(Analysis!$I938="","",IF(Analysis!$I938="Embedded",Analysis!$C938,""))</f>
        <v/>
      </c>
      <c r="F938" s="29" t="str">
        <f>IF(Analysis!$I938="","",IF(Analysis!$I938="Loyal but shallow",Analysis!$C938,""))</f>
        <v/>
      </c>
      <c r="G938" s="29" t="str">
        <f>IF(Analysis!$I938="","",IF(Analysis!$I938="Project-driven",Analysis!$C938,""))</f>
        <v/>
      </c>
      <c r="H938" s="29" t="str">
        <f>IF(Analysis!$I938="","",IF(Analysis!$I938="Drifting",Analysis!$C938,""))</f>
        <v/>
      </c>
      <c r="I938" s="29" t="str">
        <f>IF(Analysis!$I938="","",IF(Analysis!$I938="Embedded",Analysis!$F938,""))</f>
        <v/>
      </c>
      <c r="J938" s="29" t="str">
        <f>IF(Analysis!$I938="","",IF(Analysis!$I938="Loyal but shallow",Analysis!$F938,""))</f>
        <v/>
      </c>
      <c r="K938" s="29" t="str">
        <f>IF(Analysis!$I938="","",IF(Analysis!$I938="Project-driven",Analysis!$F938,""))</f>
        <v/>
      </c>
      <c r="L938" s="29" t="str">
        <f>IF(Analysis!$I938="","",IF(Analysis!$I938="Drifting",Analysis!$F938,""))</f>
        <v/>
      </c>
      <c r="M938" s="29" t="str">
        <f>IF(Analysis!$I938="","",IF(Analysis!$I938="Embedded",Analysis!$H938,""))</f>
        <v/>
      </c>
      <c r="N938" s="29" t="str">
        <f>IF(Analysis!$I938="","",IF(Analysis!$I938="Loyal but shallow",Analysis!$H938,""))</f>
        <v/>
      </c>
      <c r="O938" s="29" t="str">
        <f>IF(Analysis!$I938="","",IF(Analysis!$I938="Project-driven",Analysis!$H938,""))</f>
        <v/>
      </c>
      <c r="P938" s="29" t="str">
        <f>IF(Analysis!$I938="","",IF(Analysis!$I938="Drifting",Analysis!$H938,""))</f>
        <v/>
      </c>
    </row>
    <row r="939" spans="1:16" x14ac:dyDescent="0.25">
      <c r="A939" s="29" t="str">
        <f>IF(Analysis!$I939="","",IF(Analysis!$I939="Embedded",Analysis!$D939,""))</f>
        <v/>
      </c>
      <c r="B939" s="29" t="str">
        <f>IF(Analysis!$I939="","",IF(Analysis!$I939="Loyal but shallow",Analysis!$D939,""))</f>
        <v/>
      </c>
      <c r="C939" s="29" t="str">
        <f>IF(Analysis!$I939="","",IF(Analysis!$I939="Project-driven",Analysis!$D939,""))</f>
        <v/>
      </c>
      <c r="D939" s="29" t="str">
        <f>IF(Analysis!$I939="","",IF(Analysis!$I939="Drifting",Analysis!$D939,""))</f>
        <v/>
      </c>
      <c r="E939" s="29" t="str">
        <f>IF(Analysis!$I939="","",IF(Analysis!$I939="Embedded",Analysis!$C939,""))</f>
        <v/>
      </c>
      <c r="F939" s="29" t="str">
        <f>IF(Analysis!$I939="","",IF(Analysis!$I939="Loyal but shallow",Analysis!$C939,""))</f>
        <v/>
      </c>
      <c r="G939" s="29" t="str">
        <f>IF(Analysis!$I939="","",IF(Analysis!$I939="Project-driven",Analysis!$C939,""))</f>
        <v/>
      </c>
      <c r="H939" s="29" t="str">
        <f>IF(Analysis!$I939="","",IF(Analysis!$I939="Drifting",Analysis!$C939,""))</f>
        <v/>
      </c>
      <c r="I939" s="29" t="str">
        <f>IF(Analysis!$I939="","",IF(Analysis!$I939="Embedded",Analysis!$F939,""))</f>
        <v/>
      </c>
      <c r="J939" s="29" t="str">
        <f>IF(Analysis!$I939="","",IF(Analysis!$I939="Loyal but shallow",Analysis!$F939,""))</f>
        <v/>
      </c>
      <c r="K939" s="29" t="str">
        <f>IF(Analysis!$I939="","",IF(Analysis!$I939="Project-driven",Analysis!$F939,""))</f>
        <v/>
      </c>
      <c r="L939" s="29" t="str">
        <f>IF(Analysis!$I939="","",IF(Analysis!$I939="Drifting",Analysis!$F939,""))</f>
        <v/>
      </c>
      <c r="M939" s="29" t="str">
        <f>IF(Analysis!$I939="","",IF(Analysis!$I939="Embedded",Analysis!$H939,""))</f>
        <v/>
      </c>
      <c r="N939" s="29" t="str">
        <f>IF(Analysis!$I939="","",IF(Analysis!$I939="Loyal but shallow",Analysis!$H939,""))</f>
        <v/>
      </c>
      <c r="O939" s="29" t="str">
        <f>IF(Analysis!$I939="","",IF(Analysis!$I939="Project-driven",Analysis!$H939,""))</f>
        <v/>
      </c>
      <c r="P939" s="29" t="str">
        <f>IF(Analysis!$I939="","",IF(Analysis!$I939="Drifting",Analysis!$H939,""))</f>
        <v/>
      </c>
    </row>
    <row r="940" spans="1:16" x14ac:dyDescent="0.25">
      <c r="A940" s="29" t="str">
        <f>IF(Analysis!$I940="","",IF(Analysis!$I940="Embedded",Analysis!$D940,""))</f>
        <v/>
      </c>
      <c r="B940" s="29" t="str">
        <f>IF(Analysis!$I940="","",IF(Analysis!$I940="Loyal but shallow",Analysis!$D940,""))</f>
        <v/>
      </c>
      <c r="C940" s="29" t="str">
        <f>IF(Analysis!$I940="","",IF(Analysis!$I940="Project-driven",Analysis!$D940,""))</f>
        <v/>
      </c>
      <c r="D940" s="29" t="str">
        <f>IF(Analysis!$I940="","",IF(Analysis!$I940="Drifting",Analysis!$D940,""))</f>
        <v/>
      </c>
      <c r="E940" s="29" t="str">
        <f>IF(Analysis!$I940="","",IF(Analysis!$I940="Embedded",Analysis!$C940,""))</f>
        <v/>
      </c>
      <c r="F940" s="29" t="str">
        <f>IF(Analysis!$I940="","",IF(Analysis!$I940="Loyal but shallow",Analysis!$C940,""))</f>
        <v/>
      </c>
      <c r="G940" s="29" t="str">
        <f>IF(Analysis!$I940="","",IF(Analysis!$I940="Project-driven",Analysis!$C940,""))</f>
        <v/>
      </c>
      <c r="H940" s="29" t="str">
        <f>IF(Analysis!$I940="","",IF(Analysis!$I940="Drifting",Analysis!$C940,""))</f>
        <v/>
      </c>
      <c r="I940" s="29" t="str">
        <f>IF(Analysis!$I940="","",IF(Analysis!$I940="Embedded",Analysis!$F940,""))</f>
        <v/>
      </c>
      <c r="J940" s="29" t="str">
        <f>IF(Analysis!$I940="","",IF(Analysis!$I940="Loyal but shallow",Analysis!$F940,""))</f>
        <v/>
      </c>
      <c r="K940" s="29" t="str">
        <f>IF(Analysis!$I940="","",IF(Analysis!$I940="Project-driven",Analysis!$F940,""))</f>
        <v/>
      </c>
      <c r="L940" s="29" t="str">
        <f>IF(Analysis!$I940="","",IF(Analysis!$I940="Drifting",Analysis!$F940,""))</f>
        <v/>
      </c>
      <c r="M940" s="29" t="str">
        <f>IF(Analysis!$I940="","",IF(Analysis!$I940="Embedded",Analysis!$H940,""))</f>
        <v/>
      </c>
      <c r="N940" s="29" t="str">
        <f>IF(Analysis!$I940="","",IF(Analysis!$I940="Loyal but shallow",Analysis!$H940,""))</f>
        <v/>
      </c>
      <c r="O940" s="29" t="str">
        <f>IF(Analysis!$I940="","",IF(Analysis!$I940="Project-driven",Analysis!$H940,""))</f>
        <v/>
      </c>
      <c r="P940" s="29" t="str">
        <f>IF(Analysis!$I940="","",IF(Analysis!$I940="Drifting",Analysis!$H940,""))</f>
        <v/>
      </c>
    </row>
    <row r="941" spans="1:16" x14ac:dyDescent="0.25">
      <c r="A941" s="29" t="str">
        <f>IF(Analysis!$I941="","",IF(Analysis!$I941="Embedded",Analysis!$D941,""))</f>
        <v/>
      </c>
      <c r="B941" s="29" t="str">
        <f>IF(Analysis!$I941="","",IF(Analysis!$I941="Loyal but shallow",Analysis!$D941,""))</f>
        <v/>
      </c>
      <c r="C941" s="29" t="str">
        <f>IF(Analysis!$I941="","",IF(Analysis!$I941="Project-driven",Analysis!$D941,""))</f>
        <v/>
      </c>
      <c r="D941" s="29" t="str">
        <f>IF(Analysis!$I941="","",IF(Analysis!$I941="Drifting",Analysis!$D941,""))</f>
        <v/>
      </c>
      <c r="E941" s="29" t="str">
        <f>IF(Analysis!$I941="","",IF(Analysis!$I941="Embedded",Analysis!$C941,""))</f>
        <v/>
      </c>
      <c r="F941" s="29" t="str">
        <f>IF(Analysis!$I941="","",IF(Analysis!$I941="Loyal but shallow",Analysis!$C941,""))</f>
        <v/>
      </c>
      <c r="G941" s="29" t="str">
        <f>IF(Analysis!$I941="","",IF(Analysis!$I941="Project-driven",Analysis!$C941,""))</f>
        <v/>
      </c>
      <c r="H941" s="29" t="str">
        <f>IF(Analysis!$I941="","",IF(Analysis!$I941="Drifting",Analysis!$C941,""))</f>
        <v/>
      </c>
      <c r="I941" s="29" t="str">
        <f>IF(Analysis!$I941="","",IF(Analysis!$I941="Embedded",Analysis!$F941,""))</f>
        <v/>
      </c>
      <c r="J941" s="29" t="str">
        <f>IF(Analysis!$I941="","",IF(Analysis!$I941="Loyal but shallow",Analysis!$F941,""))</f>
        <v/>
      </c>
      <c r="K941" s="29" t="str">
        <f>IF(Analysis!$I941="","",IF(Analysis!$I941="Project-driven",Analysis!$F941,""))</f>
        <v/>
      </c>
      <c r="L941" s="29" t="str">
        <f>IF(Analysis!$I941="","",IF(Analysis!$I941="Drifting",Analysis!$F941,""))</f>
        <v/>
      </c>
      <c r="M941" s="29" t="str">
        <f>IF(Analysis!$I941="","",IF(Analysis!$I941="Embedded",Analysis!$H941,""))</f>
        <v/>
      </c>
      <c r="N941" s="29" t="str">
        <f>IF(Analysis!$I941="","",IF(Analysis!$I941="Loyal but shallow",Analysis!$H941,""))</f>
        <v/>
      </c>
      <c r="O941" s="29" t="str">
        <f>IF(Analysis!$I941="","",IF(Analysis!$I941="Project-driven",Analysis!$H941,""))</f>
        <v/>
      </c>
      <c r="P941" s="29" t="str">
        <f>IF(Analysis!$I941="","",IF(Analysis!$I941="Drifting",Analysis!$H941,""))</f>
        <v/>
      </c>
    </row>
    <row r="942" spans="1:16" x14ac:dyDescent="0.25">
      <c r="A942" s="29" t="str">
        <f>IF(Analysis!$I942="","",IF(Analysis!$I942="Embedded",Analysis!$D942,""))</f>
        <v/>
      </c>
      <c r="B942" s="29" t="str">
        <f>IF(Analysis!$I942="","",IF(Analysis!$I942="Loyal but shallow",Analysis!$D942,""))</f>
        <v/>
      </c>
      <c r="C942" s="29" t="str">
        <f>IF(Analysis!$I942="","",IF(Analysis!$I942="Project-driven",Analysis!$D942,""))</f>
        <v/>
      </c>
      <c r="D942" s="29" t="str">
        <f>IF(Analysis!$I942="","",IF(Analysis!$I942="Drifting",Analysis!$D942,""))</f>
        <v/>
      </c>
      <c r="E942" s="29" t="str">
        <f>IF(Analysis!$I942="","",IF(Analysis!$I942="Embedded",Analysis!$C942,""))</f>
        <v/>
      </c>
      <c r="F942" s="29" t="str">
        <f>IF(Analysis!$I942="","",IF(Analysis!$I942="Loyal but shallow",Analysis!$C942,""))</f>
        <v/>
      </c>
      <c r="G942" s="29" t="str">
        <f>IF(Analysis!$I942="","",IF(Analysis!$I942="Project-driven",Analysis!$C942,""))</f>
        <v/>
      </c>
      <c r="H942" s="29" t="str">
        <f>IF(Analysis!$I942="","",IF(Analysis!$I942="Drifting",Analysis!$C942,""))</f>
        <v/>
      </c>
      <c r="I942" s="29" t="str">
        <f>IF(Analysis!$I942="","",IF(Analysis!$I942="Embedded",Analysis!$F942,""))</f>
        <v/>
      </c>
      <c r="J942" s="29" t="str">
        <f>IF(Analysis!$I942="","",IF(Analysis!$I942="Loyal but shallow",Analysis!$F942,""))</f>
        <v/>
      </c>
      <c r="K942" s="29" t="str">
        <f>IF(Analysis!$I942="","",IF(Analysis!$I942="Project-driven",Analysis!$F942,""))</f>
        <v/>
      </c>
      <c r="L942" s="29" t="str">
        <f>IF(Analysis!$I942="","",IF(Analysis!$I942="Drifting",Analysis!$F942,""))</f>
        <v/>
      </c>
      <c r="M942" s="29" t="str">
        <f>IF(Analysis!$I942="","",IF(Analysis!$I942="Embedded",Analysis!$H942,""))</f>
        <v/>
      </c>
      <c r="N942" s="29" t="str">
        <f>IF(Analysis!$I942="","",IF(Analysis!$I942="Loyal but shallow",Analysis!$H942,""))</f>
        <v/>
      </c>
      <c r="O942" s="29" t="str">
        <f>IF(Analysis!$I942="","",IF(Analysis!$I942="Project-driven",Analysis!$H942,""))</f>
        <v/>
      </c>
      <c r="P942" s="29" t="str">
        <f>IF(Analysis!$I942="","",IF(Analysis!$I942="Drifting",Analysis!$H942,""))</f>
        <v/>
      </c>
    </row>
    <row r="943" spans="1:16" x14ac:dyDescent="0.25">
      <c r="A943" s="29" t="str">
        <f>IF(Analysis!$I943="","",IF(Analysis!$I943="Embedded",Analysis!$D943,""))</f>
        <v/>
      </c>
      <c r="B943" s="29" t="str">
        <f>IF(Analysis!$I943="","",IF(Analysis!$I943="Loyal but shallow",Analysis!$D943,""))</f>
        <v/>
      </c>
      <c r="C943" s="29" t="str">
        <f>IF(Analysis!$I943="","",IF(Analysis!$I943="Project-driven",Analysis!$D943,""))</f>
        <v/>
      </c>
      <c r="D943" s="29" t="str">
        <f>IF(Analysis!$I943="","",IF(Analysis!$I943="Drifting",Analysis!$D943,""))</f>
        <v/>
      </c>
      <c r="E943" s="29" t="str">
        <f>IF(Analysis!$I943="","",IF(Analysis!$I943="Embedded",Analysis!$C943,""))</f>
        <v/>
      </c>
      <c r="F943" s="29" t="str">
        <f>IF(Analysis!$I943="","",IF(Analysis!$I943="Loyal but shallow",Analysis!$C943,""))</f>
        <v/>
      </c>
      <c r="G943" s="29" t="str">
        <f>IF(Analysis!$I943="","",IF(Analysis!$I943="Project-driven",Analysis!$C943,""))</f>
        <v/>
      </c>
      <c r="H943" s="29" t="str">
        <f>IF(Analysis!$I943="","",IF(Analysis!$I943="Drifting",Analysis!$C943,""))</f>
        <v/>
      </c>
      <c r="I943" s="29" t="str">
        <f>IF(Analysis!$I943="","",IF(Analysis!$I943="Embedded",Analysis!$F943,""))</f>
        <v/>
      </c>
      <c r="J943" s="29" t="str">
        <f>IF(Analysis!$I943="","",IF(Analysis!$I943="Loyal but shallow",Analysis!$F943,""))</f>
        <v/>
      </c>
      <c r="K943" s="29" t="str">
        <f>IF(Analysis!$I943="","",IF(Analysis!$I943="Project-driven",Analysis!$F943,""))</f>
        <v/>
      </c>
      <c r="L943" s="29" t="str">
        <f>IF(Analysis!$I943="","",IF(Analysis!$I943="Drifting",Analysis!$F943,""))</f>
        <v/>
      </c>
      <c r="M943" s="29" t="str">
        <f>IF(Analysis!$I943="","",IF(Analysis!$I943="Embedded",Analysis!$H943,""))</f>
        <v/>
      </c>
      <c r="N943" s="29" t="str">
        <f>IF(Analysis!$I943="","",IF(Analysis!$I943="Loyal but shallow",Analysis!$H943,""))</f>
        <v/>
      </c>
      <c r="O943" s="29" t="str">
        <f>IF(Analysis!$I943="","",IF(Analysis!$I943="Project-driven",Analysis!$H943,""))</f>
        <v/>
      </c>
      <c r="P943" s="29" t="str">
        <f>IF(Analysis!$I943="","",IF(Analysis!$I943="Drifting",Analysis!$H943,""))</f>
        <v/>
      </c>
    </row>
    <row r="944" spans="1:16" x14ac:dyDescent="0.25">
      <c r="A944" s="29" t="str">
        <f>IF(Analysis!$I944="","",IF(Analysis!$I944="Embedded",Analysis!$D944,""))</f>
        <v/>
      </c>
      <c r="B944" s="29" t="str">
        <f>IF(Analysis!$I944="","",IF(Analysis!$I944="Loyal but shallow",Analysis!$D944,""))</f>
        <v/>
      </c>
      <c r="C944" s="29" t="str">
        <f>IF(Analysis!$I944="","",IF(Analysis!$I944="Project-driven",Analysis!$D944,""))</f>
        <v/>
      </c>
      <c r="D944" s="29" t="str">
        <f>IF(Analysis!$I944="","",IF(Analysis!$I944="Drifting",Analysis!$D944,""))</f>
        <v/>
      </c>
      <c r="E944" s="29" t="str">
        <f>IF(Analysis!$I944="","",IF(Analysis!$I944="Embedded",Analysis!$C944,""))</f>
        <v/>
      </c>
      <c r="F944" s="29" t="str">
        <f>IF(Analysis!$I944="","",IF(Analysis!$I944="Loyal but shallow",Analysis!$C944,""))</f>
        <v/>
      </c>
      <c r="G944" s="29" t="str">
        <f>IF(Analysis!$I944="","",IF(Analysis!$I944="Project-driven",Analysis!$C944,""))</f>
        <v/>
      </c>
      <c r="H944" s="29" t="str">
        <f>IF(Analysis!$I944="","",IF(Analysis!$I944="Drifting",Analysis!$C944,""))</f>
        <v/>
      </c>
      <c r="I944" s="29" t="str">
        <f>IF(Analysis!$I944="","",IF(Analysis!$I944="Embedded",Analysis!$F944,""))</f>
        <v/>
      </c>
      <c r="J944" s="29" t="str">
        <f>IF(Analysis!$I944="","",IF(Analysis!$I944="Loyal but shallow",Analysis!$F944,""))</f>
        <v/>
      </c>
      <c r="K944" s="29" t="str">
        <f>IF(Analysis!$I944="","",IF(Analysis!$I944="Project-driven",Analysis!$F944,""))</f>
        <v/>
      </c>
      <c r="L944" s="29" t="str">
        <f>IF(Analysis!$I944="","",IF(Analysis!$I944="Drifting",Analysis!$F944,""))</f>
        <v/>
      </c>
      <c r="M944" s="29" t="str">
        <f>IF(Analysis!$I944="","",IF(Analysis!$I944="Embedded",Analysis!$H944,""))</f>
        <v/>
      </c>
      <c r="N944" s="29" t="str">
        <f>IF(Analysis!$I944="","",IF(Analysis!$I944="Loyal but shallow",Analysis!$H944,""))</f>
        <v/>
      </c>
      <c r="O944" s="29" t="str">
        <f>IF(Analysis!$I944="","",IF(Analysis!$I944="Project-driven",Analysis!$H944,""))</f>
        <v/>
      </c>
      <c r="P944" s="29" t="str">
        <f>IF(Analysis!$I944="","",IF(Analysis!$I944="Drifting",Analysis!$H944,""))</f>
        <v/>
      </c>
    </row>
    <row r="945" spans="1:16" x14ac:dyDescent="0.25">
      <c r="A945" s="29" t="str">
        <f>IF(Analysis!$I945="","",IF(Analysis!$I945="Embedded",Analysis!$D945,""))</f>
        <v/>
      </c>
      <c r="B945" s="29" t="str">
        <f>IF(Analysis!$I945="","",IF(Analysis!$I945="Loyal but shallow",Analysis!$D945,""))</f>
        <v/>
      </c>
      <c r="C945" s="29" t="str">
        <f>IF(Analysis!$I945="","",IF(Analysis!$I945="Project-driven",Analysis!$D945,""))</f>
        <v/>
      </c>
      <c r="D945" s="29" t="str">
        <f>IF(Analysis!$I945="","",IF(Analysis!$I945="Drifting",Analysis!$D945,""))</f>
        <v/>
      </c>
      <c r="E945" s="29" t="str">
        <f>IF(Analysis!$I945="","",IF(Analysis!$I945="Embedded",Analysis!$C945,""))</f>
        <v/>
      </c>
      <c r="F945" s="29" t="str">
        <f>IF(Analysis!$I945="","",IF(Analysis!$I945="Loyal but shallow",Analysis!$C945,""))</f>
        <v/>
      </c>
      <c r="G945" s="29" t="str">
        <f>IF(Analysis!$I945="","",IF(Analysis!$I945="Project-driven",Analysis!$C945,""))</f>
        <v/>
      </c>
      <c r="H945" s="29" t="str">
        <f>IF(Analysis!$I945="","",IF(Analysis!$I945="Drifting",Analysis!$C945,""))</f>
        <v/>
      </c>
      <c r="I945" s="29" t="str">
        <f>IF(Analysis!$I945="","",IF(Analysis!$I945="Embedded",Analysis!$F945,""))</f>
        <v/>
      </c>
      <c r="J945" s="29" t="str">
        <f>IF(Analysis!$I945="","",IF(Analysis!$I945="Loyal but shallow",Analysis!$F945,""))</f>
        <v/>
      </c>
      <c r="K945" s="29" t="str">
        <f>IF(Analysis!$I945="","",IF(Analysis!$I945="Project-driven",Analysis!$F945,""))</f>
        <v/>
      </c>
      <c r="L945" s="29" t="str">
        <f>IF(Analysis!$I945="","",IF(Analysis!$I945="Drifting",Analysis!$F945,""))</f>
        <v/>
      </c>
      <c r="M945" s="29" t="str">
        <f>IF(Analysis!$I945="","",IF(Analysis!$I945="Embedded",Analysis!$H945,""))</f>
        <v/>
      </c>
      <c r="N945" s="29" t="str">
        <f>IF(Analysis!$I945="","",IF(Analysis!$I945="Loyal but shallow",Analysis!$H945,""))</f>
        <v/>
      </c>
      <c r="O945" s="29" t="str">
        <f>IF(Analysis!$I945="","",IF(Analysis!$I945="Project-driven",Analysis!$H945,""))</f>
        <v/>
      </c>
      <c r="P945" s="29" t="str">
        <f>IF(Analysis!$I945="","",IF(Analysis!$I945="Drifting",Analysis!$H945,""))</f>
        <v/>
      </c>
    </row>
    <row r="946" spans="1:16" x14ac:dyDescent="0.25">
      <c r="A946" s="29" t="str">
        <f>IF(Analysis!$I946="","",IF(Analysis!$I946="Embedded",Analysis!$D946,""))</f>
        <v/>
      </c>
      <c r="B946" s="29" t="str">
        <f>IF(Analysis!$I946="","",IF(Analysis!$I946="Loyal but shallow",Analysis!$D946,""))</f>
        <v/>
      </c>
      <c r="C946" s="29" t="str">
        <f>IF(Analysis!$I946="","",IF(Analysis!$I946="Project-driven",Analysis!$D946,""))</f>
        <v/>
      </c>
      <c r="D946" s="29" t="str">
        <f>IF(Analysis!$I946="","",IF(Analysis!$I946="Drifting",Analysis!$D946,""))</f>
        <v/>
      </c>
      <c r="E946" s="29" t="str">
        <f>IF(Analysis!$I946="","",IF(Analysis!$I946="Embedded",Analysis!$C946,""))</f>
        <v/>
      </c>
      <c r="F946" s="29" t="str">
        <f>IF(Analysis!$I946="","",IF(Analysis!$I946="Loyal but shallow",Analysis!$C946,""))</f>
        <v/>
      </c>
      <c r="G946" s="29" t="str">
        <f>IF(Analysis!$I946="","",IF(Analysis!$I946="Project-driven",Analysis!$C946,""))</f>
        <v/>
      </c>
      <c r="H946" s="29" t="str">
        <f>IF(Analysis!$I946="","",IF(Analysis!$I946="Drifting",Analysis!$C946,""))</f>
        <v/>
      </c>
      <c r="I946" s="29" t="str">
        <f>IF(Analysis!$I946="","",IF(Analysis!$I946="Embedded",Analysis!$F946,""))</f>
        <v/>
      </c>
      <c r="J946" s="29" t="str">
        <f>IF(Analysis!$I946="","",IF(Analysis!$I946="Loyal but shallow",Analysis!$F946,""))</f>
        <v/>
      </c>
      <c r="K946" s="29" t="str">
        <f>IF(Analysis!$I946="","",IF(Analysis!$I946="Project-driven",Analysis!$F946,""))</f>
        <v/>
      </c>
      <c r="L946" s="29" t="str">
        <f>IF(Analysis!$I946="","",IF(Analysis!$I946="Drifting",Analysis!$F946,""))</f>
        <v/>
      </c>
      <c r="M946" s="29" t="str">
        <f>IF(Analysis!$I946="","",IF(Analysis!$I946="Embedded",Analysis!$H946,""))</f>
        <v/>
      </c>
      <c r="N946" s="29" t="str">
        <f>IF(Analysis!$I946="","",IF(Analysis!$I946="Loyal but shallow",Analysis!$H946,""))</f>
        <v/>
      </c>
      <c r="O946" s="29" t="str">
        <f>IF(Analysis!$I946="","",IF(Analysis!$I946="Project-driven",Analysis!$H946,""))</f>
        <v/>
      </c>
      <c r="P946" s="29" t="str">
        <f>IF(Analysis!$I946="","",IF(Analysis!$I946="Drifting",Analysis!$H946,""))</f>
        <v/>
      </c>
    </row>
    <row r="947" spans="1:16" x14ac:dyDescent="0.25">
      <c r="A947" s="29" t="str">
        <f>IF(Analysis!$I947="","",IF(Analysis!$I947="Embedded",Analysis!$D947,""))</f>
        <v/>
      </c>
      <c r="B947" s="29" t="str">
        <f>IF(Analysis!$I947="","",IF(Analysis!$I947="Loyal but shallow",Analysis!$D947,""))</f>
        <v/>
      </c>
      <c r="C947" s="29" t="str">
        <f>IF(Analysis!$I947="","",IF(Analysis!$I947="Project-driven",Analysis!$D947,""))</f>
        <v/>
      </c>
      <c r="D947" s="29" t="str">
        <f>IF(Analysis!$I947="","",IF(Analysis!$I947="Drifting",Analysis!$D947,""))</f>
        <v/>
      </c>
      <c r="E947" s="29" t="str">
        <f>IF(Analysis!$I947="","",IF(Analysis!$I947="Embedded",Analysis!$C947,""))</f>
        <v/>
      </c>
      <c r="F947" s="29" t="str">
        <f>IF(Analysis!$I947="","",IF(Analysis!$I947="Loyal but shallow",Analysis!$C947,""))</f>
        <v/>
      </c>
      <c r="G947" s="29" t="str">
        <f>IF(Analysis!$I947="","",IF(Analysis!$I947="Project-driven",Analysis!$C947,""))</f>
        <v/>
      </c>
      <c r="H947" s="29" t="str">
        <f>IF(Analysis!$I947="","",IF(Analysis!$I947="Drifting",Analysis!$C947,""))</f>
        <v/>
      </c>
      <c r="I947" s="29" t="str">
        <f>IF(Analysis!$I947="","",IF(Analysis!$I947="Embedded",Analysis!$F947,""))</f>
        <v/>
      </c>
      <c r="J947" s="29" t="str">
        <f>IF(Analysis!$I947="","",IF(Analysis!$I947="Loyal but shallow",Analysis!$F947,""))</f>
        <v/>
      </c>
      <c r="K947" s="29" t="str">
        <f>IF(Analysis!$I947="","",IF(Analysis!$I947="Project-driven",Analysis!$F947,""))</f>
        <v/>
      </c>
      <c r="L947" s="29" t="str">
        <f>IF(Analysis!$I947="","",IF(Analysis!$I947="Drifting",Analysis!$F947,""))</f>
        <v/>
      </c>
      <c r="M947" s="29" t="str">
        <f>IF(Analysis!$I947="","",IF(Analysis!$I947="Embedded",Analysis!$H947,""))</f>
        <v/>
      </c>
      <c r="N947" s="29" t="str">
        <f>IF(Analysis!$I947="","",IF(Analysis!$I947="Loyal but shallow",Analysis!$H947,""))</f>
        <v/>
      </c>
      <c r="O947" s="29" t="str">
        <f>IF(Analysis!$I947="","",IF(Analysis!$I947="Project-driven",Analysis!$H947,""))</f>
        <v/>
      </c>
      <c r="P947" s="29" t="str">
        <f>IF(Analysis!$I947="","",IF(Analysis!$I947="Drifting",Analysis!$H947,""))</f>
        <v/>
      </c>
    </row>
    <row r="948" spans="1:16" x14ac:dyDescent="0.25">
      <c r="A948" s="29" t="str">
        <f>IF(Analysis!$I948="","",IF(Analysis!$I948="Embedded",Analysis!$D948,""))</f>
        <v/>
      </c>
      <c r="B948" s="29" t="str">
        <f>IF(Analysis!$I948="","",IF(Analysis!$I948="Loyal but shallow",Analysis!$D948,""))</f>
        <v/>
      </c>
      <c r="C948" s="29" t="str">
        <f>IF(Analysis!$I948="","",IF(Analysis!$I948="Project-driven",Analysis!$D948,""))</f>
        <v/>
      </c>
      <c r="D948" s="29" t="str">
        <f>IF(Analysis!$I948="","",IF(Analysis!$I948="Drifting",Analysis!$D948,""))</f>
        <v/>
      </c>
      <c r="E948" s="29" t="str">
        <f>IF(Analysis!$I948="","",IF(Analysis!$I948="Embedded",Analysis!$C948,""))</f>
        <v/>
      </c>
      <c r="F948" s="29" t="str">
        <f>IF(Analysis!$I948="","",IF(Analysis!$I948="Loyal but shallow",Analysis!$C948,""))</f>
        <v/>
      </c>
      <c r="G948" s="29" t="str">
        <f>IF(Analysis!$I948="","",IF(Analysis!$I948="Project-driven",Analysis!$C948,""))</f>
        <v/>
      </c>
      <c r="H948" s="29" t="str">
        <f>IF(Analysis!$I948="","",IF(Analysis!$I948="Drifting",Analysis!$C948,""))</f>
        <v/>
      </c>
      <c r="I948" s="29" t="str">
        <f>IF(Analysis!$I948="","",IF(Analysis!$I948="Embedded",Analysis!$F948,""))</f>
        <v/>
      </c>
      <c r="J948" s="29" t="str">
        <f>IF(Analysis!$I948="","",IF(Analysis!$I948="Loyal but shallow",Analysis!$F948,""))</f>
        <v/>
      </c>
      <c r="K948" s="29" t="str">
        <f>IF(Analysis!$I948="","",IF(Analysis!$I948="Project-driven",Analysis!$F948,""))</f>
        <v/>
      </c>
      <c r="L948" s="29" t="str">
        <f>IF(Analysis!$I948="","",IF(Analysis!$I948="Drifting",Analysis!$F948,""))</f>
        <v/>
      </c>
      <c r="M948" s="29" t="str">
        <f>IF(Analysis!$I948="","",IF(Analysis!$I948="Embedded",Analysis!$H948,""))</f>
        <v/>
      </c>
      <c r="N948" s="29" t="str">
        <f>IF(Analysis!$I948="","",IF(Analysis!$I948="Loyal but shallow",Analysis!$H948,""))</f>
        <v/>
      </c>
      <c r="O948" s="29" t="str">
        <f>IF(Analysis!$I948="","",IF(Analysis!$I948="Project-driven",Analysis!$H948,""))</f>
        <v/>
      </c>
      <c r="P948" s="29" t="str">
        <f>IF(Analysis!$I948="","",IF(Analysis!$I948="Drifting",Analysis!$H948,""))</f>
        <v/>
      </c>
    </row>
    <row r="949" spans="1:16" x14ac:dyDescent="0.25">
      <c r="A949" s="29" t="str">
        <f>IF(Analysis!$I949="","",IF(Analysis!$I949="Embedded",Analysis!$D949,""))</f>
        <v/>
      </c>
      <c r="B949" s="29" t="str">
        <f>IF(Analysis!$I949="","",IF(Analysis!$I949="Loyal but shallow",Analysis!$D949,""))</f>
        <v/>
      </c>
      <c r="C949" s="29" t="str">
        <f>IF(Analysis!$I949="","",IF(Analysis!$I949="Project-driven",Analysis!$D949,""))</f>
        <v/>
      </c>
      <c r="D949" s="29" t="str">
        <f>IF(Analysis!$I949="","",IF(Analysis!$I949="Drifting",Analysis!$D949,""))</f>
        <v/>
      </c>
      <c r="E949" s="29" t="str">
        <f>IF(Analysis!$I949="","",IF(Analysis!$I949="Embedded",Analysis!$C949,""))</f>
        <v/>
      </c>
      <c r="F949" s="29" t="str">
        <f>IF(Analysis!$I949="","",IF(Analysis!$I949="Loyal but shallow",Analysis!$C949,""))</f>
        <v/>
      </c>
      <c r="G949" s="29" t="str">
        <f>IF(Analysis!$I949="","",IF(Analysis!$I949="Project-driven",Analysis!$C949,""))</f>
        <v/>
      </c>
      <c r="H949" s="29" t="str">
        <f>IF(Analysis!$I949="","",IF(Analysis!$I949="Drifting",Analysis!$C949,""))</f>
        <v/>
      </c>
      <c r="I949" s="29" t="str">
        <f>IF(Analysis!$I949="","",IF(Analysis!$I949="Embedded",Analysis!$F949,""))</f>
        <v/>
      </c>
      <c r="J949" s="29" t="str">
        <f>IF(Analysis!$I949="","",IF(Analysis!$I949="Loyal but shallow",Analysis!$F949,""))</f>
        <v/>
      </c>
      <c r="K949" s="29" t="str">
        <f>IF(Analysis!$I949="","",IF(Analysis!$I949="Project-driven",Analysis!$F949,""))</f>
        <v/>
      </c>
      <c r="L949" s="29" t="str">
        <f>IF(Analysis!$I949="","",IF(Analysis!$I949="Drifting",Analysis!$F949,""))</f>
        <v/>
      </c>
      <c r="M949" s="29" t="str">
        <f>IF(Analysis!$I949="","",IF(Analysis!$I949="Embedded",Analysis!$H949,""))</f>
        <v/>
      </c>
      <c r="N949" s="29" t="str">
        <f>IF(Analysis!$I949="","",IF(Analysis!$I949="Loyal but shallow",Analysis!$H949,""))</f>
        <v/>
      </c>
      <c r="O949" s="29" t="str">
        <f>IF(Analysis!$I949="","",IF(Analysis!$I949="Project-driven",Analysis!$H949,""))</f>
        <v/>
      </c>
      <c r="P949" s="29" t="str">
        <f>IF(Analysis!$I949="","",IF(Analysis!$I949="Drifting",Analysis!$H949,""))</f>
        <v/>
      </c>
    </row>
    <row r="950" spans="1:16" x14ac:dyDescent="0.25">
      <c r="A950" s="29" t="str">
        <f>IF(Analysis!$I950="","",IF(Analysis!$I950="Embedded",Analysis!$D950,""))</f>
        <v/>
      </c>
      <c r="B950" s="29" t="str">
        <f>IF(Analysis!$I950="","",IF(Analysis!$I950="Loyal but shallow",Analysis!$D950,""))</f>
        <v/>
      </c>
      <c r="C950" s="29" t="str">
        <f>IF(Analysis!$I950="","",IF(Analysis!$I950="Project-driven",Analysis!$D950,""))</f>
        <v/>
      </c>
      <c r="D950" s="29" t="str">
        <f>IF(Analysis!$I950="","",IF(Analysis!$I950="Drifting",Analysis!$D950,""))</f>
        <v/>
      </c>
      <c r="E950" s="29" t="str">
        <f>IF(Analysis!$I950="","",IF(Analysis!$I950="Embedded",Analysis!$C950,""))</f>
        <v/>
      </c>
      <c r="F950" s="29" t="str">
        <f>IF(Analysis!$I950="","",IF(Analysis!$I950="Loyal but shallow",Analysis!$C950,""))</f>
        <v/>
      </c>
      <c r="G950" s="29" t="str">
        <f>IF(Analysis!$I950="","",IF(Analysis!$I950="Project-driven",Analysis!$C950,""))</f>
        <v/>
      </c>
      <c r="H950" s="29" t="str">
        <f>IF(Analysis!$I950="","",IF(Analysis!$I950="Drifting",Analysis!$C950,""))</f>
        <v/>
      </c>
      <c r="I950" s="29" t="str">
        <f>IF(Analysis!$I950="","",IF(Analysis!$I950="Embedded",Analysis!$F950,""))</f>
        <v/>
      </c>
      <c r="J950" s="29" t="str">
        <f>IF(Analysis!$I950="","",IF(Analysis!$I950="Loyal but shallow",Analysis!$F950,""))</f>
        <v/>
      </c>
      <c r="K950" s="29" t="str">
        <f>IF(Analysis!$I950="","",IF(Analysis!$I950="Project-driven",Analysis!$F950,""))</f>
        <v/>
      </c>
      <c r="L950" s="29" t="str">
        <f>IF(Analysis!$I950="","",IF(Analysis!$I950="Drifting",Analysis!$F950,""))</f>
        <v/>
      </c>
      <c r="M950" s="29" t="str">
        <f>IF(Analysis!$I950="","",IF(Analysis!$I950="Embedded",Analysis!$H950,""))</f>
        <v/>
      </c>
      <c r="N950" s="29" t="str">
        <f>IF(Analysis!$I950="","",IF(Analysis!$I950="Loyal but shallow",Analysis!$H950,""))</f>
        <v/>
      </c>
      <c r="O950" s="29" t="str">
        <f>IF(Analysis!$I950="","",IF(Analysis!$I950="Project-driven",Analysis!$H950,""))</f>
        <v/>
      </c>
      <c r="P950" s="29" t="str">
        <f>IF(Analysis!$I950="","",IF(Analysis!$I950="Drifting",Analysis!$H950,""))</f>
        <v/>
      </c>
    </row>
    <row r="951" spans="1:16" x14ac:dyDescent="0.25">
      <c r="A951" s="29" t="str">
        <f>IF(Analysis!$I951="","",IF(Analysis!$I951="Embedded",Analysis!$D951,""))</f>
        <v/>
      </c>
      <c r="B951" s="29" t="str">
        <f>IF(Analysis!$I951="","",IF(Analysis!$I951="Loyal but shallow",Analysis!$D951,""))</f>
        <v/>
      </c>
      <c r="C951" s="29" t="str">
        <f>IF(Analysis!$I951="","",IF(Analysis!$I951="Project-driven",Analysis!$D951,""))</f>
        <v/>
      </c>
      <c r="D951" s="29" t="str">
        <f>IF(Analysis!$I951="","",IF(Analysis!$I951="Drifting",Analysis!$D951,""))</f>
        <v/>
      </c>
      <c r="E951" s="29" t="str">
        <f>IF(Analysis!$I951="","",IF(Analysis!$I951="Embedded",Analysis!$C951,""))</f>
        <v/>
      </c>
      <c r="F951" s="29" t="str">
        <f>IF(Analysis!$I951="","",IF(Analysis!$I951="Loyal but shallow",Analysis!$C951,""))</f>
        <v/>
      </c>
      <c r="G951" s="29" t="str">
        <f>IF(Analysis!$I951="","",IF(Analysis!$I951="Project-driven",Analysis!$C951,""))</f>
        <v/>
      </c>
      <c r="H951" s="29" t="str">
        <f>IF(Analysis!$I951="","",IF(Analysis!$I951="Drifting",Analysis!$C951,""))</f>
        <v/>
      </c>
      <c r="I951" s="29" t="str">
        <f>IF(Analysis!$I951="","",IF(Analysis!$I951="Embedded",Analysis!$F951,""))</f>
        <v/>
      </c>
      <c r="J951" s="29" t="str">
        <f>IF(Analysis!$I951="","",IF(Analysis!$I951="Loyal but shallow",Analysis!$F951,""))</f>
        <v/>
      </c>
      <c r="K951" s="29" t="str">
        <f>IF(Analysis!$I951="","",IF(Analysis!$I951="Project-driven",Analysis!$F951,""))</f>
        <v/>
      </c>
      <c r="L951" s="29" t="str">
        <f>IF(Analysis!$I951="","",IF(Analysis!$I951="Drifting",Analysis!$F951,""))</f>
        <v/>
      </c>
      <c r="M951" s="29" t="str">
        <f>IF(Analysis!$I951="","",IF(Analysis!$I951="Embedded",Analysis!$H951,""))</f>
        <v/>
      </c>
      <c r="N951" s="29" t="str">
        <f>IF(Analysis!$I951="","",IF(Analysis!$I951="Loyal but shallow",Analysis!$H951,""))</f>
        <v/>
      </c>
      <c r="O951" s="29" t="str">
        <f>IF(Analysis!$I951="","",IF(Analysis!$I951="Project-driven",Analysis!$H951,""))</f>
        <v/>
      </c>
      <c r="P951" s="29" t="str">
        <f>IF(Analysis!$I951="","",IF(Analysis!$I951="Drifting",Analysis!$H951,""))</f>
        <v/>
      </c>
    </row>
    <row r="952" spans="1:16" x14ac:dyDescent="0.25">
      <c r="A952" s="29" t="str">
        <f>IF(Analysis!$I952="","",IF(Analysis!$I952="Embedded",Analysis!$D952,""))</f>
        <v/>
      </c>
      <c r="B952" s="29" t="str">
        <f>IF(Analysis!$I952="","",IF(Analysis!$I952="Loyal but shallow",Analysis!$D952,""))</f>
        <v/>
      </c>
      <c r="C952" s="29" t="str">
        <f>IF(Analysis!$I952="","",IF(Analysis!$I952="Project-driven",Analysis!$D952,""))</f>
        <v/>
      </c>
      <c r="D952" s="29" t="str">
        <f>IF(Analysis!$I952="","",IF(Analysis!$I952="Drifting",Analysis!$D952,""))</f>
        <v/>
      </c>
      <c r="E952" s="29" t="str">
        <f>IF(Analysis!$I952="","",IF(Analysis!$I952="Embedded",Analysis!$C952,""))</f>
        <v/>
      </c>
      <c r="F952" s="29" t="str">
        <f>IF(Analysis!$I952="","",IF(Analysis!$I952="Loyal but shallow",Analysis!$C952,""))</f>
        <v/>
      </c>
      <c r="G952" s="29" t="str">
        <f>IF(Analysis!$I952="","",IF(Analysis!$I952="Project-driven",Analysis!$C952,""))</f>
        <v/>
      </c>
      <c r="H952" s="29" t="str">
        <f>IF(Analysis!$I952="","",IF(Analysis!$I952="Drifting",Analysis!$C952,""))</f>
        <v/>
      </c>
      <c r="I952" s="29" t="str">
        <f>IF(Analysis!$I952="","",IF(Analysis!$I952="Embedded",Analysis!$F952,""))</f>
        <v/>
      </c>
      <c r="J952" s="29" t="str">
        <f>IF(Analysis!$I952="","",IF(Analysis!$I952="Loyal but shallow",Analysis!$F952,""))</f>
        <v/>
      </c>
      <c r="K952" s="29" t="str">
        <f>IF(Analysis!$I952="","",IF(Analysis!$I952="Project-driven",Analysis!$F952,""))</f>
        <v/>
      </c>
      <c r="L952" s="29" t="str">
        <f>IF(Analysis!$I952="","",IF(Analysis!$I952="Drifting",Analysis!$F952,""))</f>
        <v/>
      </c>
      <c r="M952" s="29" t="str">
        <f>IF(Analysis!$I952="","",IF(Analysis!$I952="Embedded",Analysis!$H952,""))</f>
        <v/>
      </c>
      <c r="N952" s="29" t="str">
        <f>IF(Analysis!$I952="","",IF(Analysis!$I952="Loyal but shallow",Analysis!$H952,""))</f>
        <v/>
      </c>
      <c r="O952" s="29" t="str">
        <f>IF(Analysis!$I952="","",IF(Analysis!$I952="Project-driven",Analysis!$H952,""))</f>
        <v/>
      </c>
      <c r="P952" s="29" t="str">
        <f>IF(Analysis!$I952="","",IF(Analysis!$I952="Drifting",Analysis!$H952,""))</f>
        <v/>
      </c>
    </row>
    <row r="953" spans="1:16" x14ac:dyDescent="0.25">
      <c r="A953" s="29" t="str">
        <f>IF(Analysis!$I953="","",IF(Analysis!$I953="Embedded",Analysis!$D953,""))</f>
        <v/>
      </c>
      <c r="B953" s="29" t="str">
        <f>IF(Analysis!$I953="","",IF(Analysis!$I953="Loyal but shallow",Analysis!$D953,""))</f>
        <v/>
      </c>
      <c r="C953" s="29" t="str">
        <f>IF(Analysis!$I953="","",IF(Analysis!$I953="Project-driven",Analysis!$D953,""))</f>
        <v/>
      </c>
      <c r="D953" s="29" t="str">
        <f>IF(Analysis!$I953="","",IF(Analysis!$I953="Drifting",Analysis!$D953,""))</f>
        <v/>
      </c>
      <c r="E953" s="29" t="str">
        <f>IF(Analysis!$I953="","",IF(Analysis!$I953="Embedded",Analysis!$C953,""))</f>
        <v/>
      </c>
      <c r="F953" s="29" t="str">
        <f>IF(Analysis!$I953="","",IF(Analysis!$I953="Loyal but shallow",Analysis!$C953,""))</f>
        <v/>
      </c>
      <c r="G953" s="29" t="str">
        <f>IF(Analysis!$I953="","",IF(Analysis!$I953="Project-driven",Analysis!$C953,""))</f>
        <v/>
      </c>
      <c r="H953" s="29" t="str">
        <f>IF(Analysis!$I953="","",IF(Analysis!$I953="Drifting",Analysis!$C953,""))</f>
        <v/>
      </c>
      <c r="I953" s="29" t="str">
        <f>IF(Analysis!$I953="","",IF(Analysis!$I953="Embedded",Analysis!$F953,""))</f>
        <v/>
      </c>
      <c r="J953" s="29" t="str">
        <f>IF(Analysis!$I953="","",IF(Analysis!$I953="Loyal but shallow",Analysis!$F953,""))</f>
        <v/>
      </c>
      <c r="K953" s="29" t="str">
        <f>IF(Analysis!$I953="","",IF(Analysis!$I953="Project-driven",Analysis!$F953,""))</f>
        <v/>
      </c>
      <c r="L953" s="29" t="str">
        <f>IF(Analysis!$I953="","",IF(Analysis!$I953="Drifting",Analysis!$F953,""))</f>
        <v/>
      </c>
      <c r="M953" s="29" t="str">
        <f>IF(Analysis!$I953="","",IF(Analysis!$I953="Embedded",Analysis!$H953,""))</f>
        <v/>
      </c>
      <c r="N953" s="29" t="str">
        <f>IF(Analysis!$I953="","",IF(Analysis!$I953="Loyal but shallow",Analysis!$H953,""))</f>
        <v/>
      </c>
      <c r="O953" s="29" t="str">
        <f>IF(Analysis!$I953="","",IF(Analysis!$I953="Project-driven",Analysis!$H953,""))</f>
        <v/>
      </c>
      <c r="P953" s="29" t="str">
        <f>IF(Analysis!$I953="","",IF(Analysis!$I953="Drifting",Analysis!$H953,""))</f>
        <v/>
      </c>
    </row>
    <row r="954" spans="1:16" x14ac:dyDescent="0.25">
      <c r="A954" s="29" t="str">
        <f>IF(Analysis!$I954="","",IF(Analysis!$I954="Embedded",Analysis!$D954,""))</f>
        <v/>
      </c>
      <c r="B954" s="29" t="str">
        <f>IF(Analysis!$I954="","",IF(Analysis!$I954="Loyal but shallow",Analysis!$D954,""))</f>
        <v/>
      </c>
      <c r="C954" s="29" t="str">
        <f>IF(Analysis!$I954="","",IF(Analysis!$I954="Project-driven",Analysis!$D954,""))</f>
        <v/>
      </c>
      <c r="D954" s="29" t="str">
        <f>IF(Analysis!$I954="","",IF(Analysis!$I954="Drifting",Analysis!$D954,""))</f>
        <v/>
      </c>
      <c r="E954" s="29" t="str">
        <f>IF(Analysis!$I954="","",IF(Analysis!$I954="Embedded",Analysis!$C954,""))</f>
        <v/>
      </c>
      <c r="F954" s="29" t="str">
        <f>IF(Analysis!$I954="","",IF(Analysis!$I954="Loyal but shallow",Analysis!$C954,""))</f>
        <v/>
      </c>
      <c r="G954" s="29" t="str">
        <f>IF(Analysis!$I954="","",IF(Analysis!$I954="Project-driven",Analysis!$C954,""))</f>
        <v/>
      </c>
      <c r="H954" s="29" t="str">
        <f>IF(Analysis!$I954="","",IF(Analysis!$I954="Drifting",Analysis!$C954,""))</f>
        <v/>
      </c>
      <c r="I954" s="29" t="str">
        <f>IF(Analysis!$I954="","",IF(Analysis!$I954="Embedded",Analysis!$F954,""))</f>
        <v/>
      </c>
      <c r="J954" s="29" t="str">
        <f>IF(Analysis!$I954="","",IF(Analysis!$I954="Loyal but shallow",Analysis!$F954,""))</f>
        <v/>
      </c>
      <c r="K954" s="29" t="str">
        <f>IF(Analysis!$I954="","",IF(Analysis!$I954="Project-driven",Analysis!$F954,""))</f>
        <v/>
      </c>
      <c r="L954" s="29" t="str">
        <f>IF(Analysis!$I954="","",IF(Analysis!$I954="Drifting",Analysis!$F954,""))</f>
        <v/>
      </c>
      <c r="M954" s="29" t="str">
        <f>IF(Analysis!$I954="","",IF(Analysis!$I954="Embedded",Analysis!$H954,""))</f>
        <v/>
      </c>
      <c r="N954" s="29" t="str">
        <f>IF(Analysis!$I954="","",IF(Analysis!$I954="Loyal but shallow",Analysis!$H954,""))</f>
        <v/>
      </c>
      <c r="O954" s="29" t="str">
        <f>IF(Analysis!$I954="","",IF(Analysis!$I954="Project-driven",Analysis!$H954,""))</f>
        <v/>
      </c>
      <c r="P954" s="29" t="str">
        <f>IF(Analysis!$I954="","",IF(Analysis!$I954="Drifting",Analysis!$H954,""))</f>
        <v/>
      </c>
    </row>
    <row r="955" spans="1:16" x14ac:dyDescent="0.25">
      <c r="A955" s="29" t="str">
        <f>IF(Analysis!$I955="","",IF(Analysis!$I955="Embedded",Analysis!$D955,""))</f>
        <v/>
      </c>
      <c r="B955" s="29" t="str">
        <f>IF(Analysis!$I955="","",IF(Analysis!$I955="Loyal but shallow",Analysis!$D955,""))</f>
        <v/>
      </c>
      <c r="C955" s="29" t="str">
        <f>IF(Analysis!$I955="","",IF(Analysis!$I955="Project-driven",Analysis!$D955,""))</f>
        <v/>
      </c>
      <c r="D955" s="29" t="str">
        <f>IF(Analysis!$I955="","",IF(Analysis!$I955="Drifting",Analysis!$D955,""))</f>
        <v/>
      </c>
      <c r="E955" s="29" t="str">
        <f>IF(Analysis!$I955="","",IF(Analysis!$I955="Embedded",Analysis!$C955,""))</f>
        <v/>
      </c>
      <c r="F955" s="29" t="str">
        <f>IF(Analysis!$I955="","",IF(Analysis!$I955="Loyal but shallow",Analysis!$C955,""))</f>
        <v/>
      </c>
      <c r="G955" s="29" t="str">
        <f>IF(Analysis!$I955="","",IF(Analysis!$I955="Project-driven",Analysis!$C955,""))</f>
        <v/>
      </c>
      <c r="H955" s="29" t="str">
        <f>IF(Analysis!$I955="","",IF(Analysis!$I955="Drifting",Analysis!$C955,""))</f>
        <v/>
      </c>
      <c r="I955" s="29" t="str">
        <f>IF(Analysis!$I955="","",IF(Analysis!$I955="Embedded",Analysis!$F955,""))</f>
        <v/>
      </c>
      <c r="J955" s="29" t="str">
        <f>IF(Analysis!$I955="","",IF(Analysis!$I955="Loyal but shallow",Analysis!$F955,""))</f>
        <v/>
      </c>
      <c r="K955" s="29" t="str">
        <f>IF(Analysis!$I955="","",IF(Analysis!$I955="Project-driven",Analysis!$F955,""))</f>
        <v/>
      </c>
      <c r="L955" s="29" t="str">
        <f>IF(Analysis!$I955="","",IF(Analysis!$I955="Drifting",Analysis!$F955,""))</f>
        <v/>
      </c>
      <c r="M955" s="29" t="str">
        <f>IF(Analysis!$I955="","",IF(Analysis!$I955="Embedded",Analysis!$H955,""))</f>
        <v/>
      </c>
      <c r="N955" s="29" t="str">
        <f>IF(Analysis!$I955="","",IF(Analysis!$I955="Loyal but shallow",Analysis!$H955,""))</f>
        <v/>
      </c>
      <c r="O955" s="29" t="str">
        <f>IF(Analysis!$I955="","",IF(Analysis!$I955="Project-driven",Analysis!$H955,""))</f>
        <v/>
      </c>
      <c r="P955" s="29" t="str">
        <f>IF(Analysis!$I955="","",IF(Analysis!$I955="Drifting",Analysis!$H955,""))</f>
        <v/>
      </c>
    </row>
    <row r="956" spans="1:16" x14ac:dyDescent="0.25">
      <c r="A956" s="29" t="str">
        <f>IF(Analysis!$I956="","",IF(Analysis!$I956="Embedded",Analysis!$D956,""))</f>
        <v/>
      </c>
      <c r="B956" s="29" t="str">
        <f>IF(Analysis!$I956="","",IF(Analysis!$I956="Loyal but shallow",Analysis!$D956,""))</f>
        <v/>
      </c>
      <c r="C956" s="29" t="str">
        <f>IF(Analysis!$I956="","",IF(Analysis!$I956="Project-driven",Analysis!$D956,""))</f>
        <v/>
      </c>
      <c r="D956" s="29" t="str">
        <f>IF(Analysis!$I956="","",IF(Analysis!$I956="Drifting",Analysis!$D956,""))</f>
        <v/>
      </c>
      <c r="E956" s="29" t="str">
        <f>IF(Analysis!$I956="","",IF(Analysis!$I956="Embedded",Analysis!$C956,""))</f>
        <v/>
      </c>
      <c r="F956" s="29" t="str">
        <f>IF(Analysis!$I956="","",IF(Analysis!$I956="Loyal but shallow",Analysis!$C956,""))</f>
        <v/>
      </c>
      <c r="G956" s="29" t="str">
        <f>IF(Analysis!$I956="","",IF(Analysis!$I956="Project-driven",Analysis!$C956,""))</f>
        <v/>
      </c>
      <c r="H956" s="29" t="str">
        <f>IF(Analysis!$I956="","",IF(Analysis!$I956="Drifting",Analysis!$C956,""))</f>
        <v/>
      </c>
      <c r="I956" s="29" t="str">
        <f>IF(Analysis!$I956="","",IF(Analysis!$I956="Embedded",Analysis!$F956,""))</f>
        <v/>
      </c>
      <c r="J956" s="29" t="str">
        <f>IF(Analysis!$I956="","",IF(Analysis!$I956="Loyal but shallow",Analysis!$F956,""))</f>
        <v/>
      </c>
      <c r="K956" s="29" t="str">
        <f>IF(Analysis!$I956="","",IF(Analysis!$I956="Project-driven",Analysis!$F956,""))</f>
        <v/>
      </c>
      <c r="L956" s="29" t="str">
        <f>IF(Analysis!$I956="","",IF(Analysis!$I956="Drifting",Analysis!$F956,""))</f>
        <v/>
      </c>
      <c r="M956" s="29" t="str">
        <f>IF(Analysis!$I956="","",IF(Analysis!$I956="Embedded",Analysis!$H956,""))</f>
        <v/>
      </c>
      <c r="N956" s="29" t="str">
        <f>IF(Analysis!$I956="","",IF(Analysis!$I956="Loyal but shallow",Analysis!$H956,""))</f>
        <v/>
      </c>
      <c r="O956" s="29" t="str">
        <f>IF(Analysis!$I956="","",IF(Analysis!$I956="Project-driven",Analysis!$H956,""))</f>
        <v/>
      </c>
      <c r="P956" s="29" t="str">
        <f>IF(Analysis!$I956="","",IF(Analysis!$I956="Drifting",Analysis!$H956,""))</f>
        <v/>
      </c>
    </row>
    <row r="957" spans="1:16" x14ac:dyDescent="0.25">
      <c r="A957" s="29" t="str">
        <f>IF(Analysis!$I957="","",IF(Analysis!$I957="Embedded",Analysis!$D957,""))</f>
        <v/>
      </c>
      <c r="B957" s="29" t="str">
        <f>IF(Analysis!$I957="","",IF(Analysis!$I957="Loyal but shallow",Analysis!$D957,""))</f>
        <v/>
      </c>
      <c r="C957" s="29" t="str">
        <f>IF(Analysis!$I957="","",IF(Analysis!$I957="Project-driven",Analysis!$D957,""))</f>
        <v/>
      </c>
      <c r="D957" s="29" t="str">
        <f>IF(Analysis!$I957="","",IF(Analysis!$I957="Drifting",Analysis!$D957,""))</f>
        <v/>
      </c>
      <c r="E957" s="29" t="str">
        <f>IF(Analysis!$I957="","",IF(Analysis!$I957="Embedded",Analysis!$C957,""))</f>
        <v/>
      </c>
      <c r="F957" s="29" t="str">
        <f>IF(Analysis!$I957="","",IF(Analysis!$I957="Loyal but shallow",Analysis!$C957,""))</f>
        <v/>
      </c>
      <c r="G957" s="29" t="str">
        <f>IF(Analysis!$I957="","",IF(Analysis!$I957="Project-driven",Analysis!$C957,""))</f>
        <v/>
      </c>
      <c r="H957" s="29" t="str">
        <f>IF(Analysis!$I957="","",IF(Analysis!$I957="Drifting",Analysis!$C957,""))</f>
        <v/>
      </c>
      <c r="I957" s="29" t="str">
        <f>IF(Analysis!$I957="","",IF(Analysis!$I957="Embedded",Analysis!$F957,""))</f>
        <v/>
      </c>
      <c r="J957" s="29" t="str">
        <f>IF(Analysis!$I957="","",IF(Analysis!$I957="Loyal but shallow",Analysis!$F957,""))</f>
        <v/>
      </c>
      <c r="K957" s="29" t="str">
        <f>IF(Analysis!$I957="","",IF(Analysis!$I957="Project-driven",Analysis!$F957,""))</f>
        <v/>
      </c>
      <c r="L957" s="29" t="str">
        <f>IF(Analysis!$I957="","",IF(Analysis!$I957="Drifting",Analysis!$F957,""))</f>
        <v/>
      </c>
      <c r="M957" s="29" t="str">
        <f>IF(Analysis!$I957="","",IF(Analysis!$I957="Embedded",Analysis!$H957,""))</f>
        <v/>
      </c>
      <c r="N957" s="29" t="str">
        <f>IF(Analysis!$I957="","",IF(Analysis!$I957="Loyal but shallow",Analysis!$H957,""))</f>
        <v/>
      </c>
      <c r="O957" s="29" t="str">
        <f>IF(Analysis!$I957="","",IF(Analysis!$I957="Project-driven",Analysis!$H957,""))</f>
        <v/>
      </c>
      <c r="P957" s="29" t="str">
        <f>IF(Analysis!$I957="","",IF(Analysis!$I957="Drifting",Analysis!$H957,""))</f>
        <v/>
      </c>
    </row>
    <row r="958" spans="1:16" x14ac:dyDescent="0.25">
      <c r="A958" s="29" t="str">
        <f>IF(Analysis!$I958="","",IF(Analysis!$I958="Embedded",Analysis!$D958,""))</f>
        <v/>
      </c>
      <c r="B958" s="29" t="str">
        <f>IF(Analysis!$I958="","",IF(Analysis!$I958="Loyal but shallow",Analysis!$D958,""))</f>
        <v/>
      </c>
      <c r="C958" s="29" t="str">
        <f>IF(Analysis!$I958="","",IF(Analysis!$I958="Project-driven",Analysis!$D958,""))</f>
        <v/>
      </c>
      <c r="D958" s="29" t="str">
        <f>IF(Analysis!$I958="","",IF(Analysis!$I958="Drifting",Analysis!$D958,""))</f>
        <v/>
      </c>
      <c r="E958" s="29" t="str">
        <f>IF(Analysis!$I958="","",IF(Analysis!$I958="Embedded",Analysis!$C958,""))</f>
        <v/>
      </c>
      <c r="F958" s="29" t="str">
        <f>IF(Analysis!$I958="","",IF(Analysis!$I958="Loyal but shallow",Analysis!$C958,""))</f>
        <v/>
      </c>
      <c r="G958" s="29" t="str">
        <f>IF(Analysis!$I958="","",IF(Analysis!$I958="Project-driven",Analysis!$C958,""))</f>
        <v/>
      </c>
      <c r="H958" s="29" t="str">
        <f>IF(Analysis!$I958="","",IF(Analysis!$I958="Drifting",Analysis!$C958,""))</f>
        <v/>
      </c>
      <c r="I958" s="29" t="str">
        <f>IF(Analysis!$I958="","",IF(Analysis!$I958="Embedded",Analysis!$F958,""))</f>
        <v/>
      </c>
      <c r="J958" s="29" t="str">
        <f>IF(Analysis!$I958="","",IF(Analysis!$I958="Loyal but shallow",Analysis!$F958,""))</f>
        <v/>
      </c>
      <c r="K958" s="29" t="str">
        <f>IF(Analysis!$I958="","",IF(Analysis!$I958="Project-driven",Analysis!$F958,""))</f>
        <v/>
      </c>
      <c r="L958" s="29" t="str">
        <f>IF(Analysis!$I958="","",IF(Analysis!$I958="Drifting",Analysis!$F958,""))</f>
        <v/>
      </c>
      <c r="M958" s="29" t="str">
        <f>IF(Analysis!$I958="","",IF(Analysis!$I958="Embedded",Analysis!$H958,""))</f>
        <v/>
      </c>
      <c r="N958" s="29" t="str">
        <f>IF(Analysis!$I958="","",IF(Analysis!$I958="Loyal but shallow",Analysis!$H958,""))</f>
        <v/>
      </c>
      <c r="O958" s="29" t="str">
        <f>IF(Analysis!$I958="","",IF(Analysis!$I958="Project-driven",Analysis!$H958,""))</f>
        <v/>
      </c>
      <c r="P958" s="29" t="str">
        <f>IF(Analysis!$I958="","",IF(Analysis!$I958="Drifting",Analysis!$H958,""))</f>
        <v/>
      </c>
    </row>
    <row r="959" spans="1:16" x14ac:dyDescent="0.25">
      <c r="A959" s="29" t="str">
        <f>IF(Analysis!$I959="","",IF(Analysis!$I959="Embedded",Analysis!$D959,""))</f>
        <v/>
      </c>
      <c r="B959" s="29" t="str">
        <f>IF(Analysis!$I959="","",IF(Analysis!$I959="Loyal but shallow",Analysis!$D959,""))</f>
        <v/>
      </c>
      <c r="C959" s="29" t="str">
        <f>IF(Analysis!$I959="","",IF(Analysis!$I959="Project-driven",Analysis!$D959,""))</f>
        <v/>
      </c>
      <c r="D959" s="29" t="str">
        <f>IF(Analysis!$I959="","",IF(Analysis!$I959="Drifting",Analysis!$D959,""))</f>
        <v/>
      </c>
      <c r="E959" s="29" t="str">
        <f>IF(Analysis!$I959="","",IF(Analysis!$I959="Embedded",Analysis!$C959,""))</f>
        <v/>
      </c>
      <c r="F959" s="29" t="str">
        <f>IF(Analysis!$I959="","",IF(Analysis!$I959="Loyal but shallow",Analysis!$C959,""))</f>
        <v/>
      </c>
      <c r="G959" s="29" t="str">
        <f>IF(Analysis!$I959="","",IF(Analysis!$I959="Project-driven",Analysis!$C959,""))</f>
        <v/>
      </c>
      <c r="H959" s="29" t="str">
        <f>IF(Analysis!$I959="","",IF(Analysis!$I959="Drifting",Analysis!$C959,""))</f>
        <v/>
      </c>
      <c r="I959" s="29" t="str">
        <f>IF(Analysis!$I959="","",IF(Analysis!$I959="Embedded",Analysis!$F959,""))</f>
        <v/>
      </c>
      <c r="J959" s="29" t="str">
        <f>IF(Analysis!$I959="","",IF(Analysis!$I959="Loyal but shallow",Analysis!$F959,""))</f>
        <v/>
      </c>
      <c r="K959" s="29" t="str">
        <f>IF(Analysis!$I959="","",IF(Analysis!$I959="Project-driven",Analysis!$F959,""))</f>
        <v/>
      </c>
      <c r="L959" s="29" t="str">
        <f>IF(Analysis!$I959="","",IF(Analysis!$I959="Drifting",Analysis!$F959,""))</f>
        <v/>
      </c>
      <c r="M959" s="29" t="str">
        <f>IF(Analysis!$I959="","",IF(Analysis!$I959="Embedded",Analysis!$H959,""))</f>
        <v/>
      </c>
      <c r="N959" s="29" t="str">
        <f>IF(Analysis!$I959="","",IF(Analysis!$I959="Loyal but shallow",Analysis!$H959,""))</f>
        <v/>
      </c>
      <c r="O959" s="29" t="str">
        <f>IF(Analysis!$I959="","",IF(Analysis!$I959="Project-driven",Analysis!$H959,""))</f>
        <v/>
      </c>
      <c r="P959" s="29" t="str">
        <f>IF(Analysis!$I959="","",IF(Analysis!$I959="Drifting",Analysis!$H959,""))</f>
        <v/>
      </c>
    </row>
    <row r="960" spans="1:16" x14ac:dyDescent="0.25">
      <c r="A960" s="29" t="str">
        <f>IF(Analysis!$I960="","",IF(Analysis!$I960="Embedded",Analysis!$D960,""))</f>
        <v/>
      </c>
      <c r="B960" s="29" t="str">
        <f>IF(Analysis!$I960="","",IF(Analysis!$I960="Loyal but shallow",Analysis!$D960,""))</f>
        <v/>
      </c>
      <c r="C960" s="29" t="str">
        <f>IF(Analysis!$I960="","",IF(Analysis!$I960="Project-driven",Analysis!$D960,""))</f>
        <v/>
      </c>
      <c r="D960" s="29" t="str">
        <f>IF(Analysis!$I960="","",IF(Analysis!$I960="Drifting",Analysis!$D960,""))</f>
        <v/>
      </c>
      <c r="E960" s="29" t="str">
        <f>IF(Analysis!$I960="","",IF(Analysis!$I960="Embedded",Analysis!$C960,""))</f>
        <v/>
      </c>
      <c r="F960" s="29" t="str">
        <f>IF(Analysis!$I960="","",IF(Analysis!$I960="Loyal but shallow",Analysis!$C960,""))</f>
        <v/>
      </c>
      <c r="G960" s="29" t="str">
        <f>IF(Analysis!$I960="","",IF(Analysis!$I960="Project-driven",Analysis!$C960,""))</f>
        <v/>
      </c>
      <c r="H960" s="29" t="str">
        <f>IF(Analysis!$I960="","",IF(Analysis!$I960="Drifting",Analysis!$C960,""))</f>
        <v/>
      </c>
      <c r="I960" s="29" t="str">
        <f>IF(Analysis!$I960="","",IF(Analysis!$I960="Embedded",Analysis!$F960,""))</f>
        <v/>
      </c>
      <c r="J960" s="29" t="str">
        <f>IF(Analysis!$I960="","",IF(Analysis!$I960="Loyal but shallow",Analysis!$F960,""))</f>
        <v/>
      </c>
      <c r="K960" s="29" t="str">
        <f>IF(Analysis!$I960="","",IF(Analysis!$I960="Project-driven",Analysis!$F960,""))</f>
        <v/>
      </c>
      <c r="L960" s="29" t="str">
        <f>IF(Analysis!$I960="","",IF(Analysis!$I960="Drifting",Analysis!$F960,""))</f>
        <v/>
      </c>
      <c r="M960" s="29" t="str">
        <f>IF(Analysis!$I960="","",IF(Analysis!$I960="Embedded",Analysis!$H960,""))</f>
        <v/>
      </c>
      <c r="N960" s="29" t="str">
        <f>IF(Analysis!$I960="","",IF(Analysis!$I960="Loyal but shallow",Analysis!$H960,""))</f>
        <v/>
      </c>
      <c r="O960" s="29" t="str">
        <f>IF(Analysis!$I960="","",IF(Analysis!$I960="Project-driven",Analysis!$H960,""))</f>
        <v/>
      </c>
      <c r="P960" s="29" t="str">
        <f>IF(Analysis!$I960="","",IF(Analysis!$I960="Drifting",Analysis!$H960,""))</f>
        <v/>
      </c>
    </row>
    <row r="961" spans="1:16" x14ac:dyDescent="0.25">
      <c r="A961" s="29" t="str">
        <f>IF(Analysis!$I961="","",IF(Analysis!$I961="Embedded",Analysis!$D961,""))</f>
        <v/>
      </c>
      <c r="B961" s="29" t="str">
        <f>IF(Analysis!$I961="","",IF(Analysis!$I961="Loyal but shallow",Analysis!$D961,""))</f>
        <v/>
      </c>
      <c r="C961" s="29" t="str">
        <f>IF(Analysis!$I961="","",IF(Analysis!$I961="Project-driven",Analysis!$D961,""))</f>
        <v/>
      </c>
      <c r="D961" s="29" t="str">
        <f>IF(Analysis!$I961="","",IF(Analysis!$I961="Drifting",Analysis!$D961,""))</f>
        <v/>
      </c>
      <c r="E961" s="29" t="str">
        <f>IF(Analysis!$I961="","",IF(Analysis!$I961="Embedded",Analysis!$C961,""))</f>
        <v/>
      </c>
      <c r="F961" s="29" t="str">
        <f>IF(Analysis!$I961="","",IF(Analysis!$I961="Loyal but shallow",Analysis!$C961,""))</f>
        <v/>
      </c>
      <c r="G961" s="29" t="str">
        <f>IF(Analysis!$I961="","",IF(Analysis!$I961="Project-driven",Analysis!$C961,""))</f>
        <v/>
      </c>
      <c r="H961" s="29" t="str">
        <f>IF(Analysis!$I961="","",IF(Analysis!$I961="Drifting",Analysis!$C961,""))</f>
        <v/>
      </c>
      <c r="I961" s="29" t="str">
        <f>IF(Analysis!$I961="","",IF(Analysis!$I961="Embedded",Analysis!$F961,""))</f>
        <v/>
      </c>
      <c r="J961" s="29" t="str">
        <f>IF(Analysis!$I961="","",IF(Analysis!$I961="Loyal but shallow",Analysis!$F961,""))</f>
        <v/>
      </c>
      <c r="K961" s="29" t="str">
        <f>IF(Analysis!$I961="","",IF(Analysis!$I961="Project-driven",Analysis!$F961,""))</f>
        <v/>
      </c>
      <c r="L961" s="29" t="str">
        <f>IF(Analysis!$I961="","",IF(Analysis!$I961="Drifting",Analysis!$F961,""))</f>
        <v/>
      </c>
      <c r="M961" s="29" t="str">
        <f>IF(Analysis!$I961="","",IF(Analysis!$I961="Embedded",Analysis!$H961,""))</f>
        <v/>
      </c>
      <c r="N961" s="29" t="str">
        <f>IF(Analysis!$I961="","",IF(Analysis!$I961="Loyal but shallow",Analysis!$H961,""))</f>
        <v/>
      </c>
      <c r="O961" s="29" t="str">
        <f>IF(Analysis!$I961="","",IF(Analysis!$I961="Project-driven",Analysis!$H961,""))</f>
        <v/>
      </c>
      <c r="P961" s="29" t="str">
        <f>IF(Analysis!$I961="","",IF(Analysis!$I961="Drifting",Analysis!$H961,""))</f>
        <v/>
      </c>
    </row>
    <row r="962" spans="1:16" x14ac:dyDescent="0.25">
      <c r="A962" s="29" t="str">
        <f>IF(Analysis!$I962="","",IF(Analysis!$I962="Embedded",Analysis!$D962,""))</f>
        <v/>
      </c>
      <c r="B962" s="29" t="str">
        <f>IF(Analysis!$I962="","",IF(Analysis!$I962="Loyal but shallow",Analysis!$D962,""))</f>
        <v/>
      </c>
      <c r="C962" s="29" t="str">
        <f>IF(Analysis!$I962="","",IF(Analysis!$I962="Project-driven",Analysis!$D962,""))</f>
        <v/>
      </c>
      <c r="D962" s="29" t="str">
        <f>IF(Analysis!$I962="","",IF(Analysis!$I962="Drifting",Analysis!$D962,""))</f>
        <v/>
      </c>
      <c r="E962" s="29" t="str">
        <f>IF(Analysis!$I962="","",IF(Analysis!$I962="Embedded",Analysis!$C962,""))</f>
        <v/>
      </c>
      <c r="F962" s="29" t="str">
        <f>IF(Analysis!$I962="","",IF(Analysis!$I962="Loyal but shallow",Analysis!$C962,""))</f>
        <v/>
      </c>
      <c r="G962" s="29" t="str">
        <f>IF(Analysis!$I962="","",IF(Analysis!$I962="Project-driven",Analysis!$C962,""))</f>
        <v/>
      </c>
      <c r="H962" s="29" t="str">
        <f>IF(Analysis!$I962="","",IF(Analysis!$I962="Drifting",Analysis!$C962,""))</f>
        <v/>
      </c>
      <c r="I962" s="29" t="str">
        <f>IF(Analysis!$I962="","",IF(Analysis!$I962="Embedded",Analysis!$F962,""))</f>
        <v/>
      </c>
      <c r="J962" s="29" t="str">
        <f>IF(Analysis!$I962="","",IF(Analysis!$I962="Loyal but shallow",Analysis!$F962,""))</f>
        <v/>
      </c>
      <c r="K962" s="29" t="str">
        <f>IF(Analysis!$I962="","",IF(Analysis!$I962="Project-driven",Analysis!$F962,""))</f>
        <v/>
      </c>
      <c r="L962" s="29" t="str">
        <f>IF(Analysis!$I962="","",IF(Analysis!$I962="Drifting",Analysis!$F962,""))</f>
        <v/>
      </c>
      <c r="M962" s="29" t="str">
        <f>IF(Analysis!$I962="","",IF(Analysis!$I962="Embedded",Analysis!$H962,""))</f>
        <v/>
      </c>
      <c r="N962" s="29" t="str">
        <f>IF(Analysis!$I962="","",IF(Analysis!$I962="Loyal but shallow",Analysis!$H962,""))</f>
        <v/>
      </c>
      <c r="O962" s="29" t="str">
        <f>IF(Analysis!$I962="","",IF(Analysis!$I962="Project-driven",Analysis!$H962,""))</f>
        <v/>
      </c>
      <c r="P962" s="29" t="str">
        <f>IF(Analysis!$I962="","",IF(Analysis!$I962="Drifting",Analysis!$H962,""))</f>
        <v/>
      </c>
    </row>
    <row r="963" spans="1:16" x14ac:dyDescent="0.25">
      <c r="A963" s="29" t="str">
        <f>IF(Analysis!$I963="","",IF(Analysis!$I963="Embedded",Analysis!$D963,""))</f>
        <v/>
      </c>
      <c r="B963" s="29" t="str">
        <f>IF(Analysis!$I963="","",IF(Analysis!$I963="Loyal but shallow",Analysis!$D963,""))</f>
        <v/>
      </c>
      <c r="C963" s="29" t="str">
        <f>IF(Analysis!$I963="","",IF(Analysis!$I963="Project-driven",Analysis!$D963,""))</f>
        <v/>
      </c>
      <c r="D963" s="29" t="str">
        <f>IF(Analysis!$I963="","",IF(Analysis!$I963="Drifting",Analysis!$D963,""))</f>
        <v/>
      </c>
      <c r="E963" s="29" t="str">
        <f>IF(Analysis!$I963="","",IF(Analysis!$I963="Embedded",Analysis!$C963,""))</f>
        <v/>
      </c>
      <c r="F963" s="29" t="str">
        <f>IF(Analysis!$I963="","",IF(Analysis!$I963="Loyal but shallow",Analysis!$C963,""))</f>
        <v/>
      </c>
      <c r="G963" s="29" t="str">
        <f>IF(Analysis!$I963="","",IF(Analysis!$I963="Project-driven",Analysis!$C963,""))</f>
        <v/>
      </c>
      <c r="H963" s="29" t="str">
        <f>IF(Analysis!$I963="","",IF(Analysis!$I963="Drifting",Analysis!$C963,""))</f>
        <v/>
      </c>
      <c r="I963" s="29" t="str">
        <f>IF(Analysis!$I963="","",IF(Analysis!$I963="Embedded",Analysis!$F963,""))</f>
        <v/>
      </c>
      <c r="J963" s="29" t="str">
        <f>IF(Analysis!$I963="","",IF(Analysis!$I963="Loyal but shallow",Analysis!$F963,""))</f>
        <v/>
      </c>
      <c r="K963" s="29" t="str">
        <f>IF(Analysis!$I963="","",IF(Analysis!$I963="Project-driven",Analysis!$F963,""))</f>
        <v/>
      </c>
      <c r="L963" s="29" t="str">
        <f>IF(Analysis!$I963="","",IF(Analysis!$I963="Drifting",Analysis!$F963,""))</f>
        <v/>
      </c>
      <c r="M963" s="29" t="str">
        <f>IF(Analysis!$I963="","",IF(Analysis!$I963="Embedded",Analysis!$H963,""))</f>
        <v/>
      </c>
      <c r="N963" s="29" t="str">
        <f>IF(Analysis!$I963="","",IF(Analysis!$I963="Loyal but shallow",Analysis!$H963,""))</f>
        <v/>
      </c>
      <c r="O963" s="29" t="str">
        <f>IF(Analysis!$I963="","",IF(Analysis!$I963="Project-driven",Analysis!$H963,""))</f>
        <v/>
      </c>
      <c r="P963" s="29" t="str">
        <f>IF(Analysis!$I963="","",IF(Analysis!$I963="Drifting",Analysis!$H963,""))</f>
        <v/>
      </c>
    </row>
    <row r="964" spans="1:16" x14ac:dyDescent="0.25">
      <c r="A964" s="29" t="str">
        <f>IF(Analysis!$I964="","",IF(Analysis!$I964="Embedded",Analysis!$D964,""))</f>
        <v/>
      </c>
      <c r="B964" s="29" t="str">
        <f>IF(Analysis!$I964="","",IF(Analysis!$I964="Loyal but shallow",Analysis!$D964,""))</f>
        <v/>
      </c>
      <c r="C964" s="29" t="str">
        <f>IF(Analysis!$I964="","",IF(Analysis!$I964="Project-driven",Analysis!$D964,""))</f>
        <v/>
      </c>
      <c r="D964" s="29" t="str">
        <f>IF(Analysis!$I964="","",IF(Analysis!$I964="Drifting",Analysis!$D964,""))</f>
        <v/>
      </c>
      <c r="E964" s="29" t="str">
        <f>IF(Analysis!$I964="","",IF(Analysis!$I964="Embedded",Analysis!$C964,""))</f>
        <v/>
      </c>
      <c r="F964" s="29" t="str">
        <f>IF(Analysis!$I964="","",IF(Analysis!$I964="Loyal but shallow",Analysis!$C964,""))</f>
        <v/>
      </c>
      <c r="G964" s="29" t="str">
        <f>IF(Analysis!$I964="","",IF(Analysis!$I964="Project-driven",Analysis!$C964,""))</f>
        <v/>
      </c>
      <c r="H964" s="29" t="str">
        <f>IF(Analysis!$I964="","",IF(Analysis!$I964="Drifting",Analysis!$C964,""))</f>
        <v/>
      </c>
      <c r="I964" s="29" t="str">
        <f>IF(Analysis!$I964="","",IF(Analysis!$I964="Embedded",Analysis!$F964,""))</f>
        <v/>
      </c>
      <c r="J964" s="29" t="str">
        <f>IF(Analysis!$I964="","",IF(Analysis!$I964="Loyal but shallow",Analysis!$F964,""))</f>
        <v/>
      </c>
      <c r="K964" s="29" t="str">
        <f>IF(Analysis!$I964="","",IF(Analysis!$I964="Project-driven",Analysis!$F964,""))</f>
        <v/>
      </c>
      <c r="L964" s="29" t="str">
        <f>IF(Analysis!$I964="","",IF(Analysis!$I964="Drifting",Analysis!$F964,""))</f>
        <v/>
      </c>
      <c r="M964" s="29" t="str">
        <f>IF(Analysis!$I964="","",IF(Analysis!$I964="Embedded",Analysis!$H964,""))</f>
        <v/>
      </c>
      <c r="N964" s="29" t="str">
        <f>IF(Analysis!$I964="","",IF(Analysis!$I964="Loyal but shallow",Analysis!$H964,""))</f>
        <v/>
      </c>
      <c r="O964" s="29" t="str">
        <f>IF(Analysis!$I964="","",IF(Analysis!$I964="Project-driven",Analysis!$H964,""))</f>
        <v/>
      </c>
      <c r="P964" s="29" t="str">
        <f>IF(Analysis!$I964="","",IF(Analysis!$I964="Drifting",Analysis!$H964,""))</f>
        <v/>
      </c>
    </row>
    <row r="965" spans="1:16" x14ac:dyDescent="0.25">
      <c r="A965" s="29" t="str">
        <f>IF(Analysis!$I965="","",IF(Analysis!$I965="Embedded",Analysis!$D965,""))</f>
        <v/>
      </c>
      <c r="B965" s="29" t="str">
        <f>IF(Analysis!$I965="","",IF(Analysis!$I965="Loyal but shallow",Analysis!$D965,""))</f>
        <v/>
      </c>
      <c r="C965" s="29" t="str">
        <f>IF(Analysis!$I965="","",IF(Analysis!$I965="Project-driven",Analysis!$D965,""))</f>
        <v/>
      </c>
      <c r="D965" s="29" t="str">
        <f>IF(Analysis!$I965="","",IF(Analysis!$I965="Drifting",Analysis!$D965,""))</f>
        <v/>
      </c>
      <c r="E965" s="29" t="str">
        <f>IF(Analysis!$I965="","",IF(Analysis!$I965="Embedded",Analysis!$C965,""))</f>
        <v/>
      </c>
      <c r="F965" s="29" t="str">
        <f>IF(Analysis!$I965="","",IF(Analysis!$I965="Loyal but shallow",Analysis!$C965,""))</f>
        <v/>
      </c>
      <c r="G965" s="29" t="str">
        <f>IF(Analysis!$I965="","",IF(Analysis!$I965="Project-driven",Analysis!$C965,""))</f>
        <v/>
      </c>
      <c r="H965" s="29" t="str">
        <f>IF(Analysis!$I965="","",IF(Analysis!$I965="Drifting",Analysis!$C965,""))</f>
        <v/>
      </c>
      <c r="I965" s="29" t="str">
        <f>IF(Analysis!$I965="","",IF(Analysis!$I965="Embedded",Analysis!$F965,""))</f>
        <v/>
      </c>
      <c r="J965" s="29" t="str">
        <f>IF(Analysis!$I965="","",IF(Analysis!$I965="Loyal but shallow",Analysis!$F965,""))</f>
        <v/>
      </c>
      <c r="K965" s="29" t="str">
        <f>IF(Analysis!$I965="","",IF(Analysis!$I965="Project-driven",Analysis!$F965,""))</f>
        <v/>
      </c>
      <c r="L965" s="29" t="str">
        <f>IF(Analysis!$I965="","",IF(Analysis!$I965="Drifting",Analysis!$F965,""))</f>
        <v/>
      </c>
      <c r="M965" s="29" t="str">
        <f>IF(Analysis!$I965="","",IF(Analysis!$I965="Embedded",Analysis!$H965,""))</f>
        <v/>
      </c>
      <c r="N965" s="29" t="str">
        <f>IF(Analysis!$I965="","",IF(Analysis!$I965="Loyal but shallow",Analysis!$H965,""))</f>
        <v/>
      </c>
      <c r="O965" s="29" t="str">
        <f>IF(Analysis!$I965="","",IF(Analysis!$I965="Project-driven",Analysis!$H965,""))</f>
        <v/>
      </c>
      <c r="P965" s="29" t="str">
        <f>IF(Analysis!$I965="","",IF(Analysis!$I965="Drifting",Analysis!$H965,""))</f>
        <v/>
      </c>
    </row>
    <row r="966" spans="1:16" x14ac:dyDescent="0.25">
      <c r="A966" s="29" t="str">
        <f>IF(Analysis!$I966="","",IF(Analysis!$I966="Embedded",Analysis!$D966,""))</f>
        <v/>
      </c>
      <c r="B966" s="29" t="str">
        <f>IF(Analysis!$I966="","",IF(Analysis!$I966="Loyal but shallow",Analysis!$D966,""))</f>
        <v/>
      </c>
      <c r="C966" s="29" t="str">
        <f>IF(Analysis!$I966="","",IF(Analysis!$I966="Project-driven",Analysis!$D966,""))</f>
        <v/>
      </c>
      <c r="D966" s="29" t="str">
        <f>IF(Analysis!$I966="","",IF(Analysis!$I966="Drifting",Analysis!$D966,""))</f>
        <v/>
      </c>
      <c r="E966" s="29" t="str">
        <f>IF(Analysis!$I966="","",IF(Analysis!$I966="Embedded",Analysis!$C966,""))</f>
        <v/>
      </c>
      <c r="F966" s="29" t="str">
        <f>IF(Analysis!$I966="","",IF(Analysis!$I966="Loyal but shallow",Analysis!$C966,""))</f>
        <v/>
      </c>
      <c r="G966" s="29" t="str">
        <f>IF(Analysis!$I966="","",IF(Analysis!$I966="Project-driven",Analysis!$C966,""))</f>
        <v/>
      </c>
      <c r="H966" s="29" t="str">
        <f>IF(Analysis!$I966="","",IF(Analysis!$I966="Drifting",Analysis!$C966,""))</f>
        <v/>
      </c>
      <c r="I966" s="29" t="str">
        <f>IF(Analysis!$I966="","",IF(Analysis!$I966="Embedded",Analysis!$F966,""))</f>
        <v/>
      </c>
      <c r="J966" s="29" t="str">
        <f>IF(Analysis!$I966="","",IF(Analysis!$I966="Loyal but shallow",Analysis!$F966,""))</f>
        <v/>
      </c>
      <c r="K966" s="29" t="str">
        <f>IF(Analysis!$I966="","",IF(Analysis!$I966="Project-driven",Analysis!$F966,""))</f>
        <v/>
      </c>
      <c r="L966" s="29" t="str">
        <f>IF(Analysis!$I966="","",IF(Analysis!$I966="Drifting",Analysis!$F966,""))</f>
        <v/>
      </c>
      <c r="M966" s="29" t="str">
        <f>IF(Analysis!$I966="","",IF(Analysis!$I966="Embedded",Analysis!$H966,""))</f>
        <v/>
      </c>
      <c r="N966" s="29" t="str">
        <f>IF(Analysis!$I966="","",IF(Analysis!$I966="Loyal but shallow",Analysis!$H966,""))</f>
        <v/>
      </c>
      <c r="O966" s="29" t="str">
        <f>IF(Analysis!$I966="","",IF(Analysis!$I966="Project-driven",Analysis!$H966,""))</f>
        <v/>
      </c>
      <c r="P966" s="29" t="str">
        <f>IF(Analysis!$I966="","",IF(Analysis!$I966="Drifting",Analysis!$H966,""))</f>
        <v/>
      </c>
    </row>
    <row r="967" spans="1:16" x14ac:dyDescent="0.25">
      <c r="A967" s="29" t="str">
        <f>IF(Analysis!$I967="","",IF(Analysis!$I967="Embedded",Analysis!$D967,""))</f>
        <v/>
      </c>
      <c r="B967" s="29" t="str">
        <f>IF(Analysis!$I967="","",IF(Analysis!$I967="Loyal but shallow",Analysis!$D967,""))</f>
        <v/>
      </c>
      <c r="C967" s="29" t="str">
        <f>IF(Analysis!$I967="","",IF(Analysis!$I967="Project-driven",Analysis!$D967,""))</f>
        <v/>
      </c>
      <c r="D967" s="29" t="str">
        <f>IF(Analysis!$I967="","",IF(Analysis!$I967="Drifting",Analysis!$D967,""))</f>
        <v/>
      </c>
      <c r="E967" s="29" t="str">
        <f>IF(Analysis!$I967="","",IF(Analysis!$I967="Embedded",Analysis!$C967,""))</f>
        <v/>
      </c>
      <c r="F967" s="29" t="str">
        <f>IF(Analysis!$I967="","",IF(Analysis!$I967="Loyal but shallow",Analysis!$C967,""))</f>
        <v/>
      </c>
      <c r="G967" s="29" t="str">
        <f>IF(Analysis!$I967="","",IF(Analysis!$I967="Project-driven",Analysis!$C967,""))</f>
        <v/>
      </c>
      <c r="H967" s="29" t="str">
        <f>IF(Analysis!$I967="","",IF(Analysis!$I967="Drifting",Analysis!$C967,""))</f>
        <v/>
      </c>
      <c r="I967" s="29" t="str">
        <f>IF(Analysis!$I967="","",IF(Analysis!$I967="Embedded",Analysis!$F967,""))</f>
        <v/>
      </c>
      <c r="J967" s="29" t="str">
        <f>IF(Analysis!$I967="","",IF(Analysis!$I967="Loyal but shallow",Analysis!$F967,""))</f>
        <v/>
      </c>
      <c r="K967" s="29" t="str">
        <f>IF(Analysis!$I967="","",IF(Analysis!$I967="Project-driven",Analysis!$F967,""))</f>
        <v/>
      </c>
      <c r="L967" s="29" t="str">
        <f>IF(Analysis!$I967="","",IF(Analysis!$I967="Drifting",Analysis!$F967,""))</f>
        <v/>
      </c>
      <c r="M967" s="29" t="str">
        <f>IF(Analysis!$I967="","",IF(Analysis!$I967="Embedded",Analysis!$H967,""))</f>
        <v/>
      </c>
      <c r="N967" s="29" t="str">
        <f>IF(Analysis!$I967="","",IF(Analysis!$I967="Loyal but shallow",Analysis!$H967,""))</f>
        <v/>
      </c>
      <c r="O967" s="29" t="str">
        <f>IF(Analysis!$I967="","",IF(Analysis!$I967="Project-driven",Analysis!$H967,""))</f>
        <v/>
      </c>
      <c r="P967" s="29" t="str">
        <f>IF(Analysis!$I967="","",IF(Analysis!$I967="Drifting",Analysis!$H967,""))</f>
        <v/>
      </c>
    </row>
    <row r="968" spans="1:16" x14ac:dyDescent="0.25">
      <c r="A968" s="29" t="str">
        <f>IF(Analysis!$I968="","",IF(Analysis!$I968="Embedded",Analysis!$D968,""))</f>
        <v/>
      </c>
      <c r="B968" s="29" t="str">
        <f>IF(Analysis!$I968="","",IF(Analysis!$I968="Loyal but shallow",Analysis!$D968,""))</f>
        <v/>
      </c>
      <c r="C968" s="29" t="str">
        <f>IF(Analysis!$I968="","",IF(Analysis!$I968="Project-driven",Analysis!$D968,""))</f>
        <v/>
      </c>
      <c r="D968" s="29" t="str">
        <f>IF(Analysis!$I968="","",IF(Analysis!$I968="Drifting",Analysis!$D968,""))</f>
        <v/>
      </c>
      <c r="E968" s="29" t="str">
        <f>IF(Analysis!$I968="","",IF(Analysis!$I968="Embedded",Analysis!$C968,""))</f>
        <v/>
      </c>
      <c r="F968" s="29" t="str">
        <f>IF(Analysis!$I968="","",IF(Analysis!$I968="Loyal but shallow",Analysis!$C968,""))</f>
        <v/>
      </c>
      <c r="G968" s="29" t="str">
        <f>IF(Analysis!$I968="","",IF(Analysis!$I968="Project-driven",Analysis!$C968,""))</f>
        <v/>
      </c>
      <c r="H968" s="29" t="str">
        <f>IF(Analysis!$I968="","",IF(Analysis!$I968="Drifting",Analysis!$C968,""))</f>
        <v/>
      </c>
      <c r="I968" s="29" t="str">
        <f>IF(Analysis!$I968="","",IF(Analysis!$I968="Embedded",Analysis!$F968,""))</f>
        <v/>
      </c>
      <c r="J968" s="29" t="str">
        <f>IF(Analysis!$I968="","",IF(Analysis!$I968="Loyal but shallow",Analysis!$F968,""))</f>
        <v/>
      </c>
      <c r="K968" s="29" t="str">
        <f>IF(Analysis!$I968="","",IF(Analysis!$I968="Project-driven",Analysis!$F968,""))</f>
        <v/>
      </c>
      <c r="L968" s="29" t="str">
        <f>IF(Analysis!$I968="","",IF(Analysis!$I968="Drifting",Analysis!$F968,""))</f>
        <v/>
      </c>
      <c r="M968" s="29" t="str">
        <f>IF(Analysis!$I968="","",IF(Analysis!$I968="Embedded",Analysis!$H968,""))</f>
        <v/>
      </c>
      <c r="N968" s="29" t="str">
        <f>IF(Analysis!$I968="","",IF(Analysis!$I968="Loyal but shallow",Analysis!$H968,""))</f>
        <v/>
      </c>
      <c r="O968" s="29" t="str">
        <f>IF(Analysis!$I968="","",IF(Analysis!$I968="Project-driven",Analysis!$H968,""))</f>
        <v/>
      </c>
      <c r="P968" s="29" t="str">
        <f>IF(Analysis!$I968="","",IF(Analysis!$I968="Drifting",Analysis!$H968,""))</f>
        <v/>
      </c>
    </row>
    <row r="969" spans="1:16" x14ac:dyDescent="0.25">
      <c r="A969" s="29" t="str">
        <f>IF(Analysis!$I969="","",IF(Analysis!$I969="Embedded",Analysis!$D969,""))</f>
        <v/>
      </c>
      <c r="B969" s="29" t="str">
        <f>IF(Analysis!$I969="","",IF(Analysis!$I969="Loyal but shallow",Analysis!$D969,""))</f>
        <v/>
      </c>
      <c r="C969" s="29" t="str">
        <f>IF(Analysis!$I969="","",IF(Analysis!$I969="Project-driven",Analysis!$D969,""))</f>
        <v/>
      </c>
      <c r="D969" s="29" t="str">
        <f>IF(Analysis!$I969="","",IF(Analysis!$I969="Drifting",Analysis!$D969,""))</f>
        <v/>
      </c>
      <c r="E969" s="29" t="str">
        <f>IF(Analysis!$I969="","",IF(Analysis!$I969="Embedded",Analysis!$C969,""))</f>
        <v/>
      </c>
      <c r="F969" s="29" t="str">
        <f>IF(Analysis!$I969="","",IF(Analysis!$I969="Loyal but shallow",Analysis!$C969,""))</f>
        <v/>
      </c>
      <c r="G969" s="29" t="str">
        <f>IF(Analysis!$I969="","",IF(Analysis!$I969="Project-driven",Analysis!$C969,""))</f>
        <v/>
      </c>
      <c r="H969" s="29" t="str">
        <f>IF(Analysis!$I969="","",IF(Analysis!$I969="Drifting",Analysis!$C969,""))</f>
        <v/>
      </c>
      <c r="I969" s="29" t="str">
        <f>IF(Analysis!$I969="","",IF(Analysis!$I969="Embedded",Analysis!$F969,""))</f>
        <v/>
      </c>
      <c r="J969" s="29" t="str">
        <f>IF(Analysis!$I969="","",IF(Analysis!$I969="Loyal but shallow",Analysis!$F969,""))</f>
        <v/>
      </c>
      <c r="K969" s="29" t="str">
        <f>IF(Analysis!$I969="","",IF(Analysis!$I969="Project-driven",Analysis!$F969,""))</f>
        <v/>
      </c>
      <c r="L969" s="29" t="str">
        <f>IF(Analysis!$I969="","",IF(Analysis!$I969="Drifting",Analysis!$F969,""))</f>
        <v/>
      </c>
      <c r="M969" s="29" t="str">
        <f>IF(Analysis!$I969="","",IF(Analysis!$I969="Embedded",Analysis!$H969,""))</f>
        <v/>
      </c>
      <c r="N969" s="29" t="str">
        <f>IF(Analysis!$I969="","",IF(Analysis!$I969="Loyal but shallow",Analysis!$H969,""))</f>
        <v/>
      </c>
      <c r="O969" s="29" t="str">
        <f>IF(Analysis!$I969="","",IF(Analysis!$I969="Project-driven",Analysis!$H969,""))</f>
        <v/>
      </c>
      <c r="P969" s="29" t="str">
        <f>IF(Analysis!$I969="","",IF(Analysis!$I969="Drifting",Analysis!$H969,""))</f>
        <v/>
      </c>
    </row>
    <row r="970" spans="1:16" x14ac:dyDescent="0.25">
      <c r="A970" s="29" t="str">
        <f>IF(Analysis!$I970="","",IF(Analysis!$I970="Embedded",Analysis!$D970,""))</f>
        <v/>
      </c>
      <c r="B970" s="29" t="str">
        <f>IF(Analysis!$I970="","",IF(Analysis!$I970="Loyal but shallow",Analysis!$D970,""))</f>
        <v/>
      </c>
      <c r="C970" s="29" t="str">
        <f>IF(Analysis!$I970="","",IF(Analysis!$I970="Project-driven",Analysis!$D970,""))</f>
        <v/>
      </c>
      <c r="D970" s="29" t="str">
        <f>IF(Analysis!$I970="","",IF(Analysis!$I970="Drifting",Analysis!$D970,""))</f>
        <v/>
      </c>
      <c r="E970" s="29" t="str">
        <f>IF(Analysis!$I970="","",IF(Analysis!$I970="Embedded",Analysis!$C970,""))</f>
        <v/>
      </c>
      <c r="F970" s="29" t="str">
        <f>IF(Analysis!$I970="","",IF(Analysis!$I970="Loyal but shallow",Analysis!$C970,""))</f>
        <v/>
      </c>
      <c r="G970" s="29" t="str">
        <f>IF(Analysis!$I970="","",IF(Analysis!$I970="Project-driven",Analysis!$C970,""))</f>
        <v/>
      </c>
      <c r="H970" s="29" t="str">
        <f>IF(Analysis!$I970="","",IF(Analysis!$I970="Drifting",Analysis!$C970,""))</f>
        <v/>
      </c>
      <c r="I970" s="29" t="str">
        <f>IF(Analysis!$I970="","",IF(Analysis!$I970="Embedded",Analysis!$F970,""))</f>
        <v/>
      </c>
      <c r="J970" s="29" t="str">
        <f>IF(Analysis!$I970="","",IF(Analysis!$I970="Loyal but shallow",Analysis!$F970,""))</f>
        <v/>
      </c>
      <c r="K970" s="29" t="str">
        <f>IF(Analysis!$I970="","",IF(Analysis!$I970="Project-driven",Analysis!$F970,""))</f>
        <v/>
      </c>
      <c r="L970" s="29" t="str">
        <f>IF(Analysis!$I970="","",IF(Analysis!$I970="Drifting",Analysis!$F970,""))</f>
        <v/>
      </c>
      <c r="M970" s="29" t="str">
        <f>IF(Analysis!$I970="","",IF(Analysis!$I970="Embedded",Analysis!$H970,""))</f>
        <v/>
      </c>
      <c r="N970" s="29" t="str">
        <f>IF(Analysis!$I970="","",IF(Analysis!$I970="Loyal but shallow",Analysis!$H970,""))</f>
        <v/>
      </c>
      <c r="O970" s="29" t="str">
        <f>IF(Analysis!$I970="","",IF(Analysis!$I970="Project-driven",Analysis!$H970,""))</f>
        <v/>
      </c>
      <c r="P970" s="29" t="str">
        <f>IF(Analysis!$I970="","",IF(Analysis!$I970="Drifting",Analysis!$H970,""))</f>
        <v/>
      </c>
    </row>
    <row r="971" spans="1:16" x14ac:dyDescent="0.25">
      <c r="A971" s="29" t="str">
        <f>IF(Analysis!$I971="","",IF(Analysis!$I971="Embedded",Analysis!$D971,""))</f>
        <v/>
      </c>
      <c r="B971" s="29" t="str">
        <f>IF(Analysis!$I971="","",IF(Analysis!$I971="Loyal but shallow",Analysis!$D971,""))</f>
        <v/>
      </c>
      <c r="C971" s="29" t="str">
        <f>IF(Analysis!$I971="","",IF(Analysis!$I971="Project-driven",Analysis!$D971,""))</f>
        <v/>
      </c>
      <c r="D971" s="29" t="str">
        <f>IF(Analysis!$I971="","",IF(Analysis!$I971="Drifting",Analysis!$D971,""))</f>
        <v/>
      </c>
      <c r="E971" s="29" t="str">
        <f>IF(Analysis!$I971="","",IF(Analysis!$I971="Embedded",Analysis!$C971,""))</f>
        <v/>
      </c>
      <c r="F971" s="29" t="str">
        <f>IF(Analysis!$I971="","",IF(Analysis!$I971="Loyal but shallow",Analysis!$C971,""))</f>
        <v/>
      </c>
      <c r="G971" s="29" t="str">
        <f>IF(Analysis!$I971="","",IF(Analysis!$I971="Project-driven",Analysis!$C971,""))</f>
        <v/>
      </c>
      <c r="H971" s="29" t="str">
        <f>IF(Analysis!$I971="","",IF(Analysis!$I971="Drifting",Analysis!$C971,""))</f>
        <v/>
      </c>
      <c r="I971" s="29" t="str">
        <f>IF(Analysis!$I971="","",IF(Analysis!$I971="Embedded",Analysis!$F971,""))</f>
        <v/>
      </c>
      <c r="J971" s="29" t="str">
        <f>IF(Analysis!$I971="","",IF(Analysis!$I971="Loyal but shallow",Analysis!$F971,""))</f>
        <v/>
      </c>
      <c r="K971" s="29" t="str">
        <f>IF(Analysis!$I971="","",IF(Analysis!$I971="Project-driven",Analysis!$F971,""))</f>
        <v/>
      </c>
      <c r="L971" s="29" t="str">
        <f>IF(Analysis!$I971="","",IF(Analysis!$I971="Drifting",Analysis!$F971,""))</f>
        <v/>
      </c>
      <c r="M971" s="29" t="str">
        <f>IF(Analysis!$I971="","",IF(Analysis!$I971="Embedded",Analysis!$H971,""))</f>
        <v/>
      </c>
      <c r="N971" s="29" t="str">
        <f>IF(Analysis!$I971="","",IF(Analysis!$I971="Loyal but shallow",Analysis!$H971,""))</f>
        <v/>
      </c>
      <c r="O971" s="29" t="str">
        <f>IF(Analysis!$I971="","",IF(Analysis!$I971="Project-driven",Analysis!$H971,""))</f>
        <v/>
      </c>
      <c r="P971" s="29" t="str">
        <f>IF(Analysis!$I971="","",IF(Analysis!$I971="Drifting",Analysis!$H971,""))</f>
        <v/>
      </c>
    </row>
    <row r="972" spans="1:16" x14ac:dyDescent="0.25">
      <c r="A972" s="29" t="str">
        <f>IF(Analysis!$I972="","",IF(Analysis!$I972="Embedded",Analysis!$D972,""))</f>
        <v/>
      </c>
      <c r="B972" s="29" t="str">
        <f>IF(Analysis!$I972="","",IF(Analysis!$I972="Loyal but shallow",Analysis!$D972,""))</f>
        <v/>
      </c>
      <c r="C972" s="29" t="str">
        <f>IF(Analysis!$I972="","",IF(Analysis!$I972="Project-driven",Analysis!$D972,""))</f>
        <v/>
      </c>
      <c r="D972" s="29" t="str">
        <f>IF(Analysis!$I972="","",IF(Analysis!$I972="Drifting",Analysis!$D972,""))</f>
        <v/>
      </c>
      <c r="E972" s="29" t="str">
        <f>IF(Analysis!$I972="","",IF(Analysis!$I972="Embedded",Analysis!$C972,""))</f>
        <v/>
      </c>
      <c r="F972" s="29" t="str">
        <f>IF(Analysis!$I972="","",IF(Analysis!$I972="Loyal but shallow",Analysis!$C972,""))</f>
        <v/>
      </c>
      <c r="G972" s="29" t="str">
        <f>IF(Analysis!$I972="","",IF(Analysis!$I972="Project-driven",Analysis!$C972,""))</f>
        <v/>
      </c>
      <c r="H972" s="29" t="str">
        <f>IF(Analysis!$I972="","",IF(Analysis!$I972="Drifting",Analysis!$C972,""))</f>
        <v/>
      </c>
      <c r="I972" s="29" t="str">
        <f>IF(Analysis!$I972="","",IF(Analysis!$I972="Embedded",Analysis!$F972,""))</f>
        <v/>
      </c>
      <c r="J972" s="29" t="str">
        <f>IF(Analysis!$I972="","",IF(Analysis!$I972="Loyal but shallow",Analysis!$F972,""))</f>
        <v/>
      </c>
      <c r="K972" s="29" t="str">
        <f>IF(Analysis!$I972="","",IF(Analysis!$I972="Project-driven",Analysis!$F972,""))</f>
        <v/>
      </c>
      <c r="L972" s="29" t="str">
        <f>IF(Analysis!$I972="","",IF(Analysis!$I972="Drifting",Analysis!$F972,""))</f>
        <v/>
      </c>
      <c r="M972" s="29" t="str">
        <f>IF(Analysis!$I972="","",IF(Analysis!$I972="Embedded",Analysis!$H972,""))</f>
        <v/>
      </c>
      <c r="N972" s="29" t="str">
        <f>IF(Analysis!$I972="","",IF(Analysis!$I972="Loyal but shallow",Analysis!$H972,""))</f>
        <v/>
      </c>
      <c r="O972" s="29" t="str">
        <f>IF(Analysis!$I972="","",IF(Analysis!$I972="Project-driven",Analysis!$H972,""))</f>
        <v/>
      </c>
      <c r="P972" s="29" t="str">
        <f>IF(Analysis!$I972="","",IF(Analysis!$I972="Drifting",Analysis!$H972,""))</f>
        <v/>
      </c>
    </row>
    <row r="973" spans="1:16" x14ac:dyDescent="0.25">
      <c r="A973" s="29" t="str">
        <f>IF(Analysis!$I973="","",IF(Analysis!$I973="Embedded",Analysis!$D973,""))</f>
        <v/>
      </c>
      <c r="B973" s="29" t="str">
        <f>IF(Analysis!$I973="","",IF(Analysis!$I973="Loyal but shallow",Analysis!$D973,""))</f>
        <v/>
      </c>
      <c r="C973" s="29" t="str">
        <f>IF(Analysis!$I973="","",IF(Analysis!$I973="Project-driven",Analysis!$D973,""))</f>
        <v/>
      </c>
      <c r="D973" s="29" t="str">
        <f>IF(Analysis!$I973="","",IF(Analysis!$I973="Drifting",Analysis!$D973,""))</f>
        <v/>
      </c>
      <c r="E973" s="29" t="str">
        <f>IF(Analysis!$I973="","",IF(Analysis!$I973="Embedded",Analysis!$C973,""))</f>
        <v/>
      </c>
      <c r="F973" s="29" t="str">
        <f>IF(Analysis!$I973="","",IF(Analysis!$I973="Loyal but shallow",Analysis!$C973,""))</f>
        <v/>
      </c>
      <c r="G973" s="29" t="str">
        <f>IF(Analysis!$I973="","",IF(Analysis!$I973="Project-driven",Analysis!$C973,""))</f>
        <v/>
      </c>
      <c r="H973" s="29" t="str">
        <f>IF(Analysis!$I973="","",IF(Analysis!$I973="Drifting",Analysis!$C973,""))</f>
        <v/>
      </c>
      <c r="I973" s="29" t="str">
        <f>IF(Analysis!$I973="","",IF(Analysis!$I973="Embedded",Analysis!$F973,""))</f>
        <v/>
      </c>
      <c r="J973" s="29" t="str">
        <f>IF(Analysis!$I973="","",IF(Analysis!$I973="Loyal but shallow",Analysis!$F973,""))</f>
        <v/>
      </c>
      <c r="K973" s="29" t="str">
        <f>IF(Analysis!$I973="","",IF(Analysis!$I973="Project-driven",Analysis!$F973,""))</f>
        <v/>
      </c>
      <c r="L973" s="29" t="str">
        <f>IF(Analysis!$I973="","",IF(Analysis!$I973="Drifting",Analysis!$F973,""))</f>
        <v/>
      </c>
      <c r="M973" s="29" t="str">
        <f>IF(Analysis!$I973="","",IF(Analysis!$I973="Embedded",Analysis!$H973,""))</f>
        <v/>
      </c>
      <c r="N973" s="29" t="str">
        <f>IF(Analysis!$I973="","",IF(Analysis!$I973="Loyal but shallow",Analysis!$H973,""))</f>
        <v/>
      </c>
      <c r="O973" s="29" t="str">
        <f>IF(Analysis!$I973="","",IF(Analysis!$I973="Project-driven",Analysis!$H973,""))</f>
        <v/>
      </c>
      <c r="P973" s="29" t="str">
        <f>IF(Analysis!$I973="","",IF(Analysis!$I973="Drifting",Analysis!$H973,""))</f>
        <v/>
      </c>
    </row>
    <row r="974" spans="1:16" x14ac:dyDescent="0.25">
      <c r="A974" s="29" t="str">
        <f>IF(Analysis!$I974="","",IF(Analysis!$I974="Embedded",Analysis!$D974,""))</f>
        <v/>
      </c>
      <c r="B974" s="29" t="str">
        <f>IF(Analysis!$I974="","",IF(Analysis!$I974="Loyal but shallow",Analysis!$D974,""))</f>
        <v/>
      </c>
      <c r="C974" s="29" t="str">
        <f>IF(Analysis!$I974="","",IF(Analysis!$I974="Project-driven",Analysis!$D974,""))</f>
        <v/>
      </c>
      <c r="D974" s="29" t="str">
        <f>IF(Analysis!$I974="","",IF(Analysis!$I974="Drifting",Analysis!$D974,""))</f>
        <v/>
      </c>
      <c r="E974" s="29" t="str">
        <f>IF(Analysis!$I974="","",IF(Analysis!$I974="Embedded",Analysis!$C974,""))</f>
        <v/>
      </c>
      <c r="F974" s="29" t="str">
        <f>IF(Analysis!$I974="","",IF(Analysis!$I974="Loyal but shallow",Analysis!$C974,""))</f>
        <v/>
      </c>
      <c r="G974" s="29" t="str">
        <f>IF(Analysis!$I974="","",IF(Analysis!$I974="Project-driven",Analysis!$C974,""))</f>
        <v/>
      </c>
      <c r="H974" s="29" t="str">
        <f>IF(Analysis!$I974="","",IF(Analysis!$I974="Drifting",Analysis!$C974,""))</f>
        <v/>
      </c>
      <c r="I974" s="29" t="str">
        <f>IF(Analysis!$I974="","",IF(Analysis!$I974="Embedded",Analysis!$F974,""))</f>
        <v/>
      </c>
      <c r="J974" s="29" t="str">
        <f>IF(Analysis!$I974="","",IF(Analysis!$I974="Loyal but shallow",Analysis!$F974,""))</f>
        <v/>
      </c>
      <c r="K974" s="29" t="str">
        <f>IF(Analysis!$I974="","",IF(Analysis!$I974="Project-driven",Analysis!$F974,""))</f>
        <v/>
      </c>
      <c r="L974" s="29" t="str">
        <f>IF(Analysis!$I974="","",IF(Analysis!$I974="Drifting",Analysis!$F974,""))</f>
        <v/>
      </c>
      <c r="M974" s="29" t="str">
        <f>IF(Analysis!$I974="","",IF(Analysis!$I974="Embedded",Analysis!$H974,""))</f>
        <v/>
      </c>
      <c r="N974" s="29" t="str">
        <f>IF(Analysis!$I974="","",IF(Analysis!$I974="Loyal but shallow",Analysis!$H974,""))</f>
        <v/>
      </c>
      <c r="O974" s="29" t="str">
        <f>IF(Analysis!$I974="","",IF(Analysis!$I974="Project-driven",Analysis!$H974,""))</f>
        <v/>
      </c>
      <c r="P974" s="29" t="str">
        <f>IF(Analysis!$I974="","",IF(Analysis!$I974="Drifting",Analysis!$H974,""))</f>
        <v/>
      </c>
    </row>
    <row r="975" spans="1:16" x14ac:dyDescent="0.25">
      <c r="A975" s="29" t="str">
        <f>IF(Analysis!$I975="","",IF(Analysis!$I975="Embedded",Analysis!$D975,""))</f>
        <v/>
      </c>
      <c r="B975" s="29" t="str">
        <f>IF(Analysis!$I975="","",IF(Analysis!$I975="Loyal but shallow",Analysis!$D975,""))</f>
        <v/>
      </c>
      <c r="C975" s="29" t="str">
        <f>IF(Analysis!$I975="","",IF(Analysis!$I975="Project-driven",Analysis!$D975,""))</f>
        <v/>
      </c>
      <c r="D975" s="29" t="str">
        <f>IF(Analysis!$I975="","",IF(Analysis!$I975="Drifting",Analysis!$D975,""))</f>
        <v/>
      </c>
      <c r="E975" s="29" t="str">
        <f>IF(Analysis!$I975="","",IF(Analysis!$I975="Embedded",Analysis!$C975,""))</f>
        <v/>
      </c>
      <c r="F975" s="29" t="str">
        <f>IF(Analysis!$I975="","",IF(Analysis!$I975="Loyal but shallow",Analysis!$C975,""))</f>
        <v/>
      </c>
      <c r="G975" s="29" t="str">
        <f>IF(Analysis!$I975="","",IF(Analysis!$I975="Project-driven",Analysis!$C975,""))</f>
        <v/>
      </c>
      <c r="H975" s="29" t="str">
        <f>IF(Analysis!$I975="","",IF(Analysis!$I975="Drifting",Analysis!$C975,""))</f>
        <v/>
      </c>
      <c r="I975" s="29" t="str">
        <f>IF(Analysis!$I975="","",IF(Analysis!$I975="Embedded",Analysis!$F975,""))</f>
        <v/>
      </c>
      <c r="J975" s="29" t="str">
        <f>IF(Analysis!$I975="","",IF(Analysis!$I975="Loyal but shallow",Analysis!$F975,""))</f>
        <v/>
      </c>
      <c r="K975" s="29" t="str">
        <f>IF(Analysis!$I975="","",IF(Analysis!$I975="Project-driven",Analysis!$F975,""))</f>
        <v/>
      </c>
      <c r="L975" s="29" t="str">
        <f>IF(Analysis!$I975="","",IF(Analysis!$I975="Drifting",Analysis!$F975,""))</f>
        <v/>
      </c>
      <c r="M975" s="29" t="str">
        <f>IF(Analysis!$I975="","",IF(Analysis!$I975="Embedded",Analysis!$H975,""))</f>
        <v/>
      </c>
      <c r="N975" s="29" t="str">
        <f>IF(Analysis!$I975="","",IF(Analysis!$I975="Loyal but shallow",Analysis!$H975,""))</f>
        <v/>
      </c>
      <c r="O975" s="29" t="str">
        <f>IF(Analysis!$I975="","",IF(Analysis!$I975="Project-driven",Analysis!$H975,""))</f>
        <v/>
      </c>
      <c r="P975" s="29" t="str">
        <f>IF(Analysis!$I975="","",IF(Analysis!$I975="Drifting",Analysis!$H975,""))</f>
        <v/>
      </c>
    </row>
    <row r="976" spans="1:16" x14ac:dyDescent="0.25">
      <c r="A976" s="29" t="str">
        <f>IF(Analysis!$I976="","",IF(Analysis!$I976="Embedded",Analysis!$D976,""))</f>
        <v/>
      </c>
      <c r="B976" s="29" t="str">
        <f>IF(Analysis!$I976="","",IF(Analysis!$I976="Loyal but shallow",Analysis!$D976,""))</f>
        <v/>
      </c>
      <c r="C976" s="29" t="str">
        <f>IF(Analysis!$I976="","",IF(Analysis!$I976="Project-driven",Analysis!$D976,""))</f>
        <v/>
      </c>
      <c r="D976" s="29" t="str">
        <f>IF(Analysis!$I976="","",IF(Analysis!$I976="Drifting",Analysis!$D976,""))</f>
        <v/>
      </c>
      <c r="E976" s="29" t="str">
        <f>IF(Analysis!$I976="","",IF(Analysis!$I976="Embedded",Analysis!$C976,""))</f>
        <v/>
      </c>
      <c r="F976" s="29" t="str">
        <f>IF(Analysis!$I976="","",IF(Analysis!$I976="Loyal but shallow",Analysis!$C976,""))</f>
        <v/>
      </c>
      <c r="G976" s="29" t="str">
        <f>IF(Analysis!$I976="","",IF(Analysis!$I976="Project-driven",Analysis!$C976,""))</f>
        <v/>
      </c>
      <c r="H976" s="29" t="str">
        <f>IF(Analysis!$I976="","",IF(Analysis!$I976="Drifting",Analysis!$C976,""))</f>
        <v/>
      </c>
      <c r="I976" s="29" t="str">
        <f>IF(Analysis!$I976="","",IF(Analysis!$I976="Embedded",Analysis!$F976,""))</f>
        <v/>
      </c>
      <c r="J976" s="29" t="str">
        <f>IF(Analysis!$I976="","",IF(Analysis!$I976="Loyal but shallow",Analysis!$F976,""))</f>
        <v/>
      </c>
      <c r="K976" s="29" t="str">
        <f>IF(Analysis!$I976="","",IF(Analysis!$I976="Project-driven",Analysis!$F976,""))</f>
        <v/>
      </c>
      <c r="L976" s="29" t="str">
        <f>IF(Analysis!$I976="","",IF(Analysis!$I976="Drifting",Analysis!$F976,""))</f>
        <v/>
      </c>
      <c r="M976" s="29" t="str">
        <f>IF(Analysis!$I976="","",IF(Analysis!$I976="Embedded",Analysis!$H976,""))</f>
        <v/>
      </c>
      <c r="N976" s="29" t="str">
        <f>IF(Analysis!$I976="","",IF(Analysis!$I976="Loyal but shallow",Analysis!$H976,""))</f>
        <v/>
      </c>
      <c r="O976" s="29" t="str">
        <f>IF(Analysis!$I976="","",IF(Analysis!$I976="Project-driven",Analysis!$H976,""))</f>
        <v/>
      </c>
      <c r="P976" s="29" t="str">
        <f>IF(Analysis!$I976="","",IF(Analysis!$I976="Drifting",Analysis!$H976,""))</f>
        <v/>
      </c>
    </row>
    <row r="977" spans="1:16" x14ac:dyDescent="0.25">
      <c r="A977" s="29" t="str">
        <f>IF(Analysis!$I977="","",IF(Analysis!$I977="Embedded",Analysis!$D977,""))</f>
        <v/>
      </c>
      <c r="B977" s="29" t="str">
        <f>IF(Analysis!$I977="","",IF(Analysis!$I977="Loyal but shallow",Analysis!$D977,""))</f>
        <v/>
      </c>
      <c r="C977" s="29" t="str">
        <f>IF(Analysis!$I977="","",IF(Analysis!$I977="Project-driven",Analysis!$D977,""))</f>
        <v/>
      </c>
      <c r="D977" s="29" t="str">
        <f>IF(Analysis!$I977="","",IF(Analysis!$I977="Drifting",Analysis!$D977,""))</f>
        <v/>
      </c>
      <c r="E977" s="29" t="str">
        <f>IF(Analysis!$I977="","",IF(Analysis!$I977="Embedded",Analysis!$C977,""))</f>
        <v/>
      </c>
      <c r="F977" s="29" t="str">
        <f>IF(Analysis!$I977="","",IF(Analysis!$I977="Loyal but shallow",Analysis!$C977,""))</f>
        <v/>
      </c>
      <c r="G977" s="29" t="str">
        <f>IF(Analysis!$I977="","",IF(Analysis!$I977="Project-driven",Analysis!$C977,""))</f>
        <v/>
      </c>
      <c r="H977" s="29" t="str">
        <f>IF(Analysis!$I977="","",IF(Analysis!$I977="Drifting",Analysis!$C977,""))</f>
        <v/>
      </c>
      <c r="I977" s="29" t="str">
        <f>IF(Analysis!$I977="","",IF(Analysis!$I977="Embedded",Analysis!$F977,""))</f>
        <v/>
      </c>
      <c r="J977" s="29" t="str">
        <f>IF(Analysis!$I977="","",IF(Analysis!$I977="Loyal but shallow",Analysis!$F977,""))</f>
        <v/>
      </c>
      <c r="K977" s="29" t="str">
        <f>IF(Analysis!$I977="","",IF(Analysis!$I977="Project-driven",Analysis!$F977,""))</f>
        <v/>
      </c>
      <c r="L977" s="29" t="str">
        <f>IF(Analysis!$I977="","",IF(Analysis!$I977="Drifting",Analysis!$F977,""))</f>
        <v/>
      </c>
      <c r="M977" s="29" t="str">
        <f>IF(Analysis!$I977="","",IF(Analysis!$I977="Embedded",Analysis!$H977,""))</f>
        <v/>
      </c>
      <c r="N977" s="29" t="str">
        <f>IF(Analysis!$I977="","",IF(Analysis!$I977="Loyal but shallow",Analysis!$H977,""))</f>
        <v/>
      </c>
      <c r="O977" s="29" t="str">
        <f>IF(Analysis!$I977="","",IF(Analysis!$I977="Project-driven",Analysis!$H977,""))</f>
        <v/>
      </c>
      <c r="P977" s="29" t="str">
        <f>IF(Analysis!$I977="","",IF(Analysis!$I977="Drifting",Analysis!$H977,""))</f>
        <v/>
      </c>
    </row>
    <row r="978" spans="1:16" x14ac:dyDescent="0.25">
      <c r="A978" s="29" t="str">
        <f>IF(Analysis!$I978="","",IF(Analysis!$I978="Embedded",Analysis!$D978,""))</f>
        <v/>
      </c>
      <c r="B978" s="29" t="str">
        <f>IF(Analysis!$I978="","",IF(Analysis!$I978="Loyal but shallow",Analysis!$D978,""))</f>
        <v/>
      </c>
      <c r="C978" s="29" t="str">
        <f>IF(Analysis!$I978="","",IF(Analysis!$I978="Project-driven",Analysis!$D978,""))</f>
        <v/>
      </c>
      <c r="D978" s="29" t="str">
        <f>IF(Analysis!$I978="","",IF(Analysis!$I978="Drifting",Analysis!$D978,""))</f>
        <v/>
      </c>
      <c r="E978" s="29" t="str">
        <f>IF(Analysis!$I978="","",IF(Analysis!$I978="Embedded",Analysis!$C978,""))</f>
        <v/>
      </c>
      <c r="F978" s="29" t="str">
        <f>IF(Analysis!$I978="","",IF(Analysis!$I978="Loyal but shallow",Analysis!$C978,""))</f>
        <v/>
      </c>
      <c r="G978" s="29" t="str">
        <f>IF(Analysis!$I978="","",IF(Analysis!$I978="Project-driven",Analysis!$C978,""))</f>
        <v/>
      </c>
      <c r="H978" s="29" t="str">
        <f>IF(Analysis!$I978="","",IF(Analysis!$I978="Drifting",Analysis!$C978,""))</f>
        <v/>
      </c>
      <c r="I978" s="29" t="str">
        <f>IF(Analysis!$I978="","",IF(Analysis!$I978="Embedded",Analysis!$F978,""))</f>
        <v/>
      </c>
      <c r="J978" s="29" t="str">
        <f>IF(Analysis!$I978="","",IF(Analysis!$I978="Loyal but shallow",Analysis!$F978,""))</f>
        <v/>
      </c>
      <c r="K978" s="29" t="str">
        <f>IF(Analysis!$I978="","",IF(Analysis!$I978="Project-driven",Analysis!$F978,""))</f>
        <v/>
      </c>
      <c r="L978" s="29" t="str">
        <f>IF(Analysis!$I978="","",IF(Analysis!$I978="Drifting",Analysis!$F978,""))</f>
        <v/>
      </c>
      <c r="M978" s="29" t="str">
        <f>IF(Analysis!$I978="","",IF(Analysis!$I978="Embedded",Analysis!$H978,""))</f>
        <v/>
      </c>
      <c r="N978" s="29" t="str">
        <f>IF(Analysis!$I978="","",IF(Analysis!$I978="Loyal but shallow",Analysis!$H978,""))</f>
        <v/>
      </c>
      <c r="O978" s="29" t="str">
        <f>IF(Analysis!$I978="","",IF(Analysis!$I978="Project-driven",Analysis!$H978,""))</f>
        <v/>
      </c>
      <c r="P978" s="29" t="str">
        <f>IF(Analysis!$I978="","",IF(Analysis!$I978="Drifting",Analysis!$H978,""))</f>
        <v/>
      </c>
    </row>
    <row r="979" spans="1:16" x14ac:dyDescent="0.25">
      <c r="A979" s="29" t="str">
        <f>IF(Analysis!$I979="","",IF(Analysis!$I979="Embedded",Analysis!$D979,""))</f>
        <v/>
      </c>
      <c r="B979" s="29" t="str">
        <f>IF(Analysis!$I979="","",IF(Analysis!$I979="Loyal but shallow",Analysis!$D979,""))</f>
        <v/>
      </c>
      <c r="C979" s="29" t="str">
        <f>IF(Analysis!$I979="","",IF(Analysis!$I979="Project-driven",Analysis!$D979,""))</f>
        <v/>
      </c>
      <c r="D979" s="29" t="str">
        <f>IF(Analysis!$I979="","",IF(Analysis!$I979="Drifting",Analysis!$D979,""))</f>
        <v/>
      </c>
      <c r="E979" s="29" t="str">
        <f>IF(Analysis!$I979="","",IF(Analysis!$I979="Embedded",Analysis!$C979,""))</f>
        <v/>
      </c>
      <c r="F979" s="29" t="str">
        <f>IF(Analysis!$I979="","",IF(Analysis!$I979="Loyal but shallow",Analysis!$C979,""))</f>
        <v/>
      </c>
      <c r="G979" s="29" t="str">
        <f>IF(Analysis!$I979="","",IF(Analysis!$I979="Project-driven",Analysis!$C979,""))</f>
        <v/>
      </c>
      <c r="H979" s="29" t="str">
        <f>IF(Analysis!$I979="","",IF(Analysis!$I979="Drifting",Analysis!$C979,""))</f>
        <v/>
      </c>
      <c r="I979" s="29" t="str">
        <f>IF(Analysis!$I979="","",IF(Analysis!$I979="Embedded",Analysis!$F979,""))</f>
        <v/>
      </c>
      <c r="J979" s="29" t="str">
        <f>IF(Analysis!$I979="","",IF(Analysis!$I979="Loyal but shallow",Analysis!$F979,""))</f>
        <v/>
      </c>
      <c r="K979" s="29" t="str">
        <f>IF(Analysis!$I979="","",IF(Analysis!$I979="Project-driven",Analysis!$F979,""))</f>
        <v/>
      </c>
      <c r="L979" s="29" t="str">
        <f>IF(Analysis!$I979="","",IF(Analysis!$I979="Drifting",Analysis!$F979,""))</f>
        <v/>
      </c>
      <c r="M979" s="29" t="str">
        <f>IF(Analysis!$I979="","",IF(Analysis!$I979="Embedded",Analysis!$H979,""))</f>
        <v/>
      </c>
      <c r="N979" s="29" t="str">
        <f>IF(Analysis!$I979="","",IF(Analysis!$I979="Loyal but shallow",Analysis!$H979,""))</f>
        <v/>
      </c>
      <c r="O979" s="29" t="str">
        <f>IF(Analysis!$I979="","",IF(Analysis!$I979="Project-driven",Analysis!$H979,""))</f>
        <v/>
      </c>
      <c r="P979" s="29" t="str">
        <f>IF(Analysis!$I979="","",IF(Analysis!$I979="Drifting",Analysis!$H979,""))</f>
        <v/>
      </c>
    </row>
    <row r="980" spans="1:16" x14ac:dyDescent="0.25">
      <c r="A980" s="29" t="str">
        <f>IF(Analysis!$I980="","",IF(Analysis!$I980="Embedded",Analysis!$D980,""))</f>
        <v/>
      </c>
      <c r="B980" s="29" t="str">
        <f>IF(Analysis!$I980="","",IF(Analysis!$I980="Loyal but shallow",Analysis!$D980,""))</f>
        <v/>
      </c>
      <c r="C980" s="29" t="str">
        <f>IF(Analysis!$I980="","",IF(Analysis!$I980="Project-driven",Analysis!$D980,""))</f>
        <v/>
      </c>
      <c r="D980" s="29" t="str">
        <f>IF(Analysis!$I980="","",IF(Analysis!$I980="Drifting",Analysis!$D980,""))</f>
        <v/>
      </c>
      <c r="E980" s="29" t="str">
        <f>IF(Analysis!$I980="","",IF(Analysis!$I980="Embedded",Analysis!$C980,""))</f>
        <v/>
      </c>
      <c r="F980" s="29" t="str">
        <f>IF(Analysis!$I980="","",IF(Analysis!$I980="Loyal but shallow",Analysis!$C980,""))</f>
        <v/>
      </c>
      <c r="G980" s="29" t="str">
        <f>IF(Analysis!$I980="","",IF(Analysis!$I980="Project-driven",Analysis!$C980,""))</f>
        <v/>
      </c>
      <c r="H980" s="29" t="str">
        <f>IF(Analysis!$I980="","",IF(Analysis!$I980="Drifting",Analysis!$C980,""))</f>
        <v/>
      </c>
      <c r="I980" s="29" t="str">
        <f>IF(Analysis!$I980="","",IF(Analysis!$I980="Embedded",Analysis!$F980,""))</f>
        <v/>
      </c>
      <c r="J980" s="29" t="str">
        <f>IF(Analysis!$I980="","",IF(Analysis!$I980="Loyal but shallow",Analysis!$F980,""))</f>
        <v/>
      </c>
      <c r="K980" s="29" t="str">
        <f>IF(Analysis!$I980="","",IF(Analysis!$I980="Project-driven",Analysis!$F980,""))</f>
        <v/>
      </c>
      <c r="L980" s="29" t="str">
        <f>IF(Analysis!$I980="","",IF(Analysis!$I980="Drifting",Analysis!$F980,""))</f>
        <v/>
      </c>
      <c r="M980" s="29" t="str">
        <f>IF(Analysis!$I980="","",IF(Analysis!$I980="Embedded",Analysis!$H980,""))</f>
        <v/>
      </c>
      <c r="N980" s="29" t="str">
        <f>IF(Analysis!$I980="","",IF(Analysis!$I980="Loyal but shallow",Analysis!$H980,""))</f>
        <v/>
      </c>
      <c r="O980" s="29" t="str">
        <f>IF(Analysis!$I980="","",IF(Analysis!$I980="Project-driven",Analysis!$H980,""))</f>
        <v/>
      </c>
      <c r="P980" s="29" t="str">
        <f>IF(Analysis!$I980="","",IF(Analysis!$I980="Drifting",Analysis!$H980,""))</f>
        <v/>
      </c>
    </row>
    <row r="981" spans="1:16" x14ac:dyDescent="0.25">
      <c r="A981" s="29" t="str">
        <f>IF(Analysis!$I981="","",IF(Analysis!$I981="Embedded",Analysis!$D981,""))</f>
        <v/>
      </c>
      <c r="B981" s="29" t="str">
        <f>IF(Analysis!$I981="","",IF(Analysis!$I981="Loyal but shallow",Analysis!$D981,""))</f>
        <v/>
      </c>
      <c r="C981" s="29" t="str">
        <f>IF(Analysis!$I981="","",IF(Analysis!$I981="Project-driven",Analysis!$D981,""))</f>
        <v/>
      </c>
      <c r="D981" s="29" t="str">
        <f>IF(Analysis!$I981="","",IF(Analysis!$I981="Drifting",Analysis!$D981,""))</f>
        <v/>
      </c>
      <c r="E981" s="29" t="str">
        <f>IF(Analysis!$I981="","",IF(Analysis!$I981="Embedded",Analysis!$C981,""))</f>
        <v/>
      </c>
      <c r="F981" s="29" t="str">
        <f>IF(Analysis!$I981="","",IF(Analysis!$I981="Loyal but shallow",Analysis!$C981,""))</f>
        <v/>
      </c>
      <c r="G981" s="29" t="str">
        <f>IF(Analysis!$I981="","",IF(Analysis!$I981="Project-driven",Analysis!$C981,""))</f>
        <v/>
      </c>
      <c r="H981" s="29" t="str">
        <f>IF(Analysis!$I981="","",IF(Analysis!$I981="Drifting",Analysis!$C981,""))</f>
        <v/>
      </c>
      <c r="I981" s="29" t="str">
        <f>IF(Analysis!$I981="","",IF(Analysis!$I981="Embedded",Analysis!$F981,""))</f>
        <v/>
      </c>
      <c r="J981" s="29" t="str">
        <f>IF(Analysis!$I981="","",IF(Analysis!$I981="Loyal but shallow",Analysis!$F981,""))</f>
        <v/>
      </c>
      <c r="K981" s="29" t="str">
        <f>IF(Analysis!$I981="","",IF(Analysis!$I981="Project-driven",Analysis!$F981,""))</f>
        <v/>
      </c>
      <c r="L981" s="29" t="str">
        <f>IF(Analysis!$I981="","",IF(Analysis!$I981="Drifting",Analysis!$F981,""))</f>
        <v/>
      </c>
      <c r="M981" s="29" t="str">
        <f>IF(Analysis!$I981="","",IF(Analysis!$I981="Embedded",Analysis!$H981,""))</f>
        <v/>
      </c>
      <c r="N981" s="29" t="str">
        <f>IF(Analysis!$I981="","",IF(Analysis!$I981="Loyal but shallow",Analysis!$H981,""))</f>
        <v/>
      </c>
      <c r="O981" s="29" t="str">
        <f>IF(Analysis!$I981="","",IF(Analysis!$I981="Project-driven",Analysis!$H981,""))</f>
        <v/>
      </c>
      <c r="P981" s="29" t="str">
        <f>IF(Analysis!$I981="","",IF(Analysis!$I981="Drifting",Analysis!$H981,""))</f>
        <v/>
      </c>
    </row>
    <row r="982" spans="1:16" x14ac:dyDescent="0.25">
      <c r="A982" s="29" t="str">
        <f>IF(Analysis!$I982="","",IF(Analysis!$I982="Embedded",Analysis!$D982,""))</f>
        <v/>
      </c>
      <c r="B982" s="29" t="str">
        <f>IF(Analysis!$I982="","",IF(Analysis!$I982="Loyal but shallow",Analysis!$D982,""))</f>
        <v/>
      </c>
      <c r="C982" s="29" t="str">
        <f>IF(Analysis!$I982="","",IF(Analysis!$I982="Project-driven",Analysis!$D982,""))</f>
        <v/>
      </c>
      <c r="D982" s="29" t="str">
        <f>IF(Analysis!$I982="","",IF(Analysis!$I982="Drifting",Analysis!$D982,""))</f>
        <v/>
      </c>
      <c r="E982" s="29" t="str">
        <f>IF(Analysis!$I982="","",IF(Analysis!$I982="Embedded",Analysis!$C982,""))</f>
        <v/>
      </c>
      <c r="F982" s="29" t="str">
        <f>IF(Analysis!$I982="","",IF(Analysis!$I982="Loyal but shallow",Analysis!$C982,""))</f>
        <v/>
      </c>
      <c r="G982" s="29" t="str">
        <f>IF(Analysis!$I982="","",IF(Analysis!$I982="Project-driven",Analysis!$C982,""))</f>
        <v/>
      </c>
      <c r="H982" s="29" t="str">
        <f>IF(Analysis!$I982="","",IF(Analysis!$I982="Drifting",Analysis!$C982,""))</f>
        <v/>
      </c>
      <c r="I982" s="29" t="str">
        <f>IF(Analysis!$I982="","",IF(Analysis!$I982="Embedded",Analysis!$F982,""))</f>
        <v/>
      </c>
      <c r="J982" s="29" t="str">
        <f>IF(Analysis!$I982="","",IF(Analysis!$I982="Loyal but shallow",Analysis!$F982,""))</f>
        <v/>
      </c>
      <c r="K982" s="29" t="str">
        <f>IF(Analysis!$I982="","",IF(Analysis!$I982="Project-driven",Analysis!$F982,""))</f>
        <v/>
      </c>
      <c r="L982" s="29" t="str">
        <f>IF(Analysis!$I982="","",IF(Analysis!$I982="Drifting",Analysis!$F982,""))</f>
        <v/>
      </c>
      <c r="M982" s="29" t="str">
        <f>IF(Analysis!$I982="","",IF(Analysis!$I982="Embedded",Analysis!$H982,""))</f>
        <v/>
      </c>
      <c r="N982" s="29" t="str">
        <f>IF(Analysis!$I982="","",IF(Analysis!$I982="Loyal but shallow",Analysis!$H982,""))</f>
        <v/>
      </c>
      <c r="O982" s="29" t="str">
        <f>IF(Analysis!$I982="","",IF(Analysis!$I982="Project-driven",Analysis!$H982,""))</f>
        <v/>
      </c>
      <c r="P982" s="29" t="str">
        <f>IF(Analysis!$I982="","",IF(Analysis!$I982="Drifting",Analysis!$H982,""))</f>
        <v/>
      </c>
    </row>
    <row r="983" spans="1:16" x14ac:dyDescent="0.25">
      <c r="A983" s="29" t="str">
        <f>IF(Analysis!$I983="","",IF(Analysis!$I983="Embedded",Analysis!$D983,""))</f>
        <v/>
      </c>
      <c r="B983" s="29" t="str">
        <f>IF(Analysis!$I983="","",IF(Analysis!$I983="Loyal but shallow",Analysis!$D983,""))</f>
        <v/>
      </c>
      <c r="C983" s="29" t="str">
        <f>IF(Analysis!$I983="","",IF(Analysis!$I983="Project-driven",Analysis!$D983,""))</f>
        <v/>
      </c>
      <c r="D983" s="29" t="str">
        <f>IF(Analysis!$I983="","",IF(Analysis!$I983="Drifting",Analysis!$D983,""))</f>
        <v/>
      </c>
      <c r="E983" s="29" t="str">
        <f>IF(Analysis!$I983="","",IF(Analysis!$I983="Embedded",Analysis!$C983,""))</f>
        <v/>
      </c>
      <c r="F983" s="29" t="str">
        <f>IF(Analysis!$I983="","",IF(Analysis!$I983="Loyal but shallow",Analysis!$C983,""))</f>
        <v/>
      </c>
      <c r="G983" s="29" t="str">
        <f>IF(Analysis!$I983="","",IF(Analysis!$I983="Project-driven",Analysis!$C983,""))</f>
        <v/>
      </c>
      <c r="H983" s="29" t="str">
        <f>IF(Analysis!$I983="","",IF(Analysis!$I983="Drifting",Analysis!$C983,""))</f>
        <v/>
      </c>
      <c r="I983" s="29" t="str">
        <f>IF(Analysis!$I983="","",IF(Analysis!$I983="Embedded",Analysis!$F983,""))</f>
        <v/>
      </c>
      <c r="J983" s="29" t="str">
        <f>IF(Analysis!$I983="","",IF(Analysis!$I983="Loyal but shallow",Analysis!$F983,""))</f>
        <v/>
      </c>
      <c r="K983" s="29" t="str">
        <f>IF(Analysis!$I983="","",IF(Analysis!$I983="Project-driven",Analysis!$F983,""))</f>
        <v/>
      </c>
      <c r="L983" s="29" t="str">
        <f>IF(Analysis!$I983="","",IF(Analysis!$I983="Drifting",Analysis!$F983,""))</f>
        <v/>
      </c>
      <c r="M983" s="29" t="str">
        <f>IF(Analysis!$I983="","",IF(Analysis!$I983="Embedded",Analysis!$H983,""))</f>
        <v/>
      </c>
      <c r="N983" s="29" t="str">
        <f>IF(Analysis!$I983="","",IF(Analysis!$I983="Loyal but shallow",Analysis!$H983,""))</f>
        <v/>
      </c>
      <c r="O983" s="29" t="str">
        <f>IF(Analysis!$I983="","",IF(Analysis!$I983="Project-driven",Analysis!$H983,""))</f>
        <v/>
      </c>
      <c r="P983" s="29" t="str">
        <f>IF(Analysis!$I983="","",IF(Analysis!$I983="Drifting",Analysis!$H983,""))</f>
        <v/>
      </c>
    </row>
    <row r="984" spans="1:16" x14ac:dyDescent="0.25">
      <c r="A984" s="29" t="str">
        <f>IF(Analysis!$I984="","",IF(Analysis!$I984="Embedded",Analysis!$D984,""))</f>
        <v/>
      </c>
      <c r="B984" s="29" t="str">
        <f>IF(Analysis!$I984="","",IF(Analysis!$I984="Loyal but shallow",Analysis!$D984,""))</f>
        <v/>
      </c>
      <c r="C984" s="29" t="str">
        <f>IF(Analysis!$I984="","",IF(Analysis!$I984="Project-driven",Analysis!$D984,""))</f>
        <v/>
      </c>
      <c r="D984" s="29" t="str">
        <f>IF(Analysis!$I984="","",IF(Analysis!$I984="Drifting",Analysis!$D984,""))</f>
        <v/>
      </c>
      <c r="E984" s="29" t="str">
        <f>IF(Analysis!$I984="","",IF(Analysis!$I984="Embedded",Analysis!$C984,""))</f>
        <v/>
      </c>
      <c r="F984" s="29" t="str">
        <f>IF(Analysis!$I984="","",IF(Analysis!$I984="Loyal but shallow",Analysis!$C984,""))</f>
        <v/>
      </c>
      <c r="G984" s="29" t="str">
        <f>IF(Analysis!$I984="","",IF(Analysis!$I984="Project-driven",Analysis!$C984,""))</f>
        <v/>
      </c>
      <c r="H984" s="29" t="str">
        <f>IF(Analysis!$I984="","",IF(Analysis!$I984="Drifting",Analysis!$C984,""))</f>
        <v/>
      </c>
      <c r="I984" s="29" t="str">
        <f>IF(Analysis!$I984="","",IF(Analysis!$I984="Embedded",Analysis!$F984,""))</f>
        <v/>
      </c>
      <c r="J984" s="29" t="str">
        <f>IF(Analysis!$I984="","",IF(Analysis!$I984="Loyal but shallow",Analysis!$F984,""))</f>
        <v/>
      </c>
      <c r="K984" s="29" t="str">
        <f>IF(Analysis!$I984="","",IF(Analysis!$I984="Project-driven",Analysis!$F984,""))</f>
        <v/>
      </c>
      <c r="L984" s="29" t="str">
        <f>IF(Analysis!$I984="","",IF(Analysis!$I984="Drifting",Analysis!$F984,""))</f>
        <v/>
      </c>
      <c r="M984" s="29" t="str">
        <f>IF(Analysis!$I984="","",IF(Analysis!$I984="Embedded",Analysis!$H984,""))</f>
        <v/>
      </c>
      <c r="N984" s="29" t="str">
        <f>IF(Analysis!$I984="","",IF(Analysis!$I984="Loyal but shallow",Analysis!$H984,""))</f>
        <v/>
      </c>
      <c r="O984" s="29" t="str">
        <f>IF(Analysis!$I984="","",IF(Analysis!$I984="Project-driven",Analysis!$H984,""))</f>
        <v/>
      </c>
      <c r="P984" s="29" t="str">
        <f>IF(Analysis!$I984="","",IF(Analysis!$I984="Drifting",Analysis!$H984,""))</f>
        <v/>
      </c>
    </row>
    <row r="985" spans="1:16" x14ac:dyDescent="0.25">
      <c r="A985" s="29" t="str">
        <f>IF(Analysis!$I985="","",IF(Analysis!$I985="Embedded",Analysis!$D985,""))</f>
        <v/>
      </c>
      <c r="B985" s="29" t="str">
        <f>IF(Analysis!$I985="","",IF(Analysis!$I985="Loyal but shallow",Analysis!$D985,""))</f>
        <v/>
      </c>
      <c r="C985" s="29" t="str">
        <f>IF(Analysis!$I985="","",IF(Analysis!$I985="Project-driven",Analysis!$D985,""))</f>
        <v/>
      </c>
      <c r="D985" s="29" t="str">
        <f>IF(Analysis!$I985="","",IF(Analysis!$I985="Drifting",Analysis!$D985,""))</f>
        <v/>
      </c>
      <c r="E985" s="29" t="str">
        <f>IF(Analysis!$I985="","",IF(Analysis!$I985="Embedded",Analysis!$C985,""))</f>
        <v/>
      </c>
      <c r="F985" s="29" t="str">
        <f>IF(Analysis!$I985="","",IF(Analysis!$I985="Loyal but shallow",Analysis!$C985,""))</f>
        <v/>
      </c>
      <c r="G985" s="29" t="str">
        <f>IF(Analysis!$I985="","",IF(Analysis!$I985="Project-driven",Analysis!$C985,""))</f>
        <v/>
      </c>
      <c r="H985" s="29" t="str">
        <f>IF(Analysis!$I985="","",IF(Analysis!$I985="Drifting",Analysis!$C985,""))</f>
        <v/>
      </c>
      <c r="I985" s="29" t="str">
        <f>IF(Analysis!$I985="","",IF(Analysis!$I985="Embedded",Analysis!$F985,""))</f>
        <v/>
      </c>
      <c r="J985" s="29" t="str">
        <f>IF(Analysis!$I985="","",IF(Analysis!$I985="Loyal but shallow",Analysis!$F985,""))</f>
        <v/>
      </c>
      <c r="K985" s="29" t="str">
        <f>IF(Analysis!$I985="","",IF(Analysis!$I985="Project-driven",Analysis!$F985,""))</f>
        <v/>
      </c>
      <c r="L985" s="29" t="str">
        <f>IF(Analysis!$I985="","",IF(Analysis!$I985="Drifting",Analysis!$F985,""))</f>
        <v/>
      </c>
      <c r="M985" s="29" t="str">
        <f>IF(Analysis!$I985="","",IF(Analysis!$I985="Embedded",Analysis!$H985,""))</f>
        <v/>
      </c>
      <c r="N985" s="29" t="str">
        <f>IF(Analysis!$I985="","",IF(Analysis!$I985="Loyal but shallow",Analysis!$H985,""))</f>
        <v/>
      </c>
      <c r="O985" s="29" t="str">
        <f>IF(Analysis!$I985="","",IF(Analysis!$I985="Project-driven",Analysis!$H985,""))</f>
        <v/>
      </c>
      <c r="P985" s="29" t="str">
        <f>IF(Analysis!$I985="","",IF(Analysis!$I985="Drifting",Analysis!$H985,""))</f>
        <v/>
      </c>
    </row>
    <row r="986" spans="1:16" x14ac:dyDescent="0.25">
      <c r="A986" s="29" t="str">
        <f>IF(Analysis!$I986="","",IF(Analysis!$I986="Embedded",Analysis!$D986,""))</f>
        <v/>
      </c>
      <c r="B986" s="29" t="str">
        <f>IF(Analysis!$I986="","",IF(Analysis!$I986="Loyal but shallow",Analysis!$D986,""))</f>
        <v/>
      </c>
      <c r="C986" s="29" t="str">
        <f>IF(Analysis!$I986="","",IF(Analysis!$I986="Project-driven",Analysis!$D986,""))</f>
        <v/>
      </c>
      <c r="D986" s="29" t="str">
        <f>IF(Analysis!$I986="","",IF(Analysis!$I986="Drifting",Analysis!$D986,""))</f>
        <v/>
      </c>
      <c r="E986" s="29" t="str">
        <f>IF(Analysis!$I986="","",IF(Analysis!$I986="Embedded",Analysis!$C986,""))</f>
        <v/>
      </c>
      <c r="F986" s="29" t="str">
        <f>IF(Analysis!$I986="","",IF(Analysis!$I986="Loyal but shallow",Analysis!$C986,""))</f>
        <v/>
      </c>
      <c r="G986" s="29" t="str">
        <f>IF(Analysis!$I986="","",IF(Analysis!$I986="Project-driven",Analysis!$C986,""))</f>
        <v/>
      </c>
      <c r="H986" s="29" t="str">
        <f>IF(Analysis!$I986="","",IF(Analysis!$I986="Drifting",Analysis!$C986,""))</f>
        <v/>
      </c>
      <c r="I986" s="29" t="str">
        <f>IF(Analysis!$I986="","",IF(Analysis!$I986="Embedded",Analysis!$F986,""))</f>
        <v/>
      </c>
      <c r="J986" s="29" t="str">
        <f>IF(Analysis!$I986="","",IF(Analysis!$I986="Loyal but shallow",Analysis!$F986,""))</f>
        <v/>
      </c>
      <c r="K986" s="29" t="str">
        <f>IF(Analysis!$I986="","",IF(Analysis!$I986="Project-driven",Analysis!$F986,""))</f>
        <v/>
      </c>
      <c r="L986" s="29" t="str">
        <f>IF(Analysis!$I986="","",IF(Analysis!$I986="Drifting",Analysis!$F986,""))</f>
        <v/>
      </c>
      <c r="M986" s="29" t="str">
        <f>IF(Analysis!$I986="","",IF(Analysis!$I986="Embedded",Analysis!$H986,""))</f>
        <v/>
      </c>
      <c r="N986" s="29" t="str">
        <f>IF(Analysis!$I986="","",IF(Analysis!$I986="Loyal but shallow",Analysis!$H986,""))</f>
        <v/>
      </c>
      <c r="O986" s="29" t="str">
        <f>IF(Analysis!$I986="","",IF(Analysis!$I986="Project-driven",Analysis!$H986,""))</f>
        <v/>
      </c>
      <c r="P986" s="29" t="str">
        <f>IF(Analysis!$I986="","",IF(Analysis!$I986="Drifting",Analysis!$H986,""))</f>
        <v/>
      </c>
    </row>
    <row r="987" spans="1:16" x14ac:dyDescent="0.25">
      <c r="A987" s="29" t="str">
        <f>IF(Analysis!$I987="","",IF(Analysis!$I987="Embedded",Analysis!$D987,""))</f>
        <v/>
      </c>
      <c r="B987" s="29" t="str">
        <f>IF(Analysis!$I987="","",IF(Analysis!$I987="Loyal but shallow",Analysis!$D987,""))</f>
        <v/>
      </c>
      <c r="C987" s="29" t="str">
        <f>IF(Analysis!$I987="","",IF(Analysis!$I987="Project-driven",Analysis!$D987,""))</f>
        <v/>
      </c>
      <c r="D987" s="29" t="str">
        <f>IF(Analysis!$I987="","",IF(Analysis!$I987="Drifting",Analysis!$D987,""))</f>
        <v/>
      </c>
      <c r="E987" s="29" t="str">
        <f>IF(Analysis!$I987="","",IF(Analysis!$I987="Embedded",Analysis!$C987,""))</f>
        <v/>
      </c>
      <c r="F987" s="29" t="str">
        <f>IF(Analysis!$I987="","",IF(Analysis!$I987="Loyal but shallow",Analysis!$C987,""))</f>
        <v/>
      </c>
      <c r="G987" s="29" t="str">
        <f>IF(Analysis!$I987="","",IF(Analysis!$I987="Project-driven",Analysis!$C987,""))</f>
        <v/>
      </c>
      <c r="H987" s="29" t="str">
        <f>IF(Analysis!$I987="","",IF(Analysis!$I987="Drifting",Analysis!$C987,""))</f>
        <v/>
      </c>
      <c r="I987" s="29" t="str">
        <f>IF(Analysis!$I987="","",IF(Analysis!$I987="Embedded",Analysis!$F987,""))</f>
        <v/>
      </c>
      <c r="J987" s="29" t="str">
        <f>IF(Analysis!$I987="","",IF(Analysis!$I987="Loyal but shallow",Analysis!$F987,""))</f>
        <v/>
      </c>
      <c r="K987" s="29" t="str">
        <f>IF(Analysis!$I987="","",IF(Analysis!$I987="Project-driven",Analysis!$F987,""))</f>
        <v/>
      </c>
      <c r="L987" s="29" t="str">
        <f>IF(Analysis!$I987="","",IF(Analysis!$I987="Drifting",Analysis!$F987,""))</f>
        <v/>
      </c>
      <c r="M987" s="29" t="str">
        <f>IF(Analysis!$I987="","",IF(Analysis!$I987="Embedded",Analysis!$H987,""))</f>
        <v/>
      </c>
      <c r="N987" s="29" t="str">
        <f>IF(Analysis!$I987="","",IF(Analysis!$I987="Loyal but shallow",Analysis!$H987,""))</f>
        <v/>
      </c>
      <c r="O987" s="29" t="str">
        <f>IF(Analysis!$I987="","",IF(Analysis!$I987="Project-driven",Analysis!$H987,""))</f>
        <v/>
      </c>
      <c r="P987" s="29" t="str">
        <f>IF(Analysis!$I987="","",IF(Analysis!$I987="Drifting",Analysis!$H987,""))</f>
        <v/>
      </c>
    </row>
    <row r="988" spans="1:16" x14ac:dyDescent="0.25">
      <c r="A988" s="29" t="str">
        <f>IF(Analysis!$I988="","",IF(Analysis!$I988="Embedded",Analysis!$D988,""))</f>
        <v/>
      </c>
      <c r="B988" s="29" t="str">
        <f>IF(Analysis!$I988="","",IF(Analysis!$I988="Loyal but shallow",Analysis!$D988,""))</f>
        <v/>
      </c>
      <c r="C988" s="29" t="str">
        <f>IF(Analysis!$I988="","",IF(Analysis!$I988="Project-driven",Analysis!$D988,""))</f>
        <v/>
      </c>
      <c r="D988" s="29" t="str">
        <f>IF(Analysis!$I988="","",IF(Analysis!$I988="Drifting",Analysis!$D988,""))</f>
        <v/>
      </c>
      <c r="E988" s="29" t="str">
        <f>IF(Analysis!$I988="","",IF(Analysis!$I988="Embedded",Analysis!$C988,""))</f>
        <v/>
      </c>
      <c r="F988" s="29" t="str">
        <f>IF(Analysis!$I988="","",IF(Analysis!$I988="Loyal but shallow",Analysis!$C988,""))</f>
        <v/>
      </c>
      <c r="G988" s="29" t="str">
        <f>IF(Analysis!$I988="","",IF(Analysis!$I988="Project-driven",Analysis!$C988,""))</f>
        <v/>
      </c>
      <c r="H988" s="29" t="str">
        <f>IF(Analysis!$I988="","",IF(Analysis!$I988="Drifting",Analysis!$C988,""))</f>
        <v/>
      </c>
      <c r="I988" s="29" t="str">
        <f>IF(Analysis!$I988="","",IF(Analysis!$I988="Embedded",Analysis!$F988,""))</f>
        <v/>
      </c>
      <c r="J988" s="29" t="str">
        <f>IF(Analysis!$I988="","",IF(Analysis!$I988="Loyal but shallow",Analysis!$F988,""))</f>
        <v/>
      </c>
      <c r="K988" s="29" t="str">
        <f>IF(Analysis!$I988="","",IF(Analysis!$I988="Project-driven",Analysis!$F988,""))</f>
        <v/>
      </c>
      <c r="L988" s="29" t="str">
        <f>IF(Analysis!$I988="","",IF(Analysis!$I988="Drifting",Analysis!$F988,""))</f>
        <v/>
      </c>
      <c r="M988" s="29" t="str">
        <f>IF(Analysis!$I988="","",IF(Analysis!$I988="Embedded",Analysis!$H988,""))</f>
        <v/>
      </c>
      <c r="N988" s="29" t="str">
        <f>IF(Analysis!$I988="","",IF(Analysis!$I988="Loyal but shallow",Analysis!$H988,""))</f>
        <v/>
      </c>
      <c r="O988" s="29" t="str">
        <f>IF(Analysis!$I988="","",IF(Analysis!$I988="Project-driven",Analysis!$H988,""))</f>
        <v/>
      </c>
      <c r="P988" s="29" t="str">
        <f>IF(Analysis!$I988="","",IF(Analysis!$I988="Drifting",Analysis!$H988,""))</f>
        <v/>
      </c>
    </row>
    <row r="989" spans="1:16" x14ac:dyDescent="0.25">
      <c r="A989" s="29" t="str">
        <f>IF(Analysis!$I989="","",IF(Analysis!$I989="Embedded",Analysis!$D989,""))</f>
        <v/>
      </c>
      <c r="B989" s="29" t="str">
        <f>IF(Analysis!$I989="","",IF(Analysis!$I989="Loyal but shallow",Analysis!$D989,""))</f>
        <v/>
      </c>
      <c r="C989" s="29" t="str">
        <f>IF(Analysis!$I989="","",IF(Analysis!$I989="Project-driven",Analysis!$D989,""))</f>
        <v/>
      </c>
      <c r="D989" s="29" t="str">
        <f>IF(Analysis!$I989="","",IF(Analysis!$I989="Drifting",Analysis!$D989,""))</f>
        <v/>
      </c>
      <c r="E989" s="29" t="str">
        <f>IF(Analysis!$I989="","",IF(Analysis!$I989="Embedded",Analysis!$C989,""))</f>
        <v/>
      </c>
      <c r="F989" s="29" t="str">
        <f>IF(Analysis!$I989="","",IF(Analysis!$I989="Loyal but shallow",Analysis!$C989,""))</f>
        <v/>
      </c>
      <c r="G989" s="29" t="str">
        <f>IF(Analysis!$I989="","",IF(Analysis!$I989="Project-driven",Analysis!$C989,""))</f>
        <v/>
      </c>
      <c r="H989" s="29" t="str">
        <f>IF(Analysis!$I989="","",IF(Analysis!$I989="Drifting",Analysis!$C989,""))</f>
        <v/>
      </c>
      <c r="I989" s="29" t="str">
        <f>IF(Analysis!$I989="","",IF(Analysis!$I989="Embedded",Analysis!$F989,""))</f>
        <v/>
      </c>
      <c r="J989" s="29" t="str">
        <f>IF(Analysis!$I989="","",IF(Analysis!$I989="Loyal but shallow",Analysis!$F989,""))</f>
        <v/>
      </c>
      <c r="K989" s="29" t="str">
        <f>IF(Analysis!$I989="","",IF(Analysis!$I989="Project-driven",Analysis!$F989,""))</f>
        <v/>
      </c>
      <c r="L989" s="29" t="str">
        <f>IF(Analysis!$I989="","",IF(Analysis!$I989="Drifting",Analysis!$F989,""))</f>
        <v/>
      </c>
      <c r="M989" s="29" t="str">
        <f>IF(Analysis!$I989="","",IF(Analysis!$I989="Embedded",Analysis!$H989,""))</f>
        <v/>
      </c>
      <c r="N989" s="29" t="str">
        <f>IF(Analysis!$I989="","",IF(Analysis!$I989="Loyal but shallow",Analysis!$H989,""))</f>
        <v/>
      </c>
      <c r="O989" s="29" t="str">
        <f>IF(Analysis!$I989="","",IF(Analysis!$I989="Project-driven",Analysis!$H989,""))</f>
        <v/>
      </c>
      <c r="P989" s="29" t="str">
        <f>IF(Analysis!$I989="","",IF(Analysis!$I989="Drifting",Analysis!$H989,""))</f>
        <v/>
      </c>
    </row>
    <row r="990" spans="1:16" x14ac:dyDescent="0.25">
      <c r="A990" s="29" t="str">
        <f>IF(Analysis!$I990="","",IF(Analysis!$I990="Embedded",Analysis!$D990,""))</f>
        <v/>
      </c>
      <c r="B990" s="29" t="str">
        <f>IF(Analysis!$I990="","",IF(Analysis!$I990="Loyal but shallow",Analysis!$D990,""))</f>
        <v/>
      </c>
      <c r="C990" s="29" t="str">
        <f>IF(Analysis!$I990="","",IF(Analysis!$I990="Project-driven",Analysis!$D990,""))</f>
        <v/>
      </c>
      <c r="D990" s="29" t="str">
        <f>IF(Analysis!$I990="","",IF(Analysis!$I990="Drifting",Analysis!$D990,""))</f>
        <v/>
      </c>
      <c r="E990" s="29" t="str">
        <f>IF(Analysis!$I990="","",IF(Analysis!$I990="Embedded",Analysis!$C990,""))</f>
        <v/>
      </c>
      <c r="F990" s="29" t="str">
        <f>IF(Analysis!$I990="","",IF(Analysis!$I990="Loyal but shallow",Analysis!$C990,""))</f>
        <v/>
      </c>
      <c r="G990" s="29" t="str">
        <f>IF(Analysis!$I990="","",IF(Analysis!$I990="Project-driven",Analysis!$C990,""))</f>
        <v/>
      </c>
      <c r="H990" s="29" t="str">
        <f>IF(Analysis!$I990="","",IF(Analysis!$I990="Drifting",Analysis!$C990,""))</f>
        <v/>
      </c>
      <c r="I990" s="29" t="str">
        <f>IF(Analysis!$I990="","",IF(Analysis!$I990="Embedded",Analysis!$F990,""))</f>
        <v/>
      </c>
      <c r="J990" s="29" t="str">
        <f>IF(Analysis!$I990="","",IF(Analysis!$I990="Loyal but shallow",Analysis!$F990,""))</f>
        <v/>
      </c>
      <c r="K990" s="29" t="str">
        <f>IF(Analysis!$I990="","",IF(Analysis!$I990="Project-driven",Analysis!$F990,""))</f>
        <v/>
      </c>
      <c r="L990" s="29" t="str">
        <f>IF(Analysis!$I990="","",IF(Analysis!$I990="Drifting",Analysis!$F990,""))</f>
        <v/>
      </c>
      <c r="M990" s="29" t="str">
        <f>IF(Analysis!$I990="","",IF(Analysis!$I990="Embedded",Analysis!$H990,""))</f>
        <v/>
      </c>
      <c r="N990" s="29" t="str">
        <f>IF(Analysis!$I990="","",IF(Analysis!$I990="Loyal but shallow",Analysis!$H990,""))</f>
        <v/>
      </c>
      <c r="O990" s="29" t="str">
        <f>IF(Analysis!$I990="","",IF(Analysis!$I990="Project-driven",Analysis!$H990,""))</f>
        <v/>
      </c>
      <c r="P990" s="29" t="str">
        <f>IF(Analysis!$I990="","",IF(Analysis!$I990="Drifting",Analysis!$H990,""))</f>
        <v/>
      </c>
    </row>
    <row r="991" spans="1:16" x14ac:dyDescent="0.25">
      <c r="A991" s="29" t="str">
        <f>IF(Analysis!$I991="","",IF(Analysis!$I991="Embedded",Analysis!$D991,""))</f>
        <v/>
      </c>
      <c r="B991" s="29" t="str">
        <f>IF(Analysis!$I991="","",IF(Analysis!$I991="Loyal but shallow",Analysis!$D991,""))</f>
        <v/>
      </c>
      <c r="C991" s="29" t="str">
        <f>IF(Analysis!$I991="","",IF(Analysis!$I991="Project-driven",Analysis!$D991,""))</f>
        <v/>
      </c>
      <c r="D991" s="29" t="str">
        <f>IF(Analysis!$I991="","",IF(Analysis!$I991="Drifting",Analysis!$D991,""))</f>
        <v/>
      </c>
      <c r="E991" s="29" t="str">
        <f>IF(Analysis!$I991="","",IF(Analysis!$I991="Embedded",Analysis!$C991,""))</f>
        <v/>
      </c>
      <c r="F991" s="29" t="str">
        <f>IF(Analysis!$I991="","",IF(Analysis!$I991="Loyal but shallow",Analysis!$C991,""))</f>
        <v/>
      </c>
      <c r="G991" s="29" t="str">
        <f>IF(Analysis!$I991="","",IF(Analysis!$I991="Project-driven",Analysis!$C991,""))</f>
        <v/>
      </c>
      <c r="H991" s="29" t="str">
        <f>IF(Analysis!$I991="","",IF(Analysis!$I991="Drifting",Analysis!$C991,""))</f>
        <v/>
      </c>
      <c r="I991" s="29" t="str">
        <f>IF(Analysis!$I991="","",IF(Analysis!$I991="Embedded",Analysis!$F991,""))</f>
        <v/>
      </c>
      <c r="J991" s="29" t="str">
        <f>IF(Analysis!$I991="","",IF(Analysis!$I991="Loyal but shallow",Analysis!$F991,""))</f>
        <v/>
      </c>
      <c r="K991" s="29" t="str">
        <f>IF(Analysis!$I991="","",IF(Analysis!$I991="Project-driven",Analysis!$F991,""))</f>
        <v/>
      </c>
      <c r="L991" s="29" t="str">
        <f>IF(Analysis!$I991="","",IF(Analysis!$I991="Drifting",Analysis!$F991,""))</f>
        <v/>
      </c>
      <c r="M991" s="29" t="str">
        <f>IF(Analysis!$I991="","",IF(Analysis!$I991="Embedded",Analysis!$H991,""))</f>
        <v/>
      </c>
      <c r="N991" s="29" t="str">
        <f>IF(Analysis!$I991="","",IF(Analysis!$I991="Loyal but shallow",Analysis!$H991,""))</f>
        <v/>
      </c>
      <c r="O991" s="29" t="str">
        <f>IF(Analysis!$I991="","",IF(Analysis!$I991="Project-driven",Analysis!$H991,""))</f>
        <v/>
      </c>
      <c r="P991" s="29" t="str">
        <f>IF(Analysis!$I991="","",IF(Analysis!$I991="Drifting",Analysis!$H991,""))</f>
        <v/>
      </c>
    </row>
    <row r="992" spans="1:16" x14ac:dyDescent="0.25">
      <c r="A992" s="29" t="str">
        <f>IF(Analysis!$I992="","",IF(Analysis!$I992="Embedded",Analysis!$D992,""))</f>
        <v/>
      </c>
      <c r="B992" s="29" t="str">
        <f>IF(Analysis!$I992="","",IF(Analysis!$I992="Loyal but shallow",Analysis!$D992,""))</f>
        <v/>
      </c>
      <c r="C992" s="29" t="str">
        <f>IF(Analysis!$I992="","",IF(Analysis!$I992="Project-driven",Analysis!$D992,""))</f>
        <v/>
      </c>
      <c r="D992" s="29" t="str">
        <f>IF(Analysis!$I992="","",IF(Analysis!$I992="Drifting",Analysis!$D992,""))</f>
        <v/>
      </c>
      <c r="E992" s="29" t="str">
        <f>IF(Analysis!$I992="","",IF(Analysis!$I992="Embedded",Analysis!$C992,""))</f>
        <v/>
      </c>
      <c r="F992" s="29" t="str">
        <f>IF(Analysis!$I992="","",IF(Analysis!$I992="Loyal but shallow",Analysis!$C992,""))</f>
        <v/>
      </c>
      <c r="G992" s="29" t="str">
        <f>IF(Analysis!$I992="","",IF(Analysis!$I992="Project-driven",Analysis!$C992,""))</f>
        <v/>
      </c>
      <c r="H992" s="29" t="str">
        <f>IF(Analysis!$I992="","",IF(Analysis!$I992="Drifting",Analysis!$C992,""))</f>
        <v/>
      </c>
      <c r="I992" s="29" t="str">
        <f>IF(Analysis!$I992="","",IF(Analysis!$I992="Embedded",Analysis!$F992,""))</f>
        <v/>
      </c>
      <c r="J992" s="29" t="str">
        <f>IF(Analysis!$I992="","",IF(Analysis!$I992="Loyal but shallow",Analysis!$F992,""))</f>
        <v/>
      </c>
      <c r="K992" s="29" t="str">
        <f>IF(Analysis!$I992="","",IF(Analysis!$I992="Project-driven",Analysis!$F992,""))</f>
        <v/>
      </c>
      <c r="L992" s="29" t="str">
        <f>IF(Analysis!$I992="","",IF(Analysis!$I992="Drifting",Analysis!$F992,""))</f>
        <v/>
      </c>
      <c r="M992" s="29" t="str">
        <f>IF(Analysis!$I992="","",IF(Analysis!$I992="Embedded",Analysis!$H992,""))</f>
        <v/>
      </c>
      <c r="N992" s="29" t="str">
        <f>IF(Analysis!$I992="","",IF(Analysis!$I992="Loyal but shallow",Analysis!$H992,""))</f>
        <v/>
      </c>
      <c r="O992" s="29" t="str">
        <f>IF(Analysis!$I992="","",IF(Analysis!$I992="Project-driven",Analysis!$H992,""))</f>
        <v/>
      </c>
      <c r="P992" s="29" t="str">
        <f>IF(Analysis!$I992="","",IF(Analysis!$I992="Drifting",Analysis!$H992,""))</f>
        <v/>
      </c>
    </row>
    <row r="993" spans="1:16" x14ac:dyDescent="0.25">
      <c r="A993" s="29" t="str">
        <f>IF(Analysis!$I993="","",IF(Analysis!$I993="Embedded",Analysis!$D993,""))</f>
        <v/>
      </c>
      <c r="B993" s="29" t="str">
        <f>IF(Analysis!$I993="","",IF(Analysis!$I993="Loyal but shallow",Analysis!$D993,""))</f>
        <v/>
      </c>
      <c r="C993" s="29" t="str">
        <f>IF(Analysis!$I993="","",IF(Analysis!$I993="Project-driven",Analysis!$D993,""))</f>
        <v/>
      </c>
      <c r="D993" s="29" t="str">
        <f>IF(Analysis!$I993="","",IF(Analysis!$I993="Drifting",Analysis!$D993,""))</f>
        <v/>
      </c>
      <c r="E993" s="29" t="str">
        <f>IF(Analysis!$I993="","",IF(Analysis!$I993="Embedded",Analysis!$C993,""))</f>
        <v/>
      </c>
      <c r="F993" s="29" t="str">
        <f>IF(Analysis!$I993="","",IF(Analysis!$I993="Loyal but shallow",Analysis!$C993,""))</f>
        <v/>
      </c>
      <c r="G993" s="29" t="str">
        <f>IF(Analysis!$I993="","",IF(Analysis!$I993="Project-driven",Analysis!$C993,""))</f>
        <v/>
      </c>
      <c r="H993" s="29" t="str">
        <f>IF(Analysis!$I993="","",IF(Analysis!$I993="Drifting",Analysis!$C993,""))</f>
        <v/>
      </c>
      <c r="I993" s="29" t="str">
        <f>IF(Analysis!$I993="","",IF(Analysis!$I993="Embedded",Analysis!$F993,""))</f>
        <v/>
      </c>
      <c r="J993" s="29" t="str">
        <f>IF(Analysis!$I993="","",IF(Analysis!$I993="Loyal but shallow",Analysis!$F993,""))</f>
        <v/>
      </c>
      <c r="K993" s="29" t="str">
        <f>IF(Analysis!$I993="","",IF(Analysis!$I993="Project-driven",Analysis!$F993,""))</f>
        <v/>
      </c>
      <c r="L993" s="29" t="str">
        <f>IF(Analysis!$I993="","",IF(Analysis!$I993="Drifting",Analysis!$F993,""))</f>
        <v/>
      </c>
      <c r="M993" s="29" t="str">
        <f>IF(Analysis!$I993="","",IF(Analysis!$I993="Embedded",Analysis!$H993,""))</f>
        <v/>
      </c>
      <c r="N993" s="29" t="str">
        <f>IF(Analysis!$I993="","",IF(Analysis!$I993="Loyal but shallow",Analysis!$H993,""))</f>
        <v/>
      </c>
      <c r="O993" s="29" t="str">
        <f>IF(Analysis!$I993="","",IF(Analysis!$I993="Project-driven",Analysis!$H993,""))</f>
        <v/>
      </c>
      <c r="P993" s="29" t="str">
        <f>IF(Analysis!$I993="","",IF(Analysis!$I993="Drifting",Analysis!$H993,""))</f>
        <v/>
      </c>
    </row>
    <row r="994" spans="1:16" x14ac:dyDescent="0.25">
      <c r="A994" s="29" t="str">
        <f>IF(Analysis!$I994="","",IF(Analysis!$I994="Embedded",Analysis!$D994,""))</f>
        <v/>
      </c>
      <c r="B994" s="29" t="str">
        <f>IF(Analysis!$I994="","",IF(Analysis!$I994="Loyal but shallow",Analysis!$D994,""))</f>
        <v/>
      </c>
      <c r="C994" s="29" t="str">
        <f>IF(Analysis!$I994="","",IF(Analysis!$I994="Project-driven",Analysis!$D994,""))</f>
        <v/>
      </c>
      <c r="D994" s="29" t="str">
        <f>IF(Analysis!$I994="","",IF(Analysis!$I994="Drifting",Analysis!$D994,""))</f>
        <v/>
      </c>
      <c r="E994" s="29" t="str">
        <f>IF(Analysis!$I994="","",IF(Analysis!$I994="Embedded",Analysis!$C994,""))</f>
        <v/>
      </c>
      <c r="F994" s="29" t="str">
        <f>IF(Analysis!$I994="","",IF(Analysis!$I994="Loyal but shallow",Analysis!$C994,""))</f>
        <v/>
      </c>
      <c r="G994" s="29" t="str">
        <f>IF(Analysis!$I994="","",IF(Analysis!$I994="Project-driven",Analysis!$C994,""))</f>
        <v/>
      </c>
      <c r="H994" s="29" t="str">
        <f>IF(Analysis!$I994="","",IF(Analysis!$I994="Drifting",Analysis!$C994,""))</f>
        <v/>
      </c>
      <c r="I994" s="29" t="str">
        <f>IF(Analysis!$I994="","",IF(Analysis!$I994="Embedded",Analysis!$F994,""))</f>
        <v/>
      </c>
      <c r="J994" s="29" t="str">
        <f>IF(Analysis!$I994="","",IF(Analysis!$I994="Loyal but shallow",Analysis!$F994,""))</f>
        <v/>
      </c>
      <c r="K994" s="29" t="str">
        <f>IF(Analysis!$I994="","",IF(Analysis!$I994="Project-driven",Analysis!$F994,""))</f>
        <v/>
      </c>
      <c r="L994" s="29" t="str">
        <f>IF(Analysis!$I994="","",IF(Analysis!$I994="Drifting",Analysis!$F994,""))</f>
        <v/>
      </c>
      <c r="M994" s="29" t="str">
        <f>IF(Analysis!$I994="","",IF(Analysis!$I994="Embedded",Analysis!$H994,""))</f>
        <v/>
      </c>
      <c r="N994" s="29" t="str">
        <f>IF(Analysis!$I994="","",IF(Analysis!$I994="Loyal but shallow",Analysis!$H994,""))</f>
        <v/>
      </c>
      <c r="O994" s="29" t="str">
        <f>IF(Analysis!$I994="","",IF(Analysis!$I994="Project-driven",Analysis!$H994,""))</f>
        <v/>
      </c>
      <c r="P994" s="29" t="str">
        <f>IF(Analysis!$I994="","",IF(Analysis!$I994="Drifting",Analysis!$H994,""))</f>
        <v/>
      </c>
    </row>
    <row r="995" spans="1:16" x14ac:dyDescent="0.25">
      <c r="A995" s="29" t="str">
        <f>IF(Analysis!$I995="","",IF(Analysis!$I995="Embedded",Analysis!$D995,""))</f>
        <v/>
      </c>
      <c r="B995" s="29" t="str">
        <f>IF(Analysis!$I995="","",IF(Analysis!$I995="Loyal but shallow",Analysis!$D995,""))</f>
        <v/>
      </c>
      <c r="C995" s="29" t="str">
        <f>IF(Analysis!$I995="","",IF(Analysis!$I995="Project-driven",Analysis!$D995,""))</f>
        <v/>
      </c>
      <c r="D995" s="29" t="str">
        <f>IF(Analysis!$I995="","",IF(Analysis!$I995="Drifting",Analysis!$D995,""))</f>
        <v/>
      </c>
      <c r="E995" s="29" t="str">
        <f>IF(Analysis!$I995="","",IF(Analysis!$I995="Embedded",Analysis!$C995,""))</f>
        <v/>
      </c>
      <c r="F995" s="29" t="str">
        <f>IF(Analysis!$I995="","",IF(Analysis!$I995="Loyal but shallow",Analysis!$C995,""))</f>
        <v/>
      </c>
      <c r="G995" s="29" t="str">
        <f>IF(Analysis!$I995="","",IF(Analysis!$I995="Project-driven",Analysis!$C995,""))</f>
        <v/>
      </c>
      <c r="H995" s="29" t="str">
        <f>IF(Analysis!$I995="","",IF(Analysis!$I995="Drifting",Analysis!$C995,""))</f>
        <v/>
      </c>
      <c r="I995" s="29" t="str">
        <f>IF(Analysis!$I995="","",IF(Analysis!$I995="Embedded",Analysis!$F995,""))</f>
        <v/>
      </c>
      <c r="J995" s="29" t="str">
        <f>IF(Analysis!$I995="","",IF(Analysis!$I995="Loyal but shallow",Analysis!$F995,""))</f>
        <v/>
      </c>
      <c r="K995" s="29" t="str">
        <f>IF(Analysis!$I995="","",IF(Analysis!$I995="Project-driven",Analysis!$F995,""))</f>
        <v/>
      </c>
      <c r="L995" s="29" t="str">
        <f>IF(Analysis!$I995="","",IF(Analysis!$I995="Drifting",Analysis!$F995,""))</f>
        <v/>
      </c>
      <c r="M995" s="29" t="str">
        <f>IF(Analysis!$I995="","",IF(Analysis!$I995="Embedded",Analysis!$H995,""))</f>
        <v/>
      </c>
      <c r="N995" s="29" t="str">
        <f>IF(Analysis!$I995="","",IF(Analysis!$I995="Loyal but shallow",Analysis!$H995,""))</f>
        <v/>
      </c>
      <c r="O995" s="29" t="str">
        <f>IF(Analysis!$I995="","",IF(Analysis!$I995="Project-driven",Analysis!$H995,""))</f>
        <v/>
      </c>
      <c r="P995" s="29" t="str">
        <f>IF(Analysis!$I995="","",IF(Analysis!$I995="Drifting",Analysis!$H995,""))</f>
        <v/>
      </c>
    </row>
    <row r="996" spans="1:16" x14ac:dyDescent="0.25">
      <c r="A996" s="29" t="str">
        <f>IF(Analysis!$I996="","",IF(Analysis!$I996="Embedded",Analysis!$D996,""))</f>
        <v/>
      </c>
      <c r="B996" s="29" t="str">
        <f>IF(Analysis!$I996="","",IF(Analysis!$I996="Loyal but shallow",Analysis!$D996,""))</f>
        <v/>
      </c>
      <c r="C996" s="29" t="str">
        <f>IF(Analysis!$I996="","",IF(Analysis!$I996="Project-driven",Analysis!$D996,""))</f>
        <v/>
      </c>
      <c r="D996" s="29" t="str">
        <f>IF(Analysis!$I996="","",IF(Analysis!$I996="Drifting",Analysis!$D996,""))</f>
        <v/>
      </c>
      <c r="E996" s="29" t="str">
        <f>IF(Analysis!$I996="","",IF(Analysis!$I996="Embedded",Analysis!$C996,""))</f>
        <v/>
      </c>
      <c r="F996" s="29" t="str">
        <f>IF(Analysis!$I996="","",IF(Analysis!$I996="Loyal but shallow",Analysis!$C996,""))</f>
        <v/>
      </c>
      <c r="G996" s="29" t="str">
        <f>IF(Analysis!$I996="","",IF(Analysis!$I996="Project-driven",Analysis!$C996,""))</f>
        <v/>
      </c>
      <c r="H996" s="29" t="str">
        <f>IF(Analysis!$I996="","",IF(Analysis!$I996="Drifting",Analysis!$C996,""))</f>
        <v/>
      </c>
      <c r="I996" s="29" t="str">
        <f>IF(Analysis!$I996="","",IF(Analysis!$I996="Embedded",Analysis!$F996,""))</f>
        <v/>
      </c>
      <c r="J996" s="29" t="str">
        <f>IF(Analysis!$I996="","",IF(Analysis!$I996="Loyal but shallow",Analysis!$F996,""))</f>
        <v/>
      </c>
      <c r="K996" s="29" t="str">
        <f>IF(Analysis!$I996="","",IF(Analysis!$I996="Project-driven",Analysis!$F996,""))</f>
        <v/>
      </c>
      <c r="L996" s="29" t="str">
        <f>IF(Analysis!$I996="","",IF(Analysis!$I996="Drifting",Analysis!$F996,""))</f>
        <v/>
      </c>
      <c r="M996" s="29" t="str">
        <f>IF(Analysis!$I996="","",IF(Analysis!$I996="Embedded",Analysis!$H996,""))</f>
        <v/>
      </c>
      <c r="N996" s="29" t="str">
        <f>IF(Analysis!$I996="","",IF(Analysis!$I996="Loyal but shallow",Analysis!$H996,""))</f>
        <v/>
      </c>
      <c r="O996" s="29" t="str">
        <f>IF(Analysis!$I996="","",IF(Analysis!$I996="Project-driven",Analysis!$H996,""))</f>
        <v/>
      </c>
      <c r="P996" s="29" t="str">
        <f>IF(Analysis!$I996="","",IF(Analysis!$I996="Drifting",Analysis!$H996,""))</f>
        <v/>
      </c>
    </row>
    <row r="997" spans="1:16" x14ac:dyDescent="0.25">
      <c r="A997" s="29" t="str">
        <f>IF(Analysis!$I997="","",IF(Analysis!$I997="Embedded",Analysis!$D997,""))</f>
        <v/>
      </c>
      <c r="B997" s="29" t="str">
        <f>IF(Analysis!$I997="","",IF(Analysis!$I997="Loyal but shallow",Analysis!$D997,""))</f>
        <v/>
      </c>
      <c r="C997" s="29" t="str">
        <f>IF(Analysis!$I997="","",IF(Analysis!$I997="Project-driven",Analysis!$D997,""))</f>
        <v/>
      </c>
      <c r="D997" s="29" t="str">
        <f>IF(Analysis!$I997="","",IF(Analysis!$I997="Drifting",Analysis!$D997,""))</f>
        <v/>
      </c>
      <c r="E997" s="29" t="str">
        <f>IF(Analysis!$I997="","",IF(Analysis!$I997="Embedded",Analysis!$C997,""))</f>
        <v/>
      </c>
      <c r="F997" s="29" t="str">
        <f>IF(Analysis!$I997="","",IF(Analysis!$I997="Loyal but shallow",Analysis!$C997,""))</f>
        <v/>
      </c>
      <c r="G997" s="29" t="str">
        <f>IF(Analysis!$I997="","",IF(Analysis!$I997="Project-driven",Analysis!$C997,""))</f>
        <v/>
      </c>
      <c r="H997" s="29" t="str">
        <f>IF(Analysis!$I997="","",IF(Analysis!$I997="Drifting",Analysis!$C997,""))</f>
        <v/>
      </c>
      <c r="I997" s="29" t="str">
        <f>IF(Analysis!$I997="","",IF(Analysis!$I997="Embedded",Analysis!$F997,""))</f>
        <v/>
      </c>
      <c r="J997" s="29" t="str">
        <f>IF(Analysis!$I997="","",IF(Analysis!$I997="Loyal but shallow",Analysis!$F997,""))</f>
        <v/>
      </c>
      <c r="K997" s="29" t="str">
        <f>IF(Analysis!$I997="","",IF(Analysis!$I997="Project-driven",Analysis!$F997,""))</f>
        <v/>
      </c>
      <c r="L997" s="29" t="str">
        <f>IF(Analysis!$I997="","",IF(Analysis!$I997="Drifting",Analysis!$F997,""))</f>
        <v/>
      </c>
      <c r="M997" s="29" t="str">
        <f>IF(Analysis!$I997="","",IF(Analysis!$I997="Embedded",Analysis!$H997,""))</f>
        <v/>
      </c>
      <c r="N997" s="29" t="str">
        <f>IF(Analysis!$I997="","",IF(Analysis!$I997="Loyal but shallow",Analysis!$H997,""))</f>
        <v/>
      </c>
      <c r="O997" s="29" t="str">
        <f>IF(Analysis!$I997="","",IF(Analysis!$I997="Project-driven",Analysis!$H997,""))</f>
        <v/>
      </c>
      <c r="P997" s="29" t="str">
        <f>IF(Analysis!$I997="","",IF(Analysis!$I997="Drifting",Analysis!$H997,""))</f>
        <v/>
      </c>
    </row>
    <row r="998" spans="1:16" x14ac:dyDescent="0.25">
      <c r="A998" s="29" t="str">
        <f>IF(Analysis!$I998="","",IF(Analysis!$I998="Embedded",Analysis!$D998,""))</f>
        <v/>
      </c>
      <c r="B998" s="29" t="str">
        <f>IF(Analysis!$I998="","",IF(Analysis!$I998="Loyal but shallow",Analysis!$D998,""))</f>
        <v/>
      </c>
      <c r="C998" s="29" t="str">
        <f>IF(Analysis!$I998="","",IF(Analysis!$I998="Project-driven",Analysis!$D998,""))</f>
        <v/>
      </c>
      <c r="D998" s="29" t="str">
        <f>IF(Analysis!$I998="","",IF(Analysis!$I998="Drifting",Analysis!$D998,""))</f>
        <v/>
      </c>
      <c r="E998" s="29" t="str">
        <f>IF(Analysis!$I998="","",IF(Analysis!$I998="Embedded",Analysis!$C998,""))</f>
        <v/>
      </c>
      <c r="F998" s="29" t="str">
        <f>IF(Analysis!$I998="","",IF(Analysis!$I998="Loyal but shallow",Analysis!$C998,""))</f>
        <v/>
      </c>
      <c r="G998" s="29" t="str">
        <f>IF(Analysis!$I998="","",IF(Analysis!$I998="Project-driven",Analysis!$C998,""))</f>
        <v/>
      </c>
      <c r="H998" s="29" t="str">
        <f>IF(Analysis!$I998="","",IF(Analysis!$I998="Drifting",Analysis!$C998,""))</f>
        <v/>
      </c>
      <c r="I998" s="29" t="str">
        <f>IF(Analysis!$I998="","",IF(Analysis!$I998="Embedded",Analysis!$F998,""))</f>
        <v/>
      </c>
      <c r="J998" s="29" t="str">
        <f>IF(Analysis!$I998="","",IF(Analysis!$I998="Loyal but shallow",Analysis!$F998,""))</f>
        <v/>
      </c>
      <c r="K998" s="29" t="str">
        <f>IF(Analysis!$I998="","",IF(Analysis!$I998="Project-driven",Analysis!$F998,""))</f>
        <v/>
      </c>
      <c r="L998" s="29" t="str">
        <f>IF(Analysis!$I998="","",IF(Analysis!$I998="Drifting",Analysis!$F998,""))</f>
        <v/>
      </c>
      <c r="M998" s="29" t="str">
        <f>IF(Analysis!$I998="","",IF(Analysis!$I998="Embedded",Analysis!$H998,""))</f>
        <v/>
      </c>
      <c r="N998" s="29" t="str">
        <f>IF(Analysis!$I998="","",IF(Analysis!$I998="Loyal but shallow",Analysis!$H998,""))</f>
        <v/>
      </c>
      <c r="O998" s="29" t="str">
        <f>IF(Analysis!$I998="","",IF(Analysis!$I998="Project-driven",Analysis!$H998,""))</f>
        <v/>
      </c>
      <c r="P998" s="29" t="str">
        <f>IF(Analysis!$I998="","",IF(Analysis!$I998="Drifting",Analysis!$H998,""))</f>
        <v/>
      </c>
    </row>
    <row r="999" spans="1:16" x14ac:dyDescent="0.25">
      <c r="A999" s="29" t="str">
        <f>IF(Analysis!$I999="","",IF(Analysis!$I999="Embedded",Analysis!$D999,""))</f>
        <v/>
      </c>
      <c r="B999" s="29" t="str">
        <f>IF(Analysis!$I999="","",IF(Analysis!$I999="Loyal but shallow",Analysis!$D999,""))</f>
        <v/>
      </c>
      <c r="C999" s="29" t="str">
        <f>IF(Analysis!$I999="","",IF(Analysis!$I999="Project-driven",Analysis!$D999,""))</f>
        <v/>
      </c>
      <c r="D999" s="29" t="str">
        <f>IF(Analysis!$I999="","",IF(Analysis!$I999="Drifting",Analysis!$D999,""))</f>
        <v/>
      </c>
      <c r="E999" s="29" t="str">
        <f>IF(Analysis!$I999="","",IF(Analysis!$I999="Embedded",Analysis!$C999,""))</f>
        <v/>
      </c>
      <c r="F999" s="29" t="str">
        <f>IF(Analysis!$I999="","",IF(Analysis!$I999="Loyal but shallow",Analysis!$C999,""))</f>
        <v/>
      </c>
      <c r="G999" s="29" t="str">
        <f>IF(Analysis!$I999="","",IF(Analysis!$I999="Project-driven",Analysis!$C999,""))</f>
        <v/>
      </c>
      <c r="H999" s="29" t="str">
        <f>IF(Analysis!$I999="","",IF(Analysis!$I999="Drifting",Analysis!$C999,""))</f>
        <v/>
      </c>
      <c r="I999" s="29" t="str">
        <f>IF(Analysis!$I999="","",IF(Analysis!$I999="Embedded",Analysis!$F999,""))</f>
        <v/>
      </c>
      <c r="J999" s="29" t="str">
        <f>IF(Analysis!$I999="","",IF(Analysis!$I999="Loyal but shallow",Analysis!$F999,""))</f>
        <v/>
      </c>
      <c r="K999" s="29" t="str">
        <f>IF(Analysis!$I999="","",IF(Analysis!$I999="Project-driven",Analysis!$F999,""))</f>
        <v/>
      </c>
      <c r="L999" s="29" t="str">
        <f>IF(Analysis!$I999="","",IF(Analysis!$I999="Drifting",Analysis!$F999,""))</f>
        <v/>
      </c>
      <c r="M999" s="29" t="str">
        <f>IF(Analysis!$I999="","",IF(Analysis!$I999="Embedded",Analysis!$H999,""))</f>
        <v/>
      </c>
      <c r="N999" s="29" t="str">
        <f>IF(Analysis!$I999="","",IF(Analysis!$I999="Loyal but shallow",Analysis!$H999,""))</f>
        <v/>
      </c>
      <c r="O999" s="29" t="str">
        <f>IF(Analysis!$I999="","",IF(Analysis!$I999="Project-driven",Analysis!$H999,""))</f>
        <v/>
      </c>
      <c r="P999" s="29" t="str">
        <f>IF(Analysis!$I999="","",IF(Analysis!$I999="Drifting",Analysis!$H999,""))</f>
        <v/>
      </c>
    </row>
    <row r="1000" spans="1:16" x14ac:dyDescent="0.25">
      <c r="A1000" s="29" t="str">
        <f>IF(Analysis!$I1000="","",IF(Analysis!$I1000="Embedded",Analysis!$D1000,""))</f>
        <v/>
      </c>
      <c r="B1000" s="29" t="str">
        <f>IF(Analysis!$I1000="","",IF(Analysis!$I1000="Loyal but shallow",Analysis!$D1000,""))</f>
        <v/>
      </c>
      <c r="C1000" s="29" t="str">
        <f>IF(Analysis!$I1000="","",IF(Analysis!$I1000="Project-driven",Analysis!$D1000,""))</f>
        <v/>
      </c>
      <c r="D1000" s="29" t="str">
        <f>IF(Analysis!$I1000="","",IF(Analysis!$I1000="Drifting",Analysis!$D1000,""))</f>
        <v/>
      </c>
      <c r="E1000" s="29" t="str">
        <f>IF(Analysis!$I1000="","",IF(Analysis!$I1000="Embedded",Analysis!$C1000,""))</f>
        <v/>
      </c>
      <c r="F1000" s="29" t="str">
        <f>IF(Analysis!$I1000="","",IF(Analysis!$I1000="Loyal but shallow",Analysis!$C1000,""))</f>
        <v/>
      </c>
      <c r="G1000" s="29" t="str">
        <f>IF(Analysis!$I1000="","",IF(Analysis!$I1000="Project-driven",Analysis!$C1000,""))</f>
        <v/>
      </c>
      <c r="H1000" s="29" t="str">
        <f>IF(Analysis!$I1000="","",IF(Analysis!$I1000="Drifting",Analysis!$C1000,""))</f>
        <v/>
      </c>
      <c r="I1000" s="29" t="str">
        <f>IF(Analysis!$I1000="","",IF(Analysis!$I1000="Embedded",Analysis!$F1000,""))</f>
        <v/>
      </c>
      <c r="J1000" s="29" t="str">
        <f>IF(Analysis!$I1000="","",IF(Analysis!$I1000="Loyal but shallow",Analysis!$F1000,""))</f>
        <v/>
      </c>
      <c r="K1000" s="29" t="str">
        <f>IF(Analysis!$I1000="","",IF(Analysis!$I1000="Project-driven",Analysis!$F1000,""))</f>
        <v/>
      </c>
      <c r="L1000" s="29" t="str">
        <f>IF(Analysis!$I1000="","",IF(Analysis!$I1000="Drifting",Analysis!$F1000,""))</f>
        <v/>
      </c>
      <c r="M1000" s="29" t="str">
        <f>IF(Analysis!$I1000="","",IF(Analysis!$I1000="Embedded",Analysis!$H1000,""))</f>
        <v/>
      </c>
      <c r="N1000" s="29" t="str">
        <f>IF(Analysis!$I1000="","",IF(Analysis!$I1000="Loyal but shallow",Analysis!$H1000,""))</f>
        <v/>
      </c>
      <c r="O1000" s="29" t="str">
        <f>IF(Analysis!$I1000="","",IF(Analysis!$I1000="Project-driven",Analysis!$H1000,""))</f>
        <v/>
      </c>
      <c r="P1000" s="29" t="str">
        <f>IF(Analysis!$I1000="","",IF(Analysis!$I1000="Drifting",Analysis!$H1000,""))</f>
        <v/>
      </c>
    </row>
    <row r="1001" spans="1:16" x14ac:dyDescent="0.25">
      <c r="A1001" s="29" t="str">
        <f>IF(Analysis!$I1001="","",IF(Analysis!$I1001="Embedded",Analysis!$D1001,""))</f>
        <v/>
      </c>
      <c r="B1001" s="29" t="str">
        <f>IF(Analysis!$I1001="","",IF(Analysis!$I1001="Loyal but shallow",Analysis!$D1001,""))</f>
        <v/>
      </c>
      <c r="C1001" s="29" t="str">
        <f>IF(Analysis!$I1001="","",IF(Analysis!$I1001="Project-driven",Analysis!$D1001,""))</f>
        <v/>
      </c>
      <c r="D1001" s="29" t="str">
        <f>IF(Analysis!$I1001="","",IF(Analysis!$I1001="Drifting",Analysis!$D1001,""))</f>
        <v/>
      </c>
      <c r="E1001" s="29" t="str">
        <f>IF(Analysis!$I1001="","",IF(Analysis!$I1001="Embedded",Analysis!$C1001,""))</f>
        <v/>
      </c>
      <c r="F1001" s="29" t="str">
        <f>IF(Analysis!$I1001="","",IF(Analysis!$I1001="Loyal but shallow",Analysis!$C1001,""))</f>
        <v/>
      </c>
      <c r="G1001" s="29" t="str">
        <f>IF(Analysis!$I1001="","",IF(Analysis!$I1001="Project-driven",Analysis!$C1001,""))</f>
        <v/>
      </c>
      <c r="H1001" s="29" t="str">
        <f>IF(Analysis!$I1001="","",IF(Analysis!$I1001="Drifting",Analysis!$C1001,""))</f>
        <v/>
      </c>
      <c r="I1001" s="29" t="str">
        <f>IF(Analysis!$I1001="","",IF(Analysis!$I1001="Embedded",Analysis!$F1001,""))</f>
        <v/>
      </c>
      <c r="J1001" s="29" t="str">
        <f>IF(Analysis!$I1001="","",IF(Analysis!$I1001="Loyal but shallow",Analysis!$F1001,""))</f>
        <v/>
      </c>
      <c r="K1001" s="29" t="str">
        <f>IF(Analysis!$I1001="","",IF(Analysis!$I1001="Project-driven",Analysis!$F1001,""))</f>
        <v/>
      </c>
      <c r="L1001" s="29" t="str">
        <f>IF(Analysis!$I1001="","",IF(Analysis!$I1001="Drifting",Analysis!$F1001,""))</f>
        <v/>
      </c>
      <c r="M1001" s="29" t="str">
        <f>IF(Analysis!$I1001="","",IF(Analysis!$I1001="Embedded",Analysis!$H1001,""))</f>
        <v/>
      </c>
      <c r="N1001" s="29" t="str">
        <f>IF(Analysis!$I1001="","",IF(Analysis!$I1001="Loyal but shallow",Analysis!$H1001,""))</f>
        <v/>
      </c>
      <c r="O1001" s="29" t="str">
        <f>IF(Analysis!$I1001="","",IF(Analysis!$I1001="Project-driven",Analysis!$H1001,""))</f>
        <v/>
      </c>
      <c r="P1001" s="29" t="str">
        <f>IF(Analysis!$I1001="","",IF(Analysis!$I1001="Drifting",Analysis!$H1001,""))</f>
        <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GridLines="0" workbookViewId="0"/>
  </sheetViews>
  <sheetFormatPr defaultRowHeight="15" x14ac:dyDescent="0.25"/>
  <cols>
    <col min="1" max="1" width="20" customWidth="1"/>
    <col min="2" max="2" width="34" customWidth="1"/>
    <col min="3" max="3" width="9" customWidth="1"/>
    <col min="4" max="4" width="13" customWidth="1"/>
    <col min="5" max="5" width="15" customWidth="1"/>
    <col min="6" max="8" width="13" customWidth="1"/>
    <col min="9" max="9" width="11" customWidth="1"/>
    <col min="10" max="10" width="62" customWidth="1"/>
  </cols>
  <sheetData>
    <row r="1" spans="1:10" ht="18" x14ac:dyDescent="0.25">
      <c r="A1" s="1" t="s">
        <v>172</v>
      </c>
    </row>
    <row r="2" spans="1:10" x14ac:dyDescent="0.25">
      <c r="A2" s="30" t="str">
        <f>cust_name&amp;" - "&amp;nrows&amp;" users - "&amp;period_days&amp;"-day window - refreshed "&amp;IF(refresh_date="","date not stated",TEXT(refresh_date,"d mmm yyyy"))&amp;" - "&amp;run_mode&amp;" mode"</f>
        <v>Example Customer Ltd - 3 users - 90-day window - refreshed 26 Aug 2026 - SMALL mode</v>
      </c>
    </row>
    <row r="3" spans="1:10" ht="18" customHeight="1" x14ac:dyDescent="0.25">
      <c r="A3" s="54" t="s">
        <v>173</v>
      </c>
      <c r="B3" s="52"/>
      <c r="C3" s="52"/>
      <c r="D3" s="52"/>
      <c r="E3" s="52"/>
      <c r="F3" s="52"/>
      <c r="G3" s="52"/>
      <c r="H3" s="52"/>
      <c r="I3" s="52"/>
      <c r="J3" s="52"/>
    </row>
    <row r="5" spans="1:10" ht="42" customHeight="1" x14ac:dyDescent="0.25">
      <c r="A5" s="10" t="s">
        <v>152</v>
      </c>
      <c r="B5" s="10" t="s">
        <v>174</v>
      </c>
      <c r="C5" s="10" t="s">
        <v>175</v>
      </c>
      <c r="D5" s="10" t="s">
        <v>176</v>
      </c>
      <c r="E5" s="10" t="s">
        <v>177</v>
      </c>
      <c r="F5" s="10" t="s">
        <v>178</v>
      </c>
      <c r="G5" s="10" t="s">
        <v>179</v>
      </c>
      <c r="H5" s="10" t="s">
        <v>180</v>
      </c>
      <c r="I5" s="10" t="s">
        <v>181</v>
      </c>
      <c r="J5" s="10" t="s">
        <v>182</v>
      </c>
    </row>
    <row r="6" spans="1:10" ht="56.1" customHeight="1" x14ac:dyDescent="0.25">
      <c r="A6" s="31" t="s">
        <v>183</v>
      </c>
      <c r="B6" s="32" t="s">
        <v>184</v>
      </c>
      <c r="C6" s="33">
        <f>COUNTIF(Analysis!$I$2:$I$1001,$A6)</f>
        <v>1</v>
      </c>
      <c r="D6" s="34" t="str">
        <f>IF($C6&lt;5,"n&lt;5 not reported",IFERROR($C6/nrows,0))</f>
        <v>n&lt;5 not reported</v>
      </c>
      <c r="E6" s="34" t="str">
        <f>IF($C6&lt;5,"n&lt;5 not reported",IFERROR(SUMIF(Analysis!$I$2:$I$1001,$A6,Analysis!$D$2:$D$1001)/SUM(Analysis!$D$2:$D$1001),0))</f>
        <v>n&lt;5 not reported</v>
      </c>
      <c r="F6" s="33" t="str">
        <f>IF($C6&lt;5,"n&lt;5 not reported",MEDIAN(Calc!$A$2:$A$1001))</f>
        <v>n&lt;5 not reported</v>
      </c>
      <c r="G6" s="33" t="str">
        <f>IF($C6&lt;5,"n&lt;5 not reported",MEDIAN(Calc!$E$2:$E$1001))</f>
        <v>n&lt;5 not reported</v>
      </c>
      <c r="H6" s="35" t="str">
        <f>IF($C6&lt;5,"n&lt;5 not reported",MEDIAN(Calc!$I$2:$I$1001))</f>
        <v>n&lt;5 not reported</v>
      </c>
      <c r="I6" s="33" t="str">
        <f>IF($C6&lt;5,"n&lt;5 not reported",MEDIAN(Calc!$M$2:$M$1001))</f>
        <v>n&lt;5 not reported</v>
      </c>
      <c r="J6" s="36" t="s">
        <v>185</v>
      </c>
    </row>
    <row r="7" spans="1:10" ht="56.1" customHeight="1" x14ac:dyDescent="0.25">
      <c r="A7" s="31" t="s">
        <v>186</v>
      </c>
      <c r="B7" s="32" t="s">
        <v>187</v>
      </c>
      <c r="C7" s="33">
        <f>COUNTIF(Analysis!$I$2:$I$1001,$A7)</f>
        <v>1</v>
      </c>
      <c r="D7" s="34" t="str">
        <f>IF($C7&lt;5,"n&lt;5 not reported",IFERROR($C7/nrows,0))</f>
        <v>n&lt;5 not reported</v>
      </c>
      <c r="E7" s="34" t="str">
        <f>IF($C7&lt;5,"n&lt;5 not reported",IFERROR(SUMIF(Analysis!$I$2:$I$1001,$A7,Analysis!$D$2:$D$1001)/SUM(Analysis!$D$2:$D$1001),0))</f>
        <v>n&lt;5 not reported</v>
      </c>
      <c r="F7" s="33" t="str">
        <f>IF($C7&lt;5,"n&lt;5 not reported",MEDIAN(Calc!$B$2:$B$1001))</f>
        <v>n&lt;5 not reported</v>
      </c>
      <c r="G7" s="33" t="str">
        <f>IF($C7&lt;5,"n&lt;5 not reported",MEDIAN(Calc!$F$2:$F$1001))</f>
        <v>n&lt;5 not reported</v>
      </c>
      <c r="H7" s="35" t="str">
        <f>IF($C7&lt;5,"n&lt;5 not reported",MEDIAN(Calc!$J$2:$J$1001))</f>
        <v>n&lt;5 not reported</v>
      </c>
      <c r="I7" s="33" t="str">
        <f>IF($C7&lt;5,"n&lt;5 not reported",MEDIAN(Calc!$N$2:$N$1001))</f>
        <v>n&lt;5 not reported</v>
      </c>
      <c r="J7" s="36" t="s">
        <v>188</v>
      </c>
    </row>
    <row r="8" spans="1:10" ht="56.1" customHeight="1" x14ac:dyDescent="0.25">
      <c r="A8" s="31" t="s">
        <v>189</v>
      </c>
      <c r="B8" s="32" t="s">
        <v>190</v>
      </c>
      <c r="C8" s="33">
        <f>COUNTIF(Analysis!$I$2:$I$1001,$A8)</f>
        <v>0</v>
      </c>
      <c r="D8" s="34" t="str">
        <f>IF($C8&lt;5,"n&lt;5 not reported",IFERROR($C8/nrows,0))</f>
        <v>n&lt;5 not reported</v>
      </c>
      <c r="E8" s="34" t="str">
        <f>IF($C8&lt;5,"n&lt;5 not reported",IFERROR(SUMIF(Analysis!$I$2:$I$1001,$A8,Analysis!$D$2:$D$1001)/SUM(Analysis!$D$2:$D$1001),0))</f>
        <v>n&lt;5 not reported</v>
      </c>
      <c r="F8" s="33" t="str">
        <f>IF($C8&lt;5,"n&lt;5 not reported",MEDIAN(Calc!$C$2:$C$1001))</f>
        <v>n&lt;5 not reported</v>
      </c>
      <c r="G8" s="33" t="str">
        <f>IF($C8&lt;5,"n&lt;5 not reported",MEDIAN(Calc!$G$2:$G$1001))</f>
        <v>n&lt;5 not reported</v>
      </c>
      <c r="H8" s="35" t="str">
        <f>IF($C8&lt;5,"n&lt;5 not reported",MEDIAN(Calc!$K$2:$K$1001))</f>
        <v>n&lt;5 not reported</v>
      </c>
      <c r="I8" s="33" t="str">
        <f>IF($C8&lt;5,"n&lt;5 not reported",MEDIAN(Calc!$O$2:$O$1001))</f>
        <v>n&lt;5 not reported</v>
      </c>
      <c r="J8" s="36" t="s">
        <v>191</v>
      </c>
    </row>
    <row r="9" spans="1:10" ht="56.1" customHeight="1" x14ac:dyDescent="0.25">
      <c r="A9" s="31" t="s">
        <v>192</v>
      </c>
      <c r="B9" s="32" t="s">
        <v>193</v>
      </c>
      <c r="C9" s="33">
        <f>COUNTIF(Analysis!$I$2:$I$1001,$A9)</f>
        <v>1</v>
      </c>
      <c r="D9" s="34" t="str">
        <f>IF($C9&lt;5,"n&lt;5 not reported",IFERROR($C9/nrows,0))</f>
        <v>n&lt;5 not reported</v>
      </c>
      <c r="E9" s="34" t="str">
        <f>IF($C9&lt;5,"n&lt;5 not reported",IFERROR(SUMIF(Analysis!$I$2:$I$1001,$A9,Analysis!$D$2:$D$1001)/SUM(Analysis!$D$2:$D$1001),0))</f>
        <v>n&lt;5 not reported</v>
      </c>
      <c r="F9" s="33" t="str">
        <f>IF($C9&lt;5,"n&lt;5 not reported",MEDIAN(Calc!$D$2:$D$1001))</f>
        <v>n&lt;5 not reported</v>
      </c>
      <c r="G9" s="33" t="str">
        <f>IF($C9&lt;5,"n&lt;5 not reported",MEDIAN(Calc!$H$2:$H$1001))</f>
        <v>n&lt;5 not reported</v>
      </c>
      <c r="H9" s="35" t="str">
        <f>IF($C9&lt;5,"n&lt;5 not reported",MEDIAN(Calc!$L$2:$L$1001))</f>
        <v>n&lt;5 not reported</v>
      </c>
      <c r="I9" s="33" t="str">
        <f>IF($C9&lt;5,"n&lt;5 not reported",MEDIAN(Calc!$P$2:$P$1001))</f>
        <v>n&lt;5 not reported</v>
      </c>
      <c r="J9" s="36" t="s">
        <v>194</v>
      </c>
    </row>
    <row r="10" spans="1:10" x14ac:dyDescent="0.25">
      <c r="A10" s="14" t="s">
        <v>195</v>
      </c>
      <c r="B10" s="16" t="s">
        <v>196</v>
      </c>
      <c r="C10" s="37">
        <f>SUM(C6:C9)</f>
        <v>3</v>
      </c>
      <c r="D10" s="38">
        <f>IF(nrows=0,"",SUM(C6:C9)/nrows)</f>
        <v>1</v>
      </c>
      <c r="E10" s="38">
        <f>IF(SUM(Analysis!$D$2:$D$1001)=0,"",1)</f>
        <v>1</v>
      </c>
    </row>
    <row r="12" spans="1:10" x14ac:dyDescent="0.25">
      <c r="A12" s="2" t="s">
        <v>197</v>
      </c>
    </row>
    <row r="13" spans="1:10" ht="30" customHeight="1" x14ac:dyDescent="0.25">
      <c r="A13" s="56" t="str">
        <f>IF($C$6&lt;5,"Fewer than five Embedded users - do not quote a share. Report the count ("&amp;$C$6&amp;") and the never-active number instead, and say plainly that the sample is too small for a percentage.","Embedded users are "&amp;TEXT($D$6,"0.0%")&amp;" of the licensed population and generate "&amp;TEXT($E$6,"0.0%")&amp;" of all prompts. That gap is the finding: it is where the return is concentrated, and how thin it is.")</f>
        <v>Fewer than five Embedded users - do not quote a share. Report the count (1) and the never-active number instead, and say plainly that the sample is too small for a percentage.</v>
      </c>
      <c r="B13" s="52"/>
      <c r="C13" s="52"/>
      <c r="D13" s="52"/>
      <c r="E13" s="52"/>
      <c r="F13" s="52"/>
      <c r="G13" s="52"/>
      <c r="H13" s="52"/>
      <c r="I13" s="52"/>
      <c r="J13" s="52"/>
    </row>
    <row r="14" spans="1:10" ht="30" customHeight="1" x14ac:dyDescent="0.25">
      <c r="A14" s="56" t="str">
        <f>IF($C$9&lt;5,"Fewer than five Drifting users - report the count ("&amp;$C$9&amp;") only.","Drifting users are "&amp;TEXT($D$9,"0.0%")&amp;" of the population and generate "&amp;TEXT($E$9,"0.0%")&amp;" of all prompts. Exposure happened; a reason to come back did not. Split the band below before acting on it.")</f>
        <v>Fewer than five Drifting users - report the count (1) only.</v>
      </c>
      <c r="B14" s="52"/>
      <c r="C14" s="52"/>
      <c r="D14" s="52"/>
      <c r="E14" s="52"/>
      <c r="F14" s="52"/>
      <c r="G14" s="52"/>
      <c r="H14" s="52"/>
      <c r="I14" s="52"/>
      <c r="J14" s="52"/>
    </row>
    <row r="16" spans="1:10" x14ac:dyDescent="0.25">
      <c r="A16" s="2" t="s">
        <v>198</v>
      </c>
    </row>
    <row r="17" spans="1:10" x14ac:dyDescent="0.25">
      <c r="A17" s="55" t="s">
        <v>199</v>
      </c>
      <c r="B17" s="52"/>
      <c r="C17" s="37">
        <f>SUM(Analysis!$L$2:$L$1001)</f>
        <v>0</v>
      </c>
    </row>
    <row r="18" spans="1:10" x14ac:dyDescent="0.25">
      <c r="A18" s="55" t="s">
        <v>200</v>
      </c>
      <c r="B18" s="52"/>
      <c r="C18" s="37">
        <f>COUNTIF(Analysis!$D$2:$D$1001,0)</f>
        <v>0</v>
      </c>
    </row>
    <row r="19" spans="1:10" x14ac:dyDescent="0.25">
      <c r="A19" s="55" t="s">
        <v>201</v>
      </c>
      <c r="B19" s="52"/>
      <c r="C19" s="37">
        <f>COUNTIF(Analysis!$J$2:$J$1001,"never started")</f>
        <v>0</v>
      </c>
    </row>
    <row r="20" spans="1:10" x14ac:dyDescent="0.25">
      <c r="A20" s="55" t="s">
        <v>202</v>
      </c>
      <c r="B20" s="52"/>
      <c r="C20" s="37">
        <f>COUNTIF(Analysis!$J$2:$J$1001,"tried and stopped")</f>
        <v>1</v>
      </c>
    </row>
    <row r="21" spans="1:10" ht="30" customHeight="1" x14ac:dyDescent="0.25">
      <c r="A21" s="57" t="s">
        <v>203</v>
      </c>
      <c r="B21" s="52"/>
      <c r="C21" s="52"/>
      <c r="D21" s="52"/>
      <c r="E21" s="52"/>
      <c r="F21" s="52"/>
      <c r="G21" s="52"/>
      <c r="H21" s="52"/>
      <c r="I21" s="52"/>
      <c r="J21" s="52"/>
    </row>
    <row r="23" spans="1:10" x14ac:dyDescent="0.25">
      <c r="A23" s="2" t="s">
        <v>204</v>
      </c>
    </row>
    <row r="24" spans="1:10" x14ac:dyDescent="0.25">
      <c r="A24" s="40" t="s">
        <v>205</v>
      </c>
      <c r="C24" s="41">
        <f>IF(nrows=0,0,PERCENTILE(Analysis!$F$2:$F$1001,0.5))</f>
        <v>3.6666666666666665</v>
      </c>
    </row>
    <row r="25" spans="1:10" x14ac:dyDescent="0.25">
      <c r="A25" s="40" t="s">
        <v>206</v>
      </c>
      <c r="C25" s="41">
        <f>IF(nrows=0,0,PERCENTILE(Analysis!$F$2:$F$1001,0.75))</f>
        <v>8.3439716312056742</v>
      </c>
    </row>
    <row r="26" spans="1:10" x14ac:dyDescent="0.25">
      <c r="A26" s="40" t="s">
        <v>207</v>
      </c>
      <c r="C26" s="41">
        <f>IF(nrows=0,0,PERCENTILE(Analysis!$F$2:$F$1001,0.95))</f>
        <v>12.085815602836878</v>
      </c>
    </row>
    <row r="27" spans="1:10" x14ac:dyDescent="0.25">
      <c r="A27" s="40" t="s">
        <v>208</v>
      </c>
      <c r="C27" s="41">
        <f>MAX(Analysis!$F$2:$F$1001)</f>
        <v>13.021276595744681</v>
      </c>
    </row>
    <row r="28" spans="1:10" ht="27.95" customHeight="1" x14ac:dyDescent="0.25">
      <c r="A28" s="57" t="str">
        <f>IF(nrows&lt;60,"Under 60 users - quote the median and the maximum only. A 75th or 95th percentile computed on this few people is one person, and someone in the room will work out who.","Use these to replace an invented adoption target with a defensible one drawn from this tenant's own distribution.")</f>
        <v>Under 60 users - quote the median and the maximum only. A 75th or 95th percentile computed on this few people is one person, and someone in the room will work out who.</v>
      </c>
      <c r="B28" s="52"/>
      <c r="C28" s="52"/>
      <c r="D28" s="52"/>
      <c r="E28" s="52"/>
      <c r="F28" s="52"/>
      <c r="G28" s="52"/>
      <c r="H28" s="52"/>
      <c r="I28" s="52"/>
      <c r="J28" s="52"/>
    </row>
  </sheetData>
  <mergeCells count="9">
    <mergeCell ref="A28:J28"/>
    <mergeCell ref="A13:J13"/>
    <mergeCell ref="A20:B20"/>
    <mergeCell ref="A14:J14"/>
    <mergeCell ref="A19:B19"/>
    <mergeCell ref="A3:J3"/>
    <mergeCell ref="A21:J21"/>
    <mergeCell ref="A17:B17"/>
    <mergeCell ref="A18:B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showGridLines="0" workbookViewId="0"/>
  </sheetViews>
  <sheetFormatPr defaultRowHeight="15" x14ac:dyDescent="0.25"/>
  <cols>
    <col min="1" max="8" width="18" customWidth="1"/>
  </cols>
  <sheetData>
    <row r="1" spans="1:8" ht="18" x14ac:dyDescent="0.25">
      <c r="A1" s="1" t="s">
        <v>209</v>
      </c>
    </row>
    <row r="2" spans="1:8" x14ac:dyDescent="0.25">
      <c r="A2" s="42" t="str">
        <f>IF(run_mode="SMALL","SMALL MODE - do not use this chart. Read the ranked list on Analysis instead.","")</f>
        <v>SMALL MODE - do not use this chart. Read the ranked list on Analysis instead.</v>
      </c>
    </row>
    <row r="3" spans="1:8" ht="42" customHeight="1" x14ac:dyDescent="0.25">
      <c r="A3" s="58" t="str">
        <f>"Excluded from the plot: "&amp;COUNTIF(Analysis!$D$2:$D$1001,0)&amp;" users with zero prompts (a logarithmic axis cannot render zero; they are plotted at 1). Report refreshed "&amp;IF(refresh_date="","date not stated",TEXT(refresh_date,"d mmm yyyy"))&amp;", "&amp;period_days&amp;"-day window, "&amp;nrows&amp;" users. Relationships shown are correlational - this is a map of unrealised opportunity, not a scorecard of outcome."</f>
        <v>Excluded from the plot: 0 users with zero prompts (a logarithmic axis cannot render zero; they are plotted at 1). Report refreshed 26 Aug 2026, 90-day window, 3 users. Relationships shown are correlational - this is a map of unrealised opportunity, not a scorecard of outcome.</v>
      </c>
      <c r="B3" s="52"/>
      <c r="C3" s="52"/>
      <c r="D3" s="52"/>
      <c r="E3" s="52"/>
      <c r="F3" s="52"/>
      <c r="G3" s="52"/>
      <c r="H3" s="52"/>
    </row>
    <row r="34" spans="1:8" x14ac:dyDescent="0.25">
      <c r="A34" s="53" t="s">
        <v>210</v>
      </c>
      <c r="B34" s="52"/>
      <c r="C34" s="52"/>
      <c r="D34" s="52"/>
      <c r="E34" s="52"/>
      <c r="F34" s="52"/>
      <c r="G34" s="52"/>
      <c r="H34" s="52"/>
    </row>
  </sheetData>
  <mergeCells count="2">
    <mergeCell ref="A3:H3"/>
    <mergeCell ref="A34:H34"/>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9"/>
  <sheetViews>
    <sheetView showGridLines="0" workbookViewId="0"/>
  </sheetViews>
  <sheetFormatPr defaultRowHeight="15" x14ac:dyDescent="0.25"/>
  <cols>
    <col min="1" max="1" width="26" customWidth="1"/>
    <col min="2" max="2" width="12" customWidth="1"/>
    <col min="3" max="6" width="11" customWidth="1"/>
    <col min="7" max="7" width="15" customWidth="1"/>
    <col min="8" max="9" width="12" customWidth="1"/>
    <col min="10" max="10" width="26" customWidth="1"/>
    <col min="11" max="11" width="16" customWidth="1"/>
    <col min="12" max="12" width="13" customWidth="1"/>
  </cols>
  <sheetData>
    <row r="1" spans="1:14" ht="18" x14ac:dyDescent="0.25">
      <c r="A1" s="1" t="s">
        <v>211</v>
      </c>
    </row>
    <row r="2" spans="1:14" ht="27.95" customHeight="1" x14ac:dyDescent="0.25">
      <c r="A2" s="51" t="s">
        <v>212</v>
      </c>
      <c r="B2" s="52"/>
      <c r="C2" s="52"/>
      <c r="D2" s="52"/>
      <c r="E2" s="52"/>
      <c r="F2" s="52"/>
      <c r="G2" s="52"/>
      <c r="H2" s="52"/>
      <c r="I2" s="52"/>
      <c r="J2" s="52"/>
      <c r="K2" s="52"/>
      <c r="L2" s="52"/>
    </row>
    <row r="4" spans="1:14" ht="45.95" customHeight="1" x14ac:dyDescent="0.25">
      <c r="A4" s="10" t="s">
        <v>213</v>
      </c>
      <c r="B4" s="10" t="s">
        <v>214</v>
      </c>
      <c r="C4" s="10" t="s">
        <v>155</v>
      </c>
      <c r="D4" s="10" t="s">
        <v>215</v>
      </c>
      <c r="E4" s="10" t="s">
        <v>216</v>
      </c>
      <c r="F4" s="10" t="s">
        <v>217</v>
      </c>
      <c r="G4" s="10" t="s">
        <v>218</v>
      </c>
      <c r="H4" s="10" t="s">
        <v>219</v>
      </c>
      <c r="I4" s="10" t="s">
        <v>220</v>
      </c>
      <c r="J4" s="10" t="s">
        <v>221</v>
      </c>
      <c r="K4" s="10" t="s">
        <v>222</v>
      </c>
      <c r="L4" s="10" t="s">
        <v>223</v>
      </c>
    </row>
    <row r="5" spans="1:14" ht="204" x14ac:dyDescent="0.25">
      <c r="A5" s="43" t="str">
        <f>cust_name</f>
        <v>Example Customer Ltd</v>
      </c>
      <c r="B5" s="44">
        <f>nrows</f>
        <v>3</v>
      </c>
      <c r="C5" s="44">
        <f>SUM(Analysis!$L$2:$L$1001)</f>
        <v>0</v>
      </c>
      <c r="D5" s="45">
        <f>IFERROR(C5/B5,0)</f>
        <v>0</v>
      </c>
      <c r="E5" s="45" t="str">
        <f>Segments!$D$9</f>
        <v>n&lt;5 not reported</v>
      </c>
      <c r="F5" s="45" t="str">
        <f>Segments!$D$6</f>
        <v>n&lt;5 not reported</v>
      </c>
      <c r="G5" s="15"/>
      <c r="H5" s="44">
        <f>COUNTIF(Analysis!$G$2:$G$1001,"&gt;=0.9")</f>
        <v>0</v>
      </c>
      <c r="I5" s="15"/>
      <c r="J5" s="15"/>
      <c r="K5" s="15"/>
      <c r="L5" s="15"/>
      <c r="N5" s="21" t="s">
        <v>224</v>
      </c>
    </row>
    <row r="6" spans="1:14" x14ac:dyDescent="0.25">
      <c r="A6" s="15"/>
      <c r="B6" s="17"/>
      <c r="C6" s="17"/>
      <c r="D6" s="46"/>
      <c r="E6" s="46"/>
      <c r="F6" s="46"/>
      <c r="G6" s="15"/>
      <c r="H6" s="17"/>
      <c r="I6" s="15"/>
      <c r="J6" s="15"/>
      <c r="K6" s="15"/>
      <c r="L6" s="15"/>
    </row>
    <row r="7" spans="1:14" x14ac:dyDescent="0.25">
      <c r="A7" s="15"/>
      <c r="B7" s="17"/>
      <c r="C7" s="17"/>
      <c r="D7" s="46"/>
      <c r="E7" s="46"/>
      <c r="F7" s="46"/>
      <c r="G7" s="15"/>
      <c r="H7" s="17"/>
      <c r="I7" s="15"/>
      <c r="J7" s="15"/>
      <c r="K7" s="15"/>
      <c r="L7" s="15"/>
    </row>
    <row r="8" spans="1:14" x14ac:dyDescent="0.25">
      <c r="A8" s="15"/>
      <c r="B8" s="17"/>
      <c r="C8" s="17"/>
      <c r="D8" s="46"/>
      <c r="E8" s="46"/>
      <c r="F8" s="46"/>
      <c r="G8" s="15"/>
      <c r="H8" s="17"/>
      <c r="I8" s="15"/>
      <c r="J8" s="15"/>
      <c r="K8" s="15"/>
      <c r="L8" s="15"/>
    </row>
    <row r="9" spans="1:14" x14ac:dyDescent="0.25">
      <c r="A9" s="15"/>
      <c r="B9" s="17"/>
      <c r="C9" s="17"/>
      <c r="D9" s="46"/>
      <c r="E9" s="46"/>
      <c r="F9" s="46"/>
      <c r="G9" s="15"/>
      <c r="H9" s="17"/>
      <c r="I9" s="15"/>
      <c r="J9" s="15"/>
      <c r="K9" s="15"/>
      <c r="L9" s="15"/>
    </row>
    <row r="10" spans="1:14" x14ac:dyDescent="0.25">
      <c r="A10" s="15"/>
      <c r="B10" s="17"/>
      <c r="C10" s="17"/>
      <c r="D10" s="46"/>
      <c r="E10" s="46"/>
      <c r="F10" s="46"/>
      <c r="G10" s="15"/>
      <c r="H10" s="17"/>
      <c r="I10" s="15"/>
      <c r="J10" s="15"/>
      <c r="K10" s="15"/>
      <c r="L10" s="15"/>
    </row>
    <row r="11" spans="1:14" x14ac:dyDescent="0.25">
      <c r="A11" s="15"/>
      <c r="B11" s="17"/>
      <c r="C11" s="17"/>
      <c r="D11" s="46"/>
      <c r="E11" s="46"/>
      <c r="F11" s="46"/>
      <c r="G11" s="15"/>
      <c r="H11" s="17"/>
      <c r="I11" s="15"/>
      <c r="J11" s="15"/>
      <c r="K11" s="15"/>
      <c r="L11" s="15"/>
    </row>
    <row r="12" spans="1:14" x14ac:dyDescent="0.25">
      <c r="A12" s="15"/>
      <c r="B12" s="17"/>
      <c r="C12" s="17"/>
      <c r="D12" s="46"/>
      <c r="E12" s="46"/>
      <c r="F12" s="46"/>
      <c r="G12" s="15"/>
      <c r="H12" s="17"/>
      <c r="I12" s="15"/>
      <c r="J12" s="15"/>
      <c r="K12" s="15"/>
      <c r="L12" s="15"/>
    </row>
    <row r="13" spans="1:14" x14ac:dyDescent="0.25">
      <c r="A13" s="15"/>
      <c r="B13" s="17"/>
      <c r="C13" s="17"/>
      <c r="D13" s="46"/>
      <c r="E13" s="46"/>
      <c r="F13" s="46"/>
      <c r="G13" s="15"/>
      <c r="H13" s="17"/>
      <c r="I13" s="15"/>
      <c r="J13" s="15"/>
      <c r="K13" s="15"/>
      <c r="L13" s="15"/>
    </row>
    <row r="14" spans="1:14" x14ac:dyDescent="0.25">
      <c r="A14" s="15"/>
      <c r="B14" s="17"/>
      <c r="C14" s="17"/>
      <c r="D14" s="46"/>
      <c r="E14" s="46"/>
      <c r="F14" s="46"/>
      <c r="G14" s="15"/>
      <c r="H14" s="17"/>
      <c r="I14" s="15"/>
      <c r="J14" s="15"/>
      <c r="K14" s="15"/>
      <c r="L14" s="15"/>
    </row>
    <row r="15" spans="1:14" x14ac:dyDescent="0.25">
      <c r="A15" s="15"/>
      <c r="B15" s="17"/>
      <c r="C15" s="17"/>
      <c r="D15" s="46"/>
      <c r="E15" s="46"/>
      <c r="F15" s="46"/>
      <c r="G15" s="15"/>
      <c r="H15" s="17"/>
      <c r="I15" s="15"/>
      <c r="J15" s="15"/>
      <c r="K15" s="15"/>
      <c r="L15" s="15"/>
    </row>
    <row r="16" spans="1:14" x14ac:dyDescent="0.25">
      <c r="A16" s="15"/>
      <c r="B16" s="17"/>
      <c r="C16" s="17"/>
      <c r="D16" s="46"/>
      <c r="E16" s="46"/>
      <c r="F16" s="46"/>
      <c r="G16" s="15"/>
      <c r="H16" s="17"/>
      <c r="I16" s="15"/>
      <c r="J16" s="15"/>
      <c r="K16" s="15"/>
      <c r="L16" s="15"/>
    </row>
    <row r="17" spans="1:12" x14ac:dyDescent="0.25">
      <c r="A17" s="15"/>
      <c r="B17" s="17"/>
      <c r="C17" s="17"/>
      <c r="D17" s="46"/>
      <c r="E17" s="46"/>
      <c r="F17" s="46"/>
      <c r="G17" s="15"/>
      <c r="H17" s="17"/>
      <c r="I17" s="15"/>
      <c r="J17" s="15"/>
      <c r="K17" s="15"/>
      <c r="L17" s="15"/>
    </row>
    <row r="18" spans="1:12" x14ac:dyDescent="0.25">
      <c r="A18" s="15"/>
      <c r="B18" s="17"/>
      <c r="C18" s="17"/>
      <c r="D18" s="46"/>
      <c r="E18" s="46"/>
      <c r="F18" s="46"/>
      <c r="G18" s="15"/>
      <c r="H18" s="17"/>
      <c r="I18" s="15"/>
      <c r="J18" s="15"/>
      <c r="K18" s="15"/>
      <c r="L18" s="15"/>
    </row>
    <row r="19" spans="1:12" x14ac:dyDescent="0.25">
      <c r="A19" s="15"/>
      <c r="B19" s="17"/>
      <c r="C19" s="17"/>
      <c r="D19" s="46"/>
      <c r="E19" s="46"/>
      <c r="F19" s="46"/>
      <c r="G19" s="15"/>
      <c r="H19" s="17"/>
      <c r="I19" s="15"/>
      <c r="J19" s="15"/>
      <c r="K19" s="15"/>
      <c r="L19" s="15"/>
    </row>
    <row r="20" spans="1:12" x14ac:dyDescent="0.25">
      <c r="A20" s="15"/>
      <c r="B20" s="17"/>
      <c r="C20" s="17"/>
      <c r="D20" s="46"/>
      <c r="E20" s="46"/>
      <c r="F20" s="46"/>
      <c r="G20" s="15"/>
      <c r="H20" s="17"/>
      <c r="I20" s="15"/>
      <c r="J20" s="15"/>
      <c r="K20" s="15"/>
      <c r="L20" s="15"/>
    </row>
    <row r="21" spans="1:12" x14ac:dyDescent="0.25">
      <c r="A21" s="15"/>
      <c r="B21" s="17"/>
      <c r="C21" s="17"/>
      <c r="D21" s="46"/>
      <c r="E21" s="46"/>
      <c r="F21" s="46"/>
      <c r="G21" s="15"/>
      <c r="H21" s="17"/>
      <c r="I21" s="15"/>
      <c r="J21" s="15"/>
      <c r="K21" s="15"/>
      <c r="L21" s="15"/>
    </row>
    <row r="22" spans="1:12" x14ac:dyDescent="0.25">
      <c r="A22" s="15"/>
      <c r="B22" s="17"/>
      <c r="C22" s="17"/>
      <c r="D22" s="46"/>
      <c r="E22" s="46"/>
      <c r="F22" s="46"/>
      <c r="G22" s="15"/>
      <c r="H22" s="17"/>
      <c r="I22" s="15"/>
      <c r="J22" s="15"/>
      <c r="K22" s="15"/>
      <c r="L22" s="15"/>
    </row>
    <row r="23" spans="1:12" x14ac:dyDescent="0.25">
      <c r="A23" s="15"/>
      <c r="B23" s="17"/>
      <c r="C23" s="17"/>
      <c r="D23" s="46"/>
      <c r="E23" s="46"/>
      <c r="F23" s="46"/>
      <c r="G23" s="15"/>
      <c r="H23" s="17"/>
      <c r="I23" s="15"/>
      <c r="J23" s="15"/>
      <c r="K23" s="15"/>
      <c r="L23" s="15"/>
    </row>
    <row r="24" spans="1:12" x14ac:dyDescent="0.25">
      <c r="A24" s="15"/>
      <c r="B24" s="17"/>
      <c r="C24" s="17"/>
      <c r="D24" s="46"/>
      <c r="E24" s="46"/>
      <c r="F24" s="46"/>
      <c r="G24" s="15"/>
      <c r="H24" s="17"/>
      <c r="I24" s="15"/>
      <c r="J24" s="15"/>
      <c r="K24" s="15"/>
      <c r="L24" s="15"/>
    </row>
    <row r="25" spans="1:12" x14ac:dyDescent="0.25">
      <c r="A25" s="15"/>
      <c r="B25" s="17"/>
      <c r="C25" s="17"/>
      <c r="D25" s="46"/>
      <c r="E25" s="46"/>
      <c r="F25" s="46"/>
      <c r="G25" s="15"/>
      <c r="H25" s="17"/>
      <c r="I25" s="15"/>
      <c r="J25" s="15"/>
      <c r="K25" s="15"/>
      <c r="L25" s="15"/>
    </row>
    <row r="27" spans="1:12" ht="30" customHeight="1" x14ac:dyDescent="0.25">
      <c r="A27" s="53" t="s">
        <v>225</v>
      </c>
      <c r="B27" s="52"/>
      <c r="C27" s="52"/>
      <c r="D27" s="52"/>
      <c r="E27" s="52"/>
      <c r="F27" s="52"/>
      <c r="G27" s="52"/>
      <c r="H27" s="52"/>
      <c r="I27" s="52"/>
      <c r="J27" s="52"/>
      <c r="K27" s="52"/>
      <c r="L27" s="52"/>
    </row>
    <row r="29" spans="1:12" x14ac:dyDescent="0.25">
      <c r="A29" s="57" t="s">
        <v>226</v>
      </c>
      <c r="B29" s="52"/>
      <c r="C29" s="52"/>
      <c r="D29" s="52"/>
      <c r="E29" s="52"/>
      <c r="F29" s="52"/>
      <c r="G29" s="52"/>
      <c r="H29" s="52"/>
      <c r="I29" s="52"/>
      <c r="J29" s="52"/>
      <c r="K29" s="52"/>
      <c r="L29" s="52"/>
    </row>
  </sheetData>
  <mergeCells count="3">
    <mergeCell ref="A2:L2"/>
    <mergeCell ref="A29:L29"/>
    <mergeCell ref="A27:L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78"/>
  <sheetViews>
    <sheetView showGridLines="0" workbookViewId="0"/>
  </sheetViews>
  <sheetFormatPr defaultRowHeight="15" x14ac:dyDescent="0.25"/>
  <cols>
    <col min="1" max="1" width="2.42578125" customWidth="1"/>
    <col min="2" max="2" width="30" customWidth="1"/>
    <col min="3" max="3" width="100" customWidth="1"/>
  </cols>
  <sheetData>
    <row r="2" spans="2:3" ht="18" x14ac:dyDescent="0.25">
      <c r="B2" s="1" t="s">
        <v>227</v>
      </c>
    </row>
    <row r="3" spans="2:3" ht="27.95" customHeight="1" x14ac:dyDescent="0.25">
      <c r="B3" s="51" t="s">
        <v>228</v>
      </c>
      <c r="C3" s="52"/>
    </row>
    <row r="5" spans="2:3" x14ac:dyDescent="0.25">
      <c r="B5" s="2" t="s">
        <v>229</v>
      </c>
    </row>
    <row r="6" spans="2:3" x14ac:dyDescent="0.25">
      <c r="B6" s="59" t="s">
        <v>230</v>
      </c>
      <c r="C6" s="52"/>
    </row>
    <row r="7" spans="2:3" ht="12.95" customHeight="1" x14ac:dyDescent="0.25">
      <c r="B7" s="47" t="s">
        <v>5</v>
      </c>
      <c r="C7" s="48" t="s">
        <v>6</v>
      </c>
    </row>
    <row r="8" spans="2:3" ht="21.95" customHeight="1" x14ac:dyDescent="0.25">
      <c r="B8" s="47" t="s">
        <v>7</v>
      </c>
      <c r="C8" s="48" t="s">
        <v>8</v>
      </c>
    </row>
    <row r="9" spans="2:3" ht="21.95" customHeight="1" x14ac:dyDescent="0.25">
      <c r="B9" s="47" t="s">
        <v>9</v>
      </c>
      <c r="C9" s="48" t="s">
        <v>231</v>
      </c>
    </row>
    <row r="10" spans="2:3" ht="21.95" customHeight="1" x14ac:dyDescent="0.25">
      <c r="B10" s="47" t="s">
        <v>11</v>
      </c>
      <c r="C10" s="48" t="s">
        <v>232</v>
      </c>
    </row>
    <row r="11" spans="2:3" ht="21.95" customHeight="1" x14ac:dyDescent="0.25">
      <c r="B11" s="47" t="s">
        <v>15</v>
      </c>
      <c r="C11" s="48" t="s">
        <v>233</v>
      </c>
    </row>
    <row r="13" spans="2:3" x14ac:dyDescent="0.25">
      <c r="B13" s="59" t="s">
        <v>234</v>
      </c>
      <c r="C13" s="52"/>
    </row>
    <row r="14" spans="2:3" ht="12.95" customHeight="1" x14ac:dyDescent="0.25">
      <c r="B14" s="47" t="s">
        <v>5</v>
      </c>
      <c r="C14" s="48" t="s">
        <v>6</v>
      </c>
    </row>
    <row r="15" spans="2:3" ht="12.95" customHeight="1" x14ac:dyDescent="0.25">
      <c r="B15" s="47" t="s">
        <v>7</v>
      </c>
      <c r="C15" s="48" t="s">
        <v>235</v>
      </c>
    </row>
    <row r="16" spans="2:3" ht="12.95" customHeight="1" x14ac:dyDescent="0.25">
      <c r="B16" s="47" t="s">
        <v>9</v>
      </c>
      <c r="C16" s="48" t="s">
        <v>236</v>
      </c>
    </row>
    <row r="17" spans="2:3" ht="12.95" customHeight="1" x14ac:dyDescent="0.25">
      <c r="B17" s="47" t="s">
        <v>11</v>
      </c>
      <c r="C17" s="48" t="s">
        <v>237</v>
      </c>
    </row>
    <row r="18" spans="2:3" ht="21.95" customHeight="1" x14ac:dyDescent="0.25">
      <c r="B18" s="47" t="s">
        <v>15</v>
      </c>
      <c r="C18" s="48" t="s">
        <v>238</v>
      </c>
    </row>
    <row r="20" spans="2:3" x14ac:dyDescent="0.25">
      <c r="B20" s="59" t="s">
        <v>239</v>
      </c>
      <c r="C20" s="52"/>
    </row>
    <row r="21" spans="2:3" ht="12.95" customHeight="1" x14ac:dyDescent="0.25">
      <c r="B21" s="47" t="s">
        <v>5</v>
      </c>
      <c r="C21" s="48" t="s">
        <v>6</v>
      </c>
    </row>
    <row r="22" spans="2:3" ht="12.95" customHeight="1" x14ac:dyDescent="0.25">
      <c r="B22" s="47" t="s">
        <v>7</v>
      </c>
      <c r="C22" s="48" t="s">
        <v>240</v>
      </c>
    </row>
    <row r="23" spans="2:3" ht="12.95" customHeight="1" x14ac:dyDescent="0.25">
      <c r="B23" s="47" t="s">
        <v>9</v>
      </c>
      <c r="C23" s="48" t="s">
        <v>241</v>
      </c>
    </row>
    <row r="24" spans="2:3" ht="12.95" customHeight="1" x14ac:dyDescent="0.25">
      <c r="B24" s="47" t="s">
        <v>11</v>
      </c>
      <c r="C24" s="48" t="s">
        <v>242</v>
      </c>
    </row>
    <row r="25" spans="2:3" ht="21.95" customHeight="1" x14ac:dyDescent="0.25">
      <c r="B25" s="47" t="s">
        <v>15</v>
      </c>
      <c r="C25" s="48" t="s">
        <v>243</v>
      </c>
    </row>
    <row r="27" spans="2:3" x14ac:dyDescent="0.25">
      <c r="B27" s="59" t="s">
        <v>244</v>
      </c>
      <c r="C27" s="52"/>
    </row>
    <row r="28" spans="2:3" ht="12.95" customHeight="1" x14ac:dyDescent="0.25">
      <c r="B28" s="47" t="s">
        <v>5</v>
      </c>
      <c r="C28" s="48" t="s">
        <v>245</v>
      </c>
    </row>
    <row r="29" spans="2:3" ht="12.95" customHeight="1" x14ac:dyDescent="0.25">
      <c r="B29" s="47" t="s">
        <v>7</v>
      </c>
      <c r="C29" s="48" t="s">
        <v>246</v>
      </c>
    </row>
    <row r="30" spans="2:3" ht="21.95" customHeight="1" x14ac:dyDescent="0.25">
      <c r="B30" s="47" t="s">
        <v>9</v>
      </c>
      <c r="C30" s="48" t="s">
        <v>247</v>
      </c>
    </row>
    <row r="31" spans="2:3" ht="12.95" customHeight="1" x14ac:dyDescent="0.25">
      <c r="B31" s="47" t="s">
        <v>11</v>
      </c>
      <c r="C31" s="48" t="s">
        <v>248</v>
      </c>
    </row>
    <row r="32" spans="2:3" ht="21.95" customHeight="1" x14ac:dyDescent="0.25">
      <c r="B32" s="47" t="s">
        <v>15</v>
      </c>
      <c r="C32" s="48" t="s">
        <v>249</v>
      </c>
    </row>
    <row r="34" spans="2:3" x14ac:dyDescent="0.25">
      <c r="B34" s="59" t="s">
        <v>250</v>
      </c>
      <c r="C34" s="52"/>
    </row>
    <row r="35" spans="2:3" ht="12.95" customHeight="1" x14ac:dyDescent="0.25">
      <c r="B35" s="47" t="s">
        <v>5</v>
      </c>
      <c r="C35" s="48" t="s">
        <v>6</v>
      </c>
    </row>
    <row r="36" spans="2:3" ht="12.95" customHeight="1" x14ac:dyDescent="0.25">
      <c r="B36" s="47" t="s">
        <v>7</v>
      </c>
      <c r="C36" s="48" t="s">
        <v>251</v>
      </c>
    </row>
    <row r="37" spans="2:3" ht="12.95" customHeight="1" x14ac:dyDescent="0.25">
      <c r="B37" s="47" t="s">
        <v>9</v>
      </c>
      <c r="C37" s="48" t="s">
        <v>252</v>
      </c>
    </row>
    <row r="38" spans="2:3" ht="12.95" customHeight="1" x14ac:dyDescent="0.25">
      <c r="B38" s="47" t="s">
        <v>11</v>
      </c>
      <c r="C38" s="48" t="s">
        <v>253</v>
      </c>
    </row>
    <row r="39" spans="2:3" ht="21.95" customHeight="1" x14ac:dyDescent="0.25">
      <c r="B39" s="47" t="s">
        <v>15</v>
      </c>
      <c r="C39" s="48" t="s">
        <v>254</v>
      </c>
    </row>
    <row r="41" spans="2:3" x14ac:dyDescent="0.25">
      <c r="B41" s="2" t="s">
        <v>255</v>
      </c>
    </row>
    <row r="42" spans="2:3" ht="21.95" customHeight="1" x14ac:dyDescent="0.25">
      <c r="B42" s="47" t="s">
        <v>256</v>
      </c>
      <c r="C42" s="48" t="s">
        <v>257</v>
      </c>
    </row>
    <row r="43" spans="2:3" ht="12.95" customHeight="1" x14ac:dyDescent="0.25">
      <c r="B43" s="47" t="s">
        <v>258</v>
      </c>
      <c r="C43" s="48" t="s">
        <v>259</v>
      </c>
    </row>
    <row r="44" spans="2:3" ht="12.95" customHeight="1" x14ac:dyDescent="0.25">
      <c r="B44" s="47" t="s">
        <v>11</v>
      </c>
      <c r="C44" s="48" t="s">
        <v>260</v>
      </c>
    </row>
    <row r="45" spans="2:3" ht="21.95" customHeight="1" x14ac:dyDescent="0.25">
      <c r="B45" s="47" t="s">
        <v>261</v>
      </c>
      <c r="C45" s="48" t="s">
        <v>262</v>
      </c>
    </row>
    <row r="46" spans="2:3" ht="21.95" customHeight="1" x14ac:dyDescent="0.25">
      <c r="B46" s="47" t="s">
        <v>263</v>
      </c>
      <c r="C46" s="48" t="s">
        <v>264</v>
      </c>
    </row>
    <row r="47" spans="2:3" ht="21.95" customHeight="1" x14ac:dyDescent="0.25">
      <c r="B47" s="47" t="s">
        <v>265</v>
      </c>
      <c r="C47" s="48" t="s">
        <v>266</v>
      </c>
    </row>
    <row r="49" spans="2:3" x14ac:dyDescent="0.25">
      <c r="B49" s="2" t="s">
        <v>267</v>
      </c>
    </row>
    <row r="50" spans="2:3" ht="26.1" customHeight="1" x14ac:dyDescent="0.25">
      <c r="B50" s="47" t="s">
        <v>268</v>
      </c>
      <c r="C50" s="48" t="s">
        <v>269</v>
      </c>
    </row>
    <row r="51" spans="2:3" x14ac:dyDescent="0.25">
      <c r="B51" s="47" t="s">
        <v>270</v>
      </c>
      <c r="C51" s="48" t="s">
        <v>271</v>
      </c>
    </row>
    <row r="52" spans="2:3" ht="39.950000000000003" customHeight="1" x14ac:dyDescent="0.25">
      <c r="B52" s="49" t="s">
        <v>272</v>
      </c>
      <c r="C52" s="39" t="s">
        <v>273</v>
      </c>
    </row>
    <row r="54" spans="2:3" x14ac:dyDescent="0.25">
      <c r="B54" s="2" t="s">
        <v>274</v>
      </c>
    </row>
    <row r="55" spans="2:3" ht="24" customHeight="1" x14ac:dyDescent="0.25">
      <c r="B55" s="50" t="s">
        <v>275</v>
      </c>
      <c r="C55" s="48" t="s">
        <v>276</v>
      </c>
    </row>
    <row r="56" spans="2:3" ht="33" customHeight="1" x14ac:dyDescent="0.25">
      <c r="B56" s="50" t="s">
        <v>277</v>
      </c>
      <c r="C56" s="48" t="s">
        <v>278</v>
      </c>
    </row>
    <row r="57" spans="2:3" ht="24" customHeight="1" x14ac:dyDescent="0.25">
      <c r="B57" s="50" t="s">
        <v>279</v>
      </c>
      <c r="C57" s="48" t="s">
        <v>280</v>
      </c>
    </row>
    <row r="58" spans="2:3" ht="24" customHeight="1" x14ac:dyDescent="0.25">
      <c r="B58" s="50" t="s">
        <v>281</v>
      </c>
      <c r="C58" s="48" t="s">
        <v>282</v>
      </c>
    </row>
    <row r="59" spans="2:3" ht="33" customHeight="1" x14ac:dyDescent="0.25">
      <c r="B59" s="50" t="s">
        <v>283</v>
      </c>
      <c r="C59" s="48" t="s">
        <v>284</v>
      </c>
    </row>
    <row r="60" spans="2:3" ht="24" customHeight="1" x14ac:dyDescent="0.25">
      <c r="B60" s="50" t="s">
        <v>285</v>
      </c>
      <c r="C60" s="48" t="s">
        <v>286</v>
      </c>
    </row>
    <row r="61" spans="2:3" ht="24" customHeight="1" x14ac:dyDescent="0.25">
      <c r="B61" s="50" t="s">
        <v>287</v>
      </c>
      <c r="C61" s="48" t="s">
        <v>288</v>
      </c>
    </row>
    <row r="62" spans="2:3" ht="24" customHeight="1" x14ac:dyDescent="0.25">
      <c r="B62" s="50" t="s">
        <v>289</v>
      </c>
      <c r="C62" s="48" t="s">
        <v>290</v>
      </c>
    </row>
    <row r="63" spans="2:3" ht="24" customHeight="1" x14ac:dyDescent="0.25">
      <c r="B63" s="50" t="s">
        <v>291</v>
      </c>
      <c r="C63" s="48" t="s">
        <v>292</v>
      </c>
    </row>
    <row r="64" spans="2:3" ht="33" customHeight="1" x14ac:dyDescent="0.25">
      <c r="B64" s="50" t="s">
        <v>293</v>
      </c>
      <c r="C64" s="48" t="s">
        <v>294</v>
      </c>
    </row>
    <row r="66" spans="2:3" ht="30" customHeight="1" x14ac:dyDescent="0.25">
      <c r="B66" s="49" t="s">
        <v>295</v>
      </c>
      <c r="C66" s="39" t="s">
        <v>296</v>
      </c>
    </row>
    <row r="68" spans="2:3" x14ac:dyDescent="0.25">
      <c r="B68" s="2" t="s">
        <v>297</v>
      </c>
    </row>
    <row r="69" spans="2:3" x14ac:dyDescent="0.25">
      <c r="B69" s="50" t="s">
        <v>298</v>
      </c>
      <c r="C69" s="16" t="s">
        <v>299</v>
      </c>
    </row>
    <row r="70" spans="2:3" ht="24" x14ac:dyDescent="0.25">
      <c r="B70" s="50" t="s">
        <v>300</v>
      </c>
      <c r="C70" s="16" t="s">
        <v>301</v>
      </c>
    </row>
    <row r="71" spans="2:3" ht="36" x14ac:dyDescent="0.25">
      <c r="B71" s="50" t="s">
        <v>302</v>
      </c>
      <c r="C71" s="16" t="s">
        <v>303</v>
      </c>
    </row>
    <row r="72" spans="2:3" ht="24" x14ac:dyDescent="0.25">
      <c r="B72" s="50" t="s">
        <v>304</v>
      </c>
      <c r="C72" s="16" t="s">
        <v>305</v>
      </c>
    </row>
    <row r="73" spans="2:3" ht="24" x14ac:dyDescent="0.25">
      <c r="B73" s="50" t="s">
        <v>306</v>
      </c>
      <c r="C73" s="16" t="s">
        <v>307</v>
      </c>
    </row>
    <row r="74" spans="2:3" x14ac:dyDescent="0.25">
      <c r="B74" s="50" t="s">
        <v>308</v>
      </c>
      <c r="C74" s="16" t="s">
        <v>309</v>
      </c>
    </row>
    <row r="75" spans="2:3" x14ac:dyDescent="0.25">
      <c r="B75" s="50" t="s">
        <v>239</v>
      </c>
      <c r="C75" s="16" t="s">
        <v>310</v>
      </c>
    </row>
    <row r="76" spans="2:3" ht="24" x14ac:dyDescent="0.25">
      <c r="B76" s="50" t="s">
        <v>311</v>
      </c>
      <c r="C76" s="16" t="s">
        <v>312</v>
      </c>
    </row>
    <row r="77" spans="2:3" ht="24" x14ac:dyDescent="0.25">
      <c r="B77" s="50" t="s">
        <v>313</v>
      </c>
      <c r="C77" s="16" t="s">
        <v>314</v>
      </c>
    </row>
    <row r="78" spans="2:3" ht="24" x14ac:dyDescent="0.25">
      <c r="B78" s="50" t="s">
        <v>315</v>
      </c>
      <c r="C78" s="16" t="s">
        <v>316</v>
      </c>
    </row>
  </sheetData>
  <mergeCells count="6">
    <mergeCell ref="B13:C13"/>
    <mergeCell ref="B6:C6"/>
    <mergeCell ref="B3:C3"/>
    <mergeCell ref="B20:C20"/>
    <mergeCell ref="B34:C34"/>
    <mergeCell ref="B27:C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20</vt:i4>
      </vt:variant>
    </vt:vector>
  </HeadingPairs>
  <TitlesOfParts>
    <vt:vector size="29" baseType="lpstr">
      <vt:lpstr>Start Here</vt:lpstr>
      <vt:lpstr>Paste Export</vt:lpstr>
      <vt:lpstr>Setup</vt:lpstr>
      <vt:lpstr>Analysis</vt:lpstr>
      <vt:lpstr>Calc</vt:lpstr>
      <vt:lpstr>Segments</vt:lpstr>
      <vt:lpstr>Chart</vt:lpstr>
      <vt:lpstr>Book Ranking</vt:lpstr>
      <vt:lpstr>Reference</vt:lpstr>
      <vt:lpstr>col_days</vt:lpstr>
      <vt:lpstr>col_last</vt:lpstr>
      <vt:lpstr>col_prompts</vt:lpstr>
      <vt:lpstr>col_s1</vt:lpstr>
      <vt:lpstr>col_s2</vt:lpstr>
      <vt:lpstr>col_s3</vt:lpstr>
      <vt:lpstr>col_s4</vt:lpstr>
      <vt:lpstr>col_s5</vt:lpstr>
      <vt:lpstr>col_s6</vt:lpstr>
      <vt:lpstr>col_s7</vt:lpstr>
      <vt:lpstr>col_s8</vt:lpstr>
      <vt:lpstr>col_user</vt:lpstr>
      <vt:lpstr>col_web</vt:lpstr>
      <vt:lpstr>cust_name</vt:lpstr>
      <vt:lpstr>depth_line</vt:lpstr>
      <vt:lpstr>freq_line</vt:lpstr>
      <vt:lpstr>nrows</vt:lpstr>
      <vt:lpstr>period_days</vt:lpstr>
      <vt:lpstr>refresh_date</vt:lpstr>
      <vt:lpstr>run_mode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Lince, Ken</cp:lastModifiedBy>
  <dcterms:created xsi:type="dcterms:W3CDTF">2026-08-27T22:02:45Z</dcterms:created>
  <dcterms:modified xsi:type="dcterms:W3CDTF">2026-08-27T22:03:18Z</dcterms:modified>
</cp:coreProperties>
</file>